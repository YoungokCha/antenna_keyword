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1" documentId="8_{A5CDD68E-3522-274F-8D43-B0D25D163FBA}" xr6:coauthVersionLast="47" xr6:coauthVersionMax="47" xr10:uidLastSave="{0539899C-8563-E94C-B323-8B433D8D2DF4}"/>
  <bookViews>
    <workbookView xWindow="2020" yWindow="10200" windowWidth="27640" windowHeight="16940" xr2:uid="{8BADF099-EB75-864E-9A89-513D19E45DFE}"/>
  </bookViews>
  <sheets>
    <sheet name="1990"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6" i="1" l="1"/>
  <c r="AN3" i="1" l="1"/>
  <c r="AN4" i="1"/>
  <c r="AN5"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2" i="1"/>
  <c r="S2" i="1" l="1"/>
  <c r="U2" i="1"/>
  <c r="AM2" i="1"/>
  <c r="S3" i="1"/>
  <c r="U3" i="1"/>
  <c r="AM3" i="1" s="1"/>
  <c r="S4" i="1"/>
  <c r="U4" i="1"/>
  <c r="AM4" i="1"/>
  <c r="S5" i="1"/>
  <c r="U5" i="1"/>
  <c r="AM5" i="1"/>
  <c r="S6" i="1"/>
  <c r="U6" i="1"/>
  <c r="AM6" i="1" s="1"/>
  <c r="S7" i="1"/>
  <c r="U7" i="1"/>
  <c r="AM7" i="1" s="1"/>
  <c r="S8" i="1"/>
  <c r="U8" i="1"/>
  <c r="AM8" i="1" s="1"/>
  <c r="S9" i="1"/>
  <c r="U9" i="1"/>
  <c r="AM9" i="1" s="1"/>
  <c r="S10" i="1"/>
  <c r="U10" i="1"/>
  <c r="AM10" i="1" s="1"/>
  <c r="S11" i="1"/>
  <c r="U11" i="1"/>
  <c r="AM11" i="1"/>
  <c r="S12" i="1"/>
  <c r="U12" i="1"/>
  <c r="AM12" i="1" s="1"/>
  <c r="S13" i="1"/>
  <c r="U13" i="1"/>
  <c r="AM13" i="1" s="1"/>
  <c r="S14" i="1"/>
  <c r="U14" i="1"/>
  <c r="AM14" i="1"/>
  <c r="AU14" i="1"/>
  <c r="AV14" i="1"/>
  <c r="AW14" i="1"/>
  <c r="S15" i="1"/>
  <c r="U15" i="1"/>
  <c r="AM15" i="1"/>
  <c r="S16" i="1"/>
  <c r="U16" i="1"/>
  <c r="AM16" i="1"/>
  <c r="S17" i="1"/>
  <c r="U17" i="1"/>
  <c r="AM17" i="1" s="1"/>
  <c r="S18" i="1"/>
  <c r="U18" i="1"/>
  <c r="AM18" i="1" s="1"/>
  <c r="S19" i="1"/>
  <c r="U19" i="1"/>
  <c r="AM19" i="1" s="1"/>
  <c r="S20" i="1"/>
  <c r="U20" i="1"/>
  <c r="AM20" i="1" s="1"/>
  <c r="S21" i="1"/>
  <c r="U21" i="1"/>
  <c r="AM21" i="1" s="1"/>
  <c r="S22" i="1"/>
  <c r="U22" i="1"/>
  <c r="AM22" i="1"/>
  <c r="AV22" i="1"/>
  <c r="S23" i="1"/>
  <c r="U23" i="1"/>
  <c r="AM23" i="1" s="1"/>
  <c r="S24" i="1"/>
  <c r="U24" i="1"/>
  <c r="AM24" i="1" s="1"/>
  <c r="AV24" i="1"/>
  <c r="S25" i="1"/>
  <c r="U25" i="1"/>
  <c r="AM25" i="1" s="1"/>
  <c r="S26" i="1"/>
  <c r="U26" i="1"/>
  <c r="AM26" i="1"/>
  <c r="S27" i="1"/>
  <c r="U27" i="1"/>
  <c r="AM27" i="1" s="1"/>
  <c r="S28" i="1"/>
  <c r="U28" i="1"/>
  <c r="AM28" i="1" s="1"/>
  <c r="S29" i="1"/>
  <c r="U29" i="1"/>
  <c r="AM29" i="1" s="1"/>
  <c r="AU29" i="1" s="1"/>
  <c r="S30" i="1"/>
  <c r="U30" i="1"/>
  <c r="AM30" i="1"/>
  <c r="S31" i="1"/>
  <c r="U31" i="1"/>
  <c r="AM31" i="1" s="1"/>
  <c r="S32" i="1"/>
  <c r="U32" i="1"/>
  <c r="AM32" i="1" s="1"/>
  <c r="AV32" i="1" s="1"/>
  <c r="S33" i="1"/>
  <c r="U33" i="1"/>
  <c r="AM33" i="1" s="1"/>
  <c r="S34" i="1"/>
  <c r="U34" i="1"/>
  <c r="AM34" i="1"/>
  <c r="AU34" i="1" s="1"/>
  <c r="S35" i="1"/>
  <c r="U35" i="1"/>
  <c r="AM35" i="1" s="1"/>
  <c r="S36" i="1"/>
  <c r="U36" i="1"/>
  <c r="AM36" i="1" s="1"/>
  <c r="S37" i="1"/>
  <c r="U37" i="1"/>
  <c r="AM37" i="1"/>
  <c r="S38" i="1"/>
  <c r="U38" i="1"/>
  <c r="AM38" i="1" s="1"/>
  <c r="AU38" i="1"/>
  <c r="S39" i="1"/>
  <c r="U39" i="1"/>
  <c r="AM39" i="1" s="1"/>
  <c r="AU39" i="1" s="1"/>
  <c r="S40" i="1"/>
  <c r="U40" i="1"/>
  <c r="AM40" i="1" s="1"/>
  <c r="S41" i="1"/>
  <c r="U41" i="1"/>
  <c r="AM41" i="1"/>
  <c r="S42" i="1"/>
  <c r="U42" i="1"/>
  <c r="AM42" i="1"/>
  <c r="AV42" i="1"/>
  <c r="S43" i="1"/>
  <c r="U43" i="1"/>
  <c r="AM43" i="1" s="1"/>
  <c r="S44" i="1"/>
  <c r="U44" i="1"/>
  <c r="AM44" i="1" s="1"/>
  <c r="S45" i="1"/>
  <c r="U45" i="1"/>
  <c r="AM45" i="1"/>
  <c r="S46" i="1"/>
  <c r="U46" i="1"/>
  <c r="AM46" i="1"/>
  <c r="S47" i="1"/>
  <c r="U47" i="1"/>
  <c r="AM47" i="1"/>
  <c r="S48" i="1"/>
  <c r="U48" i="1"/>
  <c r="AM48" i="1" s="1"/>
  <c r="S49" i="1"/>
  <c r="U49" i="1"/>
  <c r="AV49" i="1"/>
  <c r="AM49" i="1"/>
  <c r="S50" i="1"/>
  <c r="U50" i="1"/>
  <c r="AM50" i="1" s="1"/>
  <c r="S51" i="1"/>
  <c r="U51" i="1"/>
  <c r="AM51" i="1" s="1"/>
  <c r="S52" i="1"/>
  <c r="U52" i="1"/>
  <c r="AM52" i="1" s="1"/>
  <c r="S53" i="1"/>
  <c r="U53" i="1"/>
  <c r="AM53" i="1" s="1"/>
  <c r="S54" i="1"/>
  <c r="U54" i="1"/>
  <c r="AM54" i="1" s="1"/>
  <c r="AU54" i="1" s="1"/>
  <c r="S55" i="1"/>
  <c r="U55" i="1"/>
  <c r="AV55" i="1"/>
  <c r="AM55" i="1"/>
  <c r="S56" i="1"/>
  <c r="U56" i="1"/>
  <c r="AM56" i="1"/>
  <c r="S57" i="1"/>
  <c r="U57" i="1"/>
  <c r="AM57" i="1" s="1"/>
  <c r="S58" i="1"/>
  <c r="U58" i="1"/>
  <c r="AM58" i="1" s="1"/>
  <c r="S59" i="1"/>
  <c r="U59" i="1"/>
  <c r="AM59" i="1"/>
  <c r="S60" i="1"/>
  <c r="U60" i="1"/>
  <c r="AM60" i="1"/>
  <c r="S61" i="1"/>
  <c r="U61" i="1"/>
  <c r="AM61" i="1" s="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AU70" i="1" s="1"/>
  <c r="S71" i="1"/>
  <c r="U71" i="1"/>
  <c r="AM71" i="1" s="1"/>
  <c r="S72" i="1"/>
  <c r="U72" i="1"/>
  <c r="AM72" i="1" s="1"/>
  <c r="S73" i="1"/>
  <c r="U73" i="1"/>
  <c r="AM73" i="1" s="1"/>
  <c r="S74" i="1"/>
  <c r="U74" i="1"/>
  <c r="AM74" i="1"/>
  <c r="AW74" i="1" s="1"/>
  <c r="S75" i="1"/>
  <c r="U75" i="1"/>
  <c r="AM75" i="1"/>
  <c r="S76" i="1"/>
  <c r="U76" i="1"/>
  <c r="AM76" i="1" s="1"/>
  <c r="S77" i="1"/>
  <c r="U77" i="1"/>
  <c r="AM77" i="1"/>
  <c r="S78" i="1"/>
  <c r="U78" i="1"/>
  <c r="AM78" i="1" s="1"/>
  <c r="S79" i="1"/>
  <c r="U79" i="1"/>
  <c r="AM79" i="1"/>
  <c r="AU79" i="1"/>
  <c r="S80" i="1"/>
  <c r="U80" i="1"/>
  <c r="AM80" i="1"/>
  <c r="AU80" i="1"/>
  <c r="S81" i="1"/>
  <c r="U81" i="1"/>
  <c r="AM81" i="1" s="1"/>
  <c r="S82" i="1"/>
  <c r="U82" i="1"/>
  <c r="AM82" i="1" s="1"/>
  <c r="AW82" i="1" s="1"/>
  <c r="S83" i="1"/>
  <c r="U83" i="1"/>
  <c r="AM83" i="1" s="1"/>
  <c r="S84" i="1"/>
  <c r="U84" i="1"/>
  <c r="AM84" i="1" s="1"/>
  <c r="S85" i="1"/>
  <c r="U85" i="1"/>
  <c r="AM85" i="1" s="1"/>
  <c r="S86" i="1"/>
  <c r="U86" i="1"/>
  <c r="AM86" i="1"/>
  <c r="AU86" i="1" s="1"/>
  <c r="S87" i="1"/>
  <c r="U87" i="1"/>
  <c r="AM87" i="1"/>
  <c r="S88" i="1"/>
  <c r="U88" i="1"/>
  <c r="AM88" i="1" s="1"/>
  <c r="S89" i="1"/>
  <c r="U89" i="1"/>
  <c r="AM89" i="1" s="1"/>
  <c r="S90" i="1"/>
  <c r="U90" i="1"/>
  <c r="AM90" i="1" s="1"/>
  <c r="S91" i="1"/>
  <c r="U91" i="1"/>
  <c r="AM91" i="1"/>
  <c r="AU91" i="1" s="1"/>
  <c r="S92" i="1"/>
  <c r="U92" i="1"/>
  <c r="AM92" i="1" s="1"/>
  <c r="S93" i="1"/>
  <c r="U93" i="1"/>
  <c r="AM93" i="1" s="1"/>
  <c r="S94" i="1"/>
  <c r="U94" i="1"/>
  <c r="AM94" i="1" s="1"/>
  <c r="AU94" i="1" s="1"/>
  <c r="S95" i="1"/>
  <c r="U95" i="1"/>
  <c r="AM95" i="1"/>
  <c r="S96" i="1"/>
  <c r="U96" i="1"/>
  <c r="AM96" i="1" s="1"/>
  <c r="S97" i="1"/>
  <c r="U97" i="1"/>
  <c r="AM97" i="1"/>
  <c r="S98" i="1"/>
  <c r="U98" i="1"/>
  <c r="AM98" i="1" s="1"/>
  <c r="S99" i="1"/>
  <c r="U99" i="1"/>
  <c r="AM99" i="1" s="1"/>
  <c r="S100" i="1"/>
  <c r="U100" i="1"/>
  <c r="AM100" i="1"/>
  <c r="S101" i="1"/>
  <c r="U101" i="1"/>
  <c r="AM101" i="1" s="1"/>
  <c r="S102" i="1"/>
  <c r="U102" i="1"/>
  <c r="AM102" i="1"/>
  <c r="AU102" i="1"/>
  <c r="S103" i="1"/>
  <c r="U103" i="1"/>
  <c r="AM103" i="1" s="1"/>
  <c r="S104" i="1"/>
  <c r="U104" i="1"/>
  <c r="AM104" i="1"/>
  <c r="S105" i="1"/>
  <c r="U105" i="1"/>
  <c r="AM105" i="1"/>
  <c r="S106" i="1"/>
  <c r="U106" i="1"/>
  <c r="AM106" i="1"/>
  <c r="S107" i="1"/>
  <c r="U107" i="1"/>
  <c r="AM107" i="1" s="1"/>
  <c r="S108" i="1"/>
  <c r="U108" i="1"/>
  <c r="AM108" i="1" s="1"/>
  <c r="S109" i="1"/>
  <c r="U109" i="1"/>
  <c r="AM109" i="1" s="1"/>
  <c r="S110" i="1"/>
  <c r="U110" i="1"/>
  <c r="AM110" i="1" s="1"/>
  <c r="S111" i="1"/>
  <c r="U111" i="1"/>
  <c r="AM111" i="1"/>
  <c r="S112" i="1"/>
  <c r="U112" i="1"/>
  <c r="AM112" i="1" s="1"/>
  <c r="S113" i="1"/>
  <c r="U113" i="1"/>
  <c r="AM113" i="1" s="1"/>
  <c r="AW113" i="1" s="1"/>
  <c r="S114" i="1"/>
  <c r="U114" i="1"/>
  <c r="AM114" i="1" s="1"/>
  <c r="S115" i="1"/>
  <c r="U115" i="1"/>
  <c r="AM115" i="1" s="1"/>
  <c r="S116" i="1"/>
  <c r="U116" i="1"/>
  <c r="AM116" i="1" s="1"/>
  <c r="S117" i="1"/>
  <c r="U117" i="1"/>
  <c r="AU117" i="1"/>
  <c r="AM117" i="1"/>
  <c r="AW117" i="1"/>
  <c r="S118" i="1"/>
  <c r="U118" i="1"/>
  <c r="AM118" i="1" s="1"/>
  <c r="AW118" i="1"/>
  <c r="S119" i="1"/>
  <c r="U119" i="1"/>
  <c r="AM119" i="1" s="1"/>
  <c r="S120" i="1"/>
  <c r="U120" i="1"/>
  <c r="AM120" i="1" s="1"/>
  <c r="AU120" i="1"/>
  <c r="S121" i="1"/>
  <c r="U121" i="1"/>
  <c r="AM121" i="1"/>
  <c r="AV121" i="1"/>
  <c r="S122" i="1"/>
  <c r="U122" i="1"/>
  <c r="AM122" i="1" s="1"/>
  <c r="S123" i="1"/>
  <c r="U123" i="1"/>
  <c r="AM123" i="1" s="1"/>
  <c r="S124" i="1"/>
  <c r="U124" i="1"/>
  <c r="AM124" i="1" s="1"/>
  <c r="S125" i="1"/>
  <c r="U125" i="1"/>
  <c r="AM125" i="1" s="1"/>
  <c r="AU125" i="1" s="1"/>
  <c r="S126" i="1"/>
  <c r="U126" i="1"/>
  <c r="AM126" i="1"/>
  <c r="S127" i="1"/>
  <c r="U127" i="1"/>
  <c r="AM127" i="1" s="1"/>
  <c r="S128" i="1"/>
  <c r="U128" i="1"/>
  <c r="AM128" i="1" s="1"/>
  <c r="S129" i="1"/>
  <c r="U129" i="1"/>
  <c r="AM129" i="1" s="1"/>
  <c r="S130" i="1"/>
  <c r="U130" i="1"/>
  <c r="AM130" i="1" s="1"/>
  <c r="S131" i="1"/>
  <c r="U131" i="1"/>
  <c r="AM131" i="1" s="1"/>
  <c r="S132" i="1"/>
  <c r="U132" i="1"/>
  <c r="AM132" i="1" s="1"/>
  <c r="AW132" i="1" s="1"/>
  <c r="S133" i="1"/>
  <c r="U133" i="1"/>
  <c r="AM133" i="1" s="1"/>
  <c r="AW133" i="1"/>
  <c r="S134" i="1"/>
  <c r="U134" i="1"/>
  <c r="AM134" i="1"/>
  <c r="S135" i="1"/>
  <c r="U135" i="1"/>
  <c r="AM135" i="1" s="1"/>
  <c r="AU135" i="1"/>
  <c r="S136" i="1"/>
  <c r="U136" i="1"/>
  <c r="AM136" i="1" s="1"/>
  <c r="S137" i="1"/>
  <c r="U137" i="1"/>
  <c r="AM137" i="1" s="1"/>
  <c r="S138" i="1"/>
  <c r="U138" i="1"/>
  <c r="AM138" i="1" s="1"/>
  <c r="AW138" i="1" s="1"/>
  <c r="S139" i="1"/>
  <c r="U139" i="1"/>
  <c r="AM139" i="1" s="1"/>
  <c r="S140" i="1"/>
  <c r="U140" i="1"/>
  <c r="AM140" i="1"/>
  <c r="AU140" i="1"/>
  <c r="AV140" i="1"/>
  <c r="S141" i="1"/>
  <c r="U141" i="1"/>
  <c r="AM141" i="1"/>
  <c r="S142" i="1"/>
  <c r="U142" i="1"/>
  <c r="AM142" i="1" s="1"/>
  <c r="S143" i="1"/>
  <c r="U143" i="1"/>
  <c r="AM143" i="1" s="1"/>
  <c r="AW143" i="1"/>
  <c r="S144" i="1"/>
  <c r="U144" i="1"/>
  <c r="AM144" i="1"/>
  <c r="S145" i="1"/>
  <c r="U145" i="1"/>
  <c r="AM145" i="1"/>
  <c r="S146" i="1"/>
  <c r="U146" i="1"/>
  <c r="AM146" i="1"/>
  <c r="S147" i="1"/>
  <c r="U147" i="1"/>
  <c r="AM147" i="1" s="1"/>
  <c r="S148" i="1"/>
  <c r="U148" i="1"/>
  <c r="AM148" i="1"/>
  <c r="AW148" i="1" s="1"/>
  <c r="S149" i="1"/>
  <c r="U149" i="1"/>
  <c r="AM149" i="1"/>
  <c r="S150" i="1"/>
  <c r="U150" i="1"/>
  <c r="AM150" i="1"/>
  <c r="AW150" i="1"/>
  <c r="S151" i="1"/>
  <c r="U151" i="1"/>
  <c r="AM151" i="1"/>
  <c r="S152" i="1"/>
  <c r="U152" i="1"/>
  <c r="AM152" i="1" s="1"/>
  <c r="S153" i="1"/>
  <c r="U153" i="1"/>
  <c r="AM153" i="1" s="1"/>
  <c r="AV153" i="1"/>
  <c r="S154" i="1"/>
  <c r="U154" i="1"/>
  <c r="AM154" i="1"/>
  <c r="AU154" i="1" s="1"/>
  <c r="S155" i="1"/>
  <c r="U155" i="1"/>
  <c r="AM155" i="1" s="1"/>
  <c r="S156" i="1"/>
  <c r="U156" i="1"/>
  <c r="AM156" i="1"/>
  <c r="S157" i="1"/>
  <c r="U157" i="1"/>
  <c r="AM157" i="1" s="1"/>
  <c r="S158" i="1"/>
  <c r="U158" i="1"/>
  <c r="AM158" i="1"/>
  <c r="AU158" i="1" s="1"/>
  <c r="S159" i="1"/>
  <c r="U159" i="1"/>
  <c r="AM159" i="1"/>
  <c r="S160" i="1"/>
  <c r="U160" i="1"/>
  <c r="AM160" i="1" s="1"/>
  <c r="S161" i="1"/>
  <c r="U161" i="1"/>
  <c r="AM161" i="1"/>
  <c r="AV161" i="1"/>
  <c r="S162" i="1"/>
  <c r="U162" i="1"/>
  <c r="AM162" i="1" s="1"/>
  <c r="S163" i="1"/>
  <c r="U163" i="1"/>
  <c r="AM163" i="1" s="1"/>
  <c r="S164" i="1"/>
  <c r="U164" i="1"/>
  <c r="AM164" i="1" s="1"/>
  <c r="S165" i="1"/>
  <c r="U165" i="1"/>
  <c r="AM165" i="1"/>
  <c r="AW165" i="1"/>
  <c r="S166" i="1"/>
  <c r="U166" i="1"/>
  <c r="AM166" i="1" s="1"/>
  <c r="S167" i="1"/>
  <c r="U167" i="1"/>
  <c r="AM167" i="1" s="1"/>
  <c r="S168" i="1"/>
  <c r="U168" i="1"/>
  <c r="AM168" i="1" s="1"/>
  <c r="S169" i="1"/>
  <c r="U169" i="1"/>
  <c r="AM169" i="1"/>
  <c r="S170" i="1"/>
  <c r="U170" i="1"/>
  <c r="AM170" i="1"/>
  <c r="AW170" i="1" s="1"/>
  <c r="S171" i="1"/>
  <c r="U171" i="1"/>
  <c r="AM171" i="1" s="1"/>
  <c r="S172" i="1"/>
  <c r="U172" i="1"/>
  <c r="AM172" i="1" s="1"/>
  <c r="S173" i="1"/>
  <c r="U173" i="1"/>
  <c r="AM173" i="1" s="1"/>
  <c r="AU173" i="1" s="1"/>
  <c r="S174" i="1"/>
  <c r="U174" i="1"/>
  <c r="AM174" i="1"/>
  <c r="S175" i="1"/>
  <c r="U175" i="1"/>
  <c r="AM175" i="1" s="1"/>
  <c r="S176" i="1"/>
  <c r="U176" i="1"/>
  <c r="AM176" i="1" s="1"/>
  <c r="AV176" i="1" s="1"/>
  <c r="S177" i="1"/>
  <c r="U177" i="1"/>
  <c r="AM177" i="1" s="1"/>
  <c r="S178" i="1"/>
  <c r="U178" i="1"/>
  <c r="AM178" i="1" s="1"/>
  <c r="S179" i="1"/>
  <c r="U179" i="1"/>
  <c r="AM179" i="1"/>
  <c r="AU179" i="1" s="1"/>
  <c r="S180" i="1"/>
  <c r="U180" i="1"/>
  <c r="AM180" i="1"/>
  <c r="S181" i="1"/>
  <c r="U181" i="1"/>
  <c r="AM181" i="1" s="1"/>
  <c r="AV181" i="1" s="1"/>
  <c r="S182" i="1"/>
  <c r="U182" i="1"/>
  <c r="AM182" i="1" s="1"/>
  <c r="S183" i="1"/>
  <c r="U183" i="1"/>
  <c r="AM183" i="1" s="1"/>
  <c r="AW183" i="1" s="1"/>
  <c r="S184" i="1"/>
  <c r="U184" i="1"/>
  <c r="AM184" i="1" s="1"/>
  <c r="S185" i="1"/>
  <c r="U185" i="1"/>
  <c r="AM185" i="1" s="1"/>
  <c r="S186" i="1"/>
  <c r="U186" i="1"/>
  <c r="AM186" i="1" s="1"/>
  <c r="S187" i="1"/>
  <c r="U187" i="1"/>
  <c r="AM187" i="1" s="1"/>
  <c r="S188" i="1"/>
  <c r="U188" i="1"/>
  <c r="AM188" i="1" s="1"/>
  <c r="S189" i="1"/>
  <c r="U189" i="1"/>
  <c r="AM189" i="1"/>
  <c r="S190" i="1"/>
  <c r="U190" i="1"/>
  <c r="AM190" i="1" s="1"/>
  <c r="S191" i="1"/>
  <c r="U191" i="1"/>
  <c r="AM191" i="1"/>
  <c r="S192" i="1"/>
  <c r="U192" i="1"/>
  <c r="AM192" i="1" s="1"/>
  <c r="S193" i="1"/>
  <c r="U193" i="1"/>
  <c r="AV193" i="1"/>
  <c r="AM193" i="1"/>
  <c r="S194" i="1"/>
  <c r="U194" i="1"/>
  <c r="AM194" i="1"/>
  <c r="AU194" i="1" s="1"/>
  <c r="S195" i="1"/>
  <c r="U195" i="1"/>
  <c r="AM195" i="1" s="1"/>
  <c r="S196" i="1"/>
  <c r="U196" i="1"/>
  <c r="AM196" i="1" s="1"/>
  <c r="S197" i="1"/>
  <c r="U197" i="1"/>
  <c r="AM197" i="1" s="1"/>
  <c r="AU197" i="1"/>
  <c r="S198" i="1"/>
  <c r="U198" i="1"/>
  <c r="AM198" i="1" s="1"/>
  <c r="S199" i="1"/>
  <c r="U199" i="1"/>
  <c r="AM199" i="1" s="1"/>
  <c r="S200" i="1"/>
  <c r="U200" i="1"/>
  <c r="AM200" i="1"/>
  <c r="S201" i="1"/>
  <c r="U201" i="1"/>
  <c r="AM201" i="1"/>
  <c r="AV201" i="1" s="1"/>
  <c r="S202" i="1"/>
  <c r="U202" i="1"/>
  <c r="AM202" i="1" s="1"/>
  <c r="S203" i="1"/>
  <c r="U203" i="1"/>
  <c r="AM203" i="1"/>
  <c r="S204" i="1"/>
  <c r="U204" i="1"/>
  <c r="AM204" i="1" s="1"/>
  <c r="S205" i="1"/>
  <c r="U205" i="1"/>
  <c r="AM205" i="1"/>
  <c r="AV205" i="1" s="1"/>
  <c r="S206" i="1"/>
  <c r="U206" i="1"/>
  <c r="AM206" i="1" s="1"/>
  <c r="S207" i="1"/>
  <c r="U207" i="1"/>
  <c r="AM207" i="1" s="1"/>
  <c r="S208" i="1"/>
  <c r="U208" i="1"/>
  <c r="AM208" i="1" s="1"/>
  <c r="AU208" i="1" s="1"/>
  <c r="S209" i="1"/>
  <c r="U209" i="1"/>
  <c r="AM209" i="1" s="1"/>
  <c r="S210" i="1"/>
  <c r="U210" i="1"/>
  <c r="AM210" i="1" s="1"/>
  <c r="AV210" i="1" s="1"/>
  <c r="S211" i="1"/>
  <c r="U211" i="1"/>
  <c r="AM211" i="1" s="1"/>
  <c r="S212" i="1"/>
  <c r="U212" i="1"/>
  <c r="AM212" i="1" s="1"/>
  <c r="AV212" i="1" s="1"/>
  <c r="S213" i="1"/>
  <c r="U213" i="1"/>
  <c r="AM213" i="1" s="1"/>
  <c r="S214" i="1"/>
  <c r="U214" i="1"/>
  <c r="AU214" i="1"/>
  <c r="AM214" i="1"/>
  <c r="S215" i="1"/>
  <c r="U215" i="1"/>
  <c r="AM215" i="1" s="1"/>
  <c r="S216" i="1"/>
  <c r="U216" i="1"/>
  <c r="AM216" i="1" s="1"/>
  <c r="S217" i="1"/>
  <c r="U217" i="1"/>
  <c r="AM217" i="1" s="1"/>
  <c r="S218" i="1"/>
  <c r="U218" i="1"/>
  <c r="AM218" i="1" s="1"/>
  <c r="S219" i="1"/>
  <c r="U219" i="1"/>
  <c r="AM219" i="1" s="1"/>
  <c r="S220" i="1"/>
  <c r="U220" i="1"/>
  <c r="AM220" i="1"/>
  <c r="S221" i="1"/>
  <c r="U221" i="1"/>
  <c r="AM221" i="1" s="1"/>
  <c r="S222" i="1"/>
  <c r="U222" i="1"/>
  <c r="AM222" i="1" s="1"/>
  <c r="AV222" i="1" s="1"/>
  <c r="S223" i="1"/>
  <c r="U223" i="1"/>
  <c r="AM223" i="1" s="1"/>
  <c r="S224" i="1"/>
  <c r="U224" i="1"/>
  <c r="AM224" i="1" s="1"/>
  <c r="S225" i="1"/>
  <c r="U225" i="1"/>
  <c r="AM225" i="1" s="1"/>
  <c r="S226" i="1"/>
  <c r="U226" i="1"/>
  <c r="AM226" i="1"/>
  <c r="S227" i="1"/>
  <c r="U227" i="1"/>
  <c r="AM227" i="1" s="1"/>
  <c r="S228" i="1"/>
  <c r="U228" i="1"/>
  <c r="AM228" i="1" s="1"/>
  <c r="AV228" i="1" s="1"/>
  <c r="AU228" i="1"/>
  <c r="S229" i="1"/>
  <c r="U229" i="1"/>
  <c r="AM229" i="1" s="1"/>
  <c r="AU229" i="1" s="1"/>
  <c r="S230" i="1"/>
  <c r="U230" i="1"/>
  <c r="AM230" i="1" s="1"/>
  <c r="S231" i="1"/>
  <c r="U231" i="1"/>
  <c r="AM231" i="1" s="1"/>
  <c r="S232" i="1"/>
  <c r="U232" i="1"/>
  <c r="AM232" i="1" s="1"/>
  <c r="AV232" i="1" s="1"/>
  <c r="S233" i="1"/>
  <c r="U233" i="1"/>
  <c r="AM233" i="1" s="1"/>
  <c r="AU233" i="1" s="1"/>
  <c r="S234" i="1"/>
  <c r="U234" i="1"/>
  <c r="AM234" i="1" s="1"/>
  <c r="AU234" i="1" s="1"/>
  <c r="S235" i="1"/>
  <c r="U235" i="1"/>
  <c r="AM235" i="1" s="1"/>
  <c r="S236" i="1"/>
  <c r="U236" i="1"/>
  <c r="AM236" i="1"/>
  <c r="S237" i="1"/>
  <c r="U237" i="1"/>
  <c r="AM237" i="1" s="1"/>
  <c r="AV237" i="1"/>
  <c r="S238" i="1"/>
  <c r="U238" i="1"/>
  <c r="AM238" i="1" s="1"/>
  <c r="S239" i="1"/>
  <c r="U239" i="1"/>
  <c r="AM239" i="1" s="1"/>
  <c r="S240" i="1"/>
  <c r="U240" i="1"/>
  <c r="AM240" i="1"/>
  <c r="S241" i="1"/>
  <c r="U241" i="1"/>
  <c r="AM241" i="1" s="1"/>
  <c r="S242" i="1"/>
  <c r="U242" i="1"/>
  <c r="AM242" i="1" s="1"/>
  <c r="AV242" i="1" s="1"/>
  <c r="S243" i="1"/>
  <c r="U243" i="1"/>
  <c r="AM243" i="1" s="1"/>
  <c r="S244" i="1"/>
  <c r="U244" i="1"/>
  <c r="AM244" i="1" s="1"/>
  <c r="S245" i="1"/>
  <c r="U245" i="1"/>
  <c r="AM245" i="1" s="1"/>
  <c r="S246" i="1"/>
  <c r="U246" i="1"/>
  <c r="AM246" i="1"/>
  <c r="AV246" i="1" s="1"/>
  <c r="S247" i="1"/>
  <c r="U247" i="1"/>
  <c r="AM247" i="1" s="1"/>
  <c r="AV247" i="1"/>
  <c r="S248" i="1"/>
  <c r="U248" i="1"/>
  <c r="AM248" i="1"/>
  <c r="S249" i="1"/>
  <c r="U249" i="1"/>
  <c r="AM249" i="1" s="1"/>
  <c r="S250" i="1"/>
  <c r="U250" i="1"/>
  <c r="AM250" i="1"/>
  <c r="S251" i="1"/>
  <c r="U251" i="1"/>
  <c r="AM251" i="1" s="1"/>
  <c r="S252" i="1"/>
  <c r="U252" i="1"/>
  <c r="AM252" i="1" s="1"/>
  <c r="AV252" i="1"/>
  <c r="S253" i="1"/>
  <c r="U253" i="1"/>
  <c r="AM253" i="1" s="1"/>
  <c r="S254" i="1"/>
  <c r="U254" i="1"/>
  <c r="AM254" i="1" s="1"/>
  <c r="S255" i="1"/>
  <c r="U255" i="1"/>
  <c r="AM255" i="1"/>
  <c r="S256" i="1"/>
  <c r="U256" i="1"/>
  <c r="AM256" i="1" s="1"/>
  <c r="S257" i="1"/>
  <c r="U257" i="1"/>
  <c r="AM257" i="1" s="1"/>
  <c r="AV257" i="1"/>
  <c r="S258" i="1"/>
  <c r="U258" i="1"/>
  <c r="AM258" i="1" s="1"/>
  <c r="S259" i="1"/>
  <c r="U259" i="1"/>
  <c r="AM259" i="1"/>
  <c r="S260" i="1"/>
  <c r="U260" i="1"/>
  <c r="AM260" i="1" s="1"/>
  <c r="S261" i="1"/>
  <c r="U261" i="1"/>
  <c r="AM261" i="1"/>
  <c r="S262" i="1"/>
  <c r="U262" i="1"/>
  <c r="AM262" i="1" s="1"/>
  <c r="AV262" i="1" s="1"/>
  <c r="S263" i="1"/>
  <c r="U263" i="1"/>
  <c r="AM263" i="1" s="1"/>
  <c r="S264" i="1"/>
  <c r="U264" i="1"/>
  <c r="AM264" i="1" s="1"/>
  <c r="S265" i="1"/>
  <c r="U265" i="1"/>
  <c r="AM265" i="1" s="1"/>
  <c r="AU265" i="1" s="1"/>
  <c r="S266" i="1"/>
  <c r="U266" i="1"/>
  <c r="AM266" i="1" s="1"/>
  <c r="S267" i="1"/>
  <c r="U267" i="1"/>
  <c r="AM267" i="1" s="1"/>
  <c r="AV267" i="1"/>
  <c r="S268" i="1"/>
  <c r="U268" i="1"/>
  <c r="AM268" i="1" s="1"/>
  <c r="AU268" i="1" s="1"/>
  <c r="S269" i="1"/>
  <c r="U269" i="1"/>
  <c r="AM269" i="1" s="1"/>
  <c r="S270" i="1"/>
  <c r="U270" i="1"/>
  <c r="AM270" i="1" s="1"/>
  <c r="S271" i="1"/>
  <c r="U271" i="1"/>
  <c r="AM271" i="1" s="1"/>
  <c r="S272" i="1"/>
  <c r="U272" i="1"/>
  <c r="AM272" i="1" s="1"/>
  <c r="AU272" i="1"/>
  <c r="AV272" i="1"/>
  <c r="AW272" i="1"/>
  <c r="S273" i="1"/>
  <c r="U273" i="1"/>
  <c r="AM273" i="1" s="1"/>
  <c r="S274" i="1"/>
  <c r="U274" i="1"/>
  <c r="AM274" i="1" s="1"/>
  <c r="S275" i="1"/>
  <c r="U275" i="1"/>
  <c r="AM275" i="1" s="1"/>
  <c r="S276" i="1"/>
  <c r="U276" i="1"/>
  <c r="AM276" i="1" s="1"/>
  <c r="S277" i="1"/>
  <c r="U277" i="1"/>
  <c r="AM277" i="1" s="1"/>
  <c r="AU277" i="1"/>
  <c r="S278" i="1"/>
  <c r="U278" i="1"/>
  <c r="AM278" i="1" s="1"/>
  <c r="S279" i="1"/>
  <c r="U279" i="1"/>
  <c r="AM279" i="1" s="1"/>
  <c r="S280" i="1"/>
  <c r="U280" i="1"/>
  <c r="AM280" i="1" s="1"/>
  <c r="S281" i="1"/>
  <c r="U281" i="1"/>
  <c r="AM281" i="1" s="1"/>
  <c r="S282" i="1"/>
  <c r="U282" i="1"/>
  <c r="AM282" i="1" s="1"/>
  <c r="AU282" i="1" s="1"/>
  <c r="S283" i="1"/>
  <c r="U283" i="1"/>
  <c r="AM283" i="1"/>
  <c r="S284" i="1"/>
  <c r="U284" i="1"/>
  <c r="AM284" i="1" s="1"/>
  <c r="S285" i="1"/>
  <c r="U285" i="1"/>
  <c r="AM285" i="1" s="1"/>
  <c r="AU285" i="1" s="1"/>
  <c r="S286" i="1"/>
  <c r="U286" i="1"/>
  <c r="AM286" i="1"/>
  <c r="S287" i="1"/>
  <c r="U287" i="1"/>
  <c r="AM287" i="1" s="1"/>
  <c r="AU287" i="1"/>
  <c r="AV287" i="1"/>
  <c r="S288" i="1"/>
  <c r="U288" i="1"/>
  <c r="AM288" i="1" s="1"/>
  <c r="S289" i="1"/>
  <c r="U289" i="1"/>
  <c r="AM289" i="1" s="1"/>
  <c r="S290" i="1"/>
  <c r="U290" i="1"/>
  <c r="AM290" i="1"/>
  <c r="S291" i="1"/>
  <c r="U291" i="1"/>
  <c r="AM291" i="1" s="1"/>
  <c r="S292" i="1"/>
  <c r="U292" i="1"/>
  <c r="AM292" i="1" s="1"/>
  <c r="AU292" i="1" s="1"/>
  <c r="AV292" i="1"/>
  <c r="AW292" i="1"/>
  <c r="S293" i="1"/>
  <c r="U293" i="1"/>
  <c r="AM293" i="1" s="1"/>
  <c r="S294" i="1"/>
  <c r="U294" i="1"/>
  <c r="AM294" i="1" s="1"/>
  <c r="S295" i="1"/>
  <c r="U295" i="1"/>
  <c r="AM295" i="1" s="1"/>
  <c r="S296" i="1"/>
  <c r="U296" i="1"/>
  <c r="AM296" i="1" s="1"/>
  <c r="S297" i="1"/>
  <c r="U297" i="1"/>
  <c r="AM297" i="1" s="1"/>
  <c r="S298" i="1"/>
  <c r="U298" i="1"/>
  <c r="AM298" i="1"/>
  <c r="S299" i="1"/>
  <c r="U299" i="1"/>
  <c r="AM299" i="1" s="1"/>
  <c r="S300" i="1"/>
  <c r="U300" i="1"/>
  <c r="AM300" i="1" s="1"/>
  <c r="S301" i="1"/>
  <c r="U301" i="1"/>
  <c r="AM301" i="1" s="1"/>
  <c r="S302" i="1"/>
  <c r="U302" i="1"/>
  <c r="AM302" i="1" s="1"/>
  <c r="AU302" i="1"/>
  <c r="S303" i="1"/>
  <c r="U303" i="1"/>
  <c r="AM303" i="1"/>
  <c r="S304" i="1"/>
  <c r="U304" i="1"/>
  <c r="AM304" i="1" s="1"/>
  <c r="S305" i="1"/>
  <c r="U305" i="1"/>
  <c r="AM305" i="1" s="1"/>
  <c r="S306" i="1"/>
  <c r="U306" i="1"/>
  <c r="AM306" i="1" s="1"/>
  <c r="S307" i="1"/>
  <c r="U307" i="1"/>
  <c r="AM307" i="1" s="1"/>
  <c r="AV307" i="1"/>
  <c r="AW307" i="1"/>
  <c r="S308" i="1"/>
  <c r="U308" i="1"/>
  <c r="AM308" i="1" s="1"/>
  <c r="AU308" i="1"/>
  <c r="S309" i="1"/>
  <c r="U309" i="1"/>
  <c r="AM309" i="1" s="1"/>
  <c r="S310" i="1"/>
  <c r="U310" i="1"/>
  <c r="AM310" i="1"/>
  <c r="S311" i="1"/>
  <c r="U311" i="1"/>
  <c r="AM311" i="1" s="1"/>
  <c r="S312" i="1"/>
  <c r="U312" i="1"/>
  <c r="AM312" i="1" s="1"/>
  <c r="AU312" i="1"/>
  <c r="S313" i="1"/>
  <c r="U313" i="1"/>
  <c r="AM313" i="1"/>
  <c r="S314" i="1"/>
  <c r="U314" i="1"/>
  <c r="AM314" i="1" s="1"/>
  <c r="S315" i="1"/>
  <c r="U315" i="1"/>
  <c r="AM315" i="1"/>
  <c r="S316" i="1"/>
  <c r="U316" i="1"/>
  <c r="AM316" i="1" s="1"/>
  <c r="S317" i="1"/>
  <c r="U317" i="1"/>
  <c r="AM317" i="1" s="1"/>
  <c r="AW317" i="1"/>
  <c r="S318" i="1"/>
  <c r="U318" i="1"/>
  <c r="AM318" i="1" s="1"/>
  <c r="AV318" i="1"/>
  <c r="S319" i="1"/>
  <c r="U319" i="1"/>
  <c r="AM319" i="1" s="1"/>
  <c r="S320" i="1"/>
  <c r="U320" i="1"/>
  <c r="AM320" i="1" s="1"/>
  <c r="AW320" i="1" s="1"/>
  <c r="S321" i="1"/>
  <c r="U321" i="1"/>
  <c r="AM321" i="1" s="1"/>
  <c r="S322" i="1"/>
  <c r="U322" i="1"/>
  <c r="AM322" i="1" s="1"/>
  <c r="AU322" i="1" s="1"/>
  <c r="S323" i="1"/>
  <c r="U323" i="1"/>
  <c r="AM323" i="1" s="1"/>
  <c r="AW323" i="1" s="1"/>
  <c r="S324" i="1"/>
  <c r="U324" i="1"/>
  <c r="AM324" i="1" s="1"/>
  <c r="S325" i="1"/>
  <c r="U325" i="1"/>
  <c r="AM325" i="1" s="1"/>
  <c r="S326" i="1"/>
  <c r="U326" i="1"/>
  <c r="AM326" i="1"/>
  <c r="S327" i="1"/>
  <c r="U327" i="1"/>
  <c r="AM327" i="1" s="1"/>
  <c r="S328" i="1"/>
  <c r="U328" i="1"/>
  <c r="AM328" i="1" s="1"/>
  <c r="S329" i="1"/>
  <c r="U329" i="1"/>
  <c r="AM329" i="1" s="1"/>
  <c r="S330" i="1"/>
  <c r="U330" i="1"/>
  <c r="AM330" i="1" s="1"/>
  <c r="S331" i="1"/>
  <c r="U331" i="1"/>
  <c r="AM331" i="1" s="1"/>
  <c r="S332" i="1"/>
  <c r="U332" i="1"/>
  <c r="AM332" i="1" s="1"/>
  <c r="S333" i="1"/>
  <c r="U333" i="1"/>
  <c r="AM333" i="1" s="1"/>
  <c r="AW333" i="1"/>
  <c r="S334" i="1"/>
  <c r="U334" i="1"/>
  <c r="AM334" i="1" s="1"/>
  <c r="S335" i="1"/>
  <c r="U335" i="1"/>
  <c r="AM335" i="1"/>
  <c r="S336" i="1"/>
  <c r="U336" i="1"/>
  <c r="AM336" i="1" s="1"/>
  <c r="S337" i="1"/>
  <c r="U337" i="1"/>
  <c r="AM337" i="1" s="1"/>
  <c r="AU337" i="1" s="1"/>
  <c r="S338" i="1"/>
  <c r="U338" i="1"/>
  <c r="AM338" i="1" s="1"/>
  <c r="S339" i="1"/>
  <c r="U339" i="1"/>
  <c r="AM339" i="1" s="1"/>
  <c r="S340" i="1"/>
  <c r="U340" i="1"/>
  <c r="AV340" i="1"/>
  <c r="AM340" i="1"/>
  <c r="S341" i="1"/>
  <c r="U341" i="1"/>
  <c r="AM341" i="1" s="1"/>
  <c r="S342" i="1"/>
  <c r="U342" i="1"/>
  <c r="AM342" i="1" s="1"/>
  <c r="AU342" i="1" s="1"/>
  <c r="S343" i="1"/>
  <c r="U343" i="1"/>
  <c r="AM343" i="1" s="1"/>
  <c r="AW343" i="1" s="1"/>
  <c r="S344" i="1"/>
  <c r="U344" i="1"/>
  <c r="AM344" i="1" s="1"/>
  <c r="S345" i="1"/>
  <c r="U345" i="1"/>
  <c r="AM345" i="1"/>
  <c r="S346" i="1"/>
  <c r="U346" i="1"/>
  <c r="AM346" i="1"/>
  <c r="S347" i="1"/>
  <c r="U347" i="1"/>
  <c r="AM347" i="1"/>
  <c r="AU347" i="1" s="1"/>
  <c r="S348" i="1"/>
  <c r="U348" i="1"/>
  <c r="AM348" i="1" s="1"/>
  <c r="AU348" i="1" s="1"/>
  <c r="AV348" i="1"/>
  <c r="S349" i="1"/>
  <c r="U349" i="1"/>
  <c r="AM349" i="1" s="1"/>
  <c r="S350" i="1"/>
  <c r="U350" i="1"/>
  <c r="AV350" i="1"/>
  <c r="AM350" i="1"/>
  <c r="S351" i="1"/>
  <c r="U351" i="1"/>
  <c r="AM351" i="1" s="1"/>
  <c r="S352" i="1"/>
  <c r="U352" i="1"/>
  <c r="AM352" i="1"/>
  <c r="AU352" i="1"/>
  <c r="S353" i="1"/>
  <c r="U353" i="1"/>
  <c r="AM353" i="1" s="1"/>
  <c r="S354" i="1"/>
  <c r="U354" i="1"/>
  <c r="AM354" i="1" s="1"/>
  <c r="S355" i="1"/>
  <c r="U355" i="1"/>
  <c r="AM355" i="1" s="1"/>
  <c r="AW355" i="1" s="1"/>
  <c r="S356" i="1"/>
  <c r="U356" i="1"/>
  <c r="AM356" i="1"/>
  <c r="S357" i="1"/>
  <c r="U357" i="1"/>
  <c r="AM357" i="1" s="1"/>
  <c r="AU357" i="1" s="1"/>
  <c r="S358" i="1"/>
  <c r="U358" i="1"/>
  <c r="AM358" i="1" s="1"/>
  <c r="AW358" i="1" s="1"/>
  <c r="S359" i="1"/>
  <c r="U359" i="1"/>
  <c r="AM359" i="1" s="1"/>
  <c r="S360" i="1"/>
  <c r="U360" i="1"/>
  <c r="AM360" i="1" s="1"/>
  <c r="S361" i="1"/>
  <c r="U361" i="1"/>
  <c r="AM361" i="1" s="1"/>
  <c r="S362" i="1"/>
  <c r="U362" i="1"/>
  <c r="AM362" i="1"/>
  <c r="S363" i="1"/>
  <c r="U363" i="1"/>
  <c r="AM363" i="1" s="1"/>
  <c r="S364" i="1"/>
  <c r="U364" i="1"/>
  <c r="AM364" i="1" s="1"/>
  <c r="S365" i="1"/>
  <c r="U365" i="1"/>
  <c r="AM365" i="1" s="1"/>
  <c r="S366" i="1"/>
  <c r="U366" i="1"/>
  <c r="AM366" i="1" s="1"/>
  <c r="S367" i="1"/>
  <c r="U367" i="1"/>
  <c r="AM367" i="1"/>
  <c r="S368" i="1"/>
  <c r="U368" i="1"/>
  <c r="AM368" i="1" s="1"/>
  <c r="S369" i="1"/>
  <c r="U369" i="1"/>
  <c r="AM369" i="1" s="1"/>
  <c r="S370" i="1"/>
  <c r="U370" i="1"/>
  <c r="AM370" i="1" s="1"/>
  <c r="S371" i="1"/>
  <c r="U371" i="1"/>
  <c r="AM371" i="1"/>
  <c r="S372" i="1"/>
  <c r="U372" i="1"/>
  <c r="AM372" i="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AV382" i="1" s="1"/>
  <c r="S383" i="1"/>
  <c r="U383" i="1"/>
  <c r="AM383" i="1" s="1"/>
  <c r="S384" i="1"/>
  <c r="U384" i="1"/>
  <c r="AM384" i="1" s="1"/>
  <c r="S385" i="1"/>
  <c r="U385" i="1"/>
  <c r="AM385" i="1" s="1"/>
  <c r="S386" i="1"/>
  <c r="U386" i="1"/>
  <c r="AM386" i="1" s="1"/>
  <c r="S387" i="1"/>
  <c r="U387" i="1"/>
  <c r="AM387" i="1" s="1"/>
  <c r="AV387" i="1"/>
  <c r="S388" i="1"/>
  <c r="U388" i="1"/>
  <c r="AM388" i="1" s="1"/>
  <c r="S389" i="1"/>
  <c r="U389" i="1"/>
  <c r="AM389" i="1" s="1"/>
  <c r="S390" i="1"/>
  <c r="U390" i="1"/>
  <c r="AM390" i="1" s="1"/>
  <c r="S391" i="1"/>
  <c r="U391" i="1"/>
  <c r="AM391" i="1" s="1"/>
  <c r="S392" i="1"/>
  <c r="U392" i="1"/>
  <c r="AV392" i="1"/>
  <c r="AM392" i="1"/>
  <c r="AU392" i="1"/>
  <c r="S393" i="1"/>
  <c r="U393" i="1"/>
  <c r="AM393" i="1" s="1"/>
  <c r="S394" i="1"/>
  <c r="U394" i="1"/>
  <c r="AM394" i="1" s="1"/>
  <c r="S395" i="1"/>
  <c r="U395" i="1"/>
  <c r="AM395" i="1" s="1"/>
  <c r="S396" i="1"/>
  <c r="U396" i="1"/>
  <c r="AM396" i="1" s="1"/>
  <c r="S397" i="1"/>
  <c r="U397" i="1"/>
  <c r="AM397" i="1" s="1"/>
  <c r="AV397" i="1" s="1"/>
  <c r="S398" i="1"/>
  <c r="U398" i="1"/>
  <c r="AM398" i="1" s="1"/>
  <c r="S399" i="1"/>
  <c r="U399" i="1"/>
  <c r="AM399" i="1" s="1"/>
  <c r="S400" i="1"/>
  <c r="U400" i="1"/>
  <c r="AM400" i="1" s="1"/>
  <c r="S401" i="1"/>
  <c r="U401" i="1"/>
  <c r="AM401" i="1" s="1"/>
  <c r="S402" i="1"/>
  <c r="U402" i="1"/>
  <c r="AM402" i="1" s="1"/>
  <c r="S403" i="1"/>
  <c r="U403" i="1"/>
  <c r="AM403" i="1" s="1"/>
  <c r="S404" i="1"/>
  <c r="U404" i="1"/>
  <c r="AM404" i="1" s="1"/>
  <c r="AV404" i="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AU412" i="1"/>
  <c r="S413" i="1"/>
  <c r="U413" i="1"/>
  <c r="AM413" i="1"/>
  <c r="S414" i="1"/>
  <c r="U414" i="1"/>
  <c r="AM414" i="1" s="1"/>
  <c r="AV414" i="1"/>
  <c r="S415" i="1"/>
  <c r="U415" i="1"/>
  <c r="AM415" i="1" s="1"/>
  <c r="S416" i="1"/>
  <c r="U416" i="1"/>
  <c r="AM416" i="1" s="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AU425" i="1" s="1"/>
  <c r="S426" i="1"/>
  <c r="U426" i="1"/>
  <c r="AM426" i="1" s="1"/>
  <c r="S427" i="1"/>
  <c r="U427" i="1"/>
  <c r="AM427" i="1" s="1"/>
  <c r="S428" i="1"/>
  <c r="U428" i="1"/>
  <c r="AM428" i="1"/>
  <c r="S429" i="1"/>
  <c r="U429" i="1"/>
  <c r="AM429" i="1" s="1"/>
  <c r="AU429" i="1"/>
  <c r="S430" i="1"/>
  <c r="U430" i="1"/>
  <c r="AM430" i="1" s="1"/>
  <c r="S431" i="1"/>
  <c r="U431" i="1"/>
  <c r="AM431" i="1" s="1"/>
  <c r="S432" i="1"/>
  <c r="U432" i="1"/>
  <c r="AM432" i="1" s="1"/>
  <c r="S433" i="1"/>
  <c r="U433" i="1"/>
  <c r="AM433" i="1" s="1"/>
  <c r="S434" i="1"/>
  <c r="U434" i="1"/>
  <c r="AM434" i="1" s="1"/>
  <c r="AU434" i="1" s="1"/>
  <c r="S435" i="1"/>
  <c r="U435" i="1"/>
  <c r="AM435" i="1" s="1"/>
  <c r="S436" i="1"/>
  <c r="U436" i="1"/>
  <c r="AM436" i="1" s="1"/>
  <c r="S437" i="1"/>
  <c r="U437" i="1"/>
  <c r="AM437" i="1" s="1"/>
  <c r="S438" i="1"/>
  <c r="U438" i="1"/>
  <c r="AM438" i="1" s="1"/>
  <c r="S439" i="1"/>
  <c r="U439" i="1"/>
  <c r="AM439" i="1" s="1"/>
  <c r="S440" i="1"/>
  <c r="U440" i="1"/>
  <c r="AM440" i="1" s="1"/>
  <c r="AU440" i="1" s="1"/>
  <c r="S441" i="1"/>
  <c r="U441" i="1"/>
  <c r="AM441" i="1" s="1"/>
  <c r="S442" i="1"/>
  <c r="U442" i="1"/>
  <c r="AM442" i="1" s="1"/>
  <c r="S443" i="1"/>
  <c r="U443" i="1"/>
  <c r="AM443" i="1" s="1"/>
  <c r="S444" i="1"/>
  <c r="U444" i="1"/>
  <c r="AM444" i="1" s="1"/>
  <c r="S445" i="1"/>
  <c r="U445" i="1"/>
  <c r="AM445" i="1"/>
  <c r="S446" i="1"/>
  <c r="U446" i="1"/>
  <c r="AM446" i="1" s="1"/>
  <c r="S447" i="1"/>
  <c r="U447" i="1"/>
  <c r="AM447" i="1" s="1"/>
  <c r="AU447" i="1"/>
  <c r="S448" i="1"/>
  <c r="U448" i="1"/>
  <c r="AM448" i="1" s="1"/>
  <c r="S449" i="1"/>
  <c r="U449" i="1"/>
  <c r="AM449" i="1" s="1"/>
  <c r="S450" i="1"/>
  <c r="U450" i="1"/>
  <c r="AM450" i="1"/>
  <c r="S451" i="1"/>
  <c r="U451" i="1"/>
  <c r="AM451" i="1" s="1"/>
  <c r="S452" i="1"/>
  <c r="U452" i="1"/>
  <c r="AM452" i="1" s="1"/>
  <c r="S453" i="1"/>
  <c r="U453" i="1"/>
  <c r="AM453" i="1" s="1"/>
  <c r="S454" i="1"/>
  <c r="U454" i="1"/>
  <c r="AM454" i="1" s="1"/>
  <c r="AV454" i="1"/>
  <c r="S455" i="1"/>
  <c r="U455" i="1"/>
  <c r="AM455" i="1"/>
  <c r="S456" i="1"/>
  <c r="U456" i="1"/>
  <c r="AM456" i="1" s="1"/>
  <c r="S457" i="1"/>
  <c r="U457" i="1"/>
  <c r="AM457" i="1" s="1"/>
  <c r="S458" i="1"/>
  <c r="U458" i="1"/>
  <c r="AM458" i="1" s="1"/>
  <c r="S459" i="1"/>
  <c r="U459" i="1"/>
  <c r="AM459" i="1" s="1"/>
  <c r="S460" i="1"/>
  <c r="U460" i="1"/>
  <c r="AM460" i="1"/>
  <c r="S461" i="1"/>
  <c r="U461" i="1"/>
  <c r="AM461" i="1"/>
  <c r="S462" i="1"/>
  <c r="U462" i="1"/>
  <c r="AM462" i="1" s="1"/>
  <c r="S463" i="1"/>
  <c r="U463" i="1"/>
  <c r="AM463" i="1" s="1"/>
  <c r="S464" i="1"/>
  <c r="U464" i="1"/>
  <c r="AM464" i="1" s="1"/>
  <c r="S465" i="1"/>
  <c r="U465" i="1"/>
  <c r="AM465" i="1" s="1"/>
  <c r="S466" i="1"/>
  <c r="U466" i="1"/>
  <c r="AM466" i="1" s="1"/>
  <c r="S467" i="1"/>
  <c r="U467" i="1"/>
  <c r="AM467" i="1"/>
  <c r="S468" i="1"/>
  <c r="U468" i="1"/>
  <c r="AM468" i="1"/>
  <c r="S469" i="1"/>
  <c r="U469" i="1"/>
  <c r="AM469" i="1" s="1"/>
  <c r="S470" i="1"/>
  <c r="U470" i="1"/>
  <c r="AM470" i="1" s="1"/>
  <c r="S471" i="1"/>
  <c r="U471" i="1"/>
  <c r="AM471" i="1"/>
  <c r="S472" i="1"/>
  <c r="U472" i="1"/>
  <c r="AM472" i="1"/>
  <c r="S473" i="1"/>
  <c r="U473" i="1"/>
  <c r="AM473" i="1" s="1"/>
  <c r="S474" i="1"/>
  <c r="U474" i="1"/>
  <c r="AM474" i="1" s="1"/>
  <c r="S475" i="1"/>
  <c r="U475" i="1"/>
  <c r="AM475" i="1" s="1"/>
  <c r="S476" i="1"/>
  <c r="U476" i="1"/>
  <c r="AM476" i="1"/>
  <c r="S477" i="1"/>
  <c r="U477" i="1"/>
  <c r="AM477" i="1" s="1"/>
  <c r="S478" i="1"/>
  <c r="U478" i="1"/>
  <c r="AM478" i="1" s="1"/>
  <c r="S479" i="1"/>
  <c r="U479" i="1"/>
  <c r="AM479" i="1"/>
  <c r="S480" i="1"/>
  <c r="U480" i="1"/>
  <c r="AM480" i="1" s="1"/>
  <c r="S481" i="1"/>
  <c r="U481" i="1"/>
  <c r="AM481" i="1" s="1"/>
  <c r="S482" i="1"/>
  <c r="U482" i="1"/>
  <c r="AM482" i="1" s="1"/>
  <c r="S483" i="1"/>
  <c r="U483" i="1"/>
  <c r="AM483" i="1"/>
  <c r="S484" i="1"/>
  <c r="U484" i="1"/>
  <c r="AM484" i="1"/>
  <c r="S485" i="1"/>
  <c r="U485" i="1"/>
  <c r="AM485" i="1" s="1"/>
  <c r="S486" i="1"/>
  <c r="U486" i="1"/>
  <c r="AM486" i="1" s="1"/>
  <c r="AU486" i="1" s="1"/>
  <c r="S487" i="1"/>
  <c r="U487" i="1"/>
  <c r="AM487" i="1" s="1"/>
  <c r="S488" i="1"/>
  <c r="U488" i="1"/>
  <c r="AM488" i="1" s="1"/>
  <c r="S489" i="1"/>
  <c r="U489" i="1"/>
  <c r="AM489" i="1" s="1"/>
  <c r="AU489" i="1" s="1"/>
  <c r="S490" i="1"/>
  <c r="U490" i="1"/>
  <c r="AM490" i="1" s="1"/>
  <c r="S491" i="1"/>
  <c r="U491" i="1"/>
  <c r="AM491" i="1" s="1"/>
  <c r="S492" i="1"/>
  <c r="U492" i="1"/>
  <c r="AM492" i="1" s="1"/>
  <c r="S493" i="1"/>
  <c r="U493" i="1"/>
  <c r="AM493" i="1" s="1"/>
  <c r="S494" i="1"/>
  <c r="U494" i="1"/>
  <c r="AM494" i="1" s="1"/>
  <c r="AU494" i="1" s="1"/>
  <c r="S495" i="1"/>
  <c r="U495" i="1"/>
  <c r="AM495" i="1" s="1"/>
  <c r="S496" i="1"/>
  <c r="U496" i="1"/>
  <c r="AM496" i="1" s="1"/>
  <c r="S497" i="1"/>
  <c r="U497" i="1"/>
  <c r="AM497" i="1" s="1"/>
  <c r="S498" i="1"/>
  <c r="U498" i="1"/>
  <c r="AM498" i="1" s="1"/>
  <c r="S499" i="1"/>
  <c r="U499" i="1"/>
  <c r="AM499" i="1" s="1"/>
  <c r="S500" i="1"/>
  <c r="U500" i="1"/>
  <c r="AM500" i="1" s="1"/>
  <c r="S501" i="1"/>
  <c r="U501" i="1"/>
  <c r="AM501" i="1" s="1"/>
  <c r="AU501" i="1" s="1"/>
  <c r="S502" i="1"/>
  <c r="U502" i="1"/>
  <c r="AM502" i="1"/>
  <c r="S503" i="1"/>
  <c r="U503" i="1"/>
  <c r="AM503" i="1" s="1"/>
  <c r="S504" i="1"/>
  <c r="U504" i="1"/>
  <c r="AM504" i="1" s="1"/>
  <c r="AU504" i="1" s="1"/>
  <c r="S505" i="1"/>
  <c r="U505" i="1"/>
  <c r="AM505" i="1" s="1"/>
  <c r="S506" i="1"/>
  <c r="U506" i="1"/>
  <c r="AM506" i="1" s="1"/>
  <c r="S507" i="1"/>
  <c r="U507" i="1"/>
  <c r="AM507" i="1"/>
  <c r="S508" i="1"/>
  <c r="U508" i="1"/>
  <c r="AM508" i="1"/>
  <c r="S509" i="1"/>
  <c r="U509" i="1"/>
  <c r="AM509" i="1" s="1"/>
  <c r="AU509" i="1" s="1"/>
  <c r="S510" i="1"/>
  <c r="U510" i="1"/>
  <c r="AM510" i="1" s="1"/>
  <c r="S511" i="1"/>
  <c r="U511" i="1"/>
  <c r="AM511" i="1"/>
  <c r="AU511" i="1" s="1"/>
  <c r="S512" i="1"/>
  <c r="U512" i="1"/>
  <c r="AM512" i="1"/>
  <c r="S513" i="1"/>
  <c r="U513" i="1"/>
  <c r="AM513" i="1" s="1"/>
  <c r="S514" i="1"/>
  <c r="U514" i="1"/>
  <c r="AM514" i="1" s="1"/>
  <c r="AU514" i="1" s="1"/>
  <c r="S515" i="1"/>
  <c r="U515" i="1"/>
  <c r="AM515" i="1" s="1"/>
  <c r="S516" i="1"/>
  <c r="U516" i="1"/>
  <c r="AM516" i="1" s="1"/>
  <c r="AU516" i="1" s="1"/>
  <c r="S517" i="1"/>
  <c r="U517" i="1"/>
  <c r="AM517" i="1" s="1"/>
  <c r="S518" i="1"/>
  <c r="U518" i="1"/>
  <c r="AM518" i="1" s="1"/>
  <c r="S519" i="1"/>
  <c r="U519" i="1"/>
  <c r="AM519" i="1" s="1"/>
  <c r="AU519" i="1" s="1"/>
  <c r="S520" i="1"/>
  <c r="U520" i="1"/>
  <c r="AM520" i="1" s="1"/>
  <c r="S521" i="1"/>
  <c r="U521" i="1"/>
  <c r="AM521" i="1"/>
  <c r="AU521" i="1"/>
  <c r="S522" i="1"/>
  <c r="U522" i="1"/>
  <c r="AU522" i="1"/>
  <c r="AM522" i="1"/>
  <c r="S523" i="1"/>
  <c r="U523" i="1"/>
  <c r="AM523" i="1" s="1"/>
  <c r="S524" i="1"/>
  <c r="U524" i="1"/>
  <c r="AM524" i="1" s="1"/>
  <c r="AU524" i="1" s="1"/>
  <c r="S525" i="1"/>
  <c r="U525" i="1"/>
  <c r="AM525" i="1" s="1"/>
  <c r="S526" i="1"/>
  <c r="U526" i="1"/>
  <c r="AM526" i="1"/>
  <c r="AU526" i="1"/>
  <c r="S527" i="1"/>
  <c r="U527" i="1"/>
  <c r="AM527" i="1" s="1"/>
  <c r="S528" i="1"/>
  <c r="U528" i="1"/>
  <c r="AM528" i="1" s="1"/>
  <c r="S529" i="1"/>
  <c r="U529" i="1"/>
  <c r="AM529" i="1" s="1"/>
  <c r="AU529" i="1" s="1"/>
  <c r="S530" i="1"/>
  <c r="U530" i="1"/>
  <c r="AM530" i="1" s="1"/>
  <c r="S531" i="1"/>
  <c r="U531" i="1"/>
  <c r="AM531" i="1"/>
  <c r="AU531" i="1"/>
  <c r="S532" i="1"/>
  <c r="U532" i="1"/>
  <c r="AM532" i="1"/>
  <c r="S533" i="1"/>
  <c r="U533" i="1"/>
  <c r="AM533" i="1" s="1"/>
  <c r="S534" i="1"/>
  <c r="U534" i="1"/>
  <c r="AM534" i="1" s="1"/>
  <c r="AU534" i="1" s="1"/>
  <c r="S535" i="1"/>
  <c r="U535" i="1"/>
  <c r="AM535" i="1" s="1"/>
  <c r="S536" i="1"/>
  <c r="U536" i="1"/>
  <c r="AM536" i="1" s="1"/>
  <c r="AU536" i="1" s="1"/>
  <c r="S537" i="1"/>
  <c r="U537" i="1"/>
  <c r="AM537" i="1"/>
  <c r="S538" i="1"/>
  <c r="U538" i="1"/>
  <c r="AM538" i="1" s="1"/>
  <c r="S539" i="1"/>
  <c r="U539" i="1"/>
  <c r="AM539" i="1"/>
  <c r="AU539" i="1" s="1"/>
  <c r="S540" i="1"/>
  <c r="U540" i="1"/>
  <c r="AM540" i="1" s="1"/>
  <c r="S541" i="1"/>
  <c r="U541" i="1"/>
  <c r="AM541" i="1"/>
  <c r="AU541" i="1" s="1"/>
  <c r="S542" i="1"/>
  <c r="U542" i="1"/>
  <c r="AM542" i="1"/>
  <c r="S543" i="1"/>
  <c r="U543" i="1"/>
  <c r="AM543" i="1" s="1"/>
  <c r="S544" i="1"/>
  <c r="U544" i="1"/>
  <c r="AM544" i="1" s="1"/>
  <c r="AW544" i="1" s="1"/>
  <c r="S545" i="1"/>
  <c r="U545" i="1"/>
  <c r="AM545" i="1" s="1"/>
  <c r="S546" i="1"/>
  <c r="U546" i="1"/>
  <c r="AM546" i="1" s="1"/>
  <c r="AU546" i="1" s="1"/>
  <c r="S547" i="1"/>
  <c r="U547" i="1"/>
  <c r="AM547" i="1" s="1"/>
  <c r="S548" i="1"/>
  <c r="U548" i="1"/>
  <c r="AM548" i="1" s="1"/>
  <c r="S549" i="1"/>
  <c r="U549" i="1"/>
  <c r="AM549" i="1" s="1"/>
  <c r="S550" i="1"/>
  <c r="U550" i="1"/>
  <c r="AM550" i="1" s="1"/>
  <c r="S551" i="1"/>
  <c r="U551" i="1"/>
  <c r="AM551" i="1" s="1"/>
  <c r="AU551" i="1" s="1"/>
  <c r="S552" i="1"/>
  <c r="U552" i="1"/>
  <c r="AM552" i="1" s="1"/>
  <c r="S553" i="1"/>
  <c r="U553" i="1"/>
  <c r="AM553" i="1"/>
  <c r="AU553" i="1"/>
  <c r="S554" i="1"/>
  <c r="U554" i="1"/>
  <c r="AM554" i="1" s="1"/>
  <c r="S555" i="1"/>
  <c r="U555" i="1"/>
  <c r="AM555" i="1" s="1"/>
  <c r="S556" i="1"/>
  <c r="U556" i="1"/>
  <c r="AM556" i="1"/>
  <c r="AU556" i="1" s="1"/>
  <c r="S557" i="1"/>
  <c r="U557" i="1"/>
  <c r="AM557" i="1"/>
  <c r="S558" i="1"/>
  <c r="U558" i="1"/>
  <c r="AM558" i="1"/>
  <c r="AU558" i="1"/>
  <c r="S559" i="1"/>
  <c r="U559" i="1"/>
  <c r="AM559" i="1"/>
  <c r="AW559" i="1"/>
  <c r="S560" i="1"/>
  <c r="U560" i="1"/>
  <c r="AM560" i="1" s="1"/>
  <c r="S561" i="1"/>
  <c r="U561" i="1"/>
  <c r="AM561" i="1" s="1"/>
  <c r="AU561" i="1" s="1"/>
  <c r="S562" i="1"/>
  <c r="U562" i="1"/>
  <c r="AM562" i="1" s="1"/>
  <c r="S563" i="1"/>
  <c r="U563" i="1"/>
  <c r="AM563" i="1" s="1"/>
  <c r="AU563" i="1" s="1"/>
  <c r="S564" i="1"/>
  <c r="U564" i="1"/>
  <c r="AM564" i="1"/>
  <c r="AW564" i="1" s="1"/>
  <c r="S565" i="1"/>
  <c r="U565" i="1"/>
  <c r="AM565" i="1" s="1"/>
  <c r="S566" i="1"/>
  <c r="U566" i="1"/>
  <c r="AM566" i="1" s="1"/>
  <c r="S567" i="1"/>
  <c r="U567" i="1"/>
  <c r="AM567" i="1" s="1"/>
  <c r="S568" i="1"/>
  <c r="U568" i="1"/>
  <c r="AM568" i="1" s="1"/>
  <c r="AU568" i="1" s="1"/>
  <c r="S569" i="1"/>
  <c r="U569" i="1"/>
  <c r="AM569" i="1" s="1"/>
  <c r="AW569" i="1" s="1"/>
  <c r="S570" i="1"/>
  <c r="U570" i="1"/>
  <c r="AM570" i="1" s="1"/>
  <c r="S571" i="1"/>
  <c r="U571" i="1"/>
  <c r="AM571" i="1" s="1"/>
  <c r="S572" i="1"/>
  <c r="U572" i="1"/>
  <c r="AM572" i="1" s="1"/>
  <c r="S573" i="1"/>
  <c r="U573" i="1"/>
  <c r="AM573" i="1"/>
  <c r="S574" i="1"/>
  <c r="U574" i="1"/>
  <c r="AM574" i="1" s="1"/>
  <c r="S575" i="1"/>
  <c r="U575" i="1"/>
  <c r="AM575" i="1" s="1"/>
  <c r="S576" i="1"/>
  <c r="U576" i="1"/>
  <c r="AM576" i="1"/>
  <c r="S577" i="1"/>
  <c r="U577" i="1"/>
  <c r="AM577" i="1" s="1"/>
  <c r="S578" i="1"/>
  <c r="U578" i="1"/>
  <c r="AM578" i="1" s="1"/>
  <c r="AU578" i="1" s="1"/>
  <c r="S579" i="1"/>
  <c r="U579" i="1"/>
  <c r="AM579" i="1" s="1"/>
  <c r="AW579" i="1" s="1"/>
  <c r="S580" i="1"/>
  <c r="U580" i="1"/>
  <c r="AM580" i="1" s="1"/>
  <c r="S581" i="1"/>
  <c r="U581" i="1"/>
  <c r="AM581" i="1"/>
  <c r="S582" i="1"/>
  <c r="U582" i="1"/>
  <c r="AM582" i="1"/>
  <c r="S583" i="1"/>
  <c r="U583" i="1"/>
  <c r="AM583" i="1" s="1"/>
  <c r="AU583" i="1" s="1"/>
  <c r="S584" i="1"/>
  <c r="U584" i="1"/>
  <c r="AM584" i="1" s="1"/>
  <c r="AW584" i="1" s="1"/>
  <c r="S585" i="1"/>
  <c r="U585" i="1"/>
  <c r="AM585" i="1" s="1"/>
  <c r="S586" i="1"/>
  <c r="U586" i="1"/>
  <c r="AM586" i="1" s="1"/>
  <c r="AU586" i="1" s="1"/>
  <c r="S587" i="1"/>
  <c r="U587" i="1"/>
  <c r="AM587" i="1" s="1"/>
  <c r="S588" i="1"/>
  <c r="U588" i="1"/>
  <c r="AM588" i="1" s="1"/>
  <c r="AU588" i="1" s="1"/>
  <c r="S589" i="1"/>
  <c r="U589" i="1"/>
  <c r="AM589" i="1" s="1"/>
  <c r="AW589" i="1" s="1"/>
  <c r="S590" i="1"/>
  <c r="U590" i="1"/>
  <c r="AM590" i="1" s="1"/>
  <c r="S591" i="1"/>
  <c r="U591" i="1"/>
  <c r="AM591" i="1" s="1"/>
  <c r="S592" i="1"/>
  <c r="U592" i="1"/>
  <c r="AM592" i="1"/>
  <c r="S593" i="1"/>
  <c r="U593" i="1"/>
  <c r="AM593" i="1" s="1"/>
  <c r="S594" i="1"/>
  <c r="U594" i="1"/>
  <c r="AM594" i="1" s="1"/>
  <c r="AW594" i="1" s="1"/>
  <c r="S595" i="1"/>
  <c r="U595" i="1"/>
  <c r="AM595" i="1" s="1"/>
  <c r="S596" i="1"/>
  <c r="U596" i="1"/>
  <c r="AM596" i="1" s="1"/>
  <c r="S597" i="1"/>
  <c r="U597" i="1"/>
  <c r="AM597" i="1"/>
  <c r="S598" i="1"/>
  <c r="U598" i="1"/>
  <c r="AM598" i="1" s="1"/>
  <c r="S599" i="1"/>
  <c r="U599" i="1"/>
  <c r="AM599" i="1" s="1"/>
  <c r="S600" i="1"/>
  <c r="U600" i="1"/>
  <c r="AM600" i="1" s="1"/>
  <c r="S601" i="1"/>
  <c r="U601" i="1"/>
  <c r="AM601" i="1"/>
  <c r="AU601" i="1" s="1"/>
  <c r="S602" i="1"/>
  <c r="U602" i="1"/>
  <c r="AM602" i="1" s="1"/>
  <c r="S603" i="1"/>
  <c r="U603" i="1"/>
  <c r="AM603" i="1"/>
  <c r="AU603" i="1" s="1"/>
  <c r="S604" i="1"/>
  <c r="U604" i="1"/>
  <c r="AM604" i="1" s="1"/>
  <c r="S605" i="1"/>
  <c r="U605" i="1"/>
  <c r="AM605" i="1" s="1"/>
  <c r="S606" i="1"/>
  <c r="U606" i="1"/>
  <c r="AM606" i="1" s="1"/>
  <c r="AU606" i="1" s="1"/>
  <c r="S607" i="1"/>
  <c r="U607" i="1"/>
  <c r="AM607" i="1" s="1"/>
  <c r="S608" i="1"/>
  <c r="U608" i="1"/>
  <c r="AM608" i="1"/>
  <c r="AU608" i="1" s="1"/>
  <c r="S609" i="1"/>
  <c r="U609" i="1"/>
  <c r="AM609" i="1" s="1"/>
  <c r="AW609" i="1" s="1"/>
  <c r="S610" i="1"/>
  <c r="U610" i="1"/>
  <c r="AM610" i="1" s="1"/>
  <c r="S611" i="1"/>
  <c r="U611" i="1"/>
  <c r="AM611" i="1" s="1"/>
  <c r="AU611" i="1" s="1"/>
  <c r="S612" i="1"/>
  <c r="U612" i="1"/>
  <c r="AM612" i="1" s="1"/>
  <c r="S613" i="1"/>
  <c r="U613" i="1"/>
  <c r="AM613" i="1"/>
  <c r="AU613" i="1" s="1"/>
  <c r="S614" i="1"/>
  <c r="U614" i="1"/>
  <c r="AM614" i="1" s="1"/>
  <c r="AW614" i="1" s="1"/>
  <c r="S615" i="1"/>
  <c r="U615" i="1"/>
  <c r="AM615" i="1" s="1"/>
  <c r="S616" i="1"/>
  <c r="U616" i="1"/>
  <c r="AM616" i="1" s="1"/>
  <c r="AU616" i="1" s="1"/>
  <c r="S617" i="1"/>
  <c r="U617" i="1"/>
  <c r="AM617" i="1"/>
  <c r="S618" i="1"/>
  <c r="U618" i="1"/>
  <c r="AM618" i="1"/>
  <c r="AU618" i="1" s="1"/>
  <c r="S619" i="1"/>
  <c r="U619" i="1"/>
  <c r="AM619" i="1" s="1"/>
  <c r="AW619" i="1" s="1"/>
  <c r="S620" i="1"/>
  <c r="U620" i="1"/>
  <c r="AM620" i="1" s="1"/>
  <c r="S621" i="1"/>
  <c r="U621" i="1"/>
  <c r="AM621" i="1" s="1"/>
  <c r="AU621" i="1" s="1"/>
  <c r="S622" i="1"/>
  <c r="U622" i="1"/>
  <c r="AM622" i="1"/>
  <c r="S623" i="1"/>
  <c r="U623" i="1"/>
  <c r="AM623" i="1"/>
  <c r="AU623" i="1" s="1"/>
  <c r="S624" i="1"/>
  <c r="U624" i="1"/>
  <c r="AM624" i="1" s="1"/>
  <c r="S625" i="1"/>
  <c r="U625" i="1"/>
  <c r="AM625" i="1" s="1"/>
  <c r="S626" i="1"/>
  <c r="U626" i="1"/>
  <c r="AM626" i="1"/>
  <c r="AU626" i="1" s="1"/>
  <c r="S627" i="1"/>
  <c r="U627" i="1"/>
  <c r="AM627" i="1"/>
  <c r="S628" i="1"/>
  <c r="U628" i="1"/>
  <c r="AM628" i="1"/>
  <c r="AU628" i="1" s="1"/>
  <c r="S629" i="1"/>
  <c r="U629" i="1"/>
  <c r="AM629" i="1" s="1"/>
  <c r="S630" i="1"/>
  <c r="U630" i="1"/>
  <c r="AM630" i="1" s="1"/>
  <c r="S631" i="1"/>
  <c r="U631" i="1"/>
  <c r="AM631" i="1" s="1"/>
  <c r="S632" i="1"/>
  <c r="U632" i="1"/>
  <c r="AM632" i="1" s="1"/>
  <c r="S633" i="1"/>
  <c r="U633" i="1"/>
  <c r="AM633" i="1" s="1"/>
  <c r="AU633" i="1" s="1"/>
  <c r="S634" i="1"/>
  <c r="U634" i="1"/>
  <c r="AM634" i="1"/>
  <c r="AW634" i="1" s="1"/>
  <c r="S635" i="1"/>
  <c r="U635" i="1"/>
  <c r="AM635" i="1" s="1"/>
  <c r="S636" i="1"/>
  <c r="U636" i="1"/>
  <c r="AM636" i="1" s="1"/>
  <c r="AU636" i="1" s="1"/>
  <c r="S637" i="1"/>
  <c r="U637" i="1"/>
  <c r="AM637" i="1" s="1"/>
  <c r="S638" i="1"/>
  <c r="U638" i="1"/>
  <c r="AM638" i="1" s="1"/>
  <c r="AU638" i="1" s="1"/>
  <c r="S639" i="1"/>
  <c r="U639" i="1"/>
  <c r="AM639" i="1" s="1"/>
  <c r="AW639" i="1" s="1"/>
  <c r="S640" i="1"/>
  <c r="U640" i="1"/>
  <c r="AM640" i="1" s="1"/>
  <c r="S641" i="1"/>
  <c r="U641" i="1"/>
  <c r="AM641" i="1" s="1"/>
  <c r="S642" i="1"/>
  <c r="U642" i="1"/>
  <c r="AM642" i="1" s="1"/>
  <c r="S643" i="1"/>
  <c r="U643" i="1"/>
  <c r="AM643" i="1"/>
  <c r="AU643" i="1"/>
  <c r="S644" i="1"/>
  <c r="U644" i="1"/>
  <c r="AM644" i="1" s="1"/>
  <c r="AW644" i="1" s="1"/>
  <c r="S645" i="1"/>
  <c r="U645" i="1"/>
  <c r="AM645" i="1" s="1"/>
  <c r="S646" i="1"/>
  <c r="U646" i="1"/>
  <c r="AM646" i="1"/>
  <c r="S647" i="1"/>
  <c r="U647" i="1"/>
  <c r="AM647" i="1" s="1"/>
  <c r="S648" i="1"/>
  <c r="U648" i="1"/>
  <c r="AM648" i="1" s="1"/>
  <c r="S649" i="1"/>
  <c r="U649" i="1"/>
  <c r="AM649" i="1" s="1"/>
  <c r="AU649" i="1"/>
  <c r="S650" i="1"/>
  <c r="U650" i="1"/>
  <c r="AM650" i="1" s="1"/>
  <c r="S651" i="1"/>
  <c r="U651" i="1"/>
  <c r="AM651" i="1"/>
  <c r="AU651" i="1" s="1"/>
  <c r="S652" i="1"/>
  <c r="U652" i="1"/>
  <c r="AM652" i="1"/>
  <c r="S653" i="1"/>
  <c r="U653" i="1"/>
  <c r="AM653" i="1" s="1"/>
  <c r="AU653" i="1" s="1"/>
  <c r="S654" i="1"/>
  <c r="U654" i="1"/>
  <c r="AM654" i="1" s="1"/>
  <c r="S655" i="1"/>
  <c r="U655" i="1"/>
  <c r="AM655" i="1" s="1"/>
  <c r="S656" i="1"/>
  <c r="U656" i="1"/>
  <c r="AM656" i="1" s="1"/>
  <c r="AU656" i="1" s="1"/>
  <c r="S657" i="1"/>
  <c r="U657" i="1"/>
  <c r="AM657" i="1"/>
  <c r="S658" i="1"/>
  <c r="U658" i="1"/>
  <c r="AM658" i="1" s="1"/>
  <c r="S659" i="1"/>
  <c r="U659" i="1"/>
  <c r="AM659" i="1" s="1"/>
  <c r="S660" i="1"/>
  <c r="U660" i="1"/>
  <c r="AM660" i="1" s="1"/>
  <c r="S661" i="1"/>
  <c r="U661" i="1"/>
  <c r="AM661" i="1" s="1"/>
  <c r="AU661" i="1" s="1"/>
  <c r="S662" i="1"/>
  <c r="U662" i="1"/>
  <c r="AM662" i="1" s="1"/>
  <c r="S663" i="1"/>
  <c r="U663" i="1"/>
  <c r="AM663" i="1"/>
  <c r="S664" i="1"/>
  <c r="U664" i="1"/>
  <c r="AM664" i="1" s="1"/>
  <c r="S665" i="1"/>
  <c r="U665" i="1"/>
  <c r="AM665" i="1" s="1"/>
  <c r="S666" i="1"/>
  <c r="U666" i="1"/>
  <c r="AM666" i="1" s="1"/>
  <c r="AU666" i="1" s="1"/>
  <c r="S667" i="1"/>
  <c r="U667" i="1"/>
  <c r="AM667" i="1" s="1"/>
  <c r="S668" i="1"/>
  <c r="U668" i="1"/>
  <c r="AM668" i="1"/>
  <c r="AU668" i="1"/>
  <c r="S669" i="1"/>
  <c r="U669" i="1"/>
  <c r="AM669" i="1" s="1"/>
  <c r="S670" i="1"/>
  <c r="U670" i="1"/>
  <c r="AM670" i="1" s="1"/>
  <c r="S671" i="1"/>
  <c r="U671" i="1"/>
  <c r="AM671" i="1"/>
  <c r="AU671" i="1" s="1"/>
  <c r="S672" i="1"/>
  <c r="U672" i="1"/>
  <c r="AM672" i="1" s="1"/>
  <c r="S673" i="1"/>
  <c r="U673" i="1"/>
  <c r="AM673" i="1"/>
  <c r="AU673" i="1" s="1"/>
  <c r="S674" i="1"/>
  <c r="U674" i="1"/>
  <c r="AM674" i="1"/>
  <c r="S675" i="1"/>
  <c r="U675" i="1"/>
  <c r="AM675" i="1" s="1"/>
  <c r="S676" i="1"/>
  <c r="U676" i="1"/>
  <c r="AM676" i="1"/>
  <c r="S677" i="1"/>
  <c r="U677" i="1"/>
  <c r="AM677" i="1"/>
  <c r="S678" i="1"/>
  <c r="U678" i="1"/>
  <c r="AM678" i="1" s="1"/>
  <c r="AU678" i="1" s="1"/>
  <c r="S679" i="1"/>
  <c r="U679" i="1"/>
  <c r="AM679" i="1" s="1"/>
  <c r="S680" i="1"/>
  <c r="U680" i="1"/>
  <c r="AM680" i="1" s="1"/>
  <c r="S681" i="1"/>
  <c r="U681" i="1"/>
  <c r="AM681" i="1" s="1"/>
  <c r="S682" i="1"/>
  <c r="U682" i="1"/>
  <c r="AM682" i="1" s="1"/>
  <c r="S683" i="1"/>
  <c r="U683" i="1"/>
  <c r="AM683" i="1" s="1"/>
  <c r="S684" i="1"/>
  <c r="U684" i="1"/>
  <c r="AM684" i="1" s="1"/>
  <c r="AW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c r="S693" i="1"/>
  <c r="U693" i="1"/>
  <c r="AM693" i="1"/>
  <c r="AU693" i="1" s="1"/>
  <c r="S694" i="1"/>
  <c r="U694" i="1"/>
  <c r="AM694" i="1" s="1"/>
  <c r="S695" i="1"/>
  <c r="U695" i="1"/>
  <c r="AM695" i="1" s="1"/>
  <c r="S696" i="1"/>
  <c r="U696" i="1"/>
  <c r="AM696" i="1" s="1"/>
  <c r="S697" i="1"/>
  <c r="U697" i="1"/>
  <c r="AM697" i="1" s="1"/>
  <c r="S698" i="1"/>
  <c r="U698" i="1"/>
  <c r="AM698" i="1"/>
  <c r="AU698" i="1"/>
  <c r="S699" i="1"/>
  <c r="U699" i="1"/>
  <c r="AM699" i="1" s="1"/>
  <c r="S700" i="1"/>
  <c r="U700" i="1"/>
  <c r="AM700" i="1" s="1"/>
  <c r="S701" i="1"/>
  <c r="U701" i="1"/>
  <c r="AM701" i="1"/>
  <c r="S702" i="1"/>
  <c r="U702" i="1"/>
  <c r="AM702" i="1" s="1"/>
  <c r="S703" i="1"/>
  <c r="U703" i="1"/>
  <c r="AM703" i="1" s="1"/>
  <c r="S704" i="1"/>
  <c r="U704" i="1"/>
  <c r="AM704" i="1" s="1"/>
  <c r="S705" i="1"/>
  <c r="U705" i="1"/>
  <c r="AM705" i="1" s="1"/>
  <c r="S706" i="1"/>
  <c r="U706" i="1"/>
  <c r="AM706" i="1" s="1"/>
  <c r="S707" i="1"/>
  <c r="U707" i="1"/>
  <c r="AM707" i="1"/>
  <c r="S708" i="1"/>
  <c r="U708" i="1"/>
  <c r="AM708" i="1" s="1"/>
  <c r="AU708" i="1" s="1"/>
  <c r="AW708" i="1"/>
  <c r="S709" i="1"/>
  <c r="U709" i="1"/>
  <c r="AM709" i="1" s="1"/>
  <c r="S710" i="1"/>
  <c r="U710" i="1"/>
  <c r="AM710" i="1" s="1"/>
  <c r="S711" i="1"/>
  <c r="U711" i="1"/>
  <c r="AM711" i="1" s="1"/>
  <c r="AV711" i="1" s="1"/>
  <c r="S712" i="1"/>
  <c r="U712" i="1"/>
  <c r="AM712" i="1" s="1"/>
  <c r="S713" i="1"/>
  <c r="U713" i="1"/>
  <c r="AM713" i="1"/>
  <c r="AU713" i="1" s="1"/>
  <c r="S714" i="1"/>
  <c r="U714" i="1"/>
  <c r="AM714" i="1" s="1"/>
  <c r="S715" i="1"/>
  <c r="U715" i="1"/>
  <c r="AM715" i="1" s="1"/>
  <c r="S716" i="1"/>
  <c r="U716" i="1"/>
  <c r="AM716" i="1"/>
  <c r="AV716" i="1"/>
  <c r="S717" i="1"/>
  <c r="U717" i="1"/>
  <c r="AM717" i="1"/>
  <c r="S718" i="1"/>
  <c r="U718" i="1"/>
  <c r="AM718" i="1"/>
  <c r="AU718" i="1"/>
  <c r="S719" i="1"/>
  <c r="U719" i="1"/>
  <c r="AM719" i="1" s="1"/>
  <c r="S720" i="1"/>
  <c r="U720" i="1"/>
  <c r="AM720" i="1" s="1"/>
  <c r="S721" i="1"/>
  <c r="U721" i="1"/>
  <c r="AM721" i="1"/>
  <c r="AV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AU729" i="1"/>
  <c r="S730" i="1"/>
  <c r="U730" i="1"/>
  <c r="AM730" i="1" s="1"/>
  <c r="S731" i="1"/>
  <c r="U731" i="1"/>
  <c r="AM731" i="1"/>
  <c r="AU731" i="1"/>
  <c r="S732" i="1"/>
  <c r="U732" i="1"/>
  <c r="AM732" i="1"/>
  <c r="S733" i="1"/>
  <c r="U733" i="1"/>
  <c r="AM733" i="1" s="1"/>
  <c r="S734" i="1"/>
  <c r="U734" i="1"/>
  <c r="AM734" i="1" s="1"/>
  <c r="S735" i="1"/>
  <c r="U735" i="1"/>
  <c r="AM735" i="1" s="1"/>
  <c r="S736" i="1"/>
  <c r="U736" i="1"/>
  <c r="AM736" i="1" s="1"/>
  <c r="AW736" i="1" s="1"/>
  <c r="S737" i="1"/>
  <c r="U737" i="1"/>
  <c r="AM737" i="1" s="1"/>
  <c r="S738" i="1"/>
  <c r="U738" i="1"/>
  <c r="AM738" i="1" s="1"/>
  <c r="S739" i="1"/>
  <c r="U739" i="1"/>
  <c r="AM739" i="1" s="1"/>
  <c r="S740" i="1"/>
  <c r="U740" i="1"/>
  <c r="AM740" i="1" s="1"/>
  <c r="S741" i="1"/>
  <c r="U741" i="1"/>
  <c r="AM741" i="1" s="1"/>
  <c r="S742" i="1"/>
  <c r="U742" i="1"/>
  <c r="AM742" i="1" s="1"/>
  <c r="S743" i="1"/>
  <c r="U743" i="1"/>
  <c r="AM743" i="1" s="1"/>
  <c r="AU743" i="1" s="1"/>
  <c r="S744" i="1"/>
  <c r="U744" i="1"/>
  <c r="AM744" i="1" s="1"/>
  <c r="S745" i="1"/>
  <c r="U745" i="1"/>
  <c r="AM745" i="1" s="1"/>
  <c r="S746" i="1"/>
  <c r="U746" i="1"/>
  <c r="AM746" i="1" s="1"/>
  <c r="AW746" i="1" s="1"/>
  <c r="S747" i="1"/>
  <c r="U747" i="1"/>
  <c r="AM747" i="1"/>
  <c r="S748" i="1"/>
  <c r="U748" i="1"/>
  <c r="AM748" i="1" s="1"/>
  <c r="AU748" i="1" s="1"/>
  <c r="S749" i="1"/>
  <c r="U749" i="1"/>
  <c r="AM749" i="1" s="1"/>
  <c r="S750" i="1"/>
  <c r="U750" i="1"/>
  <c r="AM750" i="1" s="1"/>
  <c r="S751" i="1"/>
  <c r="U751" i="1"/>
  <c r="AM751" i="1" s="1"/>
  <c r="AU751" i="1" s="1"/>
  <c r="S752" i="1"/>
  <c r="U752" i="1"/>
  <c r="AM752" i="1"/>
  <c r="S753" i="1"/>
  <c r="U753" i="1"/>
  <c r="AM753" i="1" s="1"/>
  <c r="AW753" i="1" s="1"/>
  <c r="S754" i="1"/>
  <c r="U754" i="1"/>
  <c r="AM754" i="1" s="1"/>
  <c r="S755" i="1"/>
  <c r="U755" i="1"/>
  <c r="AM755" i="1" s="1"/>
  <c r="S756" i="1"/>
  <c r="U756" i="1"/>
  <c r="AM756" i="1"/>
  <c r="S757" i="1"/>
  <c r="U757" i="1"/>
  <c r="AM757" i="1" s="1"/>
  <c r="S758" i="1"/>
  <c r="U758" i="1"/>
  <c r="AM758" i="1"/>
  <c r="S759" i="1"/>
  <c r="U759" i="1"/>
  <c r="AM759" i="1" s="1"/>
  <c r="S760" i="1"/>
  <c r="U760" i="1"/>
  <c r="AM760" i="1" s="1"/>
  <c r="S761" i="1"/>
  <c r="U761" i="1"/>
  <c r="AM761" i="1"/>
  <c r="AU761" i="1" s="1"/>
  <c r="S762" i="1"/>
  <c r="U762" i="1"/>
  <c r="AM762" i="1"/>
  <c r="S763" i="1"/>
  <c r="U763" i="1"/>
  <c r="AM763" i="1"/>
  <c r="S764" i="1"/>
  <c r="U764" i="1"/>
  <c r="AM764" i="1" s="1"/>
  <c r="S765" i="1"/>
  <c r="U765" i="1"/>
  <c r="AM765" i="1" s="1"/>
  <c r="S766" i="1"/>
  <c r="U766" i="1"/>
  <c r="AM766" i="1" s="1"/>
  <c r="AW766" i="1" s="1"/>
  <c r="S767" i="1"/>
  <c r="U767" i="1"/>
  <c r="AM767" i="1" s="1"/>
  <c r="S768" i="1"/>
  <c r="U768" i="1"/>
  <c r="AM768" i="1"/>
  <c r="AW768" i="1" s="1"/>
  <c r="S769" i="1"/>
  <c r="U769" i="1"/>
  <c r="AM769" i="1"/>
  <c r="S770" i="1"/>
  <c r="U770" i="1"/>
  <c r="AM770" i="1" s="1"/>
  <c r="S771" i="1"/>
  <c r="U771" i="1"/>
  <c r="AM771" i="1"/>
  <c r="S772" i="1"/>
  <c r="U772" i="1"/>
  <c r="AM772" i="1"/>
  <c r="S773" i="1"/>
  <c r="U773" i="1"/>
  <c r="AM773" i="1" s="1"/>
  <c r="S774" i="1"/>
  <c r="U774" i="1"/>
  <c r="AM774" i="1"/>
  <c r="S775" i="1"/>
  <c r="U775" i="1"/>
  <c r="AM775" i="1" s="1"/>
  <c r="S776" i="1"/>
  <c r="U776" i="1"/>
  <c r="AM776" i="1" s="1"/>
  <c r="S777" i="1"/>
  <c r="U777" i="1"/>
  <c r="AM777" i="1" s="1"/>
  <c r="S778" i="1"/>
  <c r="U778" i="1"/>
  <c r="AM778" i="1" s="1"/>
  <c r="S779" i="1"/>
  <c r="U779" i="1"/>
  <c r="AM779" i="1" s="1"/>
  <c r="S780" i="1"/>
  <c r="U780" i="1"/>
  <c r="AM780" i="1"/>
  <c r="S781" i="1"/>
  <c r="U781" i="1"/>
  <c r="AM781" i="1" s="1"/>
  <c r="S782" i="1"/>
  <c r="U782" i="1"/>
  <c r="AM782" i="1" s="1"/>
  <c r="S783" i="1"/>
  <c r="U783" i="1"/>
  <c r="AM783" i="1" s="1"/>
  <c r="S784" i="1"/>
  <c r="U784" i="1"/>
  <c r="AM784" i="1"/>
  <c r="AW784" i="1" s="1"/>
  <c r="S785" i="1"/>
  <c r="U785" i="1"/>
  <c r="AM785" i="1" s="1"/>
  <c r="AU785" i="1" s="1"/>
  <c r="S786" i="1"/>
  <c r="U786" i="1"/>
  <c r="AM786" i="1" s="1"/>
  <c r="S787" i="1"/>
  <c r="U787" i="1"/>
  <c r="AM787" i="1" s="1"/>
  <c r="S788" i="1"/>
  <c r="U788" i="1"/>
  <c r="AM788" i="1"/>
  <c r="S789" i="1"/>
  <c r="U789" i="1"/>
  <c r="AM789" i="1"/>
  <c r="S790" i="1"/>
  <c r="U790" i="1"/>
  <c r="AM790" i="1" s="1"/>
  <c r="S791" i="1"/>
  <c r="U791" i="1"/>
  <c r="AM791" i="1"/>
  <c r="S792" i="1"/>
  <c r="U792" i="1"/>
  <c r="AM792" i="1" s="1"/>
  <c r="S793" i="1"/>
  <c r="U793" i="1"/>
  <c r="AM793" i="1"/>
  <c r="S794" i="1"/>
  <c r="U794" i="1"/>
  <c r="AM794" i="1" s="1"/>
  <c r="AU794" i="1"/>
  <c r="S795" i="1"/>
  <c r="U795" i="1"/>
  <c r="AM795" i="1" s="1"/>
  <c r="S796" i="1"/>
  <c r="U796" i="1"/>
  <c r="AM796" i="1" s="1"/>
  <c r="S797" i="1"/>
  <c r="U797" i="1"/>
  <c r="AM797" i="1" s="1"/>
  <c r="S798" i="1"/>
  <c r="U798" i="1"/>
  <c r="AM798" i="1" s="1"/>
  <c r="AU798" i="1" s="1"/>
  <c r="S799" i="1"/>
  <c r="U799" i="1"/>
  <c r="AM799" i="1" s="1"/>
  <c r="S800" i="1"/>
  <c r="U800" i="1"/>
  <c r="AU800" i="1"/>
  <c r="AM800" i="1"/>
  <c r="S801" i="1"/>
  <c r="U801" i="1"/>
  <c r="AM801" i="1" s="1"/>
  <c r="AW801" i="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c r="S817" i="1"/>
  <c r="U817" i="1"/>
  <c r="AM817" i="1"/>
  <c r="S818" i="1"/>
  <c r="U818" i="1"/>
  <c r="AM818" i="1"/>
  <c r="S819" i="1"/>
  <c r="U819" i="1"/>
  <c r="AM819" i="1" s="1"/>
  <c r="S820" i="1"/>
  <c r="U820" i="1"/>
  <c r="AM820" i="1" s="1"/>
  <c r="S821" i="1"/>
  <c r="U821" i="1"/>
  <c r="AM821" i="1" s="1"/>
  <c r="AV821" i="1" s="1"/>
  <c r="S822" i="1"/>
  <c r="U822" i="1"/>
  <c r="AM822" i="1" s="1"/>
  <c r="S823" i="1"/>
  <c r="U823" i="1"/>
  <c r="AM823" i="1"/>
  <c r="S824" i="1"/>
  <c r="U824" i="1"/>
  <c r="AM824" i="1" s="1"/>
  <c r="S825" i="1"/>
  <c r="U825" i="1"/>
  <c r="AM825" i="1" s="1"/>
  <c r="S826" i="1"/>
  <c r="U826" i="1"/>
  <c r="AM826" i="1" s="1"/>
  <c r="AV826" i="1" s="1"/>
  <c r="S827" i="1"/>
  <c r="U827" i="1"/>
  <c r="AM827" i="1" s="1"/>
  <c r="S828" i="1"/>
  <c r="U828" i="1"/>
  <c r="AM828" i="1" s="1"/>
  <c r="S829" i="1"/>
  <c r="U829" i="1"/>
  <c r="AM829" i="1" s="1"/>
  <c r="S830" i="1"/>
  <c r="U830" i="1"/>
  <c r="AM830" i="1" s="1"/>
  <c r="S831" i="1"/>
  <c r="U831" i="1"/>
  <c r="AM831" i="1" s="1"/>
  <c r="AV831" i="1" s="1"/>
  <c r="S832" i="1"/>
  <c r="U832" i="1"/>
  <c r="AM832" i="1" s="1"/>
  <c r="S833" i="1"/>
  <c r="U833" i="1"/>
  <c r="AM833" i="1" s="1"/>
  <c r="S834" i="1"/>
  <c r="U834" i="1"/>
  <c r="AM834" i="1" s="1"/>
  <c r="S835" i="1"/>
  <c r="U835" i="1"/>
  <c r="AM835" i="1" s="1"/>
  <c r="S836" i="1"/>
  <c r="U836" i="1"/>
  <c r="AM836" i="1"/>
  <c r="AV836" i="1" s="1"/>
  <c r="S837" i="1"/>
  <c r="U837" i="1"/>
  <c r="AM837" i="1" s="1"/>
  <c r="S838" i="1"/>
  <c r="U838" i="1"/>
  <c r="AM838" i="1"/>
  <c r="S839" i="1"/>
  <c r="U839" i="1"/>
  <c r="AM839" i="1" s="1"/>
  <c r="AU839" i="1"/>
  <c r="S840" i="1"/>
  <c r="U840" i="1"/>
  <c r="AM840" i="1" s="1"/>
  <c r="S841" i="1"/>
  <c r="U841" i="1"/>
  <c r="AM841" i="1" s="1"/>
  <c r="AV841" i="1" s="1"/>
  <c r="S842" i="1"/>
  <c r="U842" i="1"/>
  <c r="AM842" i="1" s="1"/>
  <c r="S843" i="1"/>
  <c r="U843" i="1"/>
  <c r="AM843" i="1" s="1"/>
  <c r="S844" i="1"/>
  <c r="U844" i="1"/>
  <c r="AM844" i="1" s="1"/>
  <c r="S845" i="1"/>
  <c r="U845" i="1"/>
  <c r="AM845" i="1" s="1"/>
  <c r="S846" i="1"/>
  <c r="U846" i="1"/>
  <c r="AM846" i="1" s="1"/>
  <c r="AV846" i="1" s="1"/>
  <c r="S847" i="1"/>
  <c r="U847" i="1"/>
  <c r="AM847" i="1" s="1"/>
  <c r="S848" i="1"/>
  <c r="U848" i="1"/>
  <c r="AM848" i="1" s="1"/>
  <c r="S849" i="1"/>
  <c r="U849" i="1"/>
  <c r="AM849" i="1" s="1"/>
  <c r="S850" i="1"/>
  <c r="U850" i="1"/>
  <c r="AM850" i="1" s="1"/>
  <c r="S851" i="1"/>
  <c r="U851" i="1"/>
  <c r="AM851" i="1" s="1"/>
  <c r="AV851" i="1" s="1"/>
  <c r="S852" i="1"/>
  <c r="U852" i="1"/>
  <c r="AM852" i="1"/>
  <c r="S853" i="1"/>
  <c r="U853" i="1"/>
  <c r="AM853" i="1"/>
  <c r="S854" i="1"/>
  <c r="U854" i="1"/>
  <c r="AM854" i="1" s="1"/>
  <c r="S855" i="1"/>
  <c r="U855" i="1"/>
  <c r="AM855" i="1" s="1"/>
  <c r="S856" i="1"/>
  <c r="U856" i="1"/>
  <c r="AM856" i="1"/>
  <c r="AV856" i="1" s="1"/>
  <c r="S857" i="1"/>
  <c r="U857" i="1"/>
  <c r="AM857" i="1"/>
  <c r="S858" i="1"/>
  <c r="U858" i="1"/>
  <c r="AM858" i="1"/>
  <c r="S859" i="1"/>
  <c r="U859" i="1"/>
  <c r="AM859" i="1" s="1"/>
  <c r="S860" i="1"/>
  <c r="U860" i="1"/>
  <c r="AM860" i="1" s="1"/>
  <c r="S861" i="1"/>
  <c r="U861" i="1"/>
  <c r="AM861" i="1" s="1"/>
  <c r="S862" i="1"/>
  <c r="U862" i="1"/>
  <c r="AM862" i="1"/>
  <c r="S863" i="1"/>
  <c r="U863" i="1"/>
  <c r="AM863" i="1" s="1"/>
  <c r="S864" i="1"/>
  <c r="U864" i="1"/>
  <c r="AM864" i="1" s="1"/>
  <c r="S865" i="1"/>
  <c r="U865" i="1"/>
  <c r="AM865" i="1" s="1"/>
  <c r="S866" i="1"/>
  <c r="U866" i="1"/>
  <c r="AM866" i="1"/>
  <c r="AV866" i="1" s="1"/>
  <c r="S867" i="1"/>
  <c r="U867" i="1"/>
  <c r="AM867" i="1"/>
  <c r="S868" i="1"/>
  <c r="U868" i="1"/>
  <c r="AM868" i="1" s="1"/>
  <c r="S869" i="1"/>
  <c r="U869" i="1"/>
  <c r="AM869" i="1" s="1"/>
  <c r="S870" i="1"/>
  <c r="U870" i="1"/>
  <c r="AM870" i="1" s="1"/>
  <c r="S871" i="1"/>
  <c r="U871" i="1"/>
  <c r="AM871" i="1" s="1"/>
  <c r="AV871" i="1" s="1"/>
  <c r="S872" i="1"/>
  <c r="U872" i="1"/>
  <c r="AM872" i="1" s="1"/>
  <c r="S873" i="1"/>
  <c r="U873" i="1"/>
  <c r="AM873" i="1" s="1"/>
  <c r="S874" i="1"/>
  <c r="U874" i="1"/>
  <c r="AM874" i="1" s="1"/>
  <c r="S875" i="1"/>
  <c r="U875" i="1"/>
  <c r="AM875" i="1" s="1"/>
  <c r="S876" i="1"/>
  <c r="U876" i="1"/>
  <c r="AV876" i="1"/>
  <c r="AM876" i="1"/>
  <c r="S877" i="1"/>
  <c r="U877" i="1"/>
  <c r="AM877" i="1" s="1"/>
  <c r="S878" i="1"/>
  <c r="U878" i="1"/>
  <c r="AM878" i="1" s="1"/>
  <c r="S879" i="1"/>
  <c r="U879" i="1"/>
  <c r="AM879" i="1" s="1"/>
  <c r="S880" i="1"/>
  <c r="U880" i="1"/>
  <c r="AM880" i="1" s="1"/>
  <c r="AV880" i="1"/>
  <c r="S881" i="1"/>
  <c r="U881" i="1"/>
  <c r="AM881" i="1"/>
  <c r="S882" i="1"/>
  <c r="U882" i="1"/>
  <c r="AM882" i="1" s="1"/>
  <c r="S883" i="1"/>
  <c r="U883" i="1"/>
  <c r="AM883" i="1"/>
  <c r="S884" i="1"/>
  <c r="U884" i="1"/>
  <c r="AM884" i="1" s="1"/>
  <c r="S885" i="1"/>
  <c r="U885" i="1"/>
  <c r="AM885" i="1" s="1"/>
  <c r="S886" i="1"/>
  <c r="U886" i="1"/>
  <c r="AM886" i="1"/>
  <c r="S887" i="1"/>
  <c r="U887" i="1"/>
  <c r="AM887" i="1" s="1"/>
  <c r="S888" i="1"/>
  <c r="U888" i="1"/>
  <c r="AM888" i="1"/>
  <c r="S889" i="1"/>
  <c r="U889" i="1"/>
  <c r="AM889" i="1" s="1"/>
  <c r="S890" i="1"/>
  <c r="U890" i="1"/>
  <c r="AM890" i="1" s="1"/>
  <c r="AV890" i="1"/>
  <c r="S891" i="1"/>
  <c r="U891" i="1"/>
  <c r="AM891" i="1" s="1"/>
  <c r="AV891" i="1" s="1"/>
  <c r="S892" i="1"/>
  <c r="U892" i="1"/>
  <c r="AM892" i="1" s="1"/>
  <c r="S893" i="1"/>
  <c r="U893" i="1"/>
  <c r="AM893" i="1"/>
  <c r="S894" i="1"/>
  <c r="U894" i="1"/>
  <c r="AM894" i="1" s="1"/>
  <c r="S895" i="1"/>
  <c r="U895" i="1"/>
  <c r="AM895" i="1" s="1"/>
  <c r="S896" i="1"/>
  <c r="U896" i="1"/>
  <c r="AM896" i="1"/>
  <c r="S897" i="1"/>
  <c r="U897" i="1"/>
  <c r="AM897" i="1"/>
  <c r="S898" i="1"/>
  <c r="U898" i="1"/>
  <c r="AM898" i="1" s="1"/>
  <c r="S899" i="1"/>
  <c r="U899" i="1"/>
  <c r="AM899" i="1" s="1"/>
  <c r="S900" i="1"/>
  <c r="U900" i="1"/>
  <c r="AM900" i="1" s="1"/>
  <c r="AV900" i="1"/>
  <c r="S901" i="1"/>
  <c r="U901" i="1"/>
  <c r="AM901" i="1" s="1"/>
  <c r="S902" i="1"/>
  <c r="U902" i="1"/>
  <c r="AM902" i="1" s="1"/>
  <c r="S903" i="1"/>
  <c r="U903" i="1"/>
  <c r="AM903" i="1" s="1"/>
  <c r="S904" i="1"/>
  <c r="U904" i="1"/>
  <c r="AM904" i="1" s="1"/>
  <c r="S905" i="1"/>
  <c r="U905" i="1"/>
  <c r="AM905" i="1" s="1"/>
  <c r="AV905" i="1"/>
  <c r="S906" i="1"/>
  <c r="U906" i="1"/>
  <c r="AM906" i="1"/>
  <c r="S907" i="1"/>
  <c r="U907" i="1"/>
  <c r="AM907" i="1" s="1"/>
  <c r="S908" i="1"/>
  <c r="U908" i="1"/>
  <c r="AM908" i="1"/>
  <c r="S909" i="1"/>
  <c r="U909" i="1"/>
  <c r="AM909" i="1" s="1"/>
  <c r="S910" i="1"/>
  <c r="U910" i="1"/>
  <c r="AM910" i="1" s="1"/>
  <c r="AV910" i="1" s="1"/>
  <c r="S911" i="1"/>
  <c r="U911" i="1"/>
  <c r="AM911" i="1" s="1"/>
  <c r="S912" i="1"/>
  <c r="U912" i="1"/>
  <c r="AM912" i="1" s="1"/>
  <c r="S913" i="1"/>
  <c r="U913" i="1"/>
  <c r="AM913" i="1" s="1"/>
  <c r="S914" i="1"/>
  <c r="U914" i="1"/>
  <c r="AM914" i="1" s="1"/>
  <c r="S915" i="1"/>
  <c r="U915" i="1"/>
  <c r="AM915" i="1" s="1"/>
  <c r="AW915" i="1" s="1"/>
  <c r="AU915" i="1"/>
  <c r="S916" i="1"/>
  <c r="U916" i="1"/>
  <c r="AM916" i="1"/>
  <c r="S917" i="1"/>
  <c r="U917" i="1"/>
  <c r="AM917" i="1"/>
  <c r="S918" i="1"/>
  <c r="U918" i="1"/>
  <c r="AM918" i="1"/>
  <c r="S919" i="1"/>
  <c r="U919" i="1"/>
  <c r="AM919" i="1" s="1"/>
  <c r="S920" i="1"/>
  <c r="U920" i="1"/>
  <c r="AM920" i="1" s="1"/>
  <c r="AV920" i="1"/>
  <c r="AW920" i="1"/>
  <c r="S921" i="1"/>
  <c r="U921" i="1"/>
  <c r="AM921" i="1" s="1"/>
  <c r="S922" i="1"/>
  <c r="U922" i="1"/>
  <c r="AM922" i="1" s="1"/>
  <c r="S923" i="1"/>
  <c r="U923" i="1"/>
  <c r="AM923" i="1"/>
  <c r="AW923" i="1"/>
  <c r="S924" i="1"/>
  <c r="U924" i="1"/>
  <c r="AM924" i="1" s="1"/>
  <c r="S925" i="1"/>
  <c r="U925" i="1"/>
  <c r="AM925" i="1" s="1"/>
  <c r="S926" i="1"/>
  <c r="U926" i="1"/>
  <c r="AM926" i="1" s="1"/>
  <c r="AU926" i="1" s="1"/>
  <c r="S927" i="1"/>
  <c r="U927" i="1"/>
  <c r="AM927" i="1" s="1"/>
  <c r="S928" i="1"/>
  <c r="U928" i="1"/>
  <c r="AM928" i="1" s="1"/>
  <c r="S929" i="1"/>
  <c r="U929" i="1"/>
  <c r="AM929" i="1" s="1"/>
  <c r="AV929" i="1"/>
  <c r="S930" i="1"/>
  <c r="U930" i="1"/>
  <c r="AM930" i="1" s="1"/>
  <c r="AU930" i="1"/>
  <c r="AV930" i="1"/>
  <c r="AW930" i="1"/>
  <c r="S931" i="1"/>
  <c r="U931" i="1"/>
  <c r="AM931" i="1" s="1"/>
  <c r="S932" i="1"/>
  <c r="U932" i="1"/>
  <c r="AM932" i="1" s="1"/>
  <c r="S933" i="1"/>
  <c r="U933" i="1"/>
  <c r="AM933" i="1"/>
  <c r="AW933" i="1" s="1"/>
  <c r="S934" i="1"/>
  <c r="U934" i="1"/>
  <c r="AM934" i="1" s="1"/>
  <c r="AV934" i="1"/>
  <c r="S935" i="1"/>
  <c r="U935" i="1"/>
  <c r="AM935" i="1" s="1"/>
  <c r="S936" i="1"/>
  <c r="U936" i="1"/>
  <c r="AM936" i="1" s="1"/>
  <c r="S937" i="1"/>
  <c r="U937" i="1"/>
  <c r="AM937" i="1" s="1"/>
  <c r="S938" i="1"/>
  <c r="U938" i="1"/>
  <c r="AM938" i="1" s="1"/>
  <c r="S939" i="1"/>
  <c r="U939" i="1"/>
  <c r="AM939" i="1" s="1"/>
  <c r="S940" i="1"/>
  <c r="U940" i="1"/>
  <c r="AM940" i="1" s="1"/>
  <c r="AU940" i="1" s="1"/>
  <c r="S941" i="1"/>
  <c r="U941" i="1"/>
  <c r="AM941" i="1" s="1"/>
  <c r="AU941" i="1" s="1"/>
  <c r="S942" i="1"/>
  <c r="U942" i="1"/>
  <c r="AM942" i="1" s="1"/>
  <c r="S943" i="1"/>
  <c r="U943" i="1"/>
  <c r="AM943" i="1" s="1"/>
  <c r="AW943" i="1"/>
  <c r="S944" i="1"/>
  <c r="U944" i="1"/>
  <c r="AM944" i="1" s="1"/>
  <c r="S945" i="1"/>
  <c r="U945" i="1"/>
  <c r="AM945" i="1" s="1"/>
  <c r="S946" i="1"/>
  <c r="U946" i="1"/>
  <c r="AM946" i="1" s="1"/>
  <c r="S947" i="1"/>
  <c r="U947" i="1"/>
  <c r="AM947" i="1" s="1"/>
  <c r="S948" i="1"/>
  <c r="U948" i="1"/>
  <c r="AM948" i="1" s="1"/>
  <c r="S949" i="1"/>
  <c r="U949" i="1"/>
  <c r="AM949" i="1" s="1"/>
  <c r="S950" i="1"/>
  <c r="U950" i="1"/>
  <c r="AM950" i="1" s="1"/>
  <c r="AW950" i="1"/>
  <c r="S951" i="1"/>
  <c r="U951" i="1"/>
  <c r="AM951" i="1" s="1"/>
  <c r="S952" i="1"/>
  <c r="U952" i="1"/>
  <c r="AM952" i="1" s="1"/>
  <c r="S953" i="1"/>
  <c r="U953" i="1"/>
  <c r="AM953" i="1"/>
  <c r="S954" i="1"/>
  <c r="U954" i="1"/>
  <c r="AM954" i="1" s="1"/>
  <c r="S955" i="1"/>
  <c r="U955" i="1"/>
  <c r="AM955" i="1" s="1"/>
  <c r="S956" i="1"/>
  <c r="U956" i="1"/>
  <c r="AM956" i="1"/>
  <c r="AU956" i="1" s="1"/>
  <c r="S957" i="1"/>
  <c r="U957" i="1"/>
  <c r="AM957" i="1" s="1"/>
  <c r="S958" i="1"/>
  <c r="U958" i="1"/>
  <c r="AM958" i="1" s="1"/>
  <c r="S959" i="1"/>
  <c r="U959" i="1"/>
  <c r="AM959" i="1" s="1"/>
  <c r="S960" i="1"/>
  <c r="U960" i="1"/>
  <c r="AM960" i="1" s="1"/>
  <c r="AU960" i="1"/>
  <c r="S961" i="1"/>
  <c r="U961" i="1"/>
  <c r="AM961" i="1" s="1"/>
  <c r="S962" i="1"/>
  <c r="U962" i="1"/>
  <c r="AM962" i="1"/>
  <c r="AV962" i="1" s="1"/>
  <c r="S963" i="1"/>
  <c r="U963" i="1"/>
  <c r="AM963" i="1" s="1"/>
  <c r="S964" i="1"/>
  <c r="U964" i="1"/>
  <c r="AM964" i="1" s="1"/>
  <c r="AV964" i="1" s="1"/>
  <c r="S965" i="1"/>
  <c r="U965" i="1"/>
  <c r="AM965" i="1" s="1"/>
  <c r="S966" i="1"/>
  <c r="U966" i="1"/>
  <c r="AM966" i="1"/>
  <c r="S967" i="1"/>
  <c r="U967" i="1"/>
  <c r="AM967" i="1" s="1"/>
  <c r="AV967" i="1" s="1"/>
  <c r="S968" i="1"/>
  <c r="U968" i="1"/>
  <c r="AM968" i="1" s="1"/>
  <c r="S969" i="1"/>
  <c r="U969" i="1"/>
  <c r="AM969" i="1" s="1"/>
  <c r="S970" i="1"/>
  <c r="U970" i="1"/>
  <c r="AM970" i="1" s="1"/>
  <c r="S971" i="1"/>
  <c r="U971" i="1"/>
  <c r="AM971" i="1"/>
  <c r="AU971" i="1"/>
  <c r="S972" i="1"/>
  <c r="U972" i="1"/>
  <c r="AM972" i="1" s="1"/>
  <c r="AU276" i="1" l="1"/>
  <c r="AV276" i="1"/>
  <c r="AU69" i="1"/>
  <c r="AV69" i="1"/>
  <c r="AW69" i="1"/>
  <c r="AW34" i="1"/>
  <c r="AU506" i="1"/>
  <c r="AW506" i="1"/>
  <c r="AW86" i="1"/>
  <c r="AV943" i="1"/>
  <c r="AU943" i="1"/>
  <c r="AU906" i="1"/>
  <c r="AV906" i="1"/>
  <c r="AV158" i="1"/>
  <c r="AV440" i="1"/>
  <c r="AV818" i="1"/>
  <c r="AU818" i="1"/>
  <c r="AW818" i="1"/>
  <c r="AV933" i="1"/>
  <c r="AW965" i="1"/>
  <c r="AU965" i="1"/>
  <c r="AV965" i="1"/>
  <c r="AV173" i="1"/>
  <c r="AU64" i="1"/>
  <c r="AV64" i="1"/>
  <c r="AW64" i="1"/>
  <c r="AU320" i="1"/>
  <c r="AV34" i="1"/>
  <c r="AW775" i="1"/>
  <c r="AW748" i="1"/>
  <c r="AU659" i="1"/>
  <c r="AU331" i="1"/>
  <c r="AW325" i="1"/>
  <c r="AU314" i="1"/>
  <c r="AV302" i="1"/>
  <c r="AU204" i="1"/>
  <c r="AU147" i="1"/>
  <c r="AU887" i="1"/>
  <c r="AU814" i="1"/>
  <c r="AU808" i="1"/>
  <c r="AW588" i="1"/>
  <c r="AW440" i="1"/>
  <c r="AV352" i="1"/>
  <c r="AU250" i="1"/>
  <c r="AW233" i="1"/>
  <c r="AW108" i="1"/>
  <c r="AV65" i="1"/>
  <c r="AV60" i="1"/>
  <c r="AU49" i="1"/>
  <c r="AU664" i="1"/>
  <c r="AV936" i="1"/>
  <c r="AW758" i="1"/>
  <c r="AW669" i="1"/>
  <c r="AU631" i="1"/>
  <c r="AW599" i="1"/>
  <c r="AU474" i="1"/>
  <c r="AU301" i="1"/>
  <c r="AV215" i="1"/>
  <c r="AV187" i="1"/>
  <c r="AU124" i="1"/>
  <c r="AW780" i="1"/>
  <c r="AW729" i="1"/>
  <c r="AU646" i="1"/>
  <c r="AU576" i="1"/>
  <c r="AU479" i="1"/>
  <c r="AW330" i="1"/>
  <c r="AV255" i="1"/>
  <c r="AU198" i="1"/>
  <c r="AV156" i="1"/>
  <c r="AV896" i="1"/>
  <c r="AV881" i="1"/>
  <c r="AW668" i="1"/>
  <c r="AU663" i="1"/>
  <c r="AU641" i="1"/>
  <c r="AW604" i="1"/>
  <c r="AU571" i="1"/>
  <c r="AU491" i="1"/>
  <c r="AW439" i="1"/>
  <c r="AU249" i="1"/>
  <c r="AU232" i="1"/>
  <c r="AU129" i="1"/>
  <c r="AU59" i="1"/>
  <c r="AV27" i="1"/>
  <c r="AU970" i="1"/>
  <c r="AV944" i="1"/>
  <c r="AW940" i="1"/>
  <c r="AU852" i="1"/>
  <c r="AW800" i="1"/>
  <c r="AU581" i="1"/>
  <c r="AU549" i="1"/>
  <c r="AU455" i="1"/>
  <c r="AV117" i="1"/>
  <c r="AV85" i="1"/>
  <c r="AU74" i="1"/>
  <c r="AV800" i="1"/>
  <c r="AW160" i="1"/>
  <c r="AW155" i="1"/>
  <c r="AW145" i="1"/>
  <c r="AV122" i="1"/>
  <c r="AV47" i="1"/>
  <c r="AV940" i="1"/>
  <c r="AU925" i="1"/>
  <c r="AU789" i="1"/>
  <c r="AW756" i="1"/>
  <c r="AW673" i="1"/>
  <c r="AW629" i="1"/>
  <c r="AW624" i="1"/>
  <c r="AW554" i="1"/>
  <c r="AW340" i="1"/>
  <c r="AW293" i="1"/>
  <c r="AU4" i="1"/>
  <c r="AV969" i="1"/>
  <c r="AV949" i="1"/>
  <c r="AV706" i="1"/>
  <c r="AW683" i="1"/>
  <c r="AU414" i="1"/>
  <c r="AW328" i="1"/>
  <c r="AV317" i="1"/>
  <c r="AV265" i="1"/>
  <c r="AW175" i="1"/>
  <c r="AU127" i="1"/>
  <c r="AW761" i="1"/>
  <c r="AW618" i="1"/>
  <c r="AU574" i="1"/>
  <c r="AW454" i="1"/>
  <c r="AW419" i="1"/>
  <c r="AU378" i="1"/>
  <c r="AU316" i="1"/>
  <c r="AV282" i="1"/>
  <c r="AV230" i="1"/>
  <c r="AV213" i="1"/>
  <c r="AU169" i="1"/>
  <c r="AV52" i="1"/>
  <c r="AV939" i="1"/>
  <c r="AV915" i="1"/>
  <c r="AV909" i="1"/>
  <c r="AU744" i="1"/>
  <c r="AW558" i="1"/>
  <c r="AU923" i="1"/>
  <c r="AW833" i="1"/>
  <c r="AV816" i="1"/>
  <c r="AU793" i="1"/>
  <c r="AU788" i="1"/>
  <c r="AV726" i="1"/>
  <c r="AW563" i="1"/>
  <c r="AV442" i="1"/>
  <c r="AV116" i="1"/>
  <c r="AW72" i="1"/>
  <c r="AU153" i="1"/>
  <c r="AU104" i="1"/>
  <c r="AU62" i="1"/>
  <c r="AU928" i="1"/>
  <c r="AW704" i="1"/>
  <c r="AW429" i="1"/>
  <c r="AV923" i="1"/>
  <c r="AW709" i="1"/>
  <c r="AW654" i="1"/>
  <c r="AW643" i="1"/>
  <c r="AU499" i="1"/>
  <c r="AV429" i="1"/>
  <c r="AW348" i="1"/>
  <c r="AU332" i="1"/>
  <c r="AV320" i="1"/>
  <c r="AU240" i="1"/>
  <c r="AV217" i="1"/>
  <c r="AV947" i="1"/>
  <c r="AU854" i="1"/>
  <c r="AW743" i="1"/>
  <c r="AU435" i="1"/>
  <c r="AU417" i="1"/>
  <c r="AU388" i="1"/>
  <c r="AU275" i="1"/>
  <c r="AU23" i="1"/>
  <c r="AU573" i="1"/>
  <c r="AW573" i="1"/>
  <c r="AU803" i="1"/>
  <c r="AV803" i="1"/>
  <c r="AW803" i="1"/>
  <c r="AV798" i="1"/>
  <c r="AU703" i="1"/>
  <c r="AW703" i="1"/>
  <c r="AU648" i="1"/>
  <c r="AW648" i="1"/>
  <c r="AU913" i="1"/>
  <c r="AW653" i="1"/>
  <c r="AW763" i="1"/>
  <c r="AW713" i="1"/>
  <c r="AU723" i="1"/>
  <c r="AW723" i="1"/>
  <c r="AU658" i="1"/>
  <c r="AW658" i="1"/>
  <c r="AU593" i="1"/>
  <c r="AW593" i="1"/>
  <c r="AU771" i="1"/>
  <c r="AW771" i="1"/>
  <c r="AV935" i="1"/>
  <c r="AU935" i="1"/>
  <c r="AW935" i="1"/>
  <c r="AW663" i="1"/>
  <c r="AU598" i="1"/>
  <c r="AW598" i="1"/>
  <c r="AU484" i="1"/>
  <c r="AW484" i="1"/>
  <c r="AU738" i="1"/>
  <c r="AW738" i="1"/>
  <c r="AU823" i="1"/>
  <c r="AV823" i="1"/>
  <c r="AU728" i="1"/>
  <c r="AW728" i="1"/>
  <c r="AW823" i="1"/>
  <c r="AW613" i="1"/>
  <c r="AU813" i="1"/>
  <c r="AV813" i="1"/>
  <c r="AW813" i="1"/>
  <c r="AU733" i="1"/>
  <c r="AW733" i="1"/>
  <c r="AW751" i="1"/>
  <c r="AU741" i="1"/>
  <c r="AW741" i="1"/>
  <c r="AV778" i="1"/>
  <c r="AU778" i="1"/>
  <c r="AW778" i="1"/>
  <c r="AU548" i="1"/>
  <c r="AW548" i="1"/>
  <c r="AU688" i="1"/>
  <c r="AW688" i="1"/>
  <c r="AW628" i="1"/>
  <c r="AW623" i="1"/>
  <c r="AW898" i="1"/>
  <c r="AV898" i="1"/>
  <c r="AV970" i="1"/>
  <c r="AW970" i="1"/>
  <c r="AV968" i="1"/>
  <c r="AU968" i="1"/>
  <c r="AU833" i="1"/>
  <c r="AV833" i="1"/>
  <c r="AW693" i="1"/>
  <c r="AW638" i="1"/>
  <c r="AW568" i="1"/>
  <c r="AU260" i="1"/>
  <c r="AV260" i="1"/>
  <c r="AW260" i="1"/>
  <c r="AV956" i="1"/>
  <c r="AU908" i="1"/>
  <c r="AV895" i="1"/>
  <c r="AV861" i="1"/>
  <c r="AW856" i="1"/>
  <c r="AU802" i="1"/>
  <c r="AV793" i="1"/>
  <c r="AU734" i="1"/>
  <c r="AW664" i="1"/>
  <c r="AU642" i="1"/>
  <c r="AW633" i="1"/>
  <c r="AU617" i="1"/>
  <c r="AU599" i="1"/>
  <c r="AV549" i="1"/>
  <c r="AU377" i="1"/>
  <c r="AV377" i="1"/>
  <c r="AV360" i="1"/>
  <c r="AU360" i="1"/>
  <c r="AW360" i="1"/>
  <c r="AV345" i="1"/>
  <c r="AV220" i="1"/>
  <c r="AV29" i="1"/>
  <c r="AU17" i="1"/>
  <c r="AV17" i="1"/>
  <c r="AU469" i="1"/>
  <c r="AW469" i="1"/>
  <c r="AU424" i="1"/>
  <c r="AV424" i="1"/>
  <c r="AW424" i="1"/>
  <c r="AU327" i="1"/>
  <c r="AW231" i="1"/>
  <c r="AU231" i="1"/>
  <c r="AV151" i="1"/>
  <c r="AV141" i="1"/>
  <c r="AU141" i="1"/>
  <c r="AU136" i="1"/>
  <c r="AV136" i="1"/>
  <c r="AW136" i="1"/>
  <c r="AW345" i="1"/>
  <c r="AU345" i="1"/>
  <c r="AU572" i="1"/>
  <c r="AU933" i="1"/>
  <c r="AU594" i="1"/>
  <c r="AW553" i="1"/>
  <c r="AV231" i="1"/>
  <c r="AV91" i="1"/>
  <c r="AU44" i="1"/>
  <c r="AV44" i="1"/>
  <c r="AW44" i="1"/>
  <c r="AV39" i="1"/>
  <c r="AU920" i="1"/>
  <c r="AU903" i="1"/>
  <c r="AV801" i="1"/>
  <c r="AU769" i="1"/>
  <c r="AW659" i="1"/>
  <c r="AU637" i="1"/>
  <c r="AW603" i="1"/>
  <c r="AW474" i="1"/>
  <c r="AV102" i="1"/>
  <c r="AV80" i="1"/>
  <c r="AW936" i="1"/>
  <c r="AW928" i="1"/>
  <c r="AV919" i="1"/>
  <c r="AU907" i="1"/>
  <c r="AV885" i="1"/>
  <c r="AU849" i="1"/>
  <c r="AU712" i="1"/>
  <c r="AW698" i="1"/>
  <c r="AU654" i="1"/>
  <c r="AU624" i="1"/>
  <c r="AU589" i="1"/>
  <c r="AW479" i="1"/>
  <c r="AU353" i="1"/>
  <c r="AV353" i="1"/>
  <c r="AW353" i="1"/>
  <c r="AV96" i="1"/>
  <c r="AW96" i="1"/>
  <c r="AV54" i="1"/>
  <c r="AV729" i="1"/>
  <c r="AU672" i="1"/>
  <c r="AU423" i="1"/>
  <c r="AV423" i="1"/>
  <c r="AW423" i="1"/>
  <c r="AU358" i="1"/>
  <c r="AV358" i="1"/>
  <c r="AV258" i="1"/>
  <c r="AU258" i="1"/>
  <c r="AU96" i="1"/>
  <c r="AV59" i="1"/>
  <c r="AU604" i="1"/>
  <c r="AU390" i="1"/>
  <c r="AV390" i="1"/>
  <c r="AW390" i="1"/>
  <c r="AU950" i="1"/>
  <c r="AU898" i="1"/>
  <c r="AU607" i="1"/>
  <c r="AU584" i="1"/>
  <c r="AU557" i="1"/>
  <c r="AU544" i="1"/>
  <c r="AU838" i="1"/>
  <c r="AU804" i="1"/>
  <c r="AU791" i="1"/>
  <c r="AW689" i="1"/>
  <c r="AW649" i="1"/>
  <c r="AU632" i="1"/>
  <c r="AU566" i="1"/>
  <c r="AU552" i="1"/>
  <c r="AV439" i="1"/>
  <c r="AV275" i="1"/>
  <c r="AU246" i="1"/>
  <c r="AU101" i="1"/>
  <c r="AV101" i="1"/>
  <c r="AW101" i="1"/>
  <c r="AW608" i="1"/>
  <c r="AU902" i="1"/>
  <c r="AU843" i="1"/>
  <c r="AU759" i="1"/>
  <c r="AU667" i="1"/>
  <c r="AU644" i="1"/>
  <c r="AU619" i="1"/>
  <c r="AU602" i="1"/>
  <c r="AU579" i="1"/>
  <c r="AU428" i="1"/>
  <c r="AU325" i="1"/>
  <c r="AU164" i="1"/>
  <c r="AU122" i="1"/>
  <c r="AU84" i="1"/>
  <c r="AU848" i="1"/>
  <c r="AW808" i="1"/>
  <c r="AU547" i="1"/>
  <c r="AU542" i="1"/>
  <c r="AV409" i="1"/>
  <c r="AW409" i="1"/>
  <c r="AW960" i="1"/>
  <c r="AV806" i="1"/>
  <c r="AV959" i="1"/>
  <c r="AU853" i="1"/>
  <c r="AV808" i="1"/>
  <c r="AW719" i="1"/>
  <c r="AU702" i="1"/>
  <c r="AU597" i="1"/>
  <c r="AW574" i="1"/>
  <c r="AU512" i="1"/>
  <c r="AU461" i="1"/>
  <c r="AW397" i="1"/>
  <c r="AU397" i="1"/>
  <c r="AV357" i="1"/>
  <c r="AU295" i="1"/>
  <c r="AV295" i="1"/>
  <c r="AW295" i="1"/>
  <c r="AU223" i="1"/>
  <c r="AV223" i="1"/>
  <c r="AW223" i="1"/>
  <c r="AU189" i="1"/>
  <c r="AU577" i="1"/>
  <c r="AW916" i="1"/>
  <c r="AV924" i="1"/>
  <c r="AW866" i="1"/>
  <c r="AV811" i="1"/>
  <c r="AW893" i="1"/>
  <c r="AU897" i="1"/>
  <c r="AV914" i="1"/>
  <c r="AW906" i="1"/>
  <c r="AU892" i="1"/>
  <c r="AU858" i="1"/>
  <c r="AW679" i="1"/>
  <c r="AU662" i="1"/>
  <c r="AU627" i="1"/>
  <c r="AW583" i="1"/>
  <c r="AU517" i="1"/>
  <c r="AU507" i="1"/>
  <c r="AV402" i="1"/>
  <c r="AU362" i="1"/>
  <c r="AV362" i="1"/>
  <c r="AU330" i="1"/>
  <c r="AV330" i="1"/>
  <c r="AV301" i="1"/>
  <c r="AU274" i="1"/>
  <c r="AU163" i="1"/>
  <c r="AV163" i="1"/>
  <c r="AW163" i="1"/>
  <c r="AU149" i="1"/>
  <c r="AU144" i="1"/>
  <c r="AU105" i="1"/>
  <c r="AW94" i="1"/>
  <c r="AU293" i="1"/>
  <c r="AU137" i="1"/>
  <c r="AV137" i="1"/>
  <c r="AW137" i="1"/>
  <c r="AW886" i="1"/>
  <c r="AW876" i="1"/>
  <c r="AU868" i="1"/>
  <c r="AU863" i="1"/>
  <c r="AU780" i="1"/>
  <c r="AU683" i="1"/>
  <c r="AW674" i="1"/>
  <c r="AU639" i="1"/>
  <c r="AU614" i="1"/>
  <c r="AU569" i="1"/>
  <c r="AU402" i="1"/>
  <c r="AW402" i="1"/>
  <c r="AU319" i="1"/>
  <c r="AV319" i="1"/>
  <c r="AV250" i="1"/>
  <c r="AW250" i="1"/>
  <c r="AU629" i="1"/>
  <c r="AW968" i="1"/>
  <c r="AU832" i="1"/>
  <c r="AU822" i="1"/>
  <c r="AW789" i="1"/>
  <c r="AW731" i="1"/>
  <c r="AW718" i="1"/>
  <c r="AW678" i="1"/>
  <c r="AU657" i="1"/>
  <c r="AU596" i="1"/>
  <c r="AW578" i="1"/>
  <c r="AU502" i="1"/>
  <c r="AW414" i="1"/>
  <c r="AW373" i="1"/>
  <c r="AU188" i="1"/>
  <c r="AV188" i="1"/>
  <c r="AW188" i="1"/>
  <c r="AU9" i="1"/>
  <c r="AV9" i="1"/>
  <c r="AW9" i="1"/>
  <c r="AU564" i="1"/>
  <c r="AU497" i="1"/>
  <c r="AU367" i="1"/>
  <c r="AV367" i="1"/>
  <c r="AW335" i="1"/>
  <c r="AU335" i="1"/>
  <c r="AV335" i="1"/>
  <c r="AU183" i="1"/>
  <c r="AU168" i="1"/>
  <c r="AU116" i="1"/>
  <c r="AW116" i="1"/>
  <c r="AU19" i="1"/>
  <c r="AV19" i="1"/>
  <c r="AW19" i="1"/>
  <c r="AV913" i="1"/>
  <c r="AU692" i="1"/>
  <c r="AU652" i="1"/>
  <c r="AU622" i="1"/>
  <c r="AU193" i="1"/>
  <c r="AW193" i="1"/>
  <c r="AU178" i="1"/>
  <c r="AV178" i="1"/>
  <c r="AW178" i="1"/>
  <c r="AU148" i="1"/>
  <c r="AV971" i="1"/>
  <c r="AV952" i="1"/>
  <c r="AW913" i="1"/>
  <c r="AU882" i="1"/>
  <c r="AW798" i="1"/>
  <c r="AU634" i="1"/>
  <c r="AU609" i="1"/>
  <c r="AU582" i="1"/>
  <c r="AU559" i="1"/>
  <c r="AW501" i="1"/>
  <c r="AU372" i="1"/>
  <c r="AV372" i="1"/>
  <c r="AU350" i="1"/>
  <c r="AU255" i="1"/>
  <c r="AU227" i="1"/>
  <c r="AV227" i="1"/>
  <c r="AV120" i="1"/>
  <c r="AU496" i="1"/>
  <c r="AW496" i="1"/>
  <c r="AU918" i="1"/>
  <c r="AV916" i="1"/>
  <c r="AV886" i="1"/>
  <c r="AU877" i="1"/>
  <c r="AU779" i="1"/>
  <c r="AU647" i="1"/>
  <c r="AU591" i="1"/>
  <c r="AW491" i="1"/>
  <c r="AW486" i="1"/>
  <c r="AV400" i="1"/>
  <c r="AW400" i="1"/>
  <c r="AW350" i="1"/>
  <c r="AU203" i="1"/>
  <c r="AV203" i="1"/>
  <c r="AW203" i="1"/>
  <c r="AW198" i="1"/>
  <c r="AU109" i="1"/>
  <c r="AU24" i="1"/>
  <c r="AW24" i="1"/>
  <c r="AW301" i="1"/>
  <c r="AW265" i="1"/>
  <c r="AU245" i="1"/>
  <c r="AU200" i="1"/>
  <c r="AV183" i="1"/>
  <c r="AU146" i="1"/>
  <c r="AU89" i="1"/>
  <c r="AU482" i="1"/>
  <c r="AV462" i="1"/>
  <c r="AU430" i="1"/>
  <c r="AU363" i="1"/>
  <c r="AU235" i="1"/>
  <c r="AU217" i="1"/>
  <c r="AU195" i="1"/>
  <c r="AU175" i="1"/>
  <c r="AU160" i="1"/>
  <c r="AU142" i="1"/>
  <c r="AW84" i="1"/>
  <c r="AU37" i="1"/>
  <c r="AU373" i="1"/>
  <c r="AU368" i="1"/>
  <c r="AU296" i="1"/>
  <c r="AU288" i="1"/>
  <c r="AV274" i="1"/>
  <c r="AU257" i="1"/>
  <c r="AU213" i="1"/>
  <c r="AU187" i="1"/>
  <c r="AV129" i="1"/>
  <c r="AV124" i="1"/>
  <c r="AV75" i="1"/>
  <c r="AW20" i="1"/>
  <c r="AU12" i="1"/>
  <c r="AU156" i="1"/>
  <c r="AV149" i="1"/>
  <c r="AW62" i="1"/>
  <c r="AV425" i="1"/>
  <c r="AW392" i="1"/>
  <c r="AU244" i="1"/>
  <c r="AU167" i="1"/>
  <c r="AU134" i="1"/>
  <c r="AW79" i="1"/>
  <c r="AV62" i="1"/>
  <c r="AU3" i="1"/>
  <c r="AU305" i="1"/>
  <c r="AU221" i="1"/>
  <c r="AU207" i="1"/>
  <c r="AU190" i="1"/>
  <c r="AW128" i="1"/>
  <c r="AW123" i="1"/>
  <c r="AV84" i="1"/>
  <c r="AV79" i="1"/>
  <c r="AV70" i="1"/>
  <c r="AU32" i="1"/>
  <c r="AU174" i="1"/>
  <c r="AU159" i="1"/>
  <c r="AU145" i="1"/>
  <c r="AV105" i="1"/>
  <c r="AW287" i="1"/>
  <c r="AW282" i="1"/>
  <c r="AU247" i="1"/>
  <c r="AU170" i="1"/>
  <c r="AV148" i="1"/>
  <c r="AV74" i="1"/>
  <c r="AV57" i="1"/>
  <c r="AU466" i="1"/>
  <c r="AU400" i="1"/>
  <c r="AU206" i="1"/>
  <c r="AU155" i="1"/>
  <c r="AW91" i="1"/>
  <c r="AW39" i="1"/>
  <c r="AW276" i="1"/>
  <c r="AW173" i="1"/>
  <c r="AV166" i="1"/>
  <c r="AW158" i="1"/>
  <c r="AU27" i="1"/>
  <c r="AU454" i="1"/>
  <c r="AU439" i="1"/>
  <c r="AU409" i="1"/>
  <c r="AU340" i="1"/>
  <c r="AU259" i="1"/>
  <c r="AU224" i="1"/>
  <c r="AU185" i="1"/>
  <c r="AU151" i="1"/>
  <c r="AU132" i="1"/>
  <c r="AV104" i="1"/>
  <c r="AU100" i="1"/>
  <c r="AV86" i="1"/>
  <c r="AU82" i="1"/>
  <c r="AU43" i="1"/>
  <c r="AW255" i="1"/>
  <c r="AV144" i="1"/>
  <c r="AU419" i="1"/>
  <c r="AW246" i="1"/>
  <c r="AU205" i="1"/>
  <c r="AU47" i="1"/>
  <c r="AU592" i="1"/>
  <c r="AU567" i="1"/>
  <c r="AU537" i="1"/>
  <c r="AU165" i="1"/>
  <c r="AU22" i="1"/>
  <c r="AU554" i="1"/>
  <c r="AU492" i="1"/>
  <c r="AW453" i="1"/>
  <c r="AW240" i="1"/>
  <c r="AW228" i="1"/>
  <c r="AU532" i="1"/>
  <c r="AV312" i="1"/>
  <c r="AU254" i="1"/>
  <c r="AW245" i="1"/>
  <c r="AV240" i="1"/>
  <c r="AU184" i="1"/>
  <c r="AU180" i="1"/>
  <c r="AW168" i="1"/>
  <c r="AW29" i="1"/>
  <c r="AW4" i="1"/>
  <c r="AV325" i="1"/>
  <c r="AU317" i="1"/>
  <c r="AU307" i="1"/>
  <c r="AW302" i="1"/>
  <c r="AV293" i="1"/>
  <c r="AU266" i="1"/>
  <c r="AV245" i="1"/>
  <c r="AV168" i="1"/>
  <c r="AW153" i="1"/>
  <c r="AU150" i="1"/>
  <c r="AV146" i="1"/>
  <c r="AV125" i="1"/>
  <c r="AW102" i="1"/>
  <c r="AU42" i="1"/>
  <c r="AW25" i="1"/>
  <c r="AV4" i="1"/>
  <c r="AU612" i="1"/>
  <c r="AU587" i="1"/>
  <c r="AU562" i="1"/>
  <c r="AU527" i="1"/>
  <c r="AU487" i="1"/>
  <c r="AW312" i="1"/>
  <c r="AU297" i="1"/>
  <c r="AW258" i="1"/>
  <c r="AW235" i="1"/>
  <c r="AU218" i="1"/>
  <c r="AW213" i="1"/>
  <c r="AW142" i="1"/>
  <c r="AU85" i="1"/>
  <c r="AU72" i="1"/>
  <c r="AV37" i="1"/>
  <c r="AV953" i="1"/>
  <c r="AW953" i="1"/>
  <c r="AU948" i="1"/>
  <c r="AU911" i="1"/>
  <c r="AV911" i="1"/>
  <c r="AU953" i="1"/>
  <c r="AV963" i="1"/>
  <c r="AU958" i="1"/>
  <c r="AV958" i="1"/>
  <c r="AW958" i="1"/>
  <c r="AU931" i="1"/>
  <c r="AV931" i="1"/>
  <c r="AU938" i="1"/>
  <c r="AU966" i="1"/>
  <c r="AU921" i="1"/>
  <c r="AV921" i="1"/>
  <c r="AU946" i="1"/>
  <c r="AV946" i="1"/>
  <c r="AU961" i="1"/>
  <c r="AV961" i="1"/>
  <c r="AU945" i="1"/>
  <c r="AV945" i="1"/>
  <c r="AW945" i="1"/>
  <c r="AU955" i="1"/>
  <c r="AV955" i="1"/>
  <c r="AW955" i="1"/>
  <c r="AU963" i="1"/>
  <c r="AV960" i="1"/>
  <c r="AU954" i="1"/>
  <c r="AW954" i="1"/>
  <c r="AV941" i="1"/>
  <c r="AV928" i="1"/>
  <c r="AV925" i="1"/>
  <c r="AW901" i="1"/>
  <c r="AU901" i="1"/>
  <c r="AU875" i="1"/>
  <c r="AW875" i="1"/>
  <c r="AU860" i="1"/>
  <c r="AV860" i="1"/>
  <c r="AW860" i="1"/>
  <c r="AU810" i="1"/>
  <c r="AV810" i="1"/>
  <c r="AW810" i="1"/>
  <c r="AU773" i="1"/>
  <c r="AV773" i="1"/>
  <c r="AW773" i="1"/>
  <c r="AU764" i="1"/>
  <c r="AW951" i="1"/>
  <c r="AU904" i="1"/>
  <c r="AV904" i="1"/>
  <c r="AW904" i="1"/>
  <c r="AU888" i="1"/>
  <c r="AV888" i="1"/>
  <c r="AW888" i="1"/>
  <c r="AU879" i="1"/>
  <c r="AV879" i="1"/>
  <c r="AW879" i="1"/>
  <c r="AU870" i="1"/>
  <c r="AW870" i="1"/>
  <c r="AU865" i="1"/>
  <c r="AV865" i="1"/>
  <c r="AW865" i="1"/>
  <c r="AU805" i="1"/>
  <c r="AV805" i="1"/>
  <c r="AW805" i="1"/>
  <c r="AU972" i="1"/>
  <c r="AU969" i="1"/>
  <c r="AU957" i="1"/>
  <c r="AW957" i="1"/>
  <c r="AU874" i="1"/>
  <c r="AV874" i="1"/>
  <c r="AW874" i="1"/>
  <c r="AU859" i="1"/>
  <c r="AU828" i="1"/>
  <c r="AV828" i="1"/>
  <c r="AW828" i="1"/>
  <c r="AU809" i="1"/>
  <c r="AW966" i="1"/>
  <c r="AU869" i="1"/>
  <c r="AV869" i="1"/>
  <c r="AW869" i="1"/>
  <c r="AU864" i="1"/>
  <c r="AV864" i="1"/>
  <c r="AW864" i="1"/>
  <c r="AU781" i="1"/>
  <c r="AV781" i="1"/>
  <c r="AW781" i="1"/>
  <c r="AU724" i="1"/>
  <c r="AV724" i="1"/>
  <c r="AW724" i="1"/>
  <c r="AU944" i="1"/>
  <c r="AW944" i="1"/>
  <c r="AW941" i="1"/>
  <c r="AW903" i="1"/>
  <c r="AU883" i="1"/>
  <c r="AV883" i="1"/>
  <c r="AW883" i="1"/>
  <c r="AU786" i="1"/>
  <c r="AV786" i="1"/>
  <c r="AW786" i="1"/>
  <c r="AV950" i="1"/>
  <c r="AU924" i="1"/>
  <c r="AW924" i="1"/>
  <c r="AW921" i="1"/>
  <c r="AV903" i="1"/>
  <c r="AU900" i="1"/>
  <c r="AW900" i="1"/>
  <c r="AW896" i="1"/>
  <c r="AU896" i="1"/>
  <c r="AU796" i="1"/>
  <c r="AU754" i="1"/>
  <c r="AU947" i="1"/>
  <c r="AW947" i="1"/>
  <c r="AU934" i="1"/>
  <c r="AW934" i="1"/>
  <c r="AW931" i="1"/>
  <c r="AU914" i="1"/>
  <c r="AW914" i="1"/>
  <c r="AW911" i="1"/>
  <c r="AU878" i="1"/>
  <c r="AV878" i="1"/>
  <c r="AW878" i="1"/>
  <c r="AU937" i="1"/>
  <c r="AV937" i="1"/>
  <c r="AW937" i="1"/>
  <c r="AU917" i="1"/>
  <c r="AV917" i="1"/>
  <c r="AW917" i="1"/>
  <c r="AU899" i="1"/>
  <c r="AV899" i="1"/>
  <c r="AW899" i="1"/>
  <c r="AU873" i="1"/>
  <c r="AV873" i="1"/>
  <c r="AW873" i="1"/>
  <c r="AU837" i="1"/>
  <c r="AU827" i="1"/>
  <c r="AU790" i="1"/>
  <c r="AW790" i="1"/>
  <c r="AV790" i="1"/>
  <c r="AU959" i="1"/>
  <c r="AW959" i="1"/>
  <c r="AU842" i="1"/>
  <c r="AU749" i="1"/>
  <c r="AV749" i="1"/>
  <c r="AW749" i="1"/>
  <c r="AW971" i="1"/>
  <c r="AU962" i="1"/>
  <c r="AW962" i="1"/>
  <c r="AW956" i="1"/>
  <c r="AU927" i="1"/>
  <c r="AV927" i="1"/>
  <c r="AW927" i="1"/>
  <c r="AW891" i="1"/>
  <c r="AU847" i="1"/>
  <c r="AU799" i="1"/>
  <c r="AU795" i="1"/>
  <c r="AV795" i="1"/>
  <c r="AW795" i="1"/>
  <c r="AU776" i="1"/>
  <c r="AU895" i="1"/>
  <c r="AW895" i="1"/>
  <c r="AU936" i="1"/>
  <c r="AU916" i="1"/>
  <c r="AU910" i="1"/>
  <c r="AW910" i="1"/>
  <c r="AU872" i="1"/>
  <c r="AU857" i="1"/>
  <c r="AW836" i="1"/>
  <c r="AW826" i="1"/>
  <c r="AU817" i="1"/>
  <c r="AU784" i="1"/>
  <c r="AU949" i="1"/>
  <c r="AW949" i="1"/>
  <c r="AV926" i="1"/>
  <c r="AU894" i="1"/>
  <c r="AV894" i="1"/>
  <c r="AW894" i="1"/>
  <c r="AU867" i="1"/>
  <c r="AU862" i="1"/>
  <c r="AW841" i="1"/>
  <c r="AW946" i="1"/>
  <c r="AW846" i="1"/>
  <c r="AW831" i="1"/>
  <c r="AW821" i="1"/>
  <c r="AU812" i="1"/>
  <c r="AU739" i="1"/>
  <c r="AV739" i="1"/>
  <c r="AW739" i="1"/>
  <c r="AU952" i="1"/>
  <c r="AW952" i="1"/>
  <c r="AU939" i="1"/>
  <c r="AW939" i="1"/>
  <c r="AU919" i="1"/>
  <c r="AW919" i="1"/>
  <c r="AU909" i="1"/>
  <c r="AW909" i="1"/>
  <c r="AU890" i="1"/>
  <c r="AW890" i="1"/>
  <c r="AW881" i="1"/>
  <c r="AW851" i="1"/>
  <c r="AU807" i="1"/>
  <c r="AU783" i="1"/>
  <c r="AV783" i="1"/>
  <c r="AW783" i="1"/>
  <c r="AU964" i="1"/>
  <c r="AW964" i="1"/>
  <c r="AW948" i="1"/>
  <c r="AU835" i="1"/>
  <c r="AV835" i="1"/>
  <c r="AW835" i="1"/>
  <c r="AU825" i="1"/>
  <c r="AV825" i="1"/>
  <c r="AW825" i="1"/>
  <c r="AW816" i="1"/>
  <c r="AU967" i="1"/>
  <c r="AW967" i="1"/>
  <c r="AW961" i="1"/>
  <c r="AV948" i="1"/>
  <c r="AU929" i="1"/>
  <c r="AW929" i="1"/>
  <c r="AW926" i="1"/>
  <c r="AU889" i="1"/>
  <c r="AV889" i="1"/>
  <c r="AW889" i="1"/>
  <c r="AW871" i="1"/>
  <c r="AW861" i="1"/>
  <c r="AU840" i="1"/>
  <c r="AV840" i="1"/>
  <c r="AW840" i="1"/>
  <c r="AW811" i="1"/>
  <c r="AU774" i="1"/>
  <c r="AV774" i="1"/>
  <c r="AW774" i="1"/>
  <c r="AV951" i="1"/>
  <c r="AU942" i="1"/>
  <c r="AV942" i="1"/>
  <c r="AW942" i="1"/>
  <c r="AW938" i="1"/>
  <c r="AW918" i="1"/>
  <c r="AW908" i="1"/>
  <c r="AV901" i="1"/>
  <c r="AU885" i="1"/>
  <c r="AW885" i="1"/>
  <c r="AU845" i="1"/>
  <c r="AV845" i="1"/>
  <c r="AW845" i="1"/>
  <c r="AU834" i="1"/>
  <c r="AU830" i="1"/>
  <c r="AV830" i="1"/>
  <c r="AW830" i="1"/>
  <c r="AU824" i="1"/>
  <c r="AU820" i="1"/>
  <c r="AV820" i="1"/>
  <c r="AW820" i="1"/>
  <c r="AW806" i="1"/>
  <c r="AW972" i="1"/>
  <c r="AW963" i="1"/>
  <c r="AU951" i="1"/>
  <c r="AV938" i="1"/>
  <c r="AU922" i="1"/>
  <c r="AV922" i="1"/>
  <c r="AW922" i="1"/>
  <c r="AV918" i="1"/>
  <c r="AV908" i="1"/>
  <c r="AU893" i="1"/>
  <c r="AV893" i="1"/>
  <c r="AV875" i="1"/>
  <c r="AU850" i="1"/>
  <c r="AV850" i="1"/>
  <c r="AW850" i="1"/>
  <c r="AV972" i="1"/>
  <c r="AW969" i="1"/>
  <c r="AV966" i="1"/>
  <c r="AV957" i="1"/>
  <c r="AV954" i="1"/>
  <c r="AU932" i="1"/>
  <c r="AV932" i="1"/>
  <c r="AW932" i="1"/>
  <c r="AW925" i="1"/>
  <c r="AU912" i="1"/>
  <c r="AV912" i="1"/>
  <c r="AW912" i="1"/>
  <c r="AU905" i="1"/>
  <c r="AW905" i="1"/>
  <c r="AU884" i="1"/>
  <c r="AV884" i="1"/>
  <c r="AW884" i="1"/>
  <c r="AU880" i="1"/>
  <c r="AW880" i="1"/>
  <c r="AV870" i="1"/>
  <c r="AU855" i="1"/>
  <c r="AV855" i="1"/>
  <c r="AW855" i="1"/>
  <c r="AU844" i="1"/>
  <c r="AU829" i="1"/>
  <c r="AU819" i="1"/>
  <c r="AU815" i="1"/>
  <c r="AV815" i="1"/>
  <c r="AW815" i="1"/>
  <c r="AW769" i="1"/>
  <c r="AV766" i="1"/>
  <c r="AW759" i="1"/>
  <c r="AV756" i="1"/>
  <c r="AV746" i="1"/>
  <c r="AV736" i="1"/>
  <c r="AU689" i="1"/>
  <c r="AU685" i="1"/>
  <c r="AV685" i="1"/>
  <c r="AW685" i="1"/>
  <c r="AU676" i="1"/>
  <c r="AV676" i="1"/>
  <c r="AW676" i="1"/>
  <c r="AU650" i="1"/>
  <c r="AV650" i="1"/>
  <c r="AW650" i="1"/>
  <c r="AU620" i="1"/>
  <c r="AV620" i="1"/>
  <c r="AW620" i="1"/>
  <c r="AU595" i="1"/>
  <c r="AV595" i="1"/>
  <c r="AW595" i="1"/>
  <c r="AU570" i="1"/>
  <c r="AV570" i="1"/>
  <c r="AW570" i="1"/>
  <c r="AU545" i="1"/>
  <c r="AV545" i="1"/>
  <c r="AW545" i="1"/>
  <c r="AU500" i="1"/>
  <c r="AV500" i="1"/>
  <c r="AW500" i="1"/>
  <c r="AU468" i="1"/>
  <c r="AV468" i="1"/>
  <c r="AW468" i="1"/>
  <c r="AU452" i="1"/>
  <c r="AV452" i="1"/>
  <c r="AW452" i="1"/>
  <c r="AU891" i="1"/>
  <c r="AU886" i="1"/>
  <c r="AU881" i="1"/>
  <c r="AU876" i="1"/>
  <c r="AU871" i="1"/>
  <c r="AU866" i="1"/>
  <c r="AU861" i="1"/>
  <c r="AU856" i="1"/>
  <c r="AU851" i="1"/>
  <c r="AU846" i="1"/>
  <c r="AU841" i="1"/>
  <c r="AU836" i="1"/>
  <c r="AU831" i="1"/>
  <c r="AU826" i="1"/>
  <c r="AU821" i="1"/>
  <c r="AU816" i="1"/>
  <c r="AU811" i="1"/>
  <c r="AU806" i="1"/>
  <c r="AU801" i="1"/>
  <c r="AV784" i="1"/>
  <c r="AV769" i="1"/>
  <c r="AU766" i="1"/>
  <c r="AV759" i="1"/>
  <c r="AU756" i="1"/>
  <c r="AU746" i="1"/>
  <c r="AU736" i="1"/>
  <c r="AU714" i="1"/>
  <c r="AV714" i="1"/>
  <c r="AU706" i="1"/>
  <c r="AW706" i="1"/>
  <c r="AU508" i="1"/>
  <c r="AV508" i="1"/>
  <c r="AW508" i="1"/>
  <c r="AU462" i="1"/>
  <c r="AU422" i="1"/>
  <c r="AV422" i="1"/>
  <c r="AW422" i="1"/>
  <c r="AU722" i="1"/>
  <c r="AU710" i="1"/>
  <c r="AV710" i="1"/>
  <c r="AW710" i="1"/>
  <c r="AU645" i="1"/>
  <c r="AV645" i="1"/>
  <c r="AW645" i="1"/>
  <c r="AU540" i="1"/>
  <c r="AV540" i="1"/>
  <c r="AW540" i="1"/>
  <c r="AU383" i="1"/>
  <c r="AV383" i="1"/>
  <c r="AW383" i="1"/>
  <c r="AW868" i="1"/>
  <c r="AW863" i="1"/>
  <c r="AW858" i="1"/>
  <c r="AW853" i="1"/>
  <c r="AW848" i="1"/>
  <c r="AW843" i="1"/>
  <c r="AW838" i="1"/>
  <c r="AU787" i="1"/>
  <c r="AV787" i="1"/>
  <c r="AW787" i="1"/>
  <c r="AU684" i="1"/>
  <c r="AU680" i="1"/>
  <c r="AV680" i="1"/>
  <c r="AW680" i="1"/>
  <c r="AU495" i="1"/>
  <c r="AV495" i="1"/>
  <c r="AW495" i="1"/>
  <c r="AU477" i="1"/>
  <c r="AV430" i="1"/>
  <c r="AW430" i="1"/>
  <c r="AV868" i="1"/>
  <c r="AV863" i="1"/>
  <c r="AV858" i="1"/>
  <c r="AV853" i="1"/>
  <c r="AV848" i="1"/>
  <c r="AV843" i="1"/>
  <c r="AV838" i="1"/>
  <c r="AU640" i="1"/>
  <c r="AV640" i="1"/>
  <c r="AW640" i="1"/>
  <c r="AU615" i="1"/>
  <c r="AV615" i="1"/>
  <c r="AW615" i="1"/>
  <c r="AU590" i="1"/>
  <c r="AV590" i="1"/>
  <c r="AW590" i="1"/>
  <c r="AU565" i="1"/>
  <c r="AV565" i="1"/>
  <c r="AW565" i="1"/>
  <c r="AU535" i="1"/>
  <c r="AV535" i="1"/>
  <c r="AW535" i="1"/>
  <c r="AU503" i="1"/>
  <c r="AV503" i="1"/>
  <c r="AW503" i="1"/>
  <c r="AU472" i="1"/>
  <c r="AU405" i="1"/>
  <c r="AU725" i="1"/>
  <c r="AV725" i="1"/>
  <c r="AW725" i="1"/>
  <c r="AU701" i="1"/>
  <c r="AV701" i="1"/>
  <c r="AW701" i="1"/>
  <c r="AU697" i="1"/>
  <c r="AU481" i="1"/>
  <c r="AV481" i="1"/>
  <c r="AW481" i="1"/>
  <c r="AU467" i="1"/>
  <c r="AU445" i="1"/>
  <c r="AV388" i="1"/>
  <c r="AW388" i="1"/>
  <c r="AV789" i="1"/>
  <c r="AU775" i="1"/>
  <c r="AV775" i="1"/>
  <c r="AU772" i="1"/>
  <c r="AV772" i="1"/>
  <c r="AW772" i="1"/>
  <c r="AU762" i="1"/>
  <c r="AV762" i="1"/>
  <c r="AW762" i="1"/>
  <c r="AU752" i="1"/>
  <c r="AV752" i="1"/>
  <c r="AW752" i="1"/>
  <c r="AU742" i="1"/>
  <c r="AV742" i="1"/>
  <c r="AW742" i="1"/>
  <c r="AU732" i="1"/>
  <c r="AV732" i="1"/>
  <c r="AW732" i="1"/>
  <c r="AU721" i="1"/>
  <c r="AW721" i="1"/>
  <c r="AU709" i="1"/>
  <c r="AV709" i="1"/>
  <c r="AU679" i="1"/>
  <c r="AU675" i="1"/>
  <c r="AV675" i="1"/>
  <c r="AW675" i="1"/>
  <c r="AU530" i="1"/>
  <c r="AV530" i="1"/>
  <c r="AW530" i="1"/>
  <c r="AU490" i="1"/>
  <c r="AV490" i="1"/>
  <c r="AW490" i="1"/>
  <c r="AU476" i="1"/>
  <c r="AV476" i="1"/>
  <c r="AW476" i="1"/>
  <c r="AV455" i="1"/>
  <c r="AW455" i="1"/>
  <c r="AV435" i="1"/>
  <c r="AW435" i="1"/>
  <c r="AU717" i="1"/>
  <c r="AU705" i="1"/>
  <c r="AV705" i="1"/>
  <c r="AW705" i="1"/>
  <c r="AU543" i="1"/>
  <c r="AV543" i="1"/>
  <c r="AW543" i="1"/>
  <c r="AU498" i="1"/>
  <c r="AV498" i="1"/>
  <c r="AW498" i="1"/>
  <c r="AU471" i="1"/>
  <c r="AV471" i="1"/>
  <c r="AW471" i="1"/>
  <c r="AV450" i="1"/>
  <c r="AW450" i="1"/>
  <c r="AU410" i="1"/>
  <c r="AV410" i="1"/>
  <c r="AW410" i="1"/>
  <c r="AU792" i="1"/>
  <c r="AV792" i="1"/>
  <c r="AW792" i="1"/>
  <c r="AU765" i="1"/>
  <c r="AV765" i="1"/>
  <c r="AW765" i="1"/>
  <c r="AU755" i="1"/>
  <c r="AV755" i="1"/>
  <c r="AW755" i="1"/>
  <c r="AU745" i="1"/>
  <c r="AV745" i="1"/>
  <c r="AW745" i="1"/>
  <c r="AU735" i="1"/>
  <c r="AV735" i="1"/>
  <c r="AW735" i="1"/>
  <c r="AU696" i="1"/>
  <c r="AV696" i="1"/>
  <c r="AW696" i="1"/>
  <c r="AU635" i="1"/>
  <c r="AV635" i="1"/>
  <c r="AW635" i="1"/>
  <c r="AU610" i="1"/>
  <c r="AV610" i="1"/>
  <c r="AW610" i="1"/>
  <c r="AU585" i="1"/>
  <c r="AV585" i="1"/>
  <c r="AW585" i="1"/>
  <c r="AU560" i="1"/>
  <c r="AV560" i="1"/>
  <c r="AW560" i="1"/>
  <c r="AU525" i="1"/>
  <c r="AV525" i="1"/>
  <c r="AW525" i="1"/>
  <c r="AV460" i="1"/>
  <c r="AW460" i="1"/>
  <c r="AU450" i="1"/>
  <c r="AU415" i="1"/>
  <c r="AV415" i="1"/>
  <c r="AW415" i="1"/>
  <c r="AU768" i="1"/>
  <c r="AV768" i="1"/>
  <c r="AU758" i="1"/>
  <c r="AV758" i="1"/>
  <c r="AU538" i="1"/>
  <c r="AV538" i="1"/>
  <c r="AW538" i="1"/>
  <c r="AU485" i="1"/>
  <c r="AV485" i="1"/>
  <c r="AW485" i="1"/>
  <c r="AU460" i="1"/>
  <c r="AU444" i="1"/>
  <c r="AV444" i="1"/>
  <c r="AW444" i="1"/>
  <c r="AW794" i="1"/>
  <c r="AV771" i="1"/>
  <c r="AW764" i="1"/>
  <c r="AV761" i="1"/>
  <c r="AW754" i="1"/>
  <c r="AV751" i="1"/>
  <c r="AW744" i="1"/>
  <c r="AV741" i="1"/>
  <c r="AW734" i="1"/>
  <c r="AV731" i="1"/>
  <c r="AU674" i="1"/>
  <c r="AU670" i="1"/>
  <c r="AV670" i="1"/>
  <c r="AW670" i="1"/>
  <c r="AU520" i="1"/>
  <c r="AV520" i="1"/>
  <c r="AW520" i="1"/>
  <c r="AU493" i="1"/>
  <c r="AV493" i="1"/>
  <c r="AW493" i="1"/>
  <c r="AU480" i="1"/>
  <c r="AV480" i="1"/>
  <c r="AW480" i="1"/>
  <c r="AU420" i="1"/>
  <c r="AV420" i="1"/>
  <c r="AW420" i="1"/>
  <c r="AW907" i="1"/>
  <c r="AW902" i="1"/>
  <c r="AW897" i="1"/>
  <c r="AW892" i="1"/>
  <c r="AW887" i="1"/>
  <c r="AW882" i="1"/>
  <c r="AW877" i="1"/>
  <c r="AW872" i="1"/>
  <c r="AW867" i="1"/>
  <c r="AW862" i="1"/>
  <c r="AW857" i="1"/>
  <c r="AW852" i="1"/>
  <c r="AW847" i="1"/>
  <c r="AW842" i="1"/>
  <c r="AW837" i="1"/>
  <c r="AW832" i="1"/>
  <c r="AW827" i="1"/>
  <c r="AW822" i="1"/>
  <c r="AW817" i="1"/>
  <c r="AW812" i="1"/>
  <c r="AW807" i="1"/>
  <c r="AW802" i="1"/>
  <c r="AV794" i="1"/>
  <c r="AW791" i="1"/>
  <c r="AV764" i="1"/>
  <c r="AV754" i="1"/>
  <c r="AV744" i="1"/>
  <c r="AV734" i="1"/>
  <c r="AU716" i="1"/>
  <c r="AW716" i="1"/>
  <c r="AU704" i="1"/>
  <c r="AU700" i="1"/>
  <c r="AV700" i="1"/>
  <c r="AW700" i="1"/>
  <c r="AU691" i="1"/>
  <c r="AV691" i="1"/>
  <c r="AW691" i="1"/>
  <c r="AU687" i="1"/>
  <c r="AU533" i="1"/>
  <c r="AV533" i="1"/>
  <c r="AW533" i="1"/>
  <c r="AU475" i="1"/>
  <c r="AV475" i="1"/>
  <c r="AW475" i="1"/>
  <c r="AU465" i="1"/>
  <c r="AV465" i="1"/>
  <c r="AW465" i="1"/>
  <c r="AU443" i="1"/>
  <c r="AV443" i="1"/>
  <c r="AW443" i="1"/>
  <c r="AV907" i="1"/>
  <c r="AV902" i="1"/>
  <c r="AV897" i="1"/>
  <c r="AV892" i="1"/>
  <c r="AV887" i="1"/>
  <c r="AV882" i="1"/>
  <c r="AV877" i="1"/>
  <c r="AV872" i="1"/>
  <c r="AV867" i="1"/>
  <c r="AV862" i="1"/>
  <c r="AV857" i="1"/>
  <c r="AV852" i="1"/>
  <c r="AV847" i="1"/>
  <c r="AV842" i="1"/>
  <c r="AV837" i="1"/>
  <c r="AV832" i="1"/>
  <c r="AV827" i="1"/>
  <c r="AV822" i="1"/>
  <c r="AV817" i="1"/>
  <c r="AV812" i="1"/>
  <c r="AV807" i="1"/>
  <c r="AV802" i="1"/>
  <c r="AV791" i="1"/>
  <c r="AU720" i="1"/>
  <c r="AV720" i="1"/>
  <c r="AW720" i="1"/>
  <c r="AU630" i="1"/>
  <c r="AV630" i="1"/>
  <c r="AW630" i="1"/>
  <c r="AU605" i="1"/>
  <c r="AV605" i="1"/>
  <c r="AW605" i="1"/>
  <c r="AU580" i="1"/>
  <c r="AV580" i="1"/>
  <c r="AW580" i="1"/>
  <c r="AU555" i="1"/>
  <c r="AV555" i="1"/>
  <c r="AW555" i="1"/>
  <c r="AU515" i="1"/>
  <c r="AV515" i="1"/>
  <c r="AW515" i="1"/>
  <c r="AU470" i="1"/>
  <c r="AV470" i="1"/>
  <c r="AW470" i="1"/>
  <c r="AU449" i="1"/>
  <c r="AV449" i="1"/>
  <c r="AW449" i="1"/>
  <c r="AU403" i="1"/>
  <c r="AV403" i="1"/>
  <c r="AW403" i="1"/>
  <c r="AU395" i="1"/>
  <c r="AV395" i="1"/>
  <c r="AW395" i="1"/>
  <c r="AU797" i="1"/>
  <c r="AV797" i="1"/>
  <c r="AW797" i="1"/>
  <c r="AW788" i="1"/>
  <c r="AU777" i="1"/>
  <c r="AV777" i="1"/>
  <c r="AW777" i="1"/>
  <c r="AU669" i="1"/>
  <c r="AU665" i="1"/>
  <c r="AV665" i="1"/>
  <c r="AW665" i="1"/>
  <c r="AU528" i="1"/>
  <c r="AV528" i="1"/>
  <c r="AW528" i="1"/>
  <c r="AU488" i="1"/>
  <c r="AV488" i="1"/>
  <c r="AW488" i="1"/>
  <c r="AU459" i="1"/>
  <c r="AV459" i="1"/>
  <c r="AW459" i="1"/>
  <c r="AV788" i="1"/>
  <c r="AW785" i="1"/>
  <c r="AU699" i="1"/>
  <c r="AU695" i="1"/>
  <c r="AV695" i="1"/>
  <c r="AW695" i="1"/>
  <c r="AU686" i="1"/>
  <c r="AV686" i="1"/>
  <c r="AW686" i="1"/>
  <c r="AU682" i="1"/>
  <c r="AU510" i="1"/>
  <c r="AV510" i="1"/>
  <c r="AW510" i="1"/>
  <c r="AU448" i="1"/>
  <c r="AU433" i="1"/>
  <c r="AV433" i="1"/>
  <c r="AW433" i="1"/>
  <c r="AU408" i="1"/>
  <c r="AW859" i="1"/>
  <c r="AW854" i="1"/>
  <c r="AW849" i="1"/>
  <c r="AW844" i="1"/>
  <c r="AW839" i="1"/>
  <c r="AW834" i="1"/>
  <c r="AW829" i="1"/>
  <c r="AW824" i="1"/>
  <c r="AW819" i="1"/>
  <c r="AW814" i="1"/>
  <c r="AW809" i="1"/>
  <c r="AW804" i="1"/>
  <c r="AW799" i="1"/>
  <c r="AV785" i="1"/>
  <c r="AW779" i="1"/>
  <c r="AU727" i="1"/>
  <c r="AV727" i="1"/>
  <c r="AW727" i="1"/>
  <c r="AU523" i="1"/>
  <c r="AV523" i="1"/>
  <c r="AW523" i="1"/>
  <c r="AU413" i="1"/>
  <c r="AV413" i="1"/>
  <c r="AW413" i="1"/>
  <c r="AU398" i="1"/>
  <c r="AV398" i="1"/>
  <c r="AV859" i="1"/>
  <c r="AV854" i="1"/>
  <c r="AV849" i="1"/>
  <c r="AV844" i="1"/>
  <c r="AV839" i="1"/>
  <c r="AV834" i="1"/>
  <c r="AV829" i="1"/>
  <c r="AV824" i="1"/>
  <c r="AV819" i="1"/>
  <c r="AV814" i="1"/>
  <c r="AV809" i="1"/>
  <c r="AV804" i="1"/>
  <c r="AV799" i="1"/>
  <c r="AW796" i="1"/>
  <c r="AV779" i="1"/>
  <c r="AW776" i="1"/>
  <c r="AU767" i="1"/>
  <c r="AV767" i="1"/>
  <c r="AW767" i="1"/>
  <c r="AU757" i="1"/>
  <c r="AV757" i="1"/>
  <c r="AW757" i="1"/>
  <c r="AU747" i="1"/>
  <c r="AV747" i="1"/>
  <c r="AW747" i="1"/>
  <c r="AU737" i="1"/>
  <c r="AV737" i="1"/>
  <c r="AW737" i="1"/>
  <c r="AU719" i="1"/>
  <c r="AV719" i="1"/>
  <c r="AU711" i="1"/>
  <c r="AW711" i="1"/>
  <c r="AU660" i="1"/>
  <c r="AV660" i="1"/>
  <c r="AW660" i="1"/>
  <c r="AU625" i="1"/>
  <c r="AV625" i="1"/>
  <c r="AW625" i="1"/>
  <c r="AU600" i="1"/>
  <c r="AV600" i="1"/>
  <c r="AW600" i="1"/>
  <c r="AU575" i="1"/>
  <c r="AV575" i="1"/>
  <c r="AW575" i="1"/>
  <c r="AU550" i="1"/>
  <c r="AV550" i="1"/>
  <c r="AW550" i="1"/>
  <c r="AW464" i="1"/>
  <c r="AU464" i="1"/>
  <c r="AV464" i="1"/>
  <c r="AU458" i="1"/>
  <c r="AV458" i="1"/>
  <c r="AW458" i="1"/>
  <c r="AW442" i="1"/>
  <c r="AU427" i="1"/>
  <c r="AV427" i="1"/>
  <c r="AW427" i="1"/>
  <c r="AW398" i="1"/>
  <c r="AU380" i="1"/>
  <c r="AV380" i="1"/>
  <c r="AW380" i="1"/>
  <c r="AW375" i="1"/>
  <c r="AU375" i="1"/>
  <c r="AV375" i="1"/>
  <c r="AU365" i="1"/>
  <c r="AV365" i="1"/>
  <c r="AW365" i="1"/>
  <c r="AV796" i="1"/>
  <c r="AV776" i="1"/>
  <c r="AU715" i="1"/>
  <c r="AV715" i="1"/>
  <c r="AW715" i="1"/>
  <c r="AU707" i="1"/>
  <c r="AU694" i="1"/>
  <c r="AU690" i="1"/>
  <c r="AV690" i="1"/>
  <c r="AW690" i="1"/>
  <c r="AU681" i="1"/>
  <c r="AV681" i="1"/>
  <c r="AW681" i="1"/>
  <c r="AU677" i="1"/>
  <c r="AU518" i="1"/>
  <c r="AV518" i="1"/>
  <c r="AW518" i="1"/>
  <c r="AU505" i="1"/>
  <c r="AV505" i="1"/>
  <c r="AW505" i="1"/>
  <c r="AU483" i="1"/>
  <c r="AV483" i="1"/>
  <c r="AW483" i="1"/>
  <c r="AU453" i="1"/>
  <c r="AV453" i="1"/>
  <c r="AU438" i="1"/>
  <c r="AV438" i="1"/>
  <c r="AW438" i="1"/>
  <c r="AU432" i="1"/>
  <c r="AV432" i="1"/>
  <c r="AW432" i="1"/>
  <c r="AU418" i="1"/>
  <c r="AV418" i="1"/>
  <c r="AW418" i="1"/>
  <c r="AU407" i="1"/>
  <c r="AV407" i="1"/>
  <c r="AW407" i="1"/>
  <c r="AU385" i="1"/>
  <c r="AV385" i="1"/>
  <c r="AW385" i="1"/>
  <c r="AU370" i="1"/>
  <c r="AV370" i="1"/>
  <c r="AW370" i="1"/>
  <c r="AW793" i="1"/>
  <c r="AU782" i="1"/>
  <c r="AV782" i="1"/>
  <c r="AW782" i="1"/>
  <c r="AU770" i="1"/>
  <c r="AV770" i="1"/>
  <c r="AW770" i="1"/>
  <c r="AU760" i="1"/>
  <c r="AV760" i="1"/>
  <c r="AW760" i="1"/>
  <c r="AU750" i="1"/>
  <c r="AV750" i="1"/>
  <c r="AW750" i="1"/>
  <c r="AU740" i="1"/>
  <c r="AV740" i="1"/>
  <c r="AW740" i="1"/>
  <c r="AU730" i="1"/>
  <c r="AV730" i="1"/>
  <c r="AW730" i="1"/>
  <c r="AU655" i="1"/>
  <c r="AV655" i="1"/>
  <c r="AW655" i="1"/>
  <c r="AU478" i="1"/>
  <c r="AV478" i="1"/>
  <c r="AW478" i="1"/>
  <c r="AU457" i="1"/>
  <c r="AV457" i="1"/>
  <c r="AW457" i="1"/>
  <c r="AV447" i="1"/>
  <c r="AW447" i="1"/>
  <c r="AU763" i="1"/>
  <c r="AV763" i="1"/>
  <c r="AU753" i="1"/>
  <c r="AV753" i="1"/>
  <c r="AU726" i="1"/>
  <c r="AW726" i="1"/>
  <c r="AW714" i="1"/>
  <c r="AU513" i="1"/>
  <c r="AV513" i="1"/>
  <c r="AW513" i="1"/>
  <c r="AU473" i="1"/>
  <c r="AV473" i="1"/>
  <c r="AW473" i="1"/>
  <c r="AU463" i="1"/>
  <c r="AV463" i="1"/>
  <c r="AW463" i="1"/>
  <c r="AU437" i="1"/>
  <c r="AV412" i="1"/>
  <c r="AW412" i="1"/>
  <c r="AU393" i="1"/>
  <c r="AV393" i="1"/>
  <c r="AW393" i="1"/>
  <c r="AU431" i="1"/>
  <c r="AV431" i="1"/>
  <c r="AW431" i="1"/>
  <c r="AU361" i="1"/>
  <c r="AV361" i="1"/>
  <c r="AW361" i="1"/>
  <c r="AU338" i="1"/>
  <c r="AV338" i="1"/>
  <c r="AU289" i="1"/>
  <c r="AV289" i="1"/>
  <c r="AU284" i="1"/>
  <c r="AV284" i="1"/>
  <c r="AU253" i="1"/>
  <c r="AV253" i="1"/>
  <c r="AW253" i="1"/>
  <c r="AW699" i="1"/>
  <c r="AW694" i="1"/>
  <c r="AW549" i="1"/>
  <c r="AW539" i="1"/>
  <c r="AW534" i="1"/>
  <c r="AW529" i="1"/>
  <c r="AW524" i="1"/>
  <c r="AW519" i="1"/>
  <c r="AW514" i="1"/>
  <c r="AW509" i="1"/>
  <c r="AW504" i="1"/>
  <c r="AW499" i="1"/>
  <c r="AW494" i="1"/>
  <c r="AW489" i="1"/>
  <c r="AU456" i="1"/>
  <c r="AV456" i="1"/>
  <c r="AW456" i="1"/>
  <c r="AU442" i="1"/>
  <c r="AU389" i="1"/>
  <c r="AV389" i="1"/>
  <c r="AW389" i="1"/>
  <c r="AU382" i="1"/>
  <c r="AW382" i="1"/>
  <c r="AW378" i="1"/>
  <c r="AU346" i="1"/>
  <c r="AV346" i="1"/>
  <c r="AW346" i="1"/>
  <c r="AU306" i="1"/>
  <c r="AV306" i="1"/>
  <c r="AW306" i="1"/>
  <c r="AV270" i="1"/>
  <c r="AW270" i="1"/>
  <c r="AU261" i="1"/>
  <c r="AV191" i="1"/>
  <c r="AV704" i="1"/>
  <c r="AV699" i="1"/>
  <c r="AV694" i="1"/>
  <c r="AV689" i="1"/>
  <c r="AV684" i="1"/>
  <c r="AV679" i="1"/>
  <c r="AV674" i="1"/>
  <c r="AV669" i="1"/>
  <c r="AV664" i="1"/>
  <c r="AV659" i="1"/>
  <c r="AV654" i="1"/>
  <c r="AV649" i="1"/>
  <c r="AV644" i="1"/>
  <c r="AV639" i="1"/>
  <c r="AV634" i="1"/>
  <c r="AV629" i="1"/>
  <c r="AV624" i="1"/>
  <c r="AV619" i="1"/>
  <c r="AV614" i="1"/>
  <c r="AV609" i="1"/>
  <c r="AV604" i="1"/>
  <c r="AV599" i="1"/>
  <c r="AV594" i="1"/>
  <c r="AV589" i="1"/>
  <c r="AV584" i="1"/>
  <c r="AV579" i="1"/>
  <c r="AV574" i="1"/>
  <c r="AV569" i="1"/>
  <c r="AV564" i="1"/>
  <c r="AV559" i="1"/>
  <c r="AV554" i="1"/>
  <c r="AV544" i="1"/>
  <c r="AV539" i="1"/>
  <c r="AV534" i="1"/>
  <c r="AV529" i="1"/>
  <c r="AV524" i="1"/>
  <c r="AV519" i="1"/>
  <c r="AV514" i="1"/>
  <c r="AV509" i="1"/>
  <c r="AV504" i="1"/>
  <c r="AV499" i="1"/>
  <c r="AV494" i="1"/>
  <c r="AV489" i="1"/>
  <c r="AV484" i="1"/>
  <c r="AV479" i="1"/>
  <c r="AV474" i="1"/>
  <c r="AV469" i="1"/>
  <c r="AV419" i="1"/>
  <c r="AV378" i="1"/>
  <c r="AU329" i="1"/>
  <c r="AV329" i="1"/>
  <c r="AW329" i="1"/>
  <c r="AV316" i="1"/>
  <c r="AW316" i="1"/>
  <c r="AU311" i="1"/>
  <c r="AV311" i="1"/>
  <c r="AW311" i="1"/>
  <c r="AU270" i="1"/>
  <c r="AU364" i="1"/>
  <c r="AV364" i="1"/>
  <c r="AW364" i="1"/>
  <c r="AU333" i="1"/>
  <c r="AV333" i="1"/>
  <c r="AV248" i="1"/>
  <c r="AW248" i="1"/>
  <c r="AU226" i="1"/>
  <c r="AV226" i="1"/>
  <c r="AW226" i="1"/>
  <c r="AU416" i="1"/>
  <c r="AV416" i="1"/>
  <c r="AW416" i="1"/>
  <c r="AU371" i="1"/>
  <c r="AV371" i="1"/>
  <c r="AW371" i="1"/>
  <c r="AU283" i="1"/>
  <c r="AV283" i="1"/>
  <c r="AU278" i="1"/>
  <c r="AU248" i="1"/>
  <c r="AW671" i="1"/>
  <c r="AW666" i="1"/>
  <c r="AW661" i="1"/>
  <c r="AW656" i="1"/>
  <c r="AW651" i="1"/>
  <c r="AW646" i="1"/>
  <c r="AW641" i="1"/>
  <c r="AW636" i="1"/>
  <c r="AW631" i="1"/>
  <c r="AW626" i="1"/>
  <c r="AW621" i="1"/>
  <c r="AW616" i="1"/>
  <c r="AW611" i="1"/>
  <c r="AW606" i="1"/>
  <c r="AW601" i="1"/>
  <c r="AW596" i="1"/>
  <c r="AW591" i="1"/>
  <c r="AW586" i="1"/>
  <c r="AW581" i="1"/>
  <c r="AW576" i="1"/>
  <c r="AW571" i="1"/>
  <c r="AW566" i="1"/>
  <c r="AW561" i="1"/>
  <c r="AW556" i="1"/>
  <c r="AW551" i="1"/>
  <c r="AW546" i="1"/>
  <c r="AW541" i="1"/>
  <c r="AW536" i="1"/>
  <c r="AW531" i="1"/>
  <c r="AW526" i="1"/>
  <c r="AW521" i="1"/>
  <c r="AW516" i="1"/>
  <c r="AW511" i="1"/>
  <c r="AV461" i="1"/>
  <c r="AW461" i="1"/>
  <c r="AU436" i="1"/>
  <c r="AV436" i="1"/>
  <c r="AW436" i="1"/>
  <c r="AU404" i="1"/>
  <c r="AW404" i="1"/>
  <c r="AU401" i="1"/>
  <c r="AV401" i="1"/>
  <c r="AW401" i="1"/>
  <c r="AW363" i="1"/>
  <c r="AU341" i="1"/>
  <c r="AU324" i="1"/>
  <c r="AV324" i="1"/>
  <c r="AW324" i="1"/>
  <c r="AU315" i="1"/>
  <c r="AW283" i="1"/>
  <c r="AU239" i="1"/>
  <c r="AU216" i="1"/>
  <c r="AV671" i="1"/>
  <c r="AV666" i="1"/>
  <c r="AV661" i="1"/>
  <c r="AV656" i="1"/>
  <c r="AV651" i="1"/>
  <c r="AV646" i="1"/>
  <c r="AV641" i="1"/>
  <c r="AV636" i="1"/>
  <c r="AV631" i="1"/>
  <c r="AV626" i="1"/>
  <c r="AV621" i="1"/>
  <c r="AV616" i="1"/>
  <c r="AV611" i="1"/>
  <c r="AV606" i="1"/>
  <c r="AV601" i="1"/>
  <c r="AV596" i="1"/>
  <c r="AV591" i="1"/>
  <c r="AV586" i="1"/>
  <c r="AV581" i="1"/>
  <c r="AV576" i="1"/>
  <c r="AV571" i="1"/>
  <c r="AV566" i="1"/>
  <c r="AV561" i="1"/>
  <c r="AV556" i="1"/>
  <c r="AV551" i="1"/>
  <c r="AV546" i="1"/>
  <c r="AV541" i="1"/>
  <c r="AV536" i="1"/>
  <c r="AV531" i="1"/>
  <c r="AV526" i="1"/>
  <c r="AV521" i="1"/>
  <c r="AV516" i="1"/>
  <c r="AV511" i="1"/>
  <c r="AV506" i="1"/>
  <c r="AV501" i="1"/>
  <c r="AV496" i="1"/>
  <c r="AV491" i="1"/>
  <c r="AV486" i="1"/>
  <c r="AV363" i="1"/>
  <c r="AU349" i="1"/>
  <c r="AV349" i="1"/>
  <c r="AW349" i="1"/>
  <c r="AU328" i="1"/>
  <c r="AV328" i="1"/>
  <c r="AU310" i="1"/>
  <c r="AV310" i="1"/>
  <c r="AU269" i="1"/>
  <c r="AV269" i="1"/>
  <c r="AU256" i="1"/>
  <c r="AV256" i="1"/>
  <c r="AW256" i="1"/>
  <c r="AV216" i="1"/>
  <c r="AW216" i="1"/>
  <c r="AV186" i="1"/>
  <c r="AW186" i="1"/>
  <c r="AU374" i="1"/>
  <c r="AV374" i="1"/>
  <c r="AW374" i="1"/>
  <c r="AW310" i="1"/>
  <c r="AU251" i="1"/>
  <c r="AV251" i="1"/>
  <c r="AW251" i="1"/>
  <c r="AV466" i="1"/>
  <c r="AW466" i="1"/>
  <c r="AU381" i="1"/>
  <c r="AV381" i="1"/>
  <c r="AW381" i="1"/>
  <c r="AU356" i="1"/>
  <c r="AV356" i="1"/>
  <c r="AW356" i="1"/>
  <c r="AU336" i="1"/>
  <c r="AU243" i="1"/>
  <c r="AV243" i="1"/>
  <c r="AW243" i="1"/>
  <c r="AU238" i="1"/>
  <c r="AU441" i="1"/>
  <c r="AV441" i="1"/>
  <c r="AW441" i="1"/>
  <c r="AU394" i="1"/>
  <c r="AV394" i="1"/>
  <c r="AW394" i="1"/>
  <c r="AU391" i="1"/>
  <c r="AV391" i="1"/>
  <c r="AW391" i="1"/>
  <c r="AU323" i="1"/>
  <c r="AV323" i="1"/>
  <c r="AV748" i="1"/>
  <c r="AV743" i="1"/>
  <c r="AV738" i="1"/>
  <c r="AV733" i="1"/>
  <c r="AV728" i="1"/>
  <c r="AV723" i="1"/>
  <c r="AV718" i="1"/>
  <c r="AV713" i="1"/>
  <c r="AV708" i="1"/>
  <c r="AV703" i="1"/>
  <c r="AV698" i="1"/>
  <c r="AV693" i="1"/>
  <c r="AV688" i="1"/>
  <c r="AV683" i="1"/>
  <c r="AV678" i="1"/>
  <c r="AV673" i="1"/>
  <c r="AV668" i="1"/>
  <c r="AV663" i="1"/>
  <c r="AV658" i="1"/>
  <c r="AV653" i="1"/>
  <c r="AV648" i="1"/>
  <c r="AV643" i="1"/>
  <c r="AV638" i="1"/>
  <c r="AV633" i="1"/>
  <c r="AV628" i="1"/>
  <c r="AV623" i="1"/>
  <c r="AV618" i="1"/>
  <c r="AV613" i="1"/>
  <c r="AV608" i="1"/>
  <c r="AV603" i="1"/>
  <c r="AV598" i="1"/>
  <c r="AV593" i="1"/>
  <c r="AV588" i="1"/>
  <c r="AV583" i="1"/>
  <c r="AV578" i="1"/>
  <c r="AV573" i="1"/>
  <c r="AV568" i="1"/>
  <c r="AV563" i="1"/>
  <c r="AV558" i="1"/>
  <c r="AV553" i="1"/>
  <c r="AV548" i="1"/>
  <c r="AU421" i="1"/>
  <c r="AV421" i="1"/>
  <c r="AW421" i="1"/>
  <c r="AU384" i="1"/>
  <c r="AV384" i="1"/>
  <c r="AW384" i="1"/>
  <c r="AV373" i="1"/>
  <c r="AU304" i="1"/>
  <c r="AU300" i="1"/>
  <c r="AV300" i="1"/>
  <c r="AW300" i="1"/>
  <c r="AU211" i="1"/>
  <c r="AV211" i="1"/>
  <c r="AW211" i="1"/>
  <c r="AV355" i="1"/>
  <c r="AU309" i="1"/>
  <c r="AV309" i="1"/>
  <c r="AU291" i="1"/>
  <c r="AV291" i="1"/>
  <c r="AU273" i="1"/>
  <c r="AV273" i="1"/>
  <c r="AW273" i="1"/>
  <c r="AU406" i="1"/>
  <c r="AV406" i="1"/>
  <c r="AW406" i="1"/>
  <c r="AU387" i="1"/>
  <c r="AW387" i="1"/>
  <c r="AU366" i="1"/>
  <c r="AV366" i="1"/>
  <c r="AW366" i="1"/>
  <c r="AU359" i="1"/>
  <c r="AV359" i="1"/>
  <c r="AW359" i="1"/>
  <c r="AU355" i="1"/>
  <c r="AU344" i="1"/>
  <c r="AV344" i="1"/>
  <c r="AW344" i="1"/>
  <c r="AW291" i="1"/>
  <c r="AU286" i="1"/>
  <c r="AU446" i="1"/>
  <c r="AV446" i="1"/>
  <c r="AW446" i="1"/>
  <c r="AU303" i="1"/>
  <c r="AV303" i="1"/>
  <c r="AW303" i="1"/>
  <c r="AU299" i="1"/>
  <c r="AV299" i="1"/>
  <c r="AV780" i="1"/>
  <c r="AW462" i="1"/>
  <c r="AW417" i="1"/>
  <c r="AW408" i="1"/>
  <c r="AU326" i="1"/>
  <c r="AU313" i="1"/>
  <c r="AV308" i="1"/>
  <c r="AW308" i="1"/>
  <c r="AU281" i="1"/>
  <c r="AV281" i="1"/>
  <c r="AW281" i="1"/>
  <c r="AU263" i="1"/>
  <c r="AV263" i="1"/>
  <c r="AW263" i="1"/>
  <c r="AU241" i="1"/>
  <c r="AV241" i="1"/>
  <c r="AW241" i="1"/>
  <c r="AU219" i="1"/>
  <c r="AW448" i="1"/>
  <c r="AW437" i="1"/>
  <c r="AU426" i="1"/>
  <c r="AV426" i="1"/>
  <c r="AW426" i="1"/>
  <c r="AV417" i="1"/>
  <c r="AV408" i="1"/>
  <c r="AW405" i="1"/>
  <c r="AU369" i="1"/>
  <c r="AV369" i="1"/>
  <c r="AW369" i="1"/>
  <c r="AU351" i="1"/>
  <c r="AV351" i="1"/>
  <c r="AW351" i="1"/>
  <c r="AU318" i="1"/>
  <c r="AW318" i="1"/>
  <c r="AU298" i="1"/>
  <c r="AV298" i="1"/>
  <c r="AW298" i="1"/>
  <c r="AV290" i="1"/>
  <c r="AW290" i="1"/>
  <c r="AU236" i="1"/>
  <c r="AV236" i="1"/>
  <c r="AW236" i="1"/>
  <c r="AV448" i="1"/>
  <c r="AW445" i="1"/>
  <c r="AV437" i="1"/>
  <c r="AW434" i="1"/>
  <c r="AV405" i="1"/>
  <c r="AU376" i="1"/>
  <c r="AV376" i="1"/>
  <c r="AW376" i="1"/>
  <c r="AU343" i="1"/>
  <c r="AV343" i="1"/>
  <c r="AU339" i="1"/>
  <c r="AV339" i="1"/>
  <c r="AW339" i="1"/>
  <c r="AU290" i="1"/>
  <c r="AW722" i="1"/>
  <c r="AW717" i="1"/>
  <c r="AW712" i="1"/>
  <c r="AW707" i="1"/>
  <c r="AW702" i="1"/>
  <c r="AW697" i="1"/>
  <c r="AW692" i="1"/>
  <c r="AW687" i="1"/>
  <c r="AW682" i="1"/>
  <c r="AW677" i="1"/>
  <c r="AW672" i="1"/>
  <c r="AW667" i="1"/>
  <c r="AW662" i="1"/>
  <c r="AW657" i="1"/>
  <c r="AW652" i="1"/>
  <c r="AW647" i="1"/>
  <c r="AW642" i="1"/>
  <c r="AW637" i="1"/>
  <c r="AW632" i="1"/>
  <c r="AW627" i="1"/>
  <c r="AW622" i="1"/>
  <c r="AW617" i="1"/>
  <c r="AW612" i="1"/>
  <c r="AW607" i="1"/>
  <c r="AW602" i="1"/>
  <c r="AW597" i="1"/>
  <c r="AW592" i="1"/>
  <c r="AW587" i="1"/>
  <c r="AW582" i="1"/>
  <c r="AW577" i="1"/>
  <c r="AW572" i="1"/>
  <c r="AW567" i="1"/>
  <c r="AW562" i="1"/>
  <c r="AW557" i="1"/>
  <c r="AW552" i="1"/>
  <c r="AW547" i="1"/>
  <c r="AW542" i="1"/>
  <c r="AW537" i="1"/>
  <c r="AW532" i="1"/>
  <c r="AW527" i="1"/>
  <c r="AW522" i="1"/>
  <c r="AW517" i="1"/>
  <c r="AW512" i="1"/>
  <c r="AW507" i="1"/>
  <c r="AW502" i="1"/>
  <c r="AW497" i="1"/>
  <c r="AW492" i="1"/>
  <c r="AW487" i="1"/>
  <c r="AW482" i="1"/>
  <c r="AW477" i="1"/>
  <c r="AW472" i="1"/>
  <c r="AW467" i="1"/>
  <c r="AU451" i="1"/>
  <c r="AV451" i="1"/>
  <c r="AW451" i="1"/>
  <c r="AV445" i="1"/>
  <c r="AV434" i="1"/>
  <c r="AW428" i="1"/>
  <c r="AU399" i="1"/>
  <c r="AV399" i="1"/>
  <c r="AW399" i="1"/>
  <c r="AU396" i="1"/>
  <c r="AV396" i="1"/>
  <c r="AW396" i="1"/>
  <c r="AW368" i="1"/>
  <c r="AU321" i="1"/>
  <c r="AU280" i="1"/>
  <c r="AV280" i="1"/>
  <c r="AW280" i="1"/>
  <c r="AV722" i="1"/>
  <c r="AV717" i="1"/>
  <c r="AV712" i="1"/>
  <c r="AV707" i="1"/>
  <c r="AV702" i="1"/>
  <c r="AV697" i="1"/>
  <c r="AV692" i="1"/>
  <c r="AV687" i="1"/>
  <c r="AV682" i="1"/>
  <c r="AV677" i="1"/>
  <c r="AV672" i="1"/>
  <c r="AV667" i="1"/>
  <c r="AV662" i="1"/>
  <c r="AV657" i="1"/>
  <c r="AV652" i="1"/>
  <c r="AV647" i="1"/>
  <c r="AV642" i="1"/>
  <c r="AV637" i="1"/>
  <c r="AV632" i="1"/>
  <c r="AV627" i="1"/>
  <c r="AV622" i="1"/>
  <c r="AV617" i="1"/>
  <c r="AV612" i="1"/>
  <c r="AV607" i="1"/>
  <c r="AV602" i="1"/>
  <c r="AV597" i="1"/>
  <c r="AV592" i="1"/>
  <c r="AV587" i="1"/>
  <c r="AV582" i="1"/>
  <c r="AV577" i="1"/>
  <c r="AV572" i="1"/>
  <c r="AV567" i="1"/>
  <c r="AV562" i="1"/>
  <c r="AV557" i="1"/>
  <c r="AV552" i="1"/>
  <c r="AV547" i="1"/>
  <c r="AV542" i="1"/>
  <c r="AV537" i="1"/>
  <c r="AV532" i="1"/>
  <c r="AV527" i="1"/>
  <c r="AV522" i="1"/>
  <c r="AV517" i="1"/>
  <c r="AV512" i="1"/>
  <c r="AV507" i="1"/>
  <c r="AV502" i="1"/>
  <c r="AV497" i="1"/>
  <c r="AV492" i="1"/>
  <c r="AV487" i="1"/>
  <c r="AV482" i="1"/>
  <c r="AV477" i="1"/>
  <c r="AV472" i="1"/>
  <c r="AV467" i="1"/>
  <c r="AV428" i="1"/>
  <c r="AW425" i="1"/>
  <c r="AU411" i="1"/>
  <c r="AV411" i="1"/>
  <c r="AW411" i="1"/>
  <c r="AV368" i="1"/>
  <c r="AW338" i="1"/>
  <c r="AV196" i="1"/>
  <c r="AW196" i="1"/>
  <c r="AU386" i="1"/>
  <c r="AV386" i="1"/>
  <c r="AW386" i="1"/>
  <c r="AU379" i="1"/>
  <c r="AV379" i="1"/>
  <c r="AW379" i="1"/>
  <c r="AU354" i="1"/>
  <c r="AV354" i="1"/>
  <c r="AW354" i="1"/>
  <c r="AU334" i="1"/>
  <c r="AV334" i="1"/>
  <c r="AW334" i="1"/>
  <c r="AU279" i="1"/>
  <c r="AV279" i="1"/>
  <c r="AU271" i="1"/>
  <c r="AV271" i="1"/>
  <c r="AW271" i="1"/>
  <c r="AV199" i="1"/>
  <c r="AW199" i="1"/>
  <c r="AU192" i="1"/>
  <c r="AU171" i="1"/>
  <c r="AW171" i="1"/>
  <c r="AU106" i="1"/>
  <c r="AV106" i="1"/>
  <c r="AW106" i="1"/>
  <c r="AV209" i="1"/>
  <c r="AW209" i="1"/>
  <c r="AV192" i="1"/>
  <c r="AW192" i="1"/>
  <c r="AU112" i="1"/>
  <c r="AV112" i="1"/>
  <c r="AW112" i="1"/>
  <c r="AW315" i="1"/>
  <c r="AW296" i="1"/>
  <c r="AW294" i="1"/>
  <c r="AW288" i="1"/>
  <c r="AW266" i="1"/>
  <c r="AW264" i="1"/>
  <c r="AU252" i="1"/>
  <c r="AU225" i="1"/>
  <c r="AW225" i="1"/>
  <c r="AW221" i="1"/>
  <c r="AW218" i="1"/>
  <c r="AU212" i="1"/>
  <c r="AU202" i="1"/>
  <c r="AU67" i="1"/>
  <c r="AV67" i="1"/>
  <c r="AW67" i="1"/>
  <c r="AV315" i="1"/>
  <c r="AV296" i="1"/>
  <c r="AV288" i="1"/>
  <c r="AV266" i="1"/>
  <c r="AV221" i="1"/>
  <c r="AV218" i="1"/>
  <c r="AV202" i="1"/>
  <c r="AW202" i="1"/>
  <c r="AW191" i="1"/>
  <c r="AV174" i="1"/>
  <c r="AW174" i="1"/>
  <c r="AV167" i="1"/>
  <c r="AW167" i="1"/>
  <c r="AU111" i="1"/>
  <c r="AV111" i="1"/>
  <c r="AW111" i="1"/>
  <c r="AV304" i="1"/>
  <c r="AW285" i="1"/>
  <c r="AW277" i="1"/>
  <c r="AV249" i="1"/>
  <c r="AW249" i="1"/>
  <c r="AU237" i="1"/>
  <c r="AW208" i="1"/>
  <c r="AV198" i="1"/>
  <c r="AU181" i="1"/>
  <c r="AW181" i="1"/>
  <c r="AV134" i="1"/>
  <c r="AW134" i="1"/>
  <c r="AU97" i="1"/>
  <c r="AU75" i="1"/>
  <c r="AW299" i="1"/>
  <c r="AV285" i="1"/>
  <c r="AV277" i="1"/>
  <c r="AV234" i="1"/>
  <c r="AW234" i="1"/>
  <c r="AU215" i="1"/>
  <c r="AW215" i="1"/>
  <c r="AV208" i="1"/>
  <c r="AW201" i="1"/>
  <c r="AW269" i="1"/>
  <c r="AU177" i="1"/>
  <c r="AU152" i="1"/>
  <c r="AU92" i="1"/>
  <c r="AU191" i="1"/>
  <c r="AV184" i="1"/>
  <c r="AW184" i="1"/>
  <c r="AV177" i="1"/>
  <c r="AW177" i="1"/>
  <c r="AV159" i="1"/>
  <c r="AW159" i="1"/>
  <c r="AV152" i="1"/>
  <c r="AW152" i="1"/>
  <c r="AU119" i="1"/>
  <c r="AV119" i="1"/>
  <c r="AW119" i="1"/>
  <c r="AU87" i="1"/>
  <c r="AV87" i="1"/>
  <c r="AW87" i="1"/>
  <c r="AW304" i="1"/>
  <c r="AV224" i="1"/>
  <c r="AW224" i="1"/>
  <c r="AU166" i="1"/>
  <c r="AW166" i="1"/>
  <c r="AW377" i="1"/>
  <c r="AW372" i="1"/>
  <c r="AW367" i="1"/>
  <c r="AW362" i="1"/>
  <c r="AW357" i="1"/>
  <c r="AW352" i="1"/>
  <c r="AW347" i="1"/>
  <c r="AW342" i="1"/>
  <c r="AW337" i="1"/>
  <c r="AW332" i="1"/>
  <c r="AW327" i="1"/>
  <c r="AW322" i="1"/>
  <c r="AW268" i="1"/>
  <c r="AV233" i="1"/>
  <c r="AU201" i="1"/>
  <c r="AV194" i="1"/>
  <c r="AW194" i="1"/>
  <c r="AU115" i="1"/>
  <c r="AV347" i="1"/>
  <c r="AV342" i="1"/>
  <c r="AV337" i="1"/>
  <c r="AV332" i="1"/>
  <c r="AV327" i="1"/>
  <c r="AV322" i="1"/>
  <c r="AV314" i="1"/>
  <c r="AW274" i="1"/>
  <c r="AV268" i="1"/>
  <c r="AV254" i="1"/>
  <c r="AW254" i="1"/>
  <c r="AU242" i="1"/>
  <c r="AU230" i="1"/>
  <c r="AW230" i="1"/>
  <c r="AU162" i="1"/>
  <c r="AW309" i="1"/>
  <c r="AV214" i="1"/>
  <c r="AW214" i="1"/>
  <c r="AV204" i="1"/>
  <c r="AW204" i="1"/>
  <c r="AV169" i="1"/>
  <c r="AW169" i="1"/>
  <c r="AV162" i="1"/>
  <c r="AW162" i="1"/>
  <c r="AV239" i="1"/>
  <c r="AW239" i="1"/>
  <c r="AV197" i="1"/>
  <c r="AW197" i="1"/>
  <c r="AU176" i="1"/>
  <c r="AW176" i="1"/>
  <c r="AU126" i="1"/>
  <c r="AV126" i="1"/>
  <c r="AW126" i="1"/>
  <c r="AU114" i="1"/>
  <c r="AV114" i="1"/>
  <c r="AW114" i="1"/>
  <c r="AW279" i="1"/>
  <c r="AU220" i="1"/>
  <c r="AW220" i="1"/>
  <c r="AV207" i="1"/>
  <c r="AW207" i="1"/>
  <c r="AV100" i="1"/>
  <c r="AW314" i="1"/>
  <c r="AU262" i="1"/>
  <c r="AW262" i="1"/>
  <c r="AW238" i="1"/>
  <c r="AU210" i="1"/>
  <c r="AW206" i="1"/>
  <c r="AV179" i="1"/>
  <c r="AW179" i="1"/>
  <c r="AU172" i="1"/>
  <c r="AV172" i="1"/>
  <c r="AW172" i="1"/>
  <c r="AV154" i="1"/>
  <c r="AW154" i="1"/>
  <c r="AU131" i="1"/>
  <c r="AV131" i="1"/>
  <c r="AW131" i="1"/>
  <c r="AU77" i="1"/>
  <c r="AV77" i="1"/>
  <c r="AW77" i="1"/>
  <c r="AW305" i="1"/>
  <c r="AW297" i="1"/>
  <c r="AW286" i="1"/>
  <c r="AW284" i="1"/>
  <c r="AW278" i="1"/>
  <c r="AV259" i="1"/>
  <c r="AW259" i="1"/>
  <c r="AV238" i="1"/>
  <c r="AV235" i="1"/>
  <c r="AV229" i="1"/>
  <c r="AW229" i="1"/>
  <c r="AV206" i="1"/>
  <c r="AU186" i="1"/>
  <c r="AU161" i="1"/>
  <c r="AW161" i="1"/>
  <c r="AV147" i="1"/>
  <c r="AW147" i="1"/>
  <c r="AU99" i="1"/>
  <c r="AV99" i="1"/>
  <c r="AW99" i="1"/>
  <c r="AW341" i="1"/>
  <c r="AW336" i="1"/>
  <c r="AW331" i="1"/>
  <c r="AW326" i="1"/>
  <c r="AW321" i="1"/>
  <c r="AW319" i="1"/>
  <c r="AW313" i="1"/>
  <c r="AV305" i="1"/>
  <c r="AV297" i="1"/>
  <c r="AV286" i="1"/>
  <c r="AV278" i="1"/>
  <c r="AW267" i="1"/>
  <c r="AW261" i="1"/>
  <c r="AU199" i="1"/>
  <c r="AV171" i="1"/>
  <c r="AU107" i="1"/>
  <c r="AU90" i="1"/>
  <c r="AV90" i="1"/>
  <c r="AV341" i="1"/>
  <c r="AV336" i="1"/>
  <c r="AV331" i="1"/>
  <c r="AV326" i="1"/>
  <c r="AV321" i="1"/>
  <c r="AV313" i="1"/>
  <c r="AV294" i="1"/>
  <c r="AW275" i="1"/>
  <c r="AV264" i="1"/>
  <c r="AV261" i="1"/>
  <c r="AV244" i="1"/>
  <c r="AW244" i="1"/>
  <c r="AU209" i="1"/>
  <c r="AU196" i="1"/>
  <c r="AV189" i="1"/>
  <c r="AW189" i="1"/>
  <c r="AU182" i="1"/>
  <c r="AU157" i="1"/>
  <c r="AU294" i="1"/>
  <c r="AW289" i="1"/>
  <c r="AU267" i="1"/>
  <c r="AU264" i="1"/>
  <c r="AV225" i="1"/>
  <c r="AU222" i="1"/>
  <c r="AV219" i="1"/>
  <c r="AW219" i="1"/>
  <c r="AV182" i="1"/>
  <c r="AW182" i="1"/>
  <c r="AV164" i="1"/>
  <c r="AW164" i="1"/>
  <c r="AV157" i="1"/>
  <c r="AW157" i="1"/>
  <c r="AU139" i="1"/>
  <c r="AV139" i="1"/>
  <c r="AW139" i="1"/>
  <c r="AW130" i="1"/>
  <c r="AU121" i="1"/>
  <c r="AW110" i="1"/>
  <c r="AU33" i="1"/>
  <c r="AV135" i="1"/>
  <c r="AV132" i="1"/>
  <c r="AV115" i="1"/>
  <c r="AW95" i="1"/>
  <c r="AU41" i="1"/>
  <c r="AV41" i="1"/>
  <c r="AW41" i="1"/>
  <c r="AW156" i="1"/>
  <c r="AW151" i="1"/>
  <c r="AW146" i="1"/>
  <c r="AU138" i="1"/>
  <c r="AV138" i="1"/>
  <c r="AU118" i="1"/>
  <c r="AV118" i="1"/>
  <c r="AW97" i="1"/>
  <c r="AV82" i="1"/>
  <c r="AV72" i="1"/>
  <c r="AU58" i="1"/>
  <c r="AV58" i="1"/>
  <c r="AW58" i="1"/>
  <c r="AW45" i="1"/>
  <c r="AU45" i="1"/>
  <c r="AV45" i="1"/>
  <c r="AV12" i="1"/>
  <c r="AW12" i="1"/>
  <c r="AU8" i="1"/>
  <c r="AW129" i="1"/>
  <c r="AW109" i="1"/>
  <c r="AV97" i="1"/>
  <c r="AU16" i="1"/>
  <c r="AV16" i="1"/>
  <c r="AW16" i="1"/>
  <c r="AV109" i="1"/>
  <c r="AU28" i="1"/>
  <c r="AW135" i="1"/>
  <c r="AW115" i="1"/>
  <c r="AV94" i="1"/>
  <c r="AU88" i="1"/>
  <c r="AV88" i="1"/>
  <c r="AW88" i="1"/>
  <c r="AU53" i="1"/>
  <c r="AU36" i="1"/>
  <c r="AV36" i="1"/>
  <c r="AW36" i="1"/>
  <c r="AV7" i="1"/>
  <c r="AW7" i="1"/>
  <c r="AU103" i="1"/>
  <c r="AV103" i="1"/>
  <c r="AW103" i="1"/>
  <c r="AW65" i="1"/>
  <c r="AU65" i="1"/>
  <c r="AU61" i="1"/>
  <c r="AV61" i="1"/>
  <c r="AW61" i="1"/>
  <c r="AW40" i="1"/>
  <c r="AU40" i="1"/>
  <c r="AV40" i="1"/>
  <c r="AU11" i="1"/>
  <c r="AV11" i="1"/>
  <c r="AW11" i="1"/>
  <c r="AU7" i="1"/>
  <c r="AU143" i="1"/>
  <c r="AV143" i="1"/>
  <c r="AU123" i="1"/>
  <c r="AV123" i="1"/>
  <c r="AW85" i="1"/>
  <c r="AW75" i="1"/>
  <c r="AU57" i="1"/>
  <c r="AW57" i="1"/>
  <c r="AW100" i="1"/>
  <c r="AU78" i="1"/>
  <c r="AV78" i="1"/>
  <c r="AW78" i="1"/>
  <c r="AU68" i="1"/>
  <c r="AV68" i="1"/>
  <c r="AW68" i="1"/>
  <c r="AU48" i="1"/>
  <c r="AW15" i="1"/>
  <c r="AV2" i="1"/>
  <c r="AW2" i="1"/>
  <c r="AU81" i="1"/>
  <c r="AV81" i="1"/>
  <c r="AW81" i="1"/>
  <c r="AU71" i="1"/>
  <c r="AV71" i="1"/>
  <c r="AW71" i="1"/>
  <c r="AU31" i="1"/>
  <c r="AV31" i="1"/>
  <c r="AW31" i="1"/>
  <c r="AU6" i="1"/>
  <c r="AV6" i="1"/>
  <c r="AW6" i="1"/>
  <c r="AU2" i="1"/>
  <c r="AW210" i="1"/>
  <c r="AW205" i="1"/>
  <c r="AW200" i="1"/>
  <c r="AW195" i="1"/>
  <c r="AW190" i="1"/>
  <c r="AW185" i="1"/>
  <c r="AW180" i="1"/>
  <c r="AW140" i="1"/>
  <c r="AW122" i="1"/>
  <c r="AW120" i="1"/>
  <c r="AU56" i="1"/>
  <c r="AV56" i="1"/>
  <c r="AW56" i="1"/>
  <c r="AW35" i="1"/>
  <c r="AU35" i="1"/>
  <c r="AV35" i="1"/>
  <c r="AV200" i="1"/>
  <c r="AV195" i="1"/>
  <c r="AV190" i="1"/>
  <c r="AV185" i="1"/>
  <c r="AV180" i="1"/>
  <c r="AV175" i="1"/>
  <c r="AV170" i="1"/>
  <c r="AV165" i="1"/>
  <c r="AV160" i="1"/>
  <c r="AV155" i="1"/>
  <c r="AV150" i="1"/>
  <c r="AV145" i="1"/>
  <c r="AV142" i="1"/>
  <c r="AU52" i="1"/>
  <c r="AW52" i="1"/>
  <c r="AW10" i="1"/>
  <c r="AU128" i="1"/>
  <c r="AV128" i="1"/>
  <c r="AU108" i="1"/>
  <c r="AV108" i="1"/>
  <c r="AU93" i="1"/>
  <c r="AV93" i="1"/>
  <c r="AW93" i="1"/>
  <c r="AW60" i="1"/>
  <c r="AU60" i="1"/>
  <c r="AU26" i="1"/>
  <c r="AV26" i="1"/>
  <c r="AW26" i="1"/>
  <c r="AW257" i="1"/>
  <c r="AW252" i="1"/>
  <c r="AW247" i="1"/>
  <c r="AW242" i="1"/>
  <c r="AW237" i="1"/>
  <c r="AW232" i="1"/>
  <c r="AW227" i="1"/>
  <c r="AW222" i="1"/>
  <c r="AW217" i="1"/>
  <c r="AW212" i="1"/>
  <c r="AW187" i="1"/>
  <c r="AW90" i="1"/>
  <c r="AU51" i="1"/>
  <c r="AV51" i="1"/>
  <c r="AW51" i="1"/>
  <c r="AW30" i="1"/>
  <c r="AU18" i="1"/>
  <c r="AW5" i="1"/>
  <c r="AW127" i="1"/>
  <c r="AW125" i="1"/>
  <c r="AW107" i="1"/>
  <c r="AW105" i="1"/>
  <c r="AW92" i="1"/>
  <c r="AV130" i="1"/>
  <c r="AV127" i="1"/>
  <c r="AV110" i="1"/>
  <c r="AV107" i="1"/>
  <c r="AV92" i="1"/>
  <c r="AW55" i="1"/>
  <c r="AU55" i="1"/>
  <c r="AU133" i="1"/>
  <c r="AV133" i="1"/>
  <c r="AU130" i="1"/>
  <c r="AU113" i="1"/>
  <c r="AV113" i="1"/>
  <c r="AU110" i="1"/>
  <c r="AV95" i="1"/>
  <c r="AW89" i="1"/>
  <c r="AW80" i="1"/>
  <c r="AW70" i="1"/>
  <c r="AU63" i="1"/>
  <c r="AV63" i="1"/>
  <c r="AW63" i="1"/>
  <c r="AU46" i="1"/>
  <c r="AV46" i="1"/>
  <c r="AW46" i="1"/>
  <c r="AW149" i="1"/>
  <c r="AW144" i="1"/>
  <c r="AW141" i="1"/>
  <c r="AW124" i="1"/>
  <c r="AW121" i="1"/>
  <c r="AW104" i="1"/>
  <c r="AU95" i="1"/>
  <c r="AV89" i="1"/>
  <c r="AU83" i="1"/>
  <c r="AV83" i="1"/>
  <c r="AW83" i="1"/>
  <c r="AU73" i="1"/>
  <c r="AV73" i="1"/>
  <c r="AW73" i="1"/>
  <c r="AU21" i="1"/>
  <c r="AV21" i="1"/>
  <c r="AW21" i="1"/>
  <c r="AU98" i="1"/>
  <c r="AV98" i="1"/>
  <c r="AW98" i="1"/>
  <c r="AU76" i="1"/>
  <c r="AV76" i="1"/>
  <c r="AW76" i="1"/>
  <c r="AU66" i="1"/>
  <c r="AV66" i="1"/>
  <c r="AW66" i="1"/>
  <c r="AW50" i="1"/>
  <c r="AU50" i="1"/>
  <c r="AV50" i="1"/>
  <c r="AU13" i="1"/>
  <c r="AV30" i="1"/>
  <c r="AV25" i="1"/>
  <c r="AV20" i="1"/>
  <c r="AV15" i="1"/>
  <c r="AV10" i="1"/>
  <c r="AV5" i="1"/>
  <c r="AU30" i="1"/>
  <c r="AU25" i="1"/>
  <c r="AU20" i="1"/>
  <c r="AU15" i="1"/>
  <c r="AU10" i="1"/>
  <c r="AU5" i="1"/>
  <c r="AW47" i="1"/>
  <c r="AW42" i="1"/>
  <c r="AW37" i="1"/>
  <c r="AW32" i="1"/>
  <c r="AW27" i="1"/>
  <c r="AW22" i="1"/>
  <c r="AW17" i="1"/>
  <c r="AW59" i="1"/>
  <c r="AW54" i="1"/>
  <c r="AW49" i="1"/>
  <c r="AW53" i="1"/>
  <c r="AW48" i="1"/>
  <c r="AW43" i="1"/>
  <c r="AW38" i="1"/>
  <c r="AW33" i="1"/>
  <c r="AW28" i="1"/>
  <c r="AW23" i="1"/>
  <c r="AW18" i="1"/>
  <c r="AW13" i="1"/>
  <c r="AW8" i="1"/>
  <c r="AW3" i="1"/>
  <c r="AV53" i="1"/>
  <c r="AV48" i="1"/>
  <c r="AV43" i="1"/>
  <c r="AV38" i="1"/>
  <c r="AV33" i="1"/>
  <c r="AV28" i="1"/>
  <c r="AV23" i="1"/>
  <c r="AV18" i="1"/>
  <c r="AV13" i="1"/>
  <c r="AV8" i="1"/>
  <c r="AV3" i="1"/>
</calcChain>
</file>

<file path=xl/sharedStrings.xml><?xml version="1.0" encoding="utf-8"?>
<sst xmlns="http://schemas.openxmlformats.org/spreadsheetml/2006/main" count="18204" uniqueCount="10834">
  <si>
    <t>undefined</t>
  </si>
  <si>
    <t>['wing venation', 'stridulatory apparatus', 'spermatozoan number', 'phylogenetic trends', 'ommatidium structure', 'ocular canthus', 'mesothoracic spiracles', 'maxillary palpi', 'malpighian tubules', 'male genitalia', 'major groups', 'lateral ocelli', 'larval characters', 'ingroup comparison', 'francis group', 'female genitalia', 'epipharyngeal tormae', 'coxal cavities', 'clypeal suture', 'antennal sensilla', 'antennal segments', 'also discussed', 'abdominal sternites', 'abdominal spiracles', 'abdominal apex', '24 adult']</t>
  </si>
  <si>
    <t>Coleoptera | Dascilloidea | Evolution | Phylogeny | Scarabaeoidea</t>
  </si>
  <si>
    <t>Phylogenetic trends of the states of 24 adult and 14 larval characters of the major groups of Scarabaeoidea are discussed on the basis of outgroup and ingroup comparison. Evolutionary trends within the major groups are also discussed. The following (i) adult and (ii) larval characters are discussed: (i) antennal segments, antennal sensilla, ocular canthus, ommatidium structure, epipharynx, mandibles, maxillae, labium, tentorium, trochantin, coxal cavities, mesothoracic spiracles, wing venation, metendosternite, empodium, abdominal sternites, abdominal spiracles, male genitalia, female genitalia, ovarioles, karyotype, central nervous system, spermatozoan number and malpighian tubules; (ii) antennae, fronto- clypeal suture, lateral ocelli (stemmata), labial palpi, maxillae, maxillary palpi, maxillary/mandibular stridulatory areas, labrum, epipharyngeal tormae, legs, stridulatory apparatus, spiracles, abdominal apex and central nervous system. ¬© 1990 Taylor &amp; Francis Group, LLC.</t>
  </si>
  <si>
    <t>1027-1066</t>
  </si>
  <si>
    <t>Journal</t>
  </si>
  <si>
    <t>Journal of Natural History</t>
  </si>
  <si>
    <t>July-August 1990</t>
  </si>
  <si>
    <t>Scholtz, C. H.</t>
  </si>
  <si>
    <t>South Africa</t>
  </si>
  <si>
    <t>Pretoria</t>
  </si>
  <si>
    <t>University of Pretoria</t>
  </si>
  <si>
    <t>Scholtz C.</t>
  </si>
  <si>
    <t>Article</t>
  </si>
  <si>
    <t>ar</t>
  </si>
  <si>
    <t>Phylogenetic trends in the scarabaeoidea (Coleoptera)</t>
  </si>
  <si>
    <t>10.1080/00222939000770631</t>
  </si>
  <si>
    <t>2-s2.0-0000011307</t>
  </si>
  <si>
    <t>['time course', 'thylakoid proteins', 'thylakoid membranes', 'structural lipids', 'step transition', 'slower accumulation', 'sequential synthesis', 'reaction centers', 'proteins indicates', 'photosynthetic pigments', 'photosynthetic capacity', 'photoregulated changes', 'high light', 'functionally accompanied', 'doubling rate', 'cells adapt', 'biochemical composition']</t>
  </si>
  <si>
    <t>The time course of adaptation from a high to a low photon flux density was studied in the marine chlorophyte Dunaliella tertiolecta. A one-step transition from 700 to 70 micromole quanta per square meter per second resulted in a reduction of doubling rate from 1.1 to 0.4 per day within 24 hours, followed by a slower accumulation of photosynthetic pigments, light harvesting antenna complexes, Photosystem II reaction centers and structural lipids that constitute the thylakoid membranes. Photoregulated changes in the biochemical composition of the thylakoid proteins and lipids were functionally accompanied by decreases in the minimal photosynthetic quantum requirement and photosynthetic capacity, and an increase in the minimal turnover time for in vivo electron transport from water to CO2. Analysis of de novo synthesis of thylakoid membranes and proteins indicates that a high light to low light transition leads to a transient in carbon metabolism away from lipid biosynthesis toward the synthesis of the light harvesting antenna protein complexes, accompanied by a slower restoration rate of reaction centers and thylakoid membranes. This pattern of sequential synthesis of light harvesting complexes followed by reaction centers and membranes, appears to optimize light harvesting capabilities as cells adapt to low photon flux densities.</t>
  </si>
  <si>
    <t>891-898</t>
  </si>
  <si>
    <t>Plant Physiology</t>
  </si>
  <si>
    <t>60033476;60006221;60006221;60006221</t>
  </si>
  <si>
    <t>57207605213;7404252335;6602619901;7005554445</t>
  </si>
  <si>
    <t>Sukenik, Assaf;Bennett, John;Mortain-Bertrand, Anne;Falkowski, Paul G.</t>
  </si>
  <si>
    <t>Israel;United States</t>
  </si>
  <si>
    <t>Haifa;Upton</t>
  </si>
  <si>
    <t>Israel Oceanographic &amp; Limnological Research Ltd.;Brookhaven National Laboratory</t>
  </si>
  <si>
    <t>60033476;60006221</t>
  </si>
  <si>
    <t>Sukenik A.</t>
  </si>
  <si>
    <t>Adaptation of the photosynthetic apparatus to irradiance in Dunaliella tertiolecta: A kinetic study</t>
  </si>
  <si>
    <t>10.1104/pp.92.4.891</t>
  </si>
  <si>
    <t>2-s2.0-0000198869</t>
  </si>
  <si>
    <t>Australian Research Council</t>
  </si>
  <si>
    <t>ARC</t>
  </si>
  <si>
    <t>['wave source', 'two types', 'two reflectors', 'second parabolic', 'optical antennas', 'francis ltd', 'first type', 'first elliptical']</t>
  </si>
  <si>
    <t>Two types or quasi-optical antennas are examined for their suitability as a means of directing the radiation from a tunable gyrotron millimetre-wave source into a plasma for scattering. The first type of antenna has a single parabolic reflector. The second has two reflectors; the first elliptical, the second parabolic. This combination has the advantage of focusing the beam into a spot at the centre of the plasma. ¬© 1990 Taylor and Francis Ltd.</t>
  </si>
  <si>
    <t>1063-1073</t>
  </si>
  <si>
    <t>International Journal of Electronics</t>
  </si>
  <si>
    <t>60025709;60025709;60010848;60025709</t>
  </si>
  <si>
    <t>56431290800;7004424724;10242269300;57198867735</t>
  </si>
  <si>
    <t>Brand, G. F.;Fekete, P. W.;Idehara, T.;Moore, K. J.</t>
  </si>
  <si>
    <t>Australia;Japan</t>
  </si>
  <si>
    <t>Sydney;Fukui</t>
  </si>
  <si>
    <t>The University of Sydney;University of Fukui</t>
  </si>
  <si>
    <t>60025709;60010848</t>
  </si>
  <si>
    <t>Brand G.F.</t>
  </si>
  <si>
    <t>Quasi-optical antennas for plasma scattering</t>
  </si>
  <si>
    <t>10.1080/00207219008921246</t>
  </si>
  <si>
    <t>2-s2.0-0000290460</t>
  </si>
  <si>
    <t>['total psii', 'thylakoid membranes', 'stress conditions', 'sharp contrast', 'regulatory mechanism', 'psiiœ ±(', 'psii centers', 'physiological conditions', 'photosystem ii', 'photosynthetic apparatus', 'irradiance stress', 'hl ).', 'high light', 'harvesting antenna', 'grown cells', 'dominant form', 'core chlorophyll', 'control cells', 'cannot perform', 'b molecules', 'antenna size', 'adverse effect', '60 chlorophyll', '250 chlorophyll', '105 chlorophyll', '0 ).']</t>
  </si>
  <si>
    <t>The response of the photosynthetic apparatus in the green alga Dunaliella satina, to irradiance stress was investigated. Cells were grown under physiological conditions at 500 millimoles per square meter per second (control) and under irradiance-stress conditions at 1700 millimoles per square meter per second incident intensity (high light, HL). In control cells, the light-harvesting antenna of photosystem I (PSI) contained 210 chlorophyll a/b molecules. It was reduced to 105 chlorophyll a/b in HL-grown cells. In control cells, the dominant form of photosystem II (PSII) was PSIIŒ±(about 63% of the total PSII) containing &gt;250 chlorophyll a/b molecules. The smaller antenna size PSIIŒ≤centers (about 37% of PSII) contained 135 ¬± 10 chlorophyll a/b molecules. In sharp contrast, the dominant form of PSII in HL-grown cells accounted for about 95% of all PSII centers and had an antenna size of only about 60 chlorophyll a molecules. This newly identified PSII unit is termed PSIIŒ≥. The HL-grown cells showed a substantially elevated PSII/PSI stoichiometry ratio in their thylakoid membranes (PSII/PSI = 3.0/1.0) compared to that of control cells (PSII/PSI = 1.4/1.0). The steady state irradiance stress created a chronic photoinhibition condition in which D. satina thylakoids accumulate an excess of photochemically inactive PSII units. These PSII units contain both the reaction center proteins and the core chlorophyll-protein antenna complex but cannot perform a photochemical charge separation. The results are discussed in terms of regulatory mechanism(s) in the plant cell whose function is to alleviate the adverse effect of irradiance stress.</t>
  </si>
  <si>
    <t>1433-1440</t>
  </si>
  <si>
    <t>60025038;60025038;60025038;60025038;60012070;60012070;60025038</t>
  </si>
  <si>
    <t>55476057200;7102472371;7006807018;6602395622;7401595128;7406421287;57203081985</t>
  </si>
  <si>
    <t>Smith, Barbara M.;Morrissey, Peter J.;Guenther, Jeanne E.;Nemson, Jeff A.;Harrison, Michael A.;Allen, John F.;Melis, Anastasios</t>
  </si>
  <si>
    <t>United States;United Kingdom</t>
  </si>
  <si>
    <t>Berkeley;Leeds</t>
  </si>
  <si>
    <t>University of California, Berkeley;University of Leeds</t>
  </si>
  <si>
    <t>60025038;60012070</t>
  </si>
  <si>
    <t>Smith B.</t>
  </si>
  <si>
    <t>Response of the photosynthetic apparatus in Dunaliella salina (green algae) to irradiance stress</t>
  </si>
  <si>
    <t>10.1104/pp.93.4.1433</t>
  </si>
  <si>
    <t>2-s2.0-0000332775</t>
  </si>
  <si>
    <t>['third component', 'sensitive component', 'reaction center', 'photosystem ii', 'photochemical system', 'largely suppressed', 'instantaneous fluorescence', 'illumination ).', 'fluorescence quenching', 'excessive light', 'conditions favorable', 'also dtt', 'also developed', '1 minute']</t>
  </si>
  <si>
    <t>We have identified two rapidly relaxing components of non-photochemical fluorescence quenching which suggests that dissipative processes occur in two different sites in the photochemical system of leaves. Under a variety of treatment conditions involving different leaf temperatures, photon flux densities (PFD), exposure times, and in the presence of 5% CO2 or 2% O2, no CO2, the components of nonphotochemical fluorescence quenching were characterized with respect to their sensitivity to dithiothreitol (DTT, which completely inhibits zeaxanthin formation), the effect on instantaneous fluorescence, and the rapidity of relaxation upon darkening. Under most circumstances the DTT-sensitive component (associated with a quenching of instantaneous fluorescence and correlated with zeaxanthin) represented the majority of the rapidly relaxing portion of fluorescence quenching. A DTT-insensitive (zeaxanthin-independent) component, which also relaxed rapidly upon darkening but was not associated with a quenching of instantaneous fluorescence, became proportionally greater in an atmosphere of 2% O2 and no CO2, at elevated leaf temperatures, and to some degree during the induction of photosynthesis (1 minute after the onset of illumination). A third component which was also DTT-insensitive and was sustained upon darkening, was largely suppressed in 2% O2, O% CO2. We conclude that, under conditions favorable for photosynthesis, energy dissipation occurred mainly in the chlorophyll antennae whereas, under conditions less favorable for photosynthesis, a second dissipation process, probably in or around the reaction center of photosystem II, also developed. Furthermore, evidence is presented that the zeaxanthin-associated dissipation process prevents sustained inactivation of photochemistry by excessive light.</t>
  </si>
  <si>
    <t>302-309</t>
  </si>
  <si>
    <t>60012689-60000221;60012689-60000221;60012689</t>
  </si>
  <si>
    <t>7401725101;7003992248;7102196432</t>
  </si>
  <si>
    <t>Adams, William W.;Demmig-Adams, Barbara;Winter, Klaus</t>
  </si>
  <si>
    <t>Germany;United States</t>
  </si>
  <si>
    <t>Wurzburg;Boulder</t>
  </si>
  <si>
    <t>Julius-Maximilians-Universit√§t W√ºrzburg;University of Colorado Boulder</t>
  </si>
  <si>
    <t>60012689;60000221</t>
  </si>
  <si>
    <t>Adams W.W.</t>
  </si>
  <si>
    <t>Relative contributions of zeaxanthin-related and zeaxanthin-unrelated types of 'high-energy-state' quenching of chlorophyll fluorescence in spinach leaves exposed to various environmental conditions</t>
  </si>
  <si>
    <t>10.1104/pp.92.2.302</t>
  </si>
  <si>
    <t>2-s2.0-0000751265</t>
  </si>
  <si>
    <t>['zeaxanthin comprised', 'white light', 'total photosystems', 'three times', 'substantially greater', 'spectral quality', 'spectral composition', 'remain constant', 'red light', 'quantum flux', 'psii light', 'psi ratio', 'psi light', 'photosystem ii', 'photosynthetic apparatus', 'little effect', 'little affected', 'harvesting apparatus', 'growth light', 'grown cultures', 'green light', 'cultures grown', 'cell content', 'carotenoid pigment', 'carotenoid content', 'absorbed primarily', 'absorbed predominantly', '40 %,', '10 ),', '1 ).']</t>
  </si>
  <si>
    <t>Acclimation of the photosynthetic apparatus to light absorbed primarily by photosystem I (PSI) or by photosystem II (PSII) was studied in the unicellular red alga Porphyridium cruentum (ATCC 50161). Cultures grown under green light of 15 microeinsteins per square meter per second (PSII light; absorbed predominantly by the phycobilisomes) exhibited a PSII/PSI ratio of 0.26 ¬± 0.05. Under red light (PSI light; absorbed primarily by chlorophyll) of comparable quantum flux, cells contained nearly five times as many PSII per PSI (1.21 ¬± 0.10), and three times as many PSII per cell. About 12% of the chlorophyll was attributed to PSII in green light, 22% in white light, and 39% in red light-grown cultures. Chlorophyll antenna sizes appeared to remain constant at about 75 chlorophyll per PSII and 140 per PSI. Spectral quality had little effect on cell content or composition of the phycobilisomes, thus the number of PSII per phycobilisome was substantially greater in red light-grown cultures (4.2 ¬± 0.6) than in those grown under green (1.6 ¬± 0.3) or white light (2.9 ¬± 0.1). Total photosystems (PSI + PSII) per phycobilisome remained at about eight in each case. Carotenoid content and composition was little affected by the spectral composition of the growth light. Zeaxanthin comprised more than 50% (mole/mole), Œ≤-carotene about 40%, and cryptoxanthin about 4% of the carotenoid pigment. Despite marked changes in the light-harvesting apparatus, red and green light-grown cultures have generation times equal to that of cultures grown under white light of only one-third the quantum flux.</t>
  </si>
  <si>
    <t>888-895</t>
  </si>
  <si>
    <t>60020304;60027678;60027678;60020304</t>
  </si>
  <si>
    <t>7102226979;6507414259;57195541282;7005758772</t>
  </si>
  <si>
    <t>Cunningham, Francis X.;Dennenberg, Ronald J.;Jursinic, Paul A.;Gantt, Elisabeth</t>
  </si>
  <si>
    <t>United States;United States</t>
  </si>
  <si>
    <t>Peoria;College Park</t>
  </si>
  <si>
    <t>USDA ARS National Center for Agricultural Utilization Research;University of Maryland, College Park</t>
  </si>
  <si>
    <t>60027678;60020304</t>
  </si>
  <si>
    <t>Cunningham F.</t>
  </si>
  <si>
    <t>Growth under red light enhances photosystem II relative to photosystem I and phycobilisomes in the red alga Porphyridium cruentum</t>
  </si>
  <si>
    <t>10.1104/pp.93.3.888</t>
  </si>
  <si>
    <t>2-s2.0-0000814192</t>
  </si>
  <si>
    <t>['¬© 1990', 'various methods', 'unified two', 'presented theoretically', 'possible applications', 'miniature wiggler', 'fel radiation', 'far field', 'electron laser', 'broadside schemes', 'array antenna', 'angular steering']</t>
  </si>
  <si>
    <t>The free-electron laser (FEL) is presented theoretically in this paper as an angularly directed radiation source. Features of phased-array antenna are incorporated in known FEL schemes to provide the angular steering of the FEL radiation in the far field. Various methods for FEL angular steering are proposed. These are classified in this paper as end-fire and broadside schemes. A unified two-dimensional linear model for the FEL angular steering is derived and implemented to demonstrate the performances of the various steering methods. It is shown that by using a miniature wiggler, a considerable angular steering range is feasible in the broadside FEL scheme in the millimeter wave range. Possible applications for the FEL angular steering features, considering their limitations, are proposed. ¬© 1990 The American Physical Society.</t>
  </si>
  <si>
    <t>3804-3811</t>
  </si>
  <si>
    <t>Physical Review A</t>
  </si>
  <si>
    <t>60005681-60022195</t>
  </si>
  <si>
    <t>Jerby, Eli</t>
  </si>
  <si>
    <t>United States;Israel</t>
  </si>
  <si>
    <t>Cambridge;Tel Aviv-Yafo</t>
  </si>
  <si>
    <t>Massachusetts Institute of Technology;Tel Aviv University</t>
  </si>
  <si>
    <t>60022195;60005681</t>
  </si>
  <si>
    <t>Jerby E.</t>
  </si>
  <si>
    <t>Angular steering of the free-electron-laser far-field radiation beam</t>
  </si>
  <si>
    <t>10.1103/PhysRevA.41.3804</t>
  </si>
  <si>
    <t>2-s2.0-0000892546</t>
  </si>
  <si>
    <t>['usually performed', 'speed discrepancy', 'spaced antennas', 'simplifying assumptions', 'significant factor', 'paper takes', 'limiting value', 'likely factor', 'experimental data', 'correlating signals', 'copyright 1990', 'antenna spacing']</t>
  </si>
  <si>
    <t>MF radar ionospheric drift measurements are usually performed by correlating signals from spaced antennas. It has long been noted that the speeds obtained tend to increase to a limiting value when the antenna spacing is increased, and noise was indicated as a likely factor. This paper takes the view that noise is the only significant factor, and, with the help of some simplifying assumptions, shows that elimination of the noise term also eliminates the speed discrepancy on experimental data from two receiving arrays, each with two available spacings. Copyright 1990 by the American Geophysical Union.</t>
  </si>
  <si>
    <t>641-648</t>
  </si>
  <si>
    <t>1944799X</t>
  </si>
  <si>
    <t>Radio Science</t>
  </si>
  <si>
    <t>Meek, C. E.</t>
  </si>
  <si>
    <t>Meek C.</t>
  </si>
  <si>
    <t>Triangle size effect in spaced antenna wind measurements</t>
  </si>
  <si>
    <t>10.1029/RS025i004p00641</t>
  </si>
  <si>
    <t>2-s2.0-0001044662</t>
  </si>
  <si>
    <t>['time resolution', 'technical description', 'spatial structure', 'spatial resolution', 'sondre stromfjord', 'second instrument', 'recently installed', 'recent trends', 'polar regions', 'paper presents', 'localized structure', 'limited information', 'iris system', 'iris antenna', 'iris ).', 'ionospheric studies', 'ionospheric area', 'instrument provides', 'imaging riometer', 'fixed beam', 'developed within', 'copyright 1990', '20 km', '2 mhz', '1 km']</t>
  </si>
  <si>
    <t>Most measurements of cosmic radio noise absorption in the polar regions have been made with riometers using broad‚Äêbeam (‚àº60 deg) antennas. Only limited information about the spatial structure and dynamics of the aurora can be obtained by this means. Recent trends in riometry have emphasized the use of multiple narrow‚Äêbeam antennas operated in a fixed beam or one‚Äêdimensional scanning mode to examine smaller ionospheric regions. A further step in this direction has been the development of the imaging riometer for ionospheric studies (IRIS). This instrument provides a two‚Äêdimensional image of regions of enhanced cosmic noise absorption at 38.2 MHz with a spatial resolution as small as 20 km and time resolution of 1 s. The IRIS antenna is a 64‚Äêelement dipole array, phased to produce 49 independent beams viewing an ionospheric area about 200 km square at 90 km altitude. One IRIS instrument has been operating at the South Pole station since January, 1988; a second instrument was recently installed at Sondre Stromfjord, Greenland. This paper presents a technical description of the IRIS system. The response of the IRIS to a sun‚Äêaligned absorption arc is illustrated and compared with that of a broad‚Äêbeam riometer. An intense, localized structure that developed within the arc was observed by IRIS to propagate in the magnetic poleward direction with a speed of 1 km/s. Copyright 1990 by the American Geophysical Union.</t>
  </si>
  <si>
    <t>325-338</t>
  </si>
  <si>
    <t>;</t>
  </si>
  <si>
    <t>6602309445;7102636042</t>
  </si>
  <si>
    <t>Detrick, D. L.;Rosenberg, T. J.</t>
  </si>
  <si>
    <t>Detrick D.</t>
  </si>
  <si>
    <t>A phased‚Äêarray radiowave imager for studies of cosmic noise absorption</t>
  </si>
  <si>
    <t>10.1029/RS025i004p00325</t>
  </si>
  <si>
    <t>2-s2.0-0001047402</t>
  </si>
  <si>
    <t>n</t>
  </si>
  <si>
    <t>['¬© 1990', 'structural features', 'signal peptide', 'putative pheromone', 'preferentially expressed', 'moderate homologies', 'mature protein', 'identified clone', 'female antennae', 'complete sequence', 'cdna clone', 'antheraea pernyi', 'antennal libraries']</t>
  </si>
  <si>
    <t>antennae | Antheraea pernyi | binding protein | expression | primary structure</t>
  </si>
  <si>
    <t>Using recombinant DNA approaches a cDNA clone was isolated from antennal libraries of Antheraea pernyi which encodes the complete sequence of a putative pheromone or odorant binding protein. The deduced protein sequence consist of a signal peptide of 19 amino acids and a mature protein of 141 amino acid residues. It shares a number of structural features with previously identified pheromone binding proteins although the predicted primary structures show only moderate homologies; Furthermore, the identified clone is preferentially expressed in female antennae. ¬© 1990.</t>
  </si>
  <si>
    <t>735-740</t>
  </si>
  <si>
    <t>Insect Biochemistry</t>
  </si>
  <si>
    <t>60018373;60018373;60018373</t>
  </si>
  <si>
    <t>7103041183;7201508329;6603037070</t>
  </si>
  <si>
    <t>Breer, H.;Krieger, J.;Raming, K.</t>
  </si>
  <si>
    <t>Germany</t>
  </si>
  <si>
    <t>Stuttgart</t>
  </si>
  <si>
    <t>Universit√§t Hohenheim</t>
  </si>
  <si>
    <t>Breer H.</t>
  </si>
  <si>
    <t>A novel class of binding proteins in the antennae of the silk moth Antheraea pernyi</t>
  </si>
  <si>
    <t>0020-1790(90)90088-C</t>
  </si>
  <si>
    <t>10.1016/0020-1790(90)90088-C</t>
  </si>
  <si>
    <t>2-s2.0-0001208140</t>
  </si>
  <si>
    <t>['wiley blackwell', 'thylakoid system', 'thylakoid lumen', 'stroma lamellae', 'rights reserved', 'reduced plastocyanin', 'oxidized ferredoxin', 'nuclear genes', 'different subunits', 'chloroplast encoded']</t>
  </si>
  <si>
    <t>Amino acid sequence | functional characterization | photosynthesis | photosystem 1 | subunit composition</t>
  </si>
  <si>
    <t>Photosystem I mediates light‚Äêinduced electron transport from reduced plastocyanin in the thylakoid lumen to oxidized ferredoxin in the stroma. Photosystem I is located in the stroma lamellae of the thylakoid system and consists of a peripheral light‚Äêharvesting pigment‚Äêprotein complex and a core complex carrying the electron transfer components and additional antenna pigments. The core complex consists of 11 different polypeptide subunits, five of which are chloroplast encoded and six of which are encoded by nuclear genes. The structure and function of the different subunits of the photosystem 1 core complex is discussed. Copyright ¬© 1990, Wiley Blackwell. All rights reserved</t>
  </si>
  <si>
    <t>484-494</t>
  </si>
  <si>
    <t>Physiologia Plantarum</t>
  </si>
  <si>
    <t>60007971;60007971</t>
  </si>
  <si>
    <t>55664625200;7202709790</t>
  </si>
  <si>
    <t>Scheller, Henrik Vibe;M√∏ller, Birger Lindberg</t>
  </si>
  <si>
    <t>Denmark</t>
  </si>
  <si>
    <t>Copenhagen</t>
  </si>
  <si>
    <t>University of Copenhagen, Faculty of Life Sciences</t>
  </si>
  <si>
    <t>Scheller H.</t>
  </si>
  <si>
    <t>Photosystem I polypeptides</t>
  </si>
  <si>
    <t>10.1111/j.1399-3054.1990.tb09067.x</t>
  </si>
  <si>
    <t>2-s2.0-0001223555</t>
  </si>
  <si>
    <t>['vertical beam', 'radar echoes', 'periodic change', 'optimum application', 'mountain waves', 'mean wind', 'horizontal wind', 'frequency due', 'first measurements', 'cross spectra', 'corresponding phases', 'copyright 1990', 'clear indications', 'briefly describe', 'also present', 'also notice']</t>
  </si>
  <si>
    <t>The Chung‚ÄêLi VHF radar consists of three phase‚Äêcoherent transmitting‚Äêreceiving antenna systems, which allow an optimum application of interferometer and incidence angle measurements of radar echoes from the troposphere and the stratosphere. We briefly describe the applications of the spatial domain interferometry and present here the first measurements of cross spectra and the corresponding phases, which vary as function of frequency due to the mean wind. We also present the first incidence angle measurements and show that the scattering‚Äêreflecting structures in the troposphere can be inclined to the horizontal by a tilt or inclination of l¬∞‚Äì2¬∞. We also notice a periodic change of this inclination as well as the radial velocity measured with vertical antenna beam as a function of altitude and time which we attribute to long‚Äêperiod waves or mountain waves. There are clear indications that the radial velocity measured with the vertical beam is diluted by the projection of the horizontal wind in the presence of inclined or tilted reflectivity structures. We also describe observations of long‚Äêperiod waves seen in the horizontal wind pattern, which could be of the same origin as the quasi‚Äêperiodic pattern observed in the inclination and the reflectivity. Copyright 1990 by the American Geophysical Union.</t>
  </si>
  <si>
    <t>503-515</t>
  </si>
  <si>
    <t>;;;;;</t>
  </si>
  <si>
    <t>7003907481;26643441900;25948120300;7403392158;7403224755;6701706115</t>
  </si>
  <si>
    <t>R√∂ttger, J.;Liu, C. H.;Chao, J. K.;Chen, A. J.;Pan, C. J.;Fu, I. ‚ÄêJ</t>
  </si>
  <si>
    <t>R√∂ttger J.</t>
  </si>
  <si>
    <t>Spatial interferometer measurements with the Chung‚ÄêLi VHF radar</t>
  </si>
  <si>
    <t>10.1029/RS025i004p00503</t>
  </si>
  <si>
    <t>2-s2.0-0001453420</t>
  </si>
  <si>
    <t>['wind velocity', 'tropopause height', 'technical layout', 'scientific rationale', 'receiver system', 'radiosonde measurements', 'particular configuration', 'particular characteristics', 'gravity waves', 'good agreement', 'data analysis', 'copyright 1990', 'conventional mode', 'briefly described', 'brief outline', 'antenna system']</t>
  </si>
  <si>
    <t>The particular characteristics of the VHF mesosphere‚Äêstratosphere‚Äêtroposphere (MST) radar and wind profiler system, operated at the National Central University in Chung‚ÄêLi, Taiwan, Republic of China, are described. These are the dual‚Äêmode applications of the Doppler and the spaced antenna technique, where the latter is used in the conventional mode to determine the wind velocity as well as in the novel interferometer mode. A brief outline of the scientific rationale and the technical layout of this particular configuration of the Chung‚ÄêLi VHF radar is given. A generally applicable method for system performance checks by deducing principle radar data parameters before the data analysis has been developed and is briefly described. Receiver system and antenna calibration measurements with celestial radio sources are reported and prove the appropriateness of the antenna system. Radar reflectivity profiles, measured with vertical as well as with off‚Äêvertical antenna beams, are presented and discussed. We also present height‚Äêtime‚Äêreflectivity plots for quiet and disturbed weather conditions and reflect on their peculiarities. We show that the wind profiles measured with the conventional Doppler method and the spaced antenna method are in good agreement with radiosonde measurements. The spatial correlation parameters, deduced with the spaced antenna method, are consistent with results from other radars. We also discuss measurement capabilities to deduce the tropopause height with the Chung‚ÄêLi VHF radar. We also describe echo power variations due to focusing from reflectivity structures modulated by gravity waves and a brief case study of Kelvin‚ÄêHelmholtz instability. We finally outline future research directions which could be performed with the Chung‚ÄêLi VHF radar. Copyright 1990 by the American Geophysical Union.</t>
  </si>
  <si>
    <t>487-502</t>
  </si>
  <si>
    <t>;;;;;;;;;;</t>
  </si>
  <si>
    <t>7003907481;26643441900;25948120300;7403392158;7403051123;6701706115;7406888814;7005354041;7006690412;15034987000;7403224755</t>
  </si>
  <si>
    <t>R√∂ttger, J.;Liu, C. H.;Chao, J. K.;Chen, A. J.;Chu, Y. H.;Fu, I. ‚ÄêJ;Huang, C. M.;Kiang, Y. W.;Kuo, F. S.;Lin, C. H.;Pan, C. J.</t>
  </si>
  <si>
    <t>The Chung‚ÄêLi VHF radar: Technical layout and a summary of initial results</t>
  </si>
  <si>
    <t>10.1029/RS025i004p00487</t>
  </si>
  <si>
    <t>2-s2.0-0001468631</t>
  </si>
  <si>
    <t>['¬© 1990', 'tio2 via', 'tio2 demonstrate', 'terminal ru', 'sensitized semiconductors', 'rights reserved', 'possible strategy', 'photophysical behavior', 'photoelectrochemical behavior', 'photochemical spectra', 'negativity charged', 'light absorbed', 'efficiently used', 'efficiently funneled', 'complex adsorbs', 'central unit', 'antenna fragments']</t>
  </si>
  <si>
    <t>The use of antenna-sensitizer molecular devices is proposed as a possible strategy to increase the light harvesting efficiency of sensitized semiconductors. To illustrate this approach, the cyano-bridged trinuclear complex [Ru(bpy)2-(CN)2]2Ru(bpy(COO)2)22- has been synthesized and studied. The complex adsorbs on TiO2 via the negativity charged-Ru(bpy(COO)2)2- central unit. The photophysical behavior in solution and the photoelectrochemical behavior on TiO2 have been studied. Emission and excitation spectra show that in this complex the light energy absorbed by the terminal Ru(bpy)2(CN)2 (antenna) groups is efficiently funneled to the central-Ru(bpy(COO)2)2- (sensitizer) fragment. Photochemical spectra on TiO2 demonstrate that the light absorbed by the antenna fragments is efficiently used for sensitization of the semiconductor. ¬© 1990, American Chemical Society. All rights reserved.</t>
  </si>
  <si>
    <t>7099-7103</t>
  </si>
  <si>
    <t>Journal of the American Chemical Society</t>
  </si>
  <si>
    <t>60021199;60021199;60021199;60021199</t>
  </si>
  <si>
    <t>56818054300;57202705693;7004810859;7003684669</t>
  </si>
  <si>
    <t>Amadelli, R.;Argazzi, R.;Bignozzi, C. A.;Scandola, F.</t>
  </si>
  <si>
    <t>Italy</t>
  </si>
  <si>
    <t>Rome</t>
  </si>
  <si>
    <t>Consiglio Nazionale delle Ricerche</t>
  </si>
  <si>
    <t>Amadelli R.</t>
  </si>
  <si>
    <t>Design of Antenna-Sensitizer Polynuclear Complexes. Sensitization of Titanium Dioxide with [Ru(bpy)&lt;inf&gt;2&lt;/inf&gt;(CN)&lt;inf&gt;2&lt;/inf&gt;]&lt;inf&gt;2&lt;/inf&gt;Ru(bpy(COO)&lt;inf&gt;2&lt;/inf&gt;)&lt;inf&gt;2&lt;/inf&gt;&lt;sup&gt;2-&lt;/sup&gt;</t>
  </si>
  <si>
    <t>10.1021/ja00176a003</t>
  </si>
  <si>
    <t>2-s2.0-0001527974</t>
  </si>
  <si>
    <t>['yet able', 'two pools', 'transport rates', 'thylakoid membrane', 'strong irradiance', 'smaller antenna', 'slightly increased', 'results suggest', 'reserve pool', 'reinhardtii cells', 'reducing state', 'psiiœ ≤', 'psiiœ ±.', 'psii heterogeneity', 'photosynthetic functioning', 'photoreduce plastoquinone', 'photochemical activity', 'partially compensates', 'parallel measurements', 'low light', 'irradiance treatment', 'intact cells', 'high rates', 'grown c', 'chlamydomonas reinhardtii', 'adverse effect', '80 %.', '60 minutes']</t>
  </si>
  <si>
    <t>The effect of strong irradiance (2000 micromole photons per square meter per second) on PSII heterogeneity in intact cells of Chlamydomonas reinhardtii was investigated. Low light (LL, 15 micromole photons per square meter per second) grown C. reinhardtii are photoinhibited upon exposure to strong irradiance, and the loss of photosynthetic functioning is due to damage to PSII. Under physiological growth conditions, PSII is distributed into two pools. The large antenna size (PSIIŒ±) centers account for about 70% of all PSII in the thylakoid membrane and are responsible for plastoquinone reduction QB-reducing centers). The smaller antenna (PSIIŒ≤) account for the remainder of PSII and exist in a state not yet able to photoreduce plastoquinone (QB-nonreducing centers). The exposure of C. reinhardtii cells to 60 minutes of strong irradiance disabled about half of the primary charge separation between P680 and pheophytin. The PSIIŒ≤content remained the same or slightly increased during strong-irradiance treatment, whereas the photochemical activity of PSIIŒ± decreased by 80%. Analysis of fluorescence induction transients displayed by intact cells indicated that strong irradiance led to a conversion of PSIIŒ≤ from a QB-nonreducing to a QB-reducing state. Parallel measurements of the rate of oxygen evolution revealed that photosynthetic electron transport was maintained at high rates, despite the loss of activity by a majority of PSIIŒ±. The results suggest that PSIIŒ≤ in C. reinhardtii may serve as a reserve pool of PSII that augments photosynthetic electron-transport rates during exposure to strong irradiance and partially compensates for the adverse effect of photoinhibition on PSIIŒ±.</t>
  </si>
  <si>
    <t>1196-1204</t>
  </si>
  <si>
    <t>60025038;60025038</t>
  </si>
  <si>
    <t>35450144200;57203081985</t>
  </si>
  <si>
    <t>Neale, Patrick J.;Melis, Anastasios</t>
  </si>
  <si>
    <t>United States</t>
  </si>
  <si>
    <t>Berkeley</t>
  </si>
  <si>
    <t>University of California, Berkeley</t>
  </si>
  <si>
    <t>Neale P.</t>
  </si>
  <si>
    <t>Activation of a reserve pool of photosystem II in Chlamydomonas reinhardtii counteracts photoinhibition</t>
  </si>
  <si>
    <t>10.1104/pp.92.4.1196</t>
  </si>
  <si>
    <t>2-s2.0-0001710080</t>
  </si>
  <si>
    <t>['‚ äêinvestigation', 'schematic diagrams', 'pherecardia striata', 'nuchal organs', 'notopygos variabilis', 'morphological value', 'information given', 'identifying homologies', 'hermodice carunculata', 'ganglion cells', 'eurythoe complanata', 'earlier opinions', 'earlier authors', 'corresponding observations', 'cephalic appendages', 'brain commissures', 'amphinomid brain', 'amphinome rostrata']</t>
  </si>
  <si>
    <t>Earlier papers dealing with the anatomy of the amphinomid brain were studied. Discrepancies in the studied works prompted a re‚Äêinvestigation of the central nervous system of these animals. In this paper the brain commissures, the clusters of ganglion cells and the innervation of the antennae, the palps and the nuchal organs of Eurythoe complanata, Amphinome rostrata, Pherecardia striata, and Notopygos variabilis are described in some detail. The brain of Hermodice carunculata is studied more cursorily. The results, summarized in schematic diagrams, are compared with corresponding observations of the brains of ‚Äòspiomorphic‚Äô and ‚Äòserpulimorphic‚Äô polychaetes and to information given by earlier authors about structures in the Nereidiformia and Aphroditiformia. Using the major Remanian criteria for identifying homologies, equivalents in the amphinomid brain and the central nervous systems of some ‚Äòsedentary‚Äô and ‚Äòerrant‚Äô families are proposed. As a consequence, some earlier opinions about the morphological value of the cephalic appendages of the amphinomids are strengthened while others are rejected. The necessity of further investigations of the polycheaete nervous system is emphasized. 1990 The Royal Swedish Academy of Sciences</t>
  </si>
  <si>
    <t>45-59</t>
  </si>
  <si>
    <t>Acta Zoologica</t>
  </si>
  <si>
    <t>Orrhage, Lars</t>
  </si>
  <si>
    <t>Sweden</t>
  </si>
  <si>
    <t>Gothenburg</t>
  </si>
  <si>
    <t>G√∂teborgs Universitet</t>
  </si>
  <si>
    <t>Orrhage L.</t>
  </si>
  <si>
    <t>On the Microanatomy of the Supraoesophageal Ganglion of Some Amphinomids (Polychaeta Errantia), with Further Discussion of the Innervation and Homologues of the Polychaete Palps</t>
  </si>
  <si>
    <t>000172729090023V</t>
  </si>
  <si>
    <t>10.1111/j.1463-6395.1990.tb01180.x</t>
  </si>
  <si>
    <t>2-s2.0-0002369714</t>
  </si>
  <si>
    <t>['wide range', 'ultimately depend', 'tc superconductors', 'superconducting devices', 'superconducting ceramics', 'solenoid coils', 'prototype devices', 'microwave resonators', 'include wire', 'flux transformers']</t>
  </si>
  <si>
    <t>The exploitation of high-Tc superconductors will ultimately depend on successful manufacturing methods. This paper describes methods which have been used to produce a wide range of superconducting devices. These include wire, antennae, microwave resonators, flux transformers, solenoid coils and gradiometers. The properties of the superconducting ceramics are described and the design and manufacture of prototype devices are discussed. ¬© 1990 IOP Publishing Ltd.</t>
  </si>
  <si>
    <t>Superconductor Science and Technology</t>
  </si>
  <si>
    <t>60024415;60024415;60024415</t>
  </si>
  <si>
    <t>57084269500;7005056283;7005579298</t>
  </si>
  <si>
    <t>McN Alford, N.;Button, T. W.;Birchall, J. D.</t>
  </si>
  <si>
    <t>Netherlands</t>
  </si>
  <si>
    <t>Amsterdam</t>
  </si>
  <si>
    <t>Akzo Nobel N.V.</t>
  </si>
  <si>
    <t>McN Alford N.</t>
  </si>
  <si>
    <t>Processing, properties and devices in high-Tc superconductors</t>
  </si>
  <si>
    <t>10.1088/0953-2048/3/1/002</t>
  </si>
  <si>
    <t>2-s2.0-0002494161</t>
  </si>
  <si>
    <t>['wavelengths smaller', 'transformed back', 'temperature profiles', 'slab plasma', 'reflecting walls', 'real space', 'poisson equations', 'plasma may', 'one end', 'numerical code', 'linearized vlasov', 'integral equation', 'good agreement', 'full form', 'enables us', 'definite formula', 'code seal', 'bounded plasmas', 'arbitrary density', 'also derived']</t>
  </si>
  <si>
    <t>A numerical code, SEAL, solving the full form of a second-order integrodifferential equation that describes electrostatic waves in a slab plasma is presented. No expansion in the smallness of the ion Larmor radius is made. The plasma may have arbitrary density and temperature profiles and is immersed in a nonuniform magnetic field. Only small magnetic field gradients, Maxwellian equilibrium distribution functions, and ky = 0 are assumed. First the integral equation is derived in Fourier space using the linearized Vlasov and Poisson equations, and then it is transformed back into real space, which enables us to treat the case of bounded plasmas. The two boundary conditions specified simulate an antenna at one end of the plasma and wave-reflecting walls. Solutions having wavelengths smaller than the ion Larmor radius have been found. Comparison with experiments where ion Bernstein waves are launched in argon and barium plasmas shows very good agreement with the solution of the code SEAL. A positive-definite formula for the local power absorption is also derived and computed. ¬© 1990 American Institute of Physics.</t>
  </si>
  <si>
    <t>475-487</t>
  </si>
  <si>
    <t>Physics of Fluids B</t>
  </si>
  <si>
    <t>60028186;60028186;60028186-60020304</t>
  </si>
  <si>
    <t>7006721522;7004037457;7003454886</t>
  </si>
  <si>
    <t>Sauter, O.;Vaclavik, J.;Skiff, F.</t>
  </si>
  <si>
    <t>Switzerland;United States</t>
  </si>
  <si>
    <t>Lausanne;College Park</t>
  </si>
  <si>
    <t>Swiss Federal Institute of Technology Lausanne;University of Maryland, College Park</t>
  </si>
  <si>
    <t>60028186;60020304</t>
  </si>
  <si>
    <t>Sauter O.</t>
  </si>
  <si>
    <t>A nonlocal analysis of electrostatic waves in hot inhomogeneous bounded plasmas</t>
  </si>
  <si>
    <t>10.1063/1.859337</t>
  </si>
  <si>
    <t>2-s2.0-0003017225</t>
  </si>
  <si>
    <t>['voluntary dismount', 'video recordings', 'two males', 'structures appear', 'seaweed flies', 'prothoracic legs', 'previous reports', 'one female', 'observed opportunities', 'mating proceeds', 'mating behavior', 'masking experiments', 'male competition', 'male choice', 'follows either', 'female choice', 'detailed description', 'assortative mating', 'apparent interaction', '2 cm']</t>
  </si>
  <si>
    <t>Coelopa frigida | female choice | male choice | male-male competition | mating behavior | nonrandom mating | sexual selection</t>
  </si>
  <si>
    <t>Video recordings were used to obtain a detailed description of the mating behavior of seaweed flies. The roles of wings, antennae, and legs were inferred from ablation and masking experiments. There is no apparent interaction between flies over a distance of more than 1-2 cm. After mounting the prothoracic legs of the male are located in the region of the female's antennae and interactions between these structures appear to facilitate successful mating. There follows either a female rejection response or a voluntary dismount by the male, or mating proceeds to insemination. When triplets of one female and two males were observed, larger males often displaced small males and were themselves less frequently displaced. The observed opportunities for female choice, male choice, and male-male competition are discussed in the light of previous reports of differential male mating success and of assortative mating with respect to size and genotypes. ¬© 1990 Plenum Publishing Corporation.</t>
  </si>
  <si>
    <t>105-120</t>
  </si>
  <si>
    <t>Journal of Insect Behavior</t>
  </si>
  <si>
    <t>60015138;60015138;60015138</t>
  </si>
  <si>
    <t>7203012596;7202176247;7003970965</t>
  </si>
  <si>
    <t>Day, Thomas H.;Foster, Stephen P.;Engelhard, Gabriel</t>
  </si>
  <si>
    <t>United Kingdom</t>
  </si>
  <si>
    <t>Nottingham</t>
  </si>
  <si>
    <t>University of Nottingham</t>
  </si>
  <si>
    <t>Day T.H.</t>
  </si>
  <si>
    <t>Mating behavior in seaweed flies (Coelopa frigida)</t>
  </si>
  <si>
    <t>10.1007/BF01049198</t>
  </si>
  <si>
    <t>2-s2.0-0003094664</t>
  </si>
  <si>
    <t>['¬© 1990', 'well explained', 'two types', 'toroidal direction', 'radiation loss', 'probe near', 'plasma edge', 'plasma coupling', 'phased array', 'phase excitation', 'one type', 'mode transition', 'iqm increases', 'ibw detected', 'heating experiments', 'first found', 'eqm ).', 'electron quasimode', 'edge plasma', 'decay instability', 'decay instabilities', 'decay activity', 'antenna currents']</t>
  </si>
  <si>
    <t>Heating experiments in the second harmonic ion cyclotron range of frequencies (ICRF) have been performed with a phased array of 2√ó2 loop antennas in JT-60. Properties of antenna-plasma coupling are examined by phasing antenna currents in the toroidal direction. In particular, it is first found that the antenna-plasma coupling resistance increases after the H-mode transition in out-of-phase excitation of antenna currents. This result is well explained with the cold plasma coupling theory which takes into account a change in the edge density profile at the transition. Two types of parametric decay instabilities near the plasma edge are observed. One type is decay into an ion Bernstein wave (IBW) and an ion cyclotron quasimode (IQM) and the other into an ion Bernstein wave and a cold electrostatic ion cyclotron wave (CESICW) or an electron quasimode (EQM). Intensity of IBW detected by a probe near the antenna in the decay into IBW and IQM increases with reduction of BT and Ip. The decay instabilities are observed only in the case of in-phase excitation. The edge plasma is heated by the decay instability and the radiation loss during ICRF heating increases with the decay activity. ¬© 1990.</t>
  </si>
  <si>
    <t>139-148</t>
  </si>
  <si>
    <t>Fusion Engineering and Design</t>
  </si>
  <si>
    <t>60012288;60012288;60012288;60012288;60012288;60012288;60012288;60012288;60012288;60012288;60012288;60012288;60012288;60012288;60012288</t>
  </si>
  <si>
    <t>35352771100;7005938557;7404269925;57225662542;8451520700;8690918800;7004487022;57212478757;7101740816;7103103440;55624468974;57207210922;6505816217;7005442284;7003910283</t>
  </si>
  <si>
    <t>Fujii, T.;Saigusa, M.;Kimura, H.;Ono, M.;Tobita, K.;Nemoto, M.;Kusama, Y.;Seki, M.;Moriyama, S.;Nishitani, T.;Nakamura, H.;Takeuchi, H.;Annoh, K.;Shinozaki, S.;Terakado, M.</t>
  </si>
  <si>
    <t>Japan</t>
  </si>
  <si>
    <t>Naka</t>
  </si>
  <si>
    <t>Naka Fusion Institute</t>
  </si>
  <si>
    <t>Fujii T.</t>
  </si>
  <si>
    <t>Invited paper: Interaction between RF and edge plasma during ICRF heating in JT-60</t>
  </si>
  <si>
    <t>092037969090074G</t>
  </si>
  <si>
    <t>10.1016/0920-3796(90)90074-G</t>
  </si>
  <si>
    <t>2-s2.0-0003192360</t>
  </si>
  <si>
    <t>['variable polynomial', 'transformation technique', 'novel expression', 'hexagonal array', 'general complex', 'chebyshev polynomial', 'chebyshev pattern']</t>
  </si>
  <si>
    <t>In this paper, a transformation technique for designing hexagonal antenna arrays that produce almost Œ¶-symmetric patterns is presented. Under the transformation, the hexagonal array factor is represented by a single-variable polynomial. Since every Œ¶cut in the hexagonal array pattern tracks the shape of the polynomial, the resulting array pattern is almost a figure of rotation. When the polynomial is chosen to be a Chebyshev polynomial, a hexagonal array with a Dolph/Chebyshev pattern is obtained. Also, with a known linear array current distribution which is in general complex and symmetric, the hexagonal array can be made to produce a flat-topped main beam with specified ring side lobe levels. A novel expression that computes the hexagonal array current distribution from the complex polynomial coefficients is derived. ¬© 1990 VSP.</t>
  </si>
  <si>
    <t>359-369</t>
  </si>
  <si>
    <t>Journal of Electromagnetic Waves and Applications</t>
  </si>
  <si>
    <t>Kim, Y. U.</t>
  </si>
  <si>
    <t>Los Angeles</t>
  </si>
  <si>
    <t>Northrop Grumman corporation</t>
  </si>
  <si>
    <t>Kim Y.</t>
  </si>
  <si>
    <t>A transformation technique to produce almost rotationally symmetric hexagonal array patterns</t>
  </si>
  <si>
    <t>10.1163/156939390X00591</t>
  </si>
  <si>
    <t>2-s2.0-0006985787</t>
  </si>
  <si>
    <t>['√§ nnchen', 'virgin females', 'untreated females', 'table ).', 'tab .).', 'smallest size', 'similar magnitude', 'similar degree', 'respective responses', 'relative insignificance', 'particularly responsive', 'orange volatiles', 'optical properties', 'olfactory sensilla', 'olfactory cues', 'odourless dummies', 'natural fruits', 'mated males', 'mated females', 'male c', 'less sensitive', 'largest size', 'jedoch geruchlosen', 'host trees', 'host location', 'h √∂', 'grapes could', 'fruit volatiles', 'fruit recognition', 'female c', 'essential oils', 'elektrophysiologische ableitungen', 'electrophysiological recordings', 'dummies supplemented', 'dummies impregnated', 'dosages increasing', 'differ significantly', 'die rezeptorpotentiale', 'corresponding sensilla', 'considerably elevated', 'clearcut influence', 'certain fruits', 'capitata zeigten', 'capitata revealed', 'capitata failed', 'attractiveness exerted', 'attraction rate', 'apfelsinen sowie', 'antennal funiculi', '7 mv', '6 ).', '5 ).', '4 ).', '3 mv', '3 ).', '2 ).', '2 ),', '102 œºg', '1 ).', '0 œºl']</t>
  </si>
  <si>
    <t>Host location by the Mediterranean fruit fly (Ceratitis capitata Wiedemann) was studied from the viewpoint of olfactory and optical properties of certain fruits. Oranges, tangerines, plums, lemons, strawberries and grapes were found to be significantly more attractive for mated females than for mated males of C. capitata (fig. 1). When compared with mated females, virgin females were definitely less attracted to oranges and odourless orange dummies (fig. 2). Dimension has a clearcut influence on the attractiveness of natural fruits for both sexes of the Mediterranean fruit fly. The most attractive test fruit for female and male C. capitata (orange) had the largest size, while the least attractive test fruit (grape) had the smallest size (fig. 1). The relatively low attractiveness of grapes could be considerably elevated by changing their greenish‚Äêyellow colour to purple (table). Since the rate of attraction of female C. capitata to oranges, lemons, strawberries and to their corresponding, odourless dummies did not differ significantly (fig. 2), it was assumed that the fruit volatiles are not essential for the location of those fruits. Moreover, removal of the funiculus and arista from both antennae of female C. capitata failed to suppress the attraction rate of the former to dummies supplemented by orange volatiles, if compared with the respective responses of untreated females (fig. 3). The dispensableness of olfactory cues for fruit recognition was corroborated by a similar degree of attractiveness exerted by odourless dummies and dummies impregnated with five gradually increasing dosages (from 10‚àí6 to 102 Œºg) of orange volatiles (fig. 4). Electrophysiological recordings from olfactory sensilla on the antennal funiculi of female C. capitata revealed that the former were particularly responsive to the volatiles of orange, lemon and bergamot fruits applied in dosages increasing from 10‚àí2 to 102 Œºg (receptor potentials ranging from ‚âà 0.8 to ‚âà 2.3 mV), while they were less sensitive to the volatiles of apricot (receptor potentials ranging from ‚âà 0.5 to ‚âà 1.3 mV). The receptor potentials elicited by the above essential oils in olfactory sensilla of the females were ‚âà 2.8‚Äì3.4 times higher than the receptor potentials induced in corresponding sensilla of the males (fig. 5). It follows that the essential oils of certain host fruits provide olfactory stimuli to female and less so to male C. capitata, in spite of the relative insignificance of the former for fruit recognition. Water, which may be emitted as vapour from the leaves and fruits of host trees, was found to induce receptor potentials of similar magnitude (ranging from ‚âà 0.3 to ‚âà 1.7 mV in response to 0.1‚Äì5.0 Œºl of water) in the olfactory sensilla of both sexes (fig. 6). Einflu√ü geruchlicher und optischer Eigenschaften einiger Fr√ºchte auf die Wirtsfindung der Mittelmeerfruchtfliege (Ceratitis capitata Wiedemann) Die Wirtsfindung der Mittelmeerfruchtfliege wurde vom Standpunkt der olfaktorischen und optischen Eigenschaften einiger Fr√ºchte untersucht. Apfelsinen, Mandarinen, Pflaumen, Zitronen, Erdbeeren sowie Weinbeeren waren f√ºr gepaarte Weibchen bedeutend attraktiver als f√ºr gepaarte, den Weibchen gleichaltrige M√§nnchen (Fig. 1). Ungepaarte Weibchen wurden im Vergleich zu gepaarten Weibchen erheblich weniger an Apfelsinen sowie an geruchlose Apfelsinenattrappen gelockt (Fig. 2). Die Ausdehnung der kugel‚Äê oder eif√∂rmigen Gestalt hat eindeutigen Einflu√ü auf die Attraktivit√§t nat√ºrlicher Fr√ºchte f√ºr beide Geschlechter von C. capitata. Die lockwirksamste Fruchtart (Apfelsine) hatte die gr√∂√üte Ausdehnung, wogegen die Fruchtart mit der geringsten Lockwirksamkeit (Weinbeere) die kleinste Ausdehnung hatte (Fig. 1). Die verh√§ltnism√§√üig geringe Lockwirksamkeit der Weinbeeren konnte allerdings nach einer Farb√§nderung von gr√ºnlich‚Äêgelb in rot‚Äêviolett signifikant erh√∂ht werden (Tab.). Da die Lockwirkungsraten von Apfelsinen, Zitronen und Erdbeeren von den Lockwirkungsraten der entsprechenden, jedoch geruchlosen, Attrappen f√ºr weibliche C. capitata nicht signifikant unterscheidbar waren (Fig. 2), wurde angenommen, da√ü der Duft der genannten Fr√ºchte bei deren Erkennung keine wesentliche Rolle spielt. Au√üerdem bewirkte die Extirpation des Funiculus' und der Arista von beiden Antennen keine signifikante Unterdr√ºckung des Anfluges der so behandelten weiblichen C. capitata an ‚Äî mit Apfelsinenschalen√∂l impr√§gnierte ‚Äî Attrappen, verglichen mit den entsprechenden Reaktionen unbehandelter Weibchen (Fig. 3). Eine weitere Best√§tigung der Unn√∂tigkeit olfaktorischer Signale f√ºr die Fruchterkennung von weiblichen C. capitata ergab sich aus den √§hnlichen Lockwirkungsraten von geruchlosen Attrappen sowie von Attrappen, die jeweils mit f√ºnf ‚Äî in Zehnerpotenzen gesteigerten ‚Äî Mengen (10‚àí6 bis 102 Œºg) des Apfelsinenschalen√∂ls impr√§gniert waren (Fig. 4). Elektrophysiologische Ableitungen an olfaktorischen Sensilla der Antennenfuniculi weiblicher C. capitata zeigten, da√ü diese Riechhaare auf die fl√ºchtigen Schalen√∂le der Apfelsine, Zitrone und Bergamotte besonders empfindlich reagierten. In Zehnerpotenzen abgestufte Mengen (10‚àí2 bis 102 Œºg) der genannten Zitrusschalen√∂le induzierten Rezeptorpotentiale von ‚âà 0,8 bis ‚âà 2,3 mV, wogegen die gleichen Mengen des fl√ºchtigen Aprikosen√∂ls Rezeptorpotentiale von nur ‚âà 0,5 bis ‚âà 1,3 mV hervorriefen. Die Rezeptorpotentiale, die nach Reizung mit den genannten fl√ºchtigen Frucht√∂len an olfaktorischen Sensillen der Weibchen hervorgerufen wurden, waren ‚âà 2,8‚Äì3,4fach h√∂her als die Rezeptorpotentiale, die durch entsprechende Behandlung der M√§nnchen‚ÄêSensilla entstanden (Fig. 5). Man kann daher folgern, da√ü die fl√ºchtigen √ñle mancher Fruchtarten weiblichen sowie, in geringerem Ausma√ü, m√§nnlichen Mittelmeerfruchtfliegen olfaktorische Reize vermitteln, die jedoch f√ºr die Wirtserkennung relativ bedeutungslos sind. Wasser, das h√§ufig von Bl√§ttern und Fr√ºchten der Wirtsb√§ume dampff√∂rmig abgegeben wird, rief bei beiden Geschlechtern der Mittelmeerfruchtfliege √§hnlich hohe Rezeptorpotentiale hervor: nach Reizung der olfaktorischen Sensillen der Antennenfuniculi mit 0,1‚Äì5,0 Œºl Wasser entstanden Rezeptorpotentiale in H√∂he von ‚âà 0,3 bis ‚âà l,7mV. 1990 Blackwell Verlag GmbH</t>
  </si>
  <si>
    <t>44-54</t>
  </si>
  <si>
    <t>Journal of Applied Entomology</t>
  </si>
  <si>
    <t>January/December 1990</t>
  </si>
  <si>
    <t>60005460;60005460;60005460</t>
  </si>
  <si>
    <t>7102170884;16212286200;57225981849</t>
  </si>
  <si>
    <t>Levinson, H. Z.;Levinson, A. R.;M√ºller, K.</t>
  </si>
  <si>
    <t>Pocking</t>
  </si>
  <si>
    <t>Max Planck Institute for Ornithology</t>
  </si>
  <si>
    <t>Levinson H.Z.</t>
  </si>
  <si>
    <t>Influence of some olfactory and optical properties of fruits on host location by the Mediterranean fruit fly (Cera titis capita ta Wied.)</t>
  </si>
  <si>
    <t>10.1111/j.1439-0418.1990.tb00017.x</t>
  </si>
  <si>
    <t>2-s2.0-0008255616</t>
  </si>
  <si>
    <t>['¬© 1990', 'two families', 'three species', 'stained bands', 'similar mobility', 'separated proteins', 'results constitute', 'molecular subunits', 'manduca sexta', 'lepidopteran species', 'included c4', 'horseradish peroxidase', 'heliothis zea', 'heliothis virescens', 'heliothis subflexa', 'five species', 'female h', 'covalent modification', 'coexisting aldh', 'catalyzed oxidation', 'ao enzymes', 'ao activity', 'antennal extracts', 'aldehyde oxidase', 'aldehyde dehydrogenase']</t>
  </si>
  <si>
    <t>affinity labeling | aldehyde | enzyme polymorphism | gel staining | Heliothis subflexa | Heliothis virescens | Heliothis zea | Manduca sexta | pheromone metabolism | Spodoptera frugiperda</t>
  </si>
  <si>
    <t>Conversion of Z11-16:A1 to its corresponding carboxylic acid was examined in male antennal extracts from Heliothis subflexa, Heliothis virescens, Heliothis zea, Manduca sexta and Spodoptera frugiperda moths. Both aldehyde dehydrogenase (ALDH) and aldehyde oxidase (AO) activities were detected by radiochromatographic assays using [3H]Z11-16:A1 as the substrate and by spectroscopic assays using Z11-16:A1 as the substrate. AO activity in each of the five moths showed a broad substrate specificity which included C4 to C18 aliphatic aldehydes and benzaldehyde. ALDH and AO enzymes from the male and female antennal extracts were identified after electrophoretic protein separation. AO enzymes were visualized on native polyacrylamide gels with formazan- or horseradish peroxidase-mediated stain coupled to the AO-catalyzed oxidation of benzaldehyde. Both sexes of most species showed intense AO-stained bands of similar mobility. Molecular subunits of potential ALDH enzymes were visualized by fluorography of SDS-PAGE-separated proteins after covalent modification by [3H](Z)-1,11-hexadecadien-3-one, a selective affinity label for ALDH. ALDH subunits appeared at 51 ¬± 1 kDa in antennae from males of all five species and females of three species; female H. zea and M. sexta moths lacked these characteristic ALDH subunits. These results constitute the first biochemical comparisons of coexisting ALDH and AO enzymes in antennal extracts from lepidopteran species from two families. ¬© 1990.</t>
  </si>
  <si>
    <t>691-700</t>
  </si>
  <si>
    <t>60026415;60026415</t>
  </si>
  <si>
    <t>6701497677;36043755100</t>
  </si>
  <si>
    <t>Tasayco, Maria L.;Prestwich, Glenn D.</t>
  </si>
  <si>
    <t>Stony Brook</t>
  </si>
  <si>
    <t>Stony Brook University</t>
  </si>
  <si>
    <t>Tasayco M.L.</t>
  </si>
  <si>
    <t>Aldehyde oxidases and dehydrogenases in antennae of five moth species</t>
  </si>
  <si>
    <t>0020-1790(90)90083-7</t>
  </si>
  <si>
    <t>10.1016/0020-1790(90)90083-7</t>
  </si>
  <si>
    <t>2-s2.0-0008439901</t>
  </si>
  <si>
    <t>['¬© 1990', 'vinculum complex', 'six species', 'single females', 'rights reserved', 'latter two', 'large saccus', 'initially assigned', 'hynhamia lack', 'formally named', 'foreleg hairpencil', 'cornutia sp', 'convincing synapomorphies', 'brunana sp']</t>
  </si>
  <si>
    <t>The Neotropical genus Hynhamia Razowski, 1987 is redescribed. Six species are recognized: H. hemileuca (Meyrick, 1932), type species; H. sciodryas (Meyrick, 1926), comb, n.; H. brunana sp. n.; H. cornutia sp. n.; H. sp. A; and H. sp. B; the latter two are known only from single females and therefore are not formally named. The genitalia are described and illustrated for each species. Initially assigned to Chlidanotini (Chlidanotinae), Hynhamia is transferred to Euliini on the basis of the possession of a foreleg hairpencil and moderately long antennal setulae (= cilia) in the male, and the presumably plesiomorphic female genitalia. Members of Hynhamia lack all convincing synapomorphies for inclusion in the Chlidanotini, i.e., hami, large saccus-vinculum complex, and laterally compressed antennae in the male; and the characteristic ‚Äôasteroid‚Äô signum and associated accessory bursa in the female. ¬© 1990, Brill. All rights reserved.</t>
  </si>
  <si>
    <t>321-328</t>
  </si>
  <si>
    <t>1876312X</t>
  </si>
  <si>
    <t>1399560X</t>
  </si>
  <si>
    <t>Insect Systematics and Evolution</t>
  </si>
  <si>
    <t>Brown, John W.</t>
  </si>
  <si>
    <t>Natural History Museum of Los Angeles County</t>
  </si>
  <si>
    <t>Brown J.</t>
  </si>
  <si>
    <t>Review of Hynhamia Razowski (Lepidoptera: Tortricidae) and critique of its phylogenetic position</t>
  </si>
  <si>
    <t>10.1163/187631290X00247</t>
  </si>
  <si>
    <t>2-s2.0-0009162324</t>
  </si>
  <si>
    <t>['echo power', 'copyright 1990', 'aspect sensitivity', 'angular dependence', '8 km', '5 db', '4 ¬∞)', '05 db']</t>
  </si>
  <si>
    <t>Aspect sensitivity at tropospheric heights measured with the vertically pointed broad antenna beam (half power beam width is 7.4¬∞) of the new Chung‚ÄêLi VHF radar will be presented and discussed. The angular dependence of the echo power is shown to be Gaussian, and the echo power lapse rate at heights between 2 and 8 km is about 0.5 dB/deg to 1.05 dB/deg. This angular dependence levels off at approximately 4¬∞ to 10 ¬∞, depending on the heights. The observed aspect sensitivity is analyzed and related to background atmospheric parameters. Copyright 1990 by the American Geophysical Union.</t>
  </si>
  <si>
    <t>539-550</t>
  </si>
  <si>
    <t>;;;</t>
  </si>
  <si>
    <t>7403051123;25948120300;26643441900;7003907481</t>
  </si>
  <si>
    <t>Chu, Y. H.;Chao, J. K.;Liu, C. H.;R√∂ttger, J.</t>
  </si>
  <si>
    <t>Chu Y.</t>
  </si>
  <si>
    <t>Aspect sensitivity at tropospheric heights measured with vertically pointed beam of the Chung‚ÄêLi VHF radar</t>
  </si>
  <si>
    <t>10.1029/RS025i004p00539</t>
  </si>
  <si>
    <t>2-s2.0-0011402503</t>
  </si>
  <si>
    <t>['times longer', 'several wavelengths', 'results indicate', 'qy band', 'prosthecochloris aestuarii', 'photobleaching spectra', 'localized states', 'incoherent hopping', 'exciton localization', 'excitation transport', '2 ps']</t>
  </si>
  <si>
    <t>Time-dependent linear dichroism was observed for several wavelengths in the Qy band of the BChl a-protein antenna complex from Prosthecochloris aestuarii, and photobleaching spectra were obtained for evidence of exciton localization. The results indicate that excitation transport in this antenna proceeds largely through incoherent hopping between localized states at times longer than 2 ps. ¬© 1990 American Chemical Society.</t>
  </si>
  <si>
    <t>7338-7339</t>
  </si>
  <si>
    <t>Journal of Physical Chemistry</t>
  </si>
  <si>
    <t>60008023;60008023</t>
  </si>
  <si>
    <t>15079249300;57193129444</t>
  </si>
  <si>
    <t>Lyle, Paul A.;Struve, Walter S.</t>
  </si>
  <si>
    <t>Ames</t>
  </si>
  <si>
    <t>Ames Laboratory</t>
  </si>
  <si>
    <t>Lyle P.</t>
  </si>
  <si>
    <t>Evidence for ultrafast exciton localization in the Q&lt;inf&gt;y&lt;/inf&gt; band of bacteriochlorophyll a-protein from Prosthecochloris aestuarii</t>
  </si>
  <si>
    <t>10.1021/j100382a004</t>
  </si>
  <si>
    <t>2-s2.0-0011539704</t>
  </si>
  <si>
    <t>['¬© 1990', 'variable fluorescence', 'structural changes', 'spheroplasts prepared', 'similar manner', 'reducing side', 'protein complexes', 'pronounced quenching', 'photosystem ii', 'multiple effects', 'mercury saturate', 'mercury cannot', 'mercury binds', 'lower concentrations', 'low concentrations', 'intact cells', 'increase may', 'fluorescence yield', 'ethylenediaminetetraacetic acid', 'electron flow', 'donor side', 'chlorophyll suggests', 'chlorophyll fluorescence', 'antenna pigments', 'anacystis nidulans', 'also observed']</t>
  </si>
  <si>
    <t>chlorophyll fluorescence | cyanobacteria | Electron transport | heavy metal inhibition.</t>
  </si>
  <si>
    <t>Changes in the fluorescence yield of chlorophyll were monitored to investigate the effect of HgCl2 on the cyanobacteria Spirulina platensis and Anacystis nidulans; weak modulated light, high intensity actinic light and additional strong sources of illumination were used. Depending on the concentration of HgCl2, three distinct types of change in the fluorescence yield of chlorophyll a were observed. At low concentrations (1.5 ŒºM), HgCl2 behaves in a similar manner to diuron in that it increases the fluorescence intensity F0 in weak modulated light. This increase may be due to blockage of electron flow on the reducing side of photosystem II. At slightly increased levels of mercury (3 ŒºM), the quenching of the variable fluorescence of chlorophyll suggests a decrease in electron flow on the donor side of photosystem II. This effect becomes much more evident in the presence of diuron. At sufficiently high concentrations (18 ŒºM), a pronounced quenching of the chlorophyll fluorescence is observed, which may be due to both the blocking of photosystem II on the donor side and structural changes in the antenna pigments. These multiple effects of mercury are also observed in intact cells of Anacystis and in spheroplasts prepared from Anacystis. In the latter, the effects of mercury saturate at lower concentrations than those observed in intact cells. The effect of mercury cannot be reversed by ethylenediaminetetraacetic acid, suggesting that mercury binds with the pigment-protein complexes of the cyanobacteria. ¬© 1990.</t>
  </si>
  <si>
    <t>373-380</t>
  </si>
  <si>
    <t>Journal of Photochemistry and Photobiology, B: Biology</t>
  </si>
  <si>
    <t>60030622;60030622;60030622</t>
  </si>
  <si>
    <t>7202013276;57196232589;7101652469</t>
  </si>
  <si>
    <t>Murthy, S. D.S.;Bukhov, N. G.;Mohanty, Prasanna</t>
  </si>
  <si>
    <t>India</t>
  </si>
  <si>
    <t>New Delhi</t>
  </si>
  <si>
    <t>Jawaharlal Nehru University</t>
  </si>
  <si>
    <t>Murthy S.</t>
  </si>
  <si>
    <t>Mercury-induced alterations of chlorophyll a fluorescence kinetics in cyanobacteria: Multiple effects of mercury on electron transport</t>
  </si>
  <si>
    <t>10.1016/1011-1344(90)85111-9</t>
  </si>
  <si>
    <t>2-s2.0-0011734458</t>
  </si>
  <si>
    <t>['velocity shift', 'two clumps', 'substantial variation', 'spatial density', 'southern edge', 'single antenna', 'rather extended', 'position angle', 'plateau ,"', 'observed emission', 'notably intense', 'molecules demonstrates', 'molecular clouds', 'kl lies', 'kl components', 'interstellar clouds', 'hot core', 'high density', 'h2co abundance', 'h2c18o transitions', 'first time', 'extensive high', 'compact ridge', 'bipolar flow', 'also observed', '25 times', '10 km', '1 feature']</t>
  </si>
  <si>
    <t>Interstellar: molecules | Nebulae: abundances | Nebulae: individual (Orion Nebula)</t>
  </si>
  <si>
    <t>The "hot core," "plateau," and "ridge" features in the Orion-KL molecular cloud have been mapped in 2 cm H2CO emission with a 6‚Ä≥ synthesized beam. We have also observed all ŒîJ = 1 millimeter wave transitions of H2CO and several of the H213CO and H2C18O transitions in the 211 to 363 GHz window toward Orion-KL with a single antenna. The H2CO hot core emission has been identified for the first time both in high-excitation line profiles and in the 2 cm maps. We identify a velocity shift in the 2 cm H2CO emission which we attribute to the plateau or bipolar flow. This velocity shift lies at a position angle of 120¬∞ ¬± 30¬∞, which is parallel to the bipolar flows seen in SiO, HCO+ , H2, SO2, CO, and SO emission. The large primary beam available for these observations has provided a particularly sensitive map of the rather extended "ridge" structure in Orion-KL. The "ridge" component in our 2 cm H2CO emission maps can be decomposed into two clumps, called the "compact ridge" and " 10 km s-1 feature." The compact ridge dominates the observed emission. Comparison with aperture synthesis maps in other molecules demonstrates that the 2 cm H2CO compact ridge defines an extensive high-density (‚â≥106 cm-3) region at the southern edge of the bipolar flow near IRc2. With this multitransition, multi-isotopomer5 data set, we have modeled the spatial density in the compact ridge component. We find that n(H2) = 5.0 √ó 106-1.0 √ó 107 cm-3 in the H2CO compact ridge. These models also reveal that there is no evidence for substantial variation in the H2CO abundances among the hot core, compact ridge, and 10 km s-1 feature. However, H2CO is 3-25 times more abundant in these Orion-KL components than it is in other molecular clouds (Mundy et al.; Wootten et al.). This abundance enhancement may be due to the epidemic of massive star formation in the region. Observers have noted in the past that 2 cm H2CO emission occurs only rarely in interstellar clouds, though density sufficient to cause the emission is found in many cloud cores. We suggest that the reason the emission is notably intense in Orion-KL lies in the enhancement of the H2CO abundance, as well as in the high density.</t>
  </si>
  <si>
    <t>542-556</t>
  </si>
  <si>
    <t>0004637X</t>
  </si>
  <si>
    <t>Astrophysical Journal</t>
  </si>
  <si>
    <t>60021918-60024185;60024185;125961208-60013372;60024185-60019344</t>
  </si>
  <si>
    <t>7006740315;35749157400;6602969494;43961298000</t>
  </si>
  <si>
    <t>Mangum, Jeffrey G.;Wootten, Alwyn;Loren, Robert B.;James Wadiak, E.</t>
  </si>
  <si>
    <t>United States;United States;United States;United States;</t>
  </si>
  <si>
    <t>Charlottesville;Charlottesville;Herndon;Austin;</t>
  </si>
  <si>
    <t>National Radio Astronomy Observatory;University of Virginia;Interferometrics, Inc.;The University of Texas at Austin;Elec. Eng. Research Laboratory</t>
  </si>
  <si>
    <t>60024185;60021918;60019344;60013372;125961208</t>
  </si>
  <si>
    <t>Mangum J.G.</t>
  </si>
  <si>
    <t>Observations of the formaldehyde emission in orion-KL: Abundances, distribution, and kinematics of the dense gas in the orion molecular ridge</t>
  </si>
  <si>
    <t>10.1086/168262</t>
  </si>
  <si>
    <t>2-s2.0-0013051022</t>
  </si>
  <si>
    <t>['wide variety', 'via use', 'two halves', 'sum pattern', 'set equal', 'relative amplitudes', 'real variables', 'planar arrays', 'phase ).', 'kept positive', 'iteration starts', 'grid structures', 'difference patterns', 'desired pattern', 'cost function', 'array excitation', 'also applicable']</t>
  </si>
  <si>
    <t>An antenna pattern synthesis technique is presented which permits the design of planar antenna arrays when the array excitation is restricted to have an in-phase amplitude distribution. This technique is applicable to planar arrays of a wide variety of grid structures and can produce a sum pattern with controlled side lobe levels. It is also applicable to difference patterns (if the two halves of the array are excited out of phase). The approach involves minimizing a scalar-valued performance measure, called the cost function, via use of the conjugate gradient method. The unknowns in the cost function are the relative amplitudes of the elements of the array, which are kept positive by being set equal to the squares of real variables. Iteration starts with a uniform amplitude distribution; convergence to the desired pattern is stable and fast. ¬© 1990 VSP.</t>
  </si>
  <si>
    <t>829-845</t>
  </si>
  <si>
    <t>A pattern synthesis technique for planar arrays with elements excited in-phase</t>
  </si>
  <si>
    <t>10.1163/156939390X00294</t>
  </si>
  <si>
    <t>2-s2.0-0013188086</t>
  </si>
  <si>
    <t>['resistive components', 'reflected wave', 'records deviations', 'nominal value', 'incident wave', 'functional range', 'complex load', 'comparison network', 'comparator .)']</t>
  </si>
  <si>
    <t>A method is described for broadening the functional range of a standing-wave ratio pickup that records deviations from the nominal value of the resistive components of admittance and impedance of a complex load. We use as the basis a standing-wave ratio pickup (SWR pickup), containing directional couplers of the incident wave and reflected wave, two amplitude detectors and a comparison network (a comparator.)</t>
  </si>
  <si>
    <t>139-140</t>
  </si>
  <si>
    <t>Telecommunications and Radio Engineering (English translation of Elektrosvyaz and Radiotekhnika)</t>
  </si>
  <si>
    <t>;;</t>
  </si>
  <si>
    <t>6506568104;6504347870;6507842666</t>
  </si>
  <si>
    <t>Chervinskiy, V. M.;Stoyanchenko, A. S.;Vasil'kov, O. I.</t>
  </si>
  <si>
    <t>Chervinskiy V.</t>
  </si>
  <si>
    <t>Multifunctional pickup of load mismatching</t>
  </si>
  <si>
    <t>2-s2.0-0024982368</t>
  </si>
  <si>
    <t>['theoretical model', 'statistical characteristics', 'signal taking', 'radio images', 'new class', 'natural objects', 'fine structure', 'criteria based', 'characteristic types', 'aac ),']</t>
  </si>
  <si>
    <t>The statistical characteristics of radio images are investigated. A new class of criteria is presented which takes into account the fine structure of reflected modulated millimeter waves. The purpose is to develop a theoretical model of a time-space modulated millimeter wave (MMW) signal taking into account the linear radio channel ‚Ä≥antenna aperture - atmosphere - chaotic cover without vegetation‚Ä≥ (AAC), and to set up a class of criteria based on the fine structure of a modulated MMW reflected from characteristic types of natural objects.</t>
  </si>
  <si>
    <t>111-114</t>
  </si>
  <si>
    <t>Potapov, A. A.</t>
  </si>
  <si>
    <t>Potapov A.</t>
  </si>
  <si>
    <t>Application of modulated millimeter waves to form and identify images</t>
  </si>
  <si>
    <t>2-s2.0-0024982580</t>
  </si>
  <si>
    <t>['urban conditions', 'statistical model', 'short waves', 'multipath propagation']</t>
  </si>
  <si>
    <t>A statistical model of the multipath propagation of ultra-short waves under urban conditions is developed. The orientation of the reflectors and the transmission of beams through urban building masses are taken into consideration. The variation of the multipath channel response as a function of both relative and absolute urban buildup is obtained.</t>
  </si>
  <si>
    <t>106-111</t>
  </si>
  <si>
    <t>Varakin, L. Ye</t>
  </si>
  <si>
    <t>Varakin L.</t>
  </si>
  <si>
    <t>Statistical model of multipath USW propagation in a city</t>
  </si>
  <si>
    <t>2-s2.0-0024982688</t>
  </si>
  <si>
    <t>['measuring instrument', 'likelihood equation', 'eliminating uncertainty']</t>
  </si>
  <si>
    <t>The possibility of eliminating uncertainty from the algorithm for measuring the uncertainty of the interfering of a signal by representing the likelihood equation in the form of a series of linearly independent functions of the signal initial phase. Expressions are obtained for synthesizing and evaluating the quality of the measuring instrument, illustrated by examples of signal source direction finding.</t>
  </si>
  <si>
    <t>90-93</t>
  </si>
  <si>
    <t>Bagdasaryan, S. T.</t>
  </si>
  <si>
    <t>Bagdasaryan S.</t>
  </si>
  <si>
    <t>Nontracking measurement of a signal parameter when its amplitude and initial phase are a priori uncertain</t>
  </si>
  <si>
    <t>2-s2.0-0024983070</t>
  </si>
  <si>
    <t>['spectral domain', 'shielding effectiveness', 'rigorous formulation', 'printed traces', 'plastic cover', 'metallic coating', 'frequency range', 'circuit board', 'appropriate coating', '30 mhz', '1 ghz']</t>
  </si>
  <si>
    <t>A rigorous formulation in the spectral domain is used to investigate the radiation from printed traces on a circuit board in the frequency range from 30 MHz to 1 GHz. The coupling effect among adjacent traces and the shielding effectiveness of metallic coating on the plastic cover are analyzed. It is found that the radiation around resonant frequencies is critical in satisfying the FCC (US Federal Communications Commission) requirement, and an appropriate coating can resolve the problem.</t>
  </si>
  <si>
    <t>697-700</t>
  </si>
  <si>
    <t>0149645X</t>
  </si>
  <si>
    <t>IEEE MTT-S International Microwave Symposium Digest</t>
  </si>
  <si>
    <t>Kiang, Jean Fu</t>
  </si>
  <si>
    <t>Yorktown Heights</t>
  </si>
  <si>
    <t>IBM Thomas J. Watson Research Center</t>
  </si>
  <si>
    <t>Kiang J.</t>
  </si>
  <si>
    <t>Electromagnetic radiation from printed traces on a circuit board with coated plastic cover</t>
  </si>
  <si>
    <t>2-s2.0-0024983194</t>
  </si>
  <si>
    <t>['wideband high', 'wave applications', 'video modulation', 'submillimeter wavelengths', 'responsivity detector', 'power meter', 'polarization independent', 'optical measurements', 'measured low', 'lambertian surface', 'frequency responsivity', 'frequency network', 'approach results', '300 hz', '100 ghz', '1 v']</t>
  </si>
  <si>
    <t>A novel monolithic power meter has been developed for submillimeter-wave applications (100 GHz to 10 THz). The detector is a 4-mm √ó 4-mm bismuth bolometer integrated on a 1.2-Œºm-thick dielectric membrane. This approach results in a wideband high-responsivity detector. The power meter is simple to fabricate, inexpensive, and can be easily calibrated using a low-frequency network. Quasi-optical measurements at 185 GHz show that the bolometer is polarization independent, acts as a Lambertian surface, and could be modeled by a simple transmission line model. The measured low-frequency responsivity for a 70-Œ© bolometer, at a bias of 1 V and a video modulation of 300 Hz, is around 1 V/W. The NEP of the detector is around 3 nWHz-1/2. Potential application areas are antenna coupling efficiency measurements and absolute power measurements at submillimeter wavelengths.</t>
  </si>
  <si>
    <t>1315-1318</t>
  </si>
  <si>
    <t>60025778;60025778</t>
  </si>
  <si>
    <t>36985970700;7006384021</t>
  </si>
  <si>
    <t>Ling, Curtis C.;Rebeiz, Gabriel M.</t>
  </si>
  <si>
    <t>Ann Arbor</t>
  </si>
  <si>
    <t>University of Michigan, Ann Arbor</t>
  </si>
  <si>
    <t>Ling C.</t>
  </si>
  <si>
    <t>Wideband monolithic submillimeter-wave quasi-optical power meter</t>
  </si>
  <si>
    <t>2-s2.0-0024983622</t>
  </si>
  <si>
    <t>['wider acceptance', 'widely reported', 'superficial lesions', 'radiation therapy', 'practical solution', 'microwave technology', 'microwave radiometry', 'microwave hyperthermia', 'medical problems', 'human tissue', 'focus energy', 'early detection', 'cancer appears', 'antenna arrays', 'adjunct procedure']</t>
  </si>
  <si>
    <t>Developments in the application of microwave technology to the solution of medical problems, particularly the detection and treatment of cancer, are discussed. In the development of cancer, microwave hyperthermia has been accepted as an adjunct procedure to radiation therapy in the treatment of superficial lesions. While not so widely reported, the use of microwave radiometry as a noninvasive passive technique for early detection of cancer appears very promising. Wider acceptance of these methods, however, awaits fundamental improvements in the ability to focus energy at depth in human tissue. Further development in the areas of antennas and antenna arrays is required if microwave technology is to provide a practical solution to the detection and treatment of cancer.</t>
  </si>
  <si>
    <t>525-527</t>
  </si>
  <si>
    <t>Carr, Kenneth L.</t>
  </si>
  <si>
    <t>Lowell</t>
  </si>
  <si>
    <t>M/A-COM (MACOM)</t>
  </si>
  <si>
    <t>Carr K.</t>
  </si>
  <si>
    <t>Antenna: The critical element in successful medical technology</t>
  </si>
  <si>
    <t>2-s2.0-0024983973</t>
  </si>
  <si>
    <t>['simple transmission', 'line model', '5 mw', '484 ghz', '33 ghz']</t>
  </si>
  <si>
    <t>A Gunn device integrated with a planar, endfire notch antenna is described. A simple transmission-line model has been developed to optimize the passive and active circuit parameters. An electronic tuning bandwidth of 275 MHz centered at 9.33 GHz with a maximum power output of 37.5 mW was accomplished. Two active notches in a broadside array configuration were injection-locked at 9.484 GHz with a 30-MHz locking bandwidth and well over 90% power combining efficiency.</t>
  </si>
  <si>
    <t>793-796</t>
  </si>
  <si>
    <t>60020547;60020547;60020547</t>
  </si>
  <si>
    <t>7402580085;7103239494;7404879378</t>
  </si>
  <si>
    <t>Navarro, Julio A.;Shu, Yong Hui;Chang, Kai</t>
  </si>
  <si>
    <t>College Station</t>
  </si>
  <si>
    <t>Texas A&amp;M University</t>
  </si>
  <si>
    <t>Navarro J.</t>
  </si>
  <si>
    <t>Active endfire antenna elements and power combiners using notch antennas</t>
  </si>
  <si>
    <t>2-s2.0-0024983980</t>
  </si>
  <si>
    <t>['transmission coefficient', 'temperature measurement', 'temperature change', 'surface cooling', 'multimicrostrip antenna', 'heating applicator', 'electric field', 'deep region', 'applicator using', 'applicator functions', 'applicator detects']</t>
  </si>
  <si>
    <t>An applicator using a multimicrostrip antenna for hyperthermia has been developed. The applicator functions both as a heating applicator and as a coupled microstrip applicator for noninvasive temperature estimation inside the body. In the case of heating, the applicator can heat a deep region with surface cooling. In the case of temperature measurement, the applicator detects the change of the transmission coefficient of the electric field which is 0.78 dB/¬∞C. The depth of discontinuity (which is assumed to be the position of temperature change) is determined by a simple geometrical method.</t>
  </si>
  <si>
    <t>533-536</t>
  </si>
  <si>
    <t>60025997;60025997;60025997;60025997</t>
  </si>
  <si>
    <t>7103089358;7004151048;7102213706;56023548200</t>
  </si>
  <si>
    <t>Kobayashi, Daiji;Nikawa, Yoshio;Okada, Fumiaki;Mori, Shinsaku</t>
  </si>
  <si>
    <t>Tokyo</t>
  </si>
  <si>
    <t>Keio University</t>
  </si>
  <si>
    <t>Kobayashi D.</t>
  </si>
  <si>
    <t>Multi-microstrip applicator for heating and temperature measurement</t>
  </si>
  <si>
    <t>2-s2.0-0024984197</t>
  </si>
  <si>
    <t>['successful development', 'phase variations', 'mmic technology', 'communications satellites', 'array elements', 'active phased', 'active arrays', '7 ghz', '5 db']</t>
  </si>
  <si>
    <t>A 64-element, Ku-band, active phased-array antenna developed for application in communications satellites is presented. Antenna radiation pattern and spatial isolation measurements show good agreement with predictions. In order to minimize the performance variations among the array elements, the 5-b digital phase shifter, the 50-b digital attenuator, and the amplifiers have been realized using MMIC (monolithic microwave integrated circuit) technology. This allowed the realization of 64 active modules whose amplitude and phase variations over 11.7 to 12.7 GHz are within ¬±1.5 dB and ¬±10¬∞. The successful development of this broadband active phased array has demonstrated the maturity of MMIC technology and the feasibility of active arrays in future communications satellites.</t>
  </si>
  <si>
    <t>881-884</t>
  </si>
  <si>
    <t>60007742;60007742;60007742;60007742;60007742;60007742</t>
  </si>
  <si>
    <t>6603599107;7007173991;7007059212;56422591900;7004239953;7003318356</t>
  </si>
  <si>
    <t>Potukuchi, J. R.;Mott, R. C.;Zaghloul, A. I.;Gupta, R. K.;Assal, F. T.;Sorbello, R. M.</t>
  </si>
  <si>
    <t>Clarksburg</t>
  </si>
  <si>
    <t>Comsat Laboratories</t>
  </si>
  <si>
    <t>Potukuchi J.</t>
  </si>
  <si>
    <t>MMICs insertion in a Ku-band active phased array for communications satellites</t>
  </si>
  <si>
    <t>2-s2.0-0024984202</t>
  </si>
  <si>
    <t>['¬© 1990', 'well established', 'successfully heated', 'simultaneously exciting', 'maximum depth', 'hyperthermia equipment', 'heat adequately', 'external applicator', 'equipment used', 'depth greater', 'combined technique', 'also presented', '915 mhz', '3 cm']</t>
  </si>
  <si>
    <t>Combined technique | Hyperthermia | Microwave external | Microwave interstitial</t>
  </si>
  <si>
    <t>A technique for heating superficial lesions extending to a depth greater than 3 cm using 915 MHz electromagnetic energy is described. It is well established that with external microwave applicators operating at 915 MHz, it is only possible to heat adequately up to a maximum depth of 3 cm. However, it is demonstrated that by implanting additional layers of interstitial microwave antennas (1.5 cm spacing) at required depths greater than 3 cm, and by simultaneously exciting these applicators as well as an external applicator, it is possible to extend the depth of heating at this frequency. A large neck node was successfully heated when this combined technique was used. The details of the method and the equipment used are described. Specific Absorption Rate (SAR) values and temperature distributions obtained during the four treatments delivered to the patient are also presented. This technique can be used in situations where it is not possible to perform extensive interstitial implantation, and in institutions where hyperthermia equipment for heating deeper lesions is not available. ¬© 1990.</t>
  </si>
  <si>
    <t>669-675</t>
  </si>
  <si>
    <t>International Journal of Radiation Oncology, Biology, Physics</t>
  </si>
  <si>
    <t>60013227;60013227;60013227</t>
  </si>
  <si>
    <t>7102661470;6701754514;7006817219</t>
  </si>
  <si>
    <t>Mittal, Bharat B.;Sathiaseelan, V.;Kies, Merrill S.</t>
  </si>
  <si>
    <t>Chicago</t>
  </si>
  <si>
    <t>Northwestern University Feinberg School of Medicine</t>
  </si>
  <si>
    <t>Mittal B.</t>
  </si>
  <si>
    <t>Simultaneous localized 915 MHz external and interstitial microwave hyperthermia to heat tumors greater than 3 cm in depth</t>
  </si>
  <si>
    <t>0360-3016(90)90495-6</t>
  </si>
  <si>
    <t>10.1016/0360-3016(90)90495-6</t>
  </si>
  <si>
    <t>2-s2.0-0024997772</t>
  </si>
  <si>
    <t>W. W. Smith Charitable Trust</t>
  </si>
  <si>
    <t>['¬© 1990', 'test peptide', 'phase synthesis', 'new reagent', 'glycosylated peptides', 'glycosyl mono', 'disaccharide derivatives', 'custom synthesis', 'chain position', 'asn residue']</t>
  </si>
  <si>
    <t>A new reagent for custom synthesis of N-glycosylated peptides, Fmoc-Asn[GlcNAc(1¬ª4)-GlcNAc]-OH, has been prepared. The O-glycosidic bond survived the trifluoroacetic acid cleavage. High coupling efficiencies were obtained when this glycoamino acid derivative was used for solid-phase synthesis of a test peptide and a T cell epitopic dodecapeptide containing an Asn residue in mid-chain position. An automated peptide synthesizer was used to produce the parent Asn peptide and its N-acetyl-glycosyl mono- and disaccharide derivatives. ¬© 1990.</t>
  </si>
  <si>
    <t>5889-5892</t>
  </si>
  <si>
    <t>Tetrahedron Letters</t>
  </si>
  <si>
    <t>60010803;60025187;60025187;60006297;60006297;60016247;60010803</t>
  </si>
  <si>
    <t>57190943052;6701661891;7006250277;6701844738;6506200290;7004921735;57219783611</t>
  </si>
  <si>
    <t>Otvos, Laszlo;Urge, Laszlo;Hollosi, Miklos;Wroblewski, Krzysztof;Graczyk, Grazyna;Fasman, Gerald D.;Thurin, Jan</t>
  </si>
  <si>
    <t>Hungary;United States;United States;United States</t>
  </si>
  <si>
    <t>Budapest;Waltham;Philadelphia;Philadelphia</t>
  </si>
  <si>
    <t>E√∂tv√∂s Lor√°nd Tudom√°nyegyetem;Brandeis University;The Wistar Institute;University of Pennsylvania</t>
  </si>
  <si>
    <t>60025187;60016247;60010803;60006297</t>
  </si>
  <si>
    <t>Otvos L.</t>
  </si>
  <si>
    <t>Automated solid-phase synthesis of glycopeptides. Incorporation of unprotected mono- and disaccharide units of n-glycoprotein antennae into T cell epitopic peptides</t>
  </si>
  <si>
    <t>S0040403900979863</t>
  </si>
  <si>
    <t>10.1016/S0040-4039(00)97986-3</t>
  </si>
  <si>
    <t>2-s2.0-0025003199</t>
  </si>
  <si>
    <t>['visible c', 'rubrum g9', 'reconstituted carotenoid', 'protein interactions', 'partly restored', 'optical activity', 'mutant unable', 'largely due', 'either bacteriochlorophyll', 'different shapes', 'differences suggest', 'degenerate interactions', 'containing membranes', 'carotenoid interactions', 'brookhaven symp', 'bacteriochlorophyll c']</t>
  </si>
  <si>
    <t>The visible c.d. spectrum of wild-type Rhodospirillum rubrum shows positive bands [Dratz, Schultz and Sauer (1966) Brookhaven Symp. Biol. 19, 303-318] that are largely due to the B880 antenna pigments, bacteriochlorophyll a and carotenoids. The bacteriochlorophyll c.d. band was absent from the spectrum of R. rubrum G9, a mutant unable to synthesize coloured carotenoids, and could be partly restored by adding extracted carotenoids to freeze-dried membrane vesicles isolated from that mutant. Therefore it seems to arise from either bacteriochlorophyll-carotenoid interactions or bacteriochlorophyll-protein interactions that are induced by the carotenoid. The more complex carotenoid c.d. band had different shapes in native and reconstituted carotenoid-containing membranes. Such differences suggest that the optical activity of the carotenoid in the B880 antenna arises from both non-degenerate and degenerate interactions.</t>
  </si>
  <si>
    <t>469-472</t>
  </si>
  <si>
    <t>Biochemical Journal</t>
  </si>
  <si>
    <t>60009305;60009305;60009305</t>
  </si>
  <si>
    <t>7102198413;16071843800;24434990900</t>
  </si>
  <si>
    <t>Lozano, R. M.;Fernandez-Cabrera, C.;Ramirez, J. M.</t>
  </si>
  <si>
    <t>Spain</t>
  </si>
  <si>
    <t>Madrid</t>
  </si>
  <si>
    <t>CSIC - Centro de Investigaciones Biol√≥gicas Margarita Salas (CIB)</t>
  </si>
  <si>
    <t>Lozano R.M.</t>
  </si>
  <si>
    <t>The contribution of the carotenoid to the visible circular dichroism of the light-harvesting antenna of Rhodospirillum rubrum</t>
  </si>
  <si>
    <t>10.1042/bj2700469</t>
  </si>
  <si>
    <t>2-s2.0-0025007888</t>
  </si>
  <si>
    <t>['zymosan arthritis', 'two weeks', 'twice weekly', 'synovial intima', 'safely applied', 'pannus formation', 'neutrophil cells', 'microwave apparatus', 'limited proliferation', 'ldmwh treatment', 'last treatment', 'intraarticular temperature', 'inflammatory process', 'induced arthritis', 'histologic damage', 'four treatments', 'findings suggest', 'fibrinoid deposits', 'even repeatedly', 'antenna operating', '915 mhz', '60 min', '2 wk', '12 rabbits']</t>
  </si>
  <si>
    <t>experimental arthritis | microwave hyperthermia | Zymosan</t>
  </si>
  <si>
    <t>The effect of local deep microwave hyperthermia (LDMWH) on normal and Zymosan-induced arthritis had been evaluated in 12 rabbits (24 joints). LDMWH, four treatments to each joint (twice weekly for a period of 2 wk), was generated by an antenna operating at 915 MHz for 60 min, reaching an intraarticular temperature of 42.5 ¬± 0.5¬∞C. A surface cooling system was used with the microwave apparatus. Two weeks after the last treatment, all animals were sacrificed. The application of LDMWH on normal joints induced a limited proliferation of the synovial lining cells with a minimal perivascular infiltration of mononuclear and neutrophil cells. However, no histologic damage to the skin, muscles, bone, cartilage or bone marrow adjacent to the heated joints could be noted. Induction of Zymosan arthritis (2 wk before LDMWH) was characterized by pannus formation and granulomatous reaction accompanied by fibrinoid deposits and disseminated necrotic foci in the synovial intima. The LDMWH treatment on the examined arthritic joints brought about a reduction in the degree of granulomatous reaction concomitant with the appearance of some fibrocytes and fine collagen fibrils. These findings suggest that LDMWH can be safely applied, even repeatedly, without morphologic evidence of damage to any normal mesenchymal tissue. Moreover, it reduces the inflammatory process in experimentally induced synovitis.</t>
  </si>
  <si>
    <t>239-244</t>
  </si>
  <si>
    <t>American Journal of Physical Medicine and Rehabilitation</t>
  </si>
  <si>
    <t>60022119;60022119;60022119;60022119;60022119;60022119</t>
  </si>
  <si>
    <t>35508386200;6504801329;6507798277;36842553000;7003588084;7005469117</t>
  </si>
  <si>
    <t>Weinberger, A.;Abramonvici, A.;Fadila, R.;Levy, A.;Giler, S.;Lev, A.</t>
  </si>
  <si>
    <t>Israel</t>
  </si>
  <si>
    <t>Petah Tiqwa</t>
  </si>
  <si>
    <t>Rabin Medical Center Israel</t>
  </si>
  <si>
    <t>Weinberger A.</t>
  </si>
  <si>
    <t>The effect of local deep microwave hyperthermia on experimental Zymosan-induced arthritis in rabbits</t>
  </si>
  <si>
    <t>10.1097/00002060-199010000-00003</t>
  </si>
  <si>
    <t>2-s2.0-0025016486</t>
  </si>
  <si>
    <t>National Cancer Institute</t>
  </si>
  <si>
    <t>1 RO 1 CA40434</t>
  </si>
  <si>
    <t>NCI</t>
  </si>
  <si>
    <t>['¬© 1990', 'performed using', 'paired antennas', 'made using', 'heating performance', 'element arrays', 'effective heating', 'distributions measured', 'clinical use', 'clinical treatments', 'applicator technology', '500 treatments']</t>
  </si>
  <si>
    <t>Applicator | Hyperthermia | Microstrip | Microwave</t>
  </si>
  <si>
    <t>Spiral microstrip microwave (MW) antennas have been developed and adapted for use as clinical hyperthermia applicators. The design has been configured in a variety of forms including single fixed antenna applicators, multi-element arrays, and mechanically scanned single or paired antennas. The latter three configurations have been used to allow an expansion of the effective heating area. Specific absorption rate (SAR) distributions measured in phantom have been used to estimate the depth and volume of effective heating. The estimates are made using the bioheat equation assuming uniformly perfused tissue. In excess of 500 treatments of patients with advanced or recurrent localized superficial tumors have been performed using this applicator technology. Data from clinical treatments have been analyzed to quantify the heating performance and verify the suitability of these applicators for clinical use. Good microwave coupling efficiency together with the compact applicator size have proved to be valuable clinical assets. ¬© 1990.</t>
  </si>
  <si>
    <t>233-242</t>
  </si>
  <si>
    <t>60032838;60032838;60032838;60032838;60032014;60032014</t>
  </si>
  <si>
    <t>35475361200;6603945998;7406967815;7007032007;57225409648;6701460609</t>
  </si>
  <si>
    <t>Samulski, T. V.;Fessenden, P.;Lee, E. R.;Kapp, D. S.;Tanabe, E.;McEuen, A.</t>
  </si>
  <si>
    <t>Stanford;Palo Alto</t>
  </si>
  <si>
    <t>Stanford University School of Medicine;Varian Medical Systems</t>
  </si>
  <si>
    <t>60032838;60032014</t>
  </si>
  <si>
    <t>Samulski T.V.</t>
  </si>
  <si>
    <t>Spiral microstrip hyperthermia applicators: Technical design and clinical performance</t>
  </si>
  <si>
    <t>0360-3016(90)90288-U</t>
  </si>
  <si>
    <t>10.1016/0360-3016(90)90288-U</t>
  </si>
  <si>
    <t>2-s2.0-0025016791</t>
  </si>
  <si>
    <t>['two direct', 'phase instability', 'considerable differences', 'comparative analysis', 'array elements', 'algorithms compared']</t>
  </si>
  <si>
    <t>A comparative analysis is made of the effectiveness of two direct, spatial adaptive processing algorithms when there is amplitude-phase instability of the array antenna elements. Simple analytical expressions are derived for estimating the loss in output signal/(interference + noise) ratio in various interference situations. Considerable differences in the sensitivity of the algorithms compared to the magnitude of the instability of the array elements are found.</t>
  </si>
  <si>
    <t>76-82</t>
  </si>
  <si>
    <t>Soviet journal of communications technology &amp; electronics</t>
  </si>
  <si>
    <t>6701509526;7003845547;7004942474</t>
  </si>
  <si>
    <t>Sverdlik, M. B.;Selivanov, I. A.;Sviridov, V. I.</t>
  </si>
  <si>
    <t>Sverdlik M.B.</t>
  </si>
  <si>
    <t>Effect of amplitude-phase instabilities of an array antenna on its adaptive performance</t>
  </si>
  <si>
    <t>2-s2.0-0025020789</t>
  </si>
  <si>
    <t>Science and Engineering Research Council</t>
  </si>
  <si>
    <t>SERC</t>
  </si>
  <si>
    <t>['would enable', 'velocity profile', 'scan path', 'rights reserved', 'power distribution', 'microwave hyperthermia', 'large areas', 'homogeneous muscle', 'heat equation', 'given region', 'equivalent phantom', 'disease site', 'computer models', 'arbitrary shape', 'allow inhomogeneous', 'achieve steady']</t>
  </si>
  <si>
    <t>Hyperthermia | Microwave antenna | Robot | Thermal dosimetry</t>
  </si>
  <si>
    <t>A system for microwave hyperthermia by scanning an antenna 'footprint' over a disease site is demonstrated. A computer-controlled robot arm scans a 2.45 GHz helical antenna and controls the absorbed power distribution. The 'ideal' power distribution required to achieve steady-state temperature uniformity over a given region has been calculated and a corresponding antenna trajectory programmed to approximate this pattern. Computer models, based on the solution of the bio-heat equation, have been implemented to allow various system parameters, such as antenna beam size, scan path and velocity profile, to be optimized. Experiments on a homogeneous muscle-equivalent phantom have shown that the scanning antenna system produces uniform temperature distributions over large areas of arbitrary shape. The addition of a thermal control system, based on temperature signal feedback, would enable 'real-time' modification of the power distribution and allow inhomogeneous and perfused tissue structures to be heated more uniformly. ¬© 1990 Informa UK Ltd All rights reserved: reproduction in whole or part not permitted.</t>
  </si>
  <si>
    <t>193-202</t>
  </si>
  <si>
    <t>International Journal of Hyperthermia</t>
  </si>
  <si>
    <t>60018736;60018736;60001881</t>
  </si>
  <si>
    <t>35390344800;57196541494;7403369332</t>
  </si>
  <si>
    <t>Tennant, A.;Conway, J.;Anderson, A. P.</t>
  </si>
  <si>
    <t>United Kingdom;United Kingdom</t>
  </si>
  <si>
    <t>Sheffield;Sheffield</t>
  </si>
  <si>
    <t>Weston Park Cancer Centre;The University of Sheffield</t>
  </si>
  <si>
    <t>60018736;60001881</t>
  </si>
  <si>
    <t>Tennant A.</t>
  </si>
  <si>
    <t>A robot-controlled microwave antenna system for uniform hyperthermia treatment of superficial tumours with arbitrary shape</t>
  </si>
  <si>
    <t>10.3109/02656739009140815</t>
  </si>
  <si>
    <t>2-s2.0-0025021175</t>
  </si>
  <si>
    <t>['small chip', 'photolithographic technique', 'microstrip duplexer', 'microstrip antenna', 'mhz saw', 'litao3 substrates', 'front end', 'duplexer designed', 'duplexer consists', '15 db']</t>
  </si>
  <si>
    <t>A novel, 900-MHz SAW (surface acoustic wave) microstrip antenna-duplexer designed for use in European mobile radio systems is presented. The duplexer consists of a transmitter SAW filter, two receiver SAW filters, a low-noise receiver amplifier, and a duplexing microstrip circuit. A dual-track filter design using interdigital transducers for track coupling provides low insertion loss (5 dB), small passband ripple (¬±0.5 dB), high stopband rejection (50 dB), and small chip-size (TO-39 package). The filters were fabricated on 36¬∞-rotated YX-LiTaO3 substrates with a photolithographic technique. Due to the design of the microstrip duplexer, the selectivity of the front end is enhanced by 15 dB.</t>
  </si>
  <si>
    <t>729-732</t>
  </si>
  <si>
    <t>60028673;60028673;60028673;60028673;60028673</t>
  </si>
  <si>
    <t>6603250044;7402419266;57205851590;7103208487;7102627598</t>
  </si>
  <si>
    <t>Anemogiannis, K.;Beck, C.;Roth, A.;Russer, P.;Weigel, R.</t>
  </si>
  <si>
    <t>Munich</t>
  </si>
  <si>
    <t>Siemens AG</t>
  </si>
  <si>
    <t>Anemogiannis K.</t>
  </si>
  <si>
    <t>900 MHz SAW microstrip antenna-duplexer for mobile radio</t>
  </si>
  <si>
    <t>2-s2.0-0025023252</t>
  </si>
  <si>
    <t>['whereas galactose', 'water response', 'sugars showed', 'normally contact', 'nonnectar sugar', 'gustatory chemosensilla', 'future studies', 'food canal', 'fed 10', 'decreasing sensitivity', 'comparably stimulating', 'chemosensilla responded', 'blood meal', '24 h']</t>
  </si>
  <si>
    <t>A modified behavioral test for determining the median tarsal acceptance thresholds of field-collected, female Tabanus nigrovittatus Macquart to sugars showed that flies were sensitive to the three major nectar sugars (fructose, sucrose, and glucose, in that order of decreasing sensitivity) whereas galactose, a nonnectar sugar, was not comparably stimulating. Comparisons of various treatment effects on the median tarsal acceptance thresholds showed that for future studies, flies should be fed 10% sucrose before testing, should be starved for 24 h before testing, and they do not have to be pretested for a water response. Electrophysiological recordings showed that gustatory chemosensilla were located on the labellum, tip of labrum, labral food canal, foretarsi, tibia, and antennae. All chemosensilla responded to sugar and salt, whereas only those chemosensilla at the tip of the labrum and those lining the food canal, which normally contact the blood meal, responded to sera and plasma.</t>
  </si>
  <si>
    <t>14-23</t>
  </si>
  <si>
    <t>Journal of medical entomology</t>
  </si>
  <si>
    <t>60014313;60014313;60014313;60014313;60014313</t>
  </si>
  <si>
    <t>7003715146;7003316394;6701707224;6603926346;7005206301</t>
  </si>
  <si>
    <t>Stoffolano, J. G.;Angioy, A. M.;Crnjar, R.;Liscia, A.;Pietra, P.</t>
  </si>
  <si>
    <t>Amherst MA</t>
  </si>
  <si>
    <t>University of Massachusetts Amherst</t>
  </si>
  <si>
    <t>Stoffolano J.</t>
  </si>
  <si>
    <t>Electrophysiological recordings from the taste chemosensilla of Tabanus nigrovittatus (Diptera: Tabanidae) and determination of behavioral tarsal acceptance thresholds.</t>
  </si>
  <si>
    <t>10.1093/jmedent/27.1.14</t>
  </si>
  <si>
    <t>2-s2.0-0025023724</t>
  </si>
  <si>
    <t>['recorded temperature', 'radiating element', 'observed injury', 'microwave power', 'medial injury', 'inverse relationship', 'intimal proliferation', 'interior surface', 'histopathologic analysis', 'coaxial cable', '45 ghz']</t>
  </si>
  <si>
    <t>A study of the technique of microwave (2.45 GHz) thermal balloon angioplasty has established a correlation between recorded temperature and observed injury. In addition, a trend pointing toward an inverse relationship between intimal proliferation and medial injury has been observed. Angioplasty was performed on 30 normal New Zealand white rabbits, providing 60 iliac arteries for histopathologic analysis. The angioplasty catheter consists of a 3.0-mm angioplasty balloon with an intrinsic thermocouple placed on the interior surface of the midportion of the balloon. A 0.023-in coaxial cable was used to deliver the microwave power, and a slot antenna configuration was chosen for the radiating element.</t>
  </si>
  <si>
    <t>537-540</t>
  </si>
  <si>
    <t>60015277;60015277;60015277;60015277;60015277;60015277;60015277;60015277;60015277;60015277</t>
  </si>
  <si>
    <t>7402941842;7003593015;55574206323;6507097812;57198919831;7003481991;7003875803;6603746639;7402095028;6602218187</t>
  </si>
  <si>
    <t>Rosen, A.;Walinsky, P.;Smith, D.;Kosman, Z.;Martinez, A.;Sterzer, F.;Presser, A.;Mawhinney, D.;Chou, J. S.;Goth, P.</t>
  </si>
  <si>
    <t>Philadelphia</t>
  </si>
  <si>
    <t>Thomas Jefferson University</t>
  </si>
  <si>
    <t>Rosen A.</t>
  </si>
  <si>
    <t>Studies of microwave thermal balloon angioplasty in rabbits</t>
  </si>
  <si>
    <t>2-s2.0-0025028288</t>
  </si>
  <si>
    <t>['zone plate', 'theoretical characteristics', 'specific measured', 'similar diffraction', 'sidelobe performance', 'reduced loss', 'planar construction', 'measured data', 'lower efficiency', 'limited beamwidth', 'axis performance', '140 ghz']</t>
  </si>
  <si>
    <t>Specific measured and/or theoretical characteristics are given for phase-correcting zone plate antennas. Parameters described include off-axis performance, axial intensity dependence, efficiency, distortion and aberrations, and bandwidth. Measured data are summarized for 10, 94, and 140 GHz. This type of zone plate has the advantages (compared to a lens) of reduced loss, weight, volume, cost, and planar construction, with similar diffraction-limited beamwidth and major-sidelobe performance, but lower efficiency.</t>
  </si>
  <si>
    <t>797-800</t>
  </si>
  <si>
    <t>60015099;60015099</t>
  </si>
  <si>
    <t>57215760313;7003519202</t>
  </si>
  <si>
    <t>Garrett, James E.;Wiltse, James C.</t>
  </si>
  <si>
    <t>Atlanta</t>
  </si>
  <si>
    <t>Georgia Tech Research Institute</t>
  </si>
  <si>
    <t>Garrett J.E.</t>
  </si>
  <si>
    <t>Performance characteristics of phase-correcting Fresnel zone plates</t>
  </si>
  <si>
    <t>2-s2.0-0025028295</t>
  </si>
  <si>
    <t>['still allow', 'feed network', 'design utilizes', 'broadside suspended', 'antenna element', 'active circuitry']</t>
  </si>
  <si>
    <t>The development of an integrated module applicable for use on the multiple access communication system (MACS) of the space station Freedom is presented. The design is innovative in its ability to merge the three key functions of circuitry, feed network and antenna element into a common unit capable of being mounted on a MACS user platform. The design utilizes a broadside suspended-stripline and balun to feed a balanced antenna element and still allow the active circuitry to be implemented in MMIC (monolithic microwave integrated circuit) or hybrid-MIC (microwave integrated circuit) technology.</t>
  </si>
  <si>
    <t>801-804</t>
  </si>
  <si>
    <t>100496906;100496906;100496906;100496906</t>
  </si>
  <si>
    <t>7402539155;6505968028;55455580400;56315960400</t>
  </si>
  <si>
    <t>Shaw, R. W.;Kovitz, J. K.;Johnson, L.;Lu, B.</t>
  </si>
  <si>
    <t>Houston</t>
  </si>
  <si>
    <t>Shason Microwave Corp</t>
  </si>
  <si>
    <t>Shaw R.</t>
  </si>
  <si>
    <t>Integrated active antenna module for space station multiple access communication</t>
  </si>
  <si>
    <t>2-s2.0-0025028296</t>
  </si>
  <si>
    <t>['space missions', 'space administration', 'repairing one', 'innovative building', 'future nasa', 'easy removal']</t>
  </si>
  <si>
    <t>A 32-GHz, 21-element array feed incorporating 63 MMIC (monolithic microwave integrated circuit) devices and providing electronic beam steering using 21 VLSI silicon control chips is under development. An innovative building-block construction approach providing easy verification of device performance prior to integration in the array is described. In addition, the subarray layer concept with plug-in RF connectors allows for easy removal of a layer for repairing one of the components. This planar array demonstrates state-of-the-art design technology required for implementation of Ka-band transmit arrays in future NASA (US National Aeronautics and Space Administration) deep-space missions.</t>
  </si>
  <si>
    <t>809-812</t>
  </si>
  <si>
    <t>60009037;60009037;60009037;60009037;60009037;60009037;60009037;60009037;60009037;60009037</t>
  </si>
  <si>
    <t>6602317549;7004073194;7102277064;57197168191;7101839987;35605780400;6603919322;7202427680;7003389714;7006791463</t>
  </si>
  <si>
    <t>Rascoe, D.;Crist, R.;Riley, A. L.;Cooley, T.;Duffy, L.;Antsos, D.;Lubecke, V.;Chew, W.;Yngvesson, K. S.;Schaubert, D. H.</t>
  </si>
  <si>
    <t>Pasadena</t>
  </si>
  <si>
    <t>Jet Propulsion Laboratory</t>
  </si>
  <si>
    <t>Rascoe D.</t>
  </si>
  <si>
    <t>Ka-band MMIC beam steered planar array fed</t>
  </si>
  <si>
    <t>2-s2.0-0025028297</t>
  </si>
  <si>
    <t>['research studies', 'reduced mass', 'optical sources', 'optical feeds', 'noncoherent techniques', 'naval applications', 'electrical interface', 'device design', 'detectors remains', 'control groups', 'becoming accepted', 'also important', '200 elements']</t>
  </si>
  <si>
    <t>A review is presented of current European work on optical feeds, ranging from systems demonstrator work on optical signal distribution networks to research studies on phased array beam formers using coherent optical techniques. The attractions of optical signal feeds for phased array antennas are becoming accepted, and it is possible to control groups of 10-200 elements from a single laser source. In Europe early application to space-based phased arrays is expected. However, the advantages of reduced mass and improved electromagnetic compatibility are also important in naval applications. Much development work on optical sources and detectors remains to be done to improve the efficiency of the optical-electrical interface. Optical beam forming is a topic of considerable current research interest, and both coherent and noncoherent techniques are likely to find system applications. In the longer term direct optical control of microwave devices would permit further reductions in array complexity provided the problems of device design to give efficient optical coupling can be overcome.</t>
  </si>
  <si>
    <t>1343-1347</t>
  </si>
  <si>
    <t>60022148;60022148;60022148;60022148;60022148</t>
  </si>
  <si>
    <t>7004751445;7004840825;6507074028;7003950726;7005223103</t>
  </si>
  <si>
    <t>Seeds, A. J.;McMillan, W. I.;Pescod, C. R.;Wale, M. J.;Birkmayer, W. S.</t>
  </si>
  <si>
    <t>London</t>
  </si>
  <si>
    <t>University College London</t>
  </si>
  <si>
    <t>Seeds A.</t>
  </si>
  <si>
    <t>Optical control of phased array antennas: A European perspective</t>
  </si>
  <si>
    <t>2-s2.0-0025028308</t>
  </si>
  <si>
    <t>['three chips', 'test results', 'spdt switch', 'phase shifter', 'noise amplifier', 'multifunctional self', 'multifunction mmics', 'high level', 'good yield', 'gain low', 'five stages', 'excellent performance', 'db loss', 'db gain', 'buffer amplifier', 'average yield', 'aligned gate']</t>
  </si>
  <si>
    <t>Design and test results are presented for multifunction MMICs (monolithic microwave integrated circuits) for C-band transmit receive (T/R) modules. This small signal chip set contains the entire receive path (five stages of amplification and ten passive devices) in just three chips. These ICs, fabricated with the multifunctional self-aligned gate (MSAG) process, demonstrate a high level of integration, excellent performance, and a good yield. The variable-gain low-noise amplifier has 30 ¬± 1-dB gain and a 2.5-dB noise figure, the phase shifter/SPDT switch has 8 ¬± 1-dB loss, and the buffer amplifier has 6.5 ¬± 0.2-dB gain and a 3.5-dB noise figure. The average yield for these circuits was 40% or better.</t>
  </si>
  <si>
    <t>113-116</t>
  </si>
  <si>
    <t>60001612;60001612;60001612;60001612;60001612;60001612;60001612;60001612</t>
  </si>
  <si>
    <t>7006626228;7006923871;6603948909;7103350293;7103016737;7004967836;6507756626;6602346100</t>
  </si>
  <si>
    <t>Willems, David;Bahl, Inder;Pollman, Mike;Jorgenson, Jon;Griffin, Ed;Coluzzi, Michael;Tantod, Shukdev;Andricos, C.</t>
  </si>
  <si>
    <t>Roanoke</t>
  </si>
  <si>
    <t>Int Telephone &amp; Telegraph Corp</t>
  </si>
  <si>
    <t>Willems D.</t>
  </si>
  <si>
    <t>Multifunction chip set for T/R module receive path</t>
  </si>
  <si>
    <t>2-s2.0-0025028612</t>
  </si>
  <si>
    <t>['transducer gains', 'peak gain', 'function without', 'db bandwidth', 'active amplification', '900 mhz', '90 mhz', '89 db', '7 db']</t>
  </si>
  <si>
    <t>A directly modulated microwave optical data link has yielded high gain. An efficient lossless impedance matching approach was used to maximize the transducer gains in the laser and detector matching networks. The free-space optical link operates at 900 MHz with a peak gain of 3.7 dB over a 3-dB bandwidth of 90 MHz. The link also exhibits a wide dynamic range of 89 dB-MHz. This optical data link is the first to function without any active amplification.</t>
  </si>
  <si>
    <t>153-155</t>
  </si>
  <si>
    <t>60015623;60015623;60015623;60015623;60015623</t>
  </si>
  <si>
    <t>7006984131;57215378514;6602164582;7005258286;7004308862</t>
  </si>
  <si>
    <t>Ackerman, E.;Kasemset, D.;Wanuga, S.;Hogue, D.;Komiak, J.</t>
  </si>
  <si>
    <t>Boston</t>
  </si>
  <si>
    <t>General Electric Company</t>
  </si>
  <si>
    <t>Ackerman E.</t>
  </si>
  <si>
    <t>High-gain directly modulated L-band microwave optical link</t>
  </si>
  <si>
    <t>2-s2.0-0025028613</t>
  </si>
  <si>
    <t>['¬© 1990', 'uniform distribution', 'two orientations', 'tail heating', 'study suggest', 'significant differences', 'sage publications', 'rights reserved', 'results indicated', 'respectively ).', 'previous experiments', 'power densities', 'magnetic field', 'long axis', 'left subcutaneous', 'h orientations', 'h orientation', 'h ).', 'greater colonic', 'field 1200', 'equivalent whole', 'earlier study', 'dawley rats', 'blood pressure', 'animal parallel', 'anesthetized sprague', '45 mw', '2450 mhz', '20 mw']</t>
  </si>
  <si>
    <t>Ketamine-anesthetized Sprague-Dawley rats were exposed to far-field 1200-MHz continuous wave radiofrequency radiation in both E and H orientations (long axis of animal parallel to electric or magnetic field, respectively). Power densities were used that resulted in equivalent whole-body specific absorption rates of approximately 8 W/kg in both orientations (20 mW/cm2 for E and 45 mW/cm2 for H). Exposure was conducted to repeatedly increase colonic temperature from 38.5 to 39.5¬∞C in both orientations in the same animal. Irradiation in E orientation resulted in greater colonic, tympanic, left subcutaneous (side toward antenna), and tail heating. The results indicated a more uniform distribution of heat than that which occurred in previous experiments of 2450‚ÄìMHz irradiation in E and H orientation. A lack of significant differences in blood pressure and heart rate responses between exposures in the two orientations in this study suggest that greater peripheral heating, as was seen in the earlier study of 2450 MHz, is necessary for these differences to occur. ¬© 1990, SAGE Publications. All rights reserved.</t>
  </si>
  <si>
    <t>358-363</t>
  </si>
  <si>
    <t>Proceedings of the Society for Experimental Biology and Medicine</t>
  </si>
  <si>
    <t>60019557;60019557-60023197;60019557</t>
  </si>
  <si>
    <t>7005609105;7006294497;36861336300</t>
  </si>
  <si>
    <t>Jauchem, James R.;Frei, Melvin R.;Padilla, Jimmy M.</t>
  </si>
  <si>
    <t>San Antonio;San Antonio</t>
  </si>
  <si>
    <t>Trinity University;Brooks City-Base</t>
  </si>
  <si>
    <t>60023197;60019557</t>
  </si>
  <si>
    <t>Jauchem J.R.</t>
  </si>
  <si>
    <t>Thermal and Physiologic Responses to 1200-MHz Radiofrequency Radiation: Differences between Exposure in E and H Orientation</t>
  </si>
  <si>
    <t>10.3181/00379727-194-43109</t>
  </si>
  <si>
    <t>2-s2.0-0025040714</t>
  </si>
  <si>
    <t>R01CA023594</t>
  </si>
  <si>
    <t>['¬© 1990', 'tumor volume', 'theoretical plots', 'spot appears', 'secondary peak', 'secondary hot', 'sar profiles', 'sar comparisons', 'resonant length', 'resonant half', 'presumably outside', 'measurement plane', 'make measurements', 'insertion point', 'insertion depths', 'insertion depth', 'inner catheters', 'held constant', 'ha subsection', 'full wavelength', 'four antennas', 'especially true', 'dipole antennas', 'dipole antenna', 'diiagonal plane', 'diagonal plane', 'commonly used', 'choke modification', 'central axis', 'catheter combination', 'brachytherapy techniques', 'brachytherapy catheters', 'boxlike configuration', 'array center', 'antenna junctions', 'also investigated', 'active length', '9 mm', '9 cm', '8 cm', '6 cm', '598 points', '2 mm', '10 cm', './ 1']</t>
  </si>
  <si>
    <t>Arrays | Cancer | Hyperthermia | Insertion depth | Interstitial | Microwave antennas | SAR</t>
  </si>
  <si>
    <t>Dipole antennas are commonly used in interstitial clinical hyperthermia treatments because of their compatibility with brachytherapy techniques and their good power deposition patterns when used in arrays. For accurate treatment planning, however, there must be a comprehensive knowledge base to predict the power deposition patterns when insertion depth is a non-resonant length. This is especially true for insertion depths that result in significant power deposition outside of the antenna junction plane and presumably outside of the tumor volume. A computer controlled measurement system was used with a muscle equivalent phantom to make measurements of specific absorption rate (SAR) or absorbed power per unit mass of tissue at 598 points in a plane. The diagonal plane was the measurement plane of choice because it characterized the SAR profiles at the array center as well as areas in the proximity of the antennas. Dartmouth dipole antennas were used (0.9 mm O.D.) in brachytherapy catheters with inner catheters (2.2 mm O.D./1.2 mm I.D). The resonant half-wavelength of this dipole antenna/catheter combination is 7.8 cm. A choke modification of the dipole was also investigated. Four antennas were used in a boxlike configuration with 2.0 cm separation. Insertion depths of 5.9, 7.8, 9.8, 12.7, 15.6 and 17.6 cm were used. The hA subsection (junction to tip) was held constant at 3.9 cm. Plots were made of the experimental SAR data normalized to the maximum SAR measured in the plane. Theoretical plots were calculated in the same plane for each of the insertion depths. SAR comparisons were also made longitudinally along the central axis of the array and through the antenna junctions in the diiagonal plane for resonant half-wavelength insertion depth. Experimental results verified theoretical predictions of the existence of a secondary hot-spot in the center of the array, but outside of the antenna junction plane and approximately a quarter-wavelength from the insertion point. This secondary hot-spot appears for all insertion depths greater than 10 cm. At longer insertion depths approaching a full wavelength, however, this secondary peak is not dominant. Choke antennas demonstrated a solution to the problem of shifting SAR patterns with varying insertion depths by restricting the active length of the antenna. ¬© 1990.</t>
  </si>
  <si>
    <t>377-387</t>
  </si>
  <si>
    <t>60001844;60001844;60001844</t>
  </si>
  <si>
    <t>57197374123;6602167161;7005534211</t>
  </si>
  <si>
    <t>Ryan, Thomas P.;Mechling, Joyce A.;Strohbehn, John W.</t>
  </si>
  <si>
    <t>Lebanon</t>
  </si>
  <si>
    <t>Dartmouth-Hitchcock Medical Center</t>
  </si>
  <si>
    <t>Ryan T.</t>
  </si>
  <si>
    <t>Absorbed power deposition for various insertion depths for 915 MHZ interstitial dipole antenna arrays: Experiment versus theory</t>
  </si>
  <si>
    <t>036030169090547W</t>
  </si>
  <si>
    <t>10.1016/0360-3016(90)90547-W</t>
  </si>
  <si>
    <t>2-s2.0-0025046784</t>
  </si>
  <si>
    <t>['vsat network', 'spread spectrum', 'scpc ku', 'remain small', 'performance analysis', 'networks offer', 'increasing demand', 'frequency synthesizer', 'density voice', 'demonstrates selection', 'data communications', '64 kbit']</t>
  </si>
  <si>
    <t>Very small aperture terminal (VSAT) networks offer a solution to the increasing demand for low-density voice and data communications. Spread spectrum and single-channel-per-carrier (SCPC) transmission techniques work well for multiple access purposes while allowing the Earth station antennas to remain small. Direct sequence code division multiple access (DS-CDMA) is the simplest spread spectrum technique to use in a VSAT network, since a frequency synthesizer is not required for each terminal. This paper examines DS-CDMA and SCPC Ku-band VSAT satellite systems for low-density (64 kbit/s or less) communications. It develops a performance analysis of 50 channel full mesh and star network architectures. It demonstrates selection of operating conditions producing optimum performance. ¬© 1990 IEEE</t>
  </si>
  <si>
    <t>IEEE Transactions on Aerospace and Electronic Systems</t>
  </si>
  <si>
    <t>60028672;60033012</t>
  </si>
  <si>
    <t>55161086800;7203014504</t>
  </si>
  <si>
    <t>Hayes, David P.;Ha, T. T.</t>
  </si>
  <si>
    <t>Monterey;Reading</t>
  </si>
  <si>
    <t>Naval Postgraduate School;Analytic Sciences Corporation</t>
  </si>
  <si>
    <t>60033012;60028672</t>
  </si>
  <si>
    <t>Hayes D.</t>
  </si>
  <si>
    <t>A Performance Analysis of DS-CDMA and SCPC VSAT Networks</t>
  </si>
  <si>
    <t>10.1109/7.53408</t>
  </si>
  <si>
    <t>2-s2.0-0025054822</t>
  </si>
  <si>
    <t>['transverse plane', 'rectangular aperture', 'many applications', 'form solution', 'experimental results', 'discontinuity susceptibility', 'cylindrical cavity', 'circular waveguide']</t>
  </si>
  <si>
    <t>An analysis is carried out to determine the discontinuity susceptibility of a circular or rectangular aperture in the transverse plane of a circular waveguide. A closed-form solution that shows good agreement with experimental results is derived. The results should have many applications in the design of circular waveguide components and cylindrical cavity-backed phased arrays.</t>
  </si>
  <si>
    <t>263-266</t>
  </si>
  <si>
    <t>60020547;60020547</t>
  </si>
  <si>
    <t>6602152891;7404879378</t>
  </si>
  <si>
    <t>Eastham, Gary B.;Chang, Kai</t>
  </si>
  <si>
    <t>Eastham G.</t>
  </si>
  <si>
    <t>Analysis of circular and rectangular apertures in a circular waveguide</t>
  </si>
  <si>
    <t>2-s2.0-0025054892</t>
  </si>
  <si>
    <t>['volume production', 'transmitted power', 'power mmic', 'multipurpose applications', 'highly suitable', 'high yield', 'entire transceiver', 'dc circuitry', 'cost x', 'controlled oscillator', 'control voltage', 'band transceiver', '600 mhz', '23 dbm']</t>
  </si>
  <si>
    <t>A low-cost X-band transceiver has been developed for multipurpose applications. The transceiver, constructed using monolithic transceiver and power MMIC (monolithic microwave integrated circuit) chips, is capable of delivering a transmitted power of greater than 23 dBm. Its bandwidth is voltage-tunable to over 600 MHz. The control voltage of the VCO (voltage-controlled oscillator) can be modulated and is applicable for FMCW (frequency-modulated continuous wave) or pulsed radar applications. The entire transceiver, including its transmit/receive microstrip patch antennas and the DC circuitry, is packaged in a housing with dimensions of 3.5 in √ó 2.0 in √ó 2.0 in. Due to the high yield and low fabrication cost of the monolithic transceiver chips, this unit is highly suitable for high-volume production.</t>
  </si>
  <si>
    <t>827-830</t>
  </si>
  <si>
    <t>60005304;60005304;60005304;60005304;60005304</t>
  </si>
  <si>
    <t>7005822430;57197130122;57192891763;23040057600;7501882373</t>
  </si>
  <si>
    <t>Yau, W.;Herman, M. I.;Mendolia, G.;Wen, C. P.;Chen, J. C.</t>
  </si>
  <si>
    <t>Waltham</t>
  </si>
  <si>
    <t>Raytheon</t>
  </si>
  <si>
    <t>Yau W.</t>
  </si>
  <si>
    <t>X-band low cost GaAs monolithic transceiver</t>
  </si>
  <si>
    <t>2-s2.0-0025065749</t>
  </si>
  <si>
    <t>['range architecture', 'r modules', 'mmic chips', 'complex mmic', 'broadband subarray', 'art family']</t>
  </si>
  <si>
    <t>A high-density, complex MMIC (monolithic microwave integrated circuit transmit/receive (T/R) module is presented with applications for 6-18-GHz multifunction phased arrays. It features a dual-polarization, high-dynamic-range architecture, a state-of-the-art family of MMIC chips (269 mm2 total GaAs area), and advanced MMIC packaging techniques. The incorporation of four T/R modules in a broadband subarray is described.</t>
  </si>
  <si>
    <t>1227-1230</t>
  </si>
  <si>
    <t>60017016;60017016;60017016;60017016;60017016</t>
  </si>
  <si>
    <t>6603518801;56450558000;6603769222;6507812004;6603182325</t>
  </si>
  <si>
    <t>Priolo, M.;St. Onge, G.;Coughlin, W.;Bugeau, J.;Meharry, D.</t>
  </si>
  <si>
    <t>Arlington</t>
  </si>
  <si>
    <t>BAE Systems Inc.</t>
  </si>
  <si>
    <t>Priolo M.</t>
  </si>
  <si>
    <t>Transmit/receive modules for 6 to 18 GHz multifunction arrays</t>
  </si>
  <si>
    <t>2-s2.0-0025065754</t>
  </si>
  <si>
    <t>['tracking accuracies', 'technique described', 'pragmatic approach', 'pertinent equations', 'orbit calibration', 'kaiman filtering', 'first principles']</t>
  </si>
  <si>
    <t>A pragmatic approach is presented to the on-orbit calibration of the spaceborne gimbaled parabolic reflector antennas to enhance their pointing and tracking accuracies in the presence of unknown structural deformations and other errors. The technique described is based on the second-order extended Kaiman filter. Except for some knowledge of Kaiman filtering, the paper is self-contained and tutorial in character, developing necessary error models and deriving most pertinent equations from first principles. ¬© 1990 IEEE</t>
  </si>
  <si>
    <t>88-112</t>
  </si>
  <si>
    <t>Kistosturian, H. G.</t>
  </si>
  <si>
    <t>Bethesda</t>
  </si>
  <si>
    <t>Lockheed Martin Corporation</t>
  </si>
  <si>
    <t>Kistosturian H.</t>
  </si>
  <si>
    <t>On-Orbit Calibration of Satellite Antenna-Pointing Errors</t>
  </si>
  <si>
    <t>10.1109/7.53416</t>
  </si>
  <si>
    <t>2-s2.0-0025065810</t>
  </si>
  <si>
    <t>['takes advantage', 'series lines', 'line lengths', 'line coupler', '40 ghz']</t>
  </si>
  <si>
    <t>A three-branch-line coupler with three-quarter wavelength series lengths has been designed to work from 26.5 to 40 GHz. It takes advantage of the odd mode nature of the series lines to increase the line lengths. The loss in bandwidth because of the 3/4 wavelength series lines is acceptable because of what is gained by having higher aspect ratios and by using a three-branch-line coupler design. These same design rules scale well to designs all the way up to W-band.</t>
  </si>
  <si>
    <t>585-588</t>
  </si>
  <si>
    <t>Meaney, Paul</t>
  </si>
  <si>
    <t>Alpha Ind Inc</t>
  </si>
  <si>
    <t>Meaney P.</t>
  </si>
  <si>
    <t>Novel branch-line coupler design for millimeter-wave applications</t>
  </si>
  <si>
    <t>2-s2.0-0025065862</t>
  </si>
  <si>
    <t>['thermally coupled', 'temperature responsivities', 'tellurium detectors', 'planar antenna', 'load elements', 'composite microbolometers', 'broadband far', '120 v']</t>
  </si>
  <si>
    <t>Composite microbolometers for use as broadband far-infrared radiation detectors have been constructed. These novel devices utilize nichrome load elements which can be impedance-matched to a planar antenna. The load elements are thermally coupled to tellurium detectors. Room-temperature responsivities of 120 V/W and noise equivalent powers of 6.7 √ó 10-9 W/‚àöHz have been achieved.</t>
  </si>
  <si>
    <t>1309-1310</t>
  </si>
  <si>
    <t>60013372;60013372</t>
  </si>
  <si>
    <t>7006258203;7006694199</t>
  </si>
  <si>
    <t>Wentworth, Stuart M.;Neikirk, Dean P.</t>
  </si>
  <si>
    <t>Austin</t>
  </si>
  <si>
    <t>The University of Texas at Austin</t>
  </si>
  <si>
    <t>Wentworth S.</t>
  </si>
  <si>
    <t>Far-infrared composite microbolometers</t>
  </si>
  <si>
    <t>2-s2.0-0025070677</t>
  </si>
  <si>
    <t>['wave frequencies', 'vco ).', 'tuned vco', 'suitable architecture', 'phase synchronized', 'phase inaccuracy', 'phase error', 'locking range', 'local oscillators', 'high degree', 'frequency synchronization', 'frequency reference', 'first formulated', 'experiments supporting', 'bias current', '90 ¬∞', '78 ¬∞', '1946 ).', '18 ghz']</t>
  </si>
  <si>
    <t>The most suitable architecture for millimeter-wave frequencies is based on the transmit/receive (T/R)-level data mixing architecture, where a frequency reference is provided to local oscillators in the subarrays to have them frequency and phase synchronized. The indirect subharmonic optical injection locking has the benefit of a high degree of frequency synchronization up to millimeter-wave frequencies; however, the local oscillators suffer from phase inaccuracy over the locking range, first formulated by R. Adler (1946). A scheme is proposed to measure this phase error and correct for it by adjusting the free-running oscillation frequency of a voltage controlled oscillator (VCO). Experiments supporting this approach are reported for two optically injection locked oscillators at 18 GHz, where controlled phase shifts over -90¬∞ to 78¬∞ are achieved by adjusting the bias current to a yttrium-iron-garnet (YIG) tuned VCO.</t>
  </si>
  <si>
    <t>1247-1250</t>
  </si>
  <si>
    <t>60014662;60014662;60014662;60014662;60014662</t>
  </si>
  <si>
    <t>7006552817;57206209905;6603653836;6603196861;6701808541</t>
  </si>
  <si>
    <t>Daryoush, A. S.;Francisco, M.;Saedi, R.;Polifko, D.;Kunath, R.</t>
  </si>
  <si>
    <t>Drexel University</t>
  </si>
  <si>
    <t>Daryoush A.</t>
  </si>
  <si>
    <t>Phase control of optically injection locked oscillators for phased arrays</t>
  </si>
  <si>
    <t>2-s2.0-0025085176</t>
  </si>
  <si>
    <t>['¬© 1990', 'uniform orientation', 'thecogen cell', 'stage 3', 'sister cell', 'sensillogenic regions', 'sensillogenic epidermis', 'sensilla arise', 'round shape', 'pupal phase', 'prospective 2', 'presumed sensory', 'precursor cells', 'preceding stages', 'partly enclose', 'numerous slender', 'mostly 6', 'massive signs', 'epithelium differentiates', 'epidermal surface', 'differential mitoses', 'dark cells', 'cell degeneration', 'basal region', 'apical pole', '2 ),']</t>
  </si>
  <si>
    <t>Antenna | Antheraea polyphemus | differential mitoses | metamorphosis | sensilla</t>
  </si>
  <si>
    <t>The antenna of the male silkmoth Antheraea polyphemus develops from a one-layered, flattened epidermal sac during the pupal phase. Within the first day post-apolysis (developmental stages 1 and 2), this epithelium differentiates into 'sensillogenic' and 'nonsensillogenic' regions, while numerous slender 'dark cells' interpreted as the precursor cells of sensilla arise in the former. Approximately between the first and second day post-apolysis (developmental stage 3), the dark cells retract to the apical pole of the epidermis, assume a round shape, and undergo a series of differential mitoses with spindles usually oriented parallel to the epidermal surface. These mitoses finally yield the Anlagen of the olfactory sensilla trichodea, each consisting of mostly 6-7 dark cells arranged side by side. In most of the Anlagen, 3-4 of these cells are situated more basally, each giving off a slender apical process which together are arranged in a fascicle. These are the prospective 2-3 sensory neurons plus the thecogen cell, which most probably is a sister cell of the former. Three additional cells are arranged more apically and partly enclose the fascicle of presumed sensory and thecogen cell processes. These are interpreted as the trichogen plus 2 tormogen cells, one of the latter degenerating later during development. In the basal region of the sensillogenic epidermis, massive signs of cell degeneration have been found. At stage 3, the basal epidermal feet in the non-sensillogenic regions have assumed a more uniform orientation as compared with the preceding stages. ¬© 1990.</t>
  </si>
  <si>
    <t>705-720</t>
  </si>
  <si>
    <t>Tissue and Cell</t>
  </si>
  <si>
    <t>60005460;60005460</t>
  </si>
  <si>
    <t>26643587600;11240680700</t>
  </si>
  <si>
    <t>Keil, T. A.;Steiner, C.</t>
  </si>
  <si>
    <t>Keil T.</t>
  </si>
  <si>
    <t>Morphogenesis of the antenna of the male silkmoth, Antheraea polyphemus. II. Differential mitoses of 'dark' precursor cells create the Anlagen of sensilla</t>
  </si>
  <si>
    <t>004081669090066I</t>
  </si>
  <si>
    <t>10.1016/0040-8166(90)90066-I</t>
  </si>
  <si>
    <t>2-s2.0-0025086644</t>
  </si>
  <si>
    <t>['smw spectrum', 'microwave power', 'experimentally investigated', 'different values', 'attenuation peak']</t>
  </si>
  <si>
    <t>The propagation of surface magnetostatic waves (SMW) under a metal strip placed over a ferrite film surface has been experimentally investigated for different distances h between the planes of the strip and the film. It was found that bringing the metal strip closer to the ferrite film surface gives rise to an attenuation peak of the microwave power in the SMW spectrum for frequencies at which the SMW group velocity has a minimum or equal to zero. The characteristics of this peak are studied for different values of w and h.</t>
  </si>
  <si>
    <t>7103014591;6603875313;57197316982</t>
  </si>
  <si>
    <t>Zubkov, V. I.;Lokk, E. G.;Shcheglov, V. I.</t>
  </si>
  <si>
    <t>Zubkov V.</t>
  </si>
  <si>
    <t>Propagation of surface magnetostatic waves under a metal strip placed over a ferrite film</t>
  </si>
  <si>
    <t>2-s2.0-0025090166</t>
  </si>
  <si>
    <t>['magnetic field', 'investigated theoretically', 'input resistance', 'elf antennas', 'appeared recently']</t>
  </si>
  <si>
    <t>Interest has appeared recently in the possibility of using tied cable systems, released from spacecraft, as ELF antennas. The effect of the ionospheric plasma parameters and the earth's magnetic field on the input resistance of tied cable systems is investigated theoretically.</t>
  </si>
  <si>
    <t>121-125</t>
  </si>
  <si>
    <t>6506340936;6701398779;6602991222</t>
  </si>
  <si>
    <t>Bukharova, A. M.;Lishin, I. V.;Sorokina, R. K.</t>
  </si>
  <si>
    <t>Bukharova A.</t>
  </si>
  <si>
    <t>Input resistance of tied cable systems in the ionospheric plasma</t>
  </si>
  <si>
    <t>2-s2.0-0025090167</t>
  </si>
  <si>
    <t>['sis mixer', 'registering patterns', 'readily integrable', 'planar antennas', 'opposite sides', 'future superconducting', 'fully integrated', 'adjustable tuners', '600 ghz', '300 ghz', '110 ghz']</t>
  </si>
  <si>
    <t>A fully integrated, low-noise, SIS mixer for 75-110 GHz with no adjustable tuners is demonstrated. The unexpectedly large conversion loss of the mixers has not yet been explained. Simple coplanar topology is used. This eliminates the need for registering patterns on opposite sides of a wafer, and allows the use of a conveniently thick substrate (0.010 in) in the mixer. The design is readily integrable with other components, such as planar antennas or future superconducting IF processors. The design should be useful up to 300 GHz, and possibly to 600 GHz, with appropriate frequency scaling.</t>
  </si>
  <si>
    <t>851-854</t>
  </si>
  <si>
    <t>60024185;60024185;60024185;60024185;60024185</t>
  </si>
  <si>
    <t>7201359022;7402713554;7006633395;6701450575;7006074935</t>
  </si>
  <si>
    <t>Kerr, A. R.;Pan, S. K.;Whiteley, S.;Radparvar, M.;Faris, S.</t>
  </si>
  <si>
    <t>Charlottesville</t>
  </si>
  <si>
    <t>National Radio Astronomy Observatory</t>
  </si>
  <si>
    <t>Kerr A.</t>
  </si>
  <si>
    <t>Fully integrated SIS mixer for 75-110 GHz</t>
  </si>
  <si>
    <t>2-s2.0-0025103158</t>
  </si>
  <si>
    <t>['varactor fc', 'varactor diodes', 'tuning bandwidth', 'ohmic contacts', 'layer created', 'gaas varactor', 'fabricate high', 'controlled oscillators', 'buried n', 'buried layer', 'art performance', 'areas connect', '6 mev', '5 ghz', '24 ghz', '1600 ghz', '09 pf']</t>
  </si>
  <si>
    <t>An all ion-implantation planar process has been used to fabricate high-Q, hyperabrupt carrier profile, varactor diodes as components of GaAs MMIC VCOs (monolithic microwave integrated circuit voltage-controlled oscillators) with state-of-the-art performance. These GaAs varactor-tuned FET oscillators operate up to 24 GHz with a tuning bandwidth of 5 GHz in K-band. The high-Q varactors feature a buried n+ layer created by ion-implantation at up to 6 MeV. Separately masked implanted n+ areas connect the buried layer to ohmic contacts at the surface. A varactor fc of 1600 GHz was obtained at 0.09 pF.</t>
  </si>
  <si>
    <t>189-192</t>
  </si>
  <si>
    <t>36793168300;7405503087;6603059431;7102252268;57199489021;6508218332</t>
  </si>
  <si>
    <t>McNally, Philip J.;Smith, Thane;Phelleps, Fred R.;Hogan, Kathleen M.;Smith, Bryce;Deitrich, Harry</t>
  </si>
  <si>
    <t>McNally P.</t>
  </si>
  <si>
    <t>Ku- and K-band GaAs MMIC varactor-tuned FET oscillators using MeV ion-implanted buried-layer back contacts</t>
  </si>
  <si>
    <t>2-s2.0-0025106638</t>
  </si>
  <si>
    <t>['novel method', 'millimeter waves', 'maximum radiation', 'especially useful', 'dielectric slab', 'coated conductors']</t>
  </si>
  <si>
    <t>A novel method for determining the complex dielectric constant of dielectric slab-coated conductors is described. The constant can be found by measuring an angle of maximum radiation and two radiation angles of half peak power from the leaky wave antenna. The method is especially useful for millimeter waves and can realize automatic measurement.</t>
  </si>
  <si>
    <t>435-438</t>
  </si>
  <si>
    <t>60025278;60025278;60025278</t>
  </si>
  <si>
    <t>56163660400;7402036328;7402120825</t>
  </si>
  <si>
    <t>Li, Guoding;Sun, Qing;Shi, Changsheng</t>
  </si>
  <si>
    <t>China</t>
  </si>
  <si>
    <t>Beijing</t>
  </si>
  <si>
    <t>Tsinghua University</t>
  </si>
  <si>
    <t>Li G.</t>
  </si>
  <si>
    <t>Measuring complex dielectric constant of dielectric slab-coated conductors in millimeter waves by radiating technique</t>
  </si>
  <si>
    <t>2-s2.0-0025111860</t>
  </si>
  <si>
    <t>['useful bandwidth', 'sidelobe antennas', 'resulting circuits', 'relative bandwidths', 'race couplers', 'pull amplifiers', 'power combiners', 'nominal value', 'low phase', 'low loss', 'logically continued', 'least doubled', 'following advantages', 'electronic components', 'easily fabricated', 'clear concept', 'broadbanding procedure', 'bandwidth improvement']</t>
  </si>
  <si>
    <t>A broadbanding procedure that can increase the useful bandwidth of rat-race couplers and Gysel-type power dividers considerably (at least doubled) is described. The resulting circuits have the following advantages: (1) isolation between even and odd mode inputs is excellent and all ports are matched; (2) very flat amplitude characteristics, low phase-deviation from the nominal value, and low loss are obtained; (3) convenient and realizable characteristic impedances of the lines are involved; and (4) the design is based on a clear concept of bandwidth improvement, which can be logically continued. The circuits are easily fabricated, and relative bandwidths in excess of 40% are reached. Applications are seen for high-power combiners, electronic components such as mixers and push-pull amplifiers, and antenna beamforming networks, especially for low-sidelobe antennas.</t>
  </si>
  <si>
    <t>471-474</t>
  </si>
  <si>
    <t>60010338;60010338</t>
  </si>
  <si>
    <t>6701468645;57202531498</t>
  </si>
  <si>
    <t>Knochel, R.;Mayer, B.</t>
  </si>
  <si>
    <t>Hamburg</t>
  </si>
  <si>
    <t>Hamburg University of Technology</t>
  </si>
  <si>
    <t>Knochel R.</t>
  </si>
  <si>
    <t>Broadband printed circuit 0¬∞/180¬∞ couplers and high power inphase power dividers</t>
  </si>
  <si>
    <t>2-s2.0-0025111862</t>
  </si>
  <si>
    <t>['sidelobe levels', 'radical differences', 'pattern symmetry', 'feeds include', 'design process', 'brazed assemblies', 'boresight error', 'axial ratios', '5 in3', '32 in3', '2 db', '1 in3', '1 db', '0 in3']</t>
  </si>
  <si>
    <t>Radical differences between system requirements require great flexibility in the design process for the millimeter-wave monopulse feed. A discussion is presented of the design approaches used for three feed systems: a three-channel multimode monopulse feed, a six-channel dual linear polarized monopulse feed, and a four-channel dual circular polarized monopulse feed. Each of these feeds was designed for a 94-GHz radar application. Performance levels achieved for each of these feeds include &gt;35-dB null depth, &gt;30-dB cross polarization, sidelobe levels &gt;25-dB down, comparator insertion loss of &lt;1 dB, axial ratios of 2 dB, pattern symmetry to BW/15 of ‚â§3 degree, and boresight error of ‚â§1 mrad. The feed assemblies consist of brazed assemblies; package size varies from a volume of 8.0 in3 down to 0.32 in3, while cross-sectional diameter ranges from 2.1 in3 down to 0.5 in3.</t>
  </si>
  <si>
    <t>805-808</t>
  </si>
  <si>
    <t>Storkus, Walter L.</t>
  </si>
  <si>
    <t>Storkus W.</t>
  </si>
  <si>
    <t>Design techniques for compact monopulse antenna feeds for W-band radar systems</t>
  </si>
  <si>
    <t>2-s2.0-0025111870</t>
  </si>
  <si>
    <t>U.S. Department of Health and Human Services</t>
  </si>
  <si>
    <t>RO 1 CA-393 14</t>
  </si>
  <si>
    <t>HHS</t>
  </si>
  <si>
    <t>['¬© 1990', 'sufficiently reproducible', 'power deposition', 'phantom proper', 'muscle tissue', 'microwave generator', 'interpose minimally', 'interacting medium', 'inherent limitations', 'heating patterns', 'four single', 'experiments conducted', 'experimentally ascertained', 'equivalent material', 'effective length', 'deemed necessary', 'clinical incorporation', 'bolus method', 'bolus interfaces', 'bolus addition', '915 mhz']</t>
  </si>
  <si>
    <t>Hyperthermia | Interstitial antennas | Microwave | Tissue-equivalent material bolus</t>
  </si>
  <si>
    <t>Patterns of specific absorption rates generated by interstitial, microwave antenna arrays must be experimentally ascertained and quantified to facilitate their clinical incorporation. Phantom studies involved the use of four single-gap, coaxial antennas oriented in a 2 cm square array. These dipoles were driven in phase by a microwave generator at a frequency of 915 MHz. The inherent limitations in modifying the specific absorption rate patterns were addressed with the addition of bolus to the phantom. These additions of Guy's muscle tissue-equivalent material were made either proximal or distal to the phantom proper. Experiments conducted in the presence and absence of tissue-equivalent material bolus showed the ability to achieve broader bands of 50% power deposition in certain bolus conditions. These heating patterns were sufficiently reproducible and predictable to warrant clinical application of the bolus addition. A through-and-through method of catheter implantation allowed for bolus addition when deemed necessary. Treatments with veterinary and human patients using the bolus method to modify heating patterns yielded augmented patterns of power deposition. The effective length of the antennas that would radiate efficiently was essentially broadened via introduction of a microwave-interacting medium. As a result of the tissue equivalent material's ability to absorb microwave power, it was necessary to interpose minimally-interactive styrofoam spacers to limit heat transfer effects at the tissue-bolus interfaces. ¬© 1990.</t>
  </si>
  <si>
    <t>677-685</t>
  </si>
  <si>
    <t>60122663;60122663;60122663;60122663;60122663;60122663;60122663;60122663;60122663;60122663;60122663</t>
  </si>
  <si>
    <t>56901014000;7003404727;7801611684;7202034362;7003633051;6603711444;7004372679;6603943899;6506764443;7005600011;7003833067</t>
  </si>
  <si>
    <t>Sundararaman, Srinath;Denman, David L.;Legorreta, Roberto A.;Foster, Alvis E.;Redmond, Kevin P.;Elson, Howard R.;Born, Angela M.;Samaratunga, R. C.;Cooper Lewis, G.;Kereiakes, James G.;Aron, Bernard S.</t>
  </si>
  <si>
    <t>Cincinnati</t>
  </si>
  <si>
    <t>University of Cincinnati Medical Center</t>
  </si>
  <si>
    <t>Sundararaman S.</t>
  </si>
  <si>
    <t>The modification of specific absorption rates in interstitial microwave hyperthermia via tissue-equivalent material bolus</t>
  </si>
  <si>
    <t>0360-3016(90)90496-7</t>
  </si>
  <si>
    <t>10.1016/0360-3016(90)90496-7</t>
  </si>
  <si>
    <t>2-s2.0-0025123290</t>
  </si>
  <si>
    <t>['two sites', 'transport stoichiometry', 'transmembrane h', 'sigmoidal function', 'shift experiments', 'results suggest', 'na uptake', 'na influx', 'na binding', 'na ](', 'na ))', 'max ))', 'like amiloride', 'homarus americanus', 'hill equation', 'hill coefficient', 'head technique', 'h exchange', 'h antiporter', 'h antiport', 'h ](', 'external ca', 'external amiloride', 'external ).', 'electrogenic na', 'driving forces', 'driving force', 'complete absence', 'competitive inhibitors', 'competitive inhibitor', 'cl independent', 'binding cooperativity', 'atlantic lobster', 'amiloride sensitive', 'amiloride acted', '70 œºm', '500 œºm', '41 ].', '400 mm', '380 mm', '20 œºm', '2 na', '14 œºm', '12 mm', '1 ¬∑', '1 h']</t>
  </si>
  <si>
    <t>Amiloride | Antiport | Brush-border vesicles | Calcium transport | Competitive inhibition | Homarus americanus | Kidney | Sodium-hydrogen exchange</t>
  </si>
  <si>
    <t>Na uptake by short-circuited epithelial brush-border membrane vesicles of Atlantic lobster (Homarus americanus) antennal gland labyrinth was Cl independent, amiloride sensitive, and stimulated by a transmembrane H+ gradient ([H](i) &gt; [H](o); i is internal, o is external). Na influx (2.5-s uptake) was a sigmoidal function of [Na](o) (25-400 mM) when pH(i) = 5.0 and pH(o) = 8.0 and followed the Hill equation for binding cooperativity [apparent maximal influx (J(max)) = 271 nmol¬∑mg protein-1¬∑s-1, apparent affinity constant for Na (K(Na)) = 310 mM Na, and Hill coefficient (n) = 2.41]. Amiloride acted as a competitive inhibitor of Na binding to two external sites with markedly dissimilar apparent amiloride affinities (K(i1) = 14 ŒºM; K(i2) = 1,340 mM). Electrogenic Na-H antiport by these vesicles was demonstrated by equilibrium-shift experiments in which an imposed transmembrane electrical potential difference was the only driving force for exchange. A transport stoichiometry of 2 Na to 1 H was demonstrated with the static-head technique in which a balance of driving forces was attained with 10:1 Na gradient and 100:1 H gradient. External Ca, like amiloride, was a strong competitive inhibitor of Na-H exchange, acting at two sites on the outer vesicular face with markedly different apparent divalent cation affinities (K(i1) = 20 ŒºM; K(i2) = 500 ŒºM). Ca-H exchange by electrogenic Na-H antiporter was demonstrated in complete absence of Na by use of an outward H gradient in presence and absence of amiloride. Both external amiloride (K(i1) = 70 ŒºM; K(i2) = 500 ŒºM) and Na (K(i1) = 12 mM; K(i2) = 380 mM) were competitive inhibitors of Ca-H exchange. These results suggest that the electrogenic 2 Na-1 H exchanger characterized for this crustacean epithelium may also have a role in organismic Ca balance.</t>
  </si>
  <si>
    <t>5 28-5</t>
  </si>
  <si>
    <t>American Journal of Physiology - Renal Fluid and Electrolyte Physiology</t>
  </si>
  <si>
    <t>60013791;60013791</t>
  </si>
  <si>
    <t>7006417406;7102227145</t>
  </si>
  <si>
    <t>Ahearn, G. A.;Franco, P.</t>
  </si>
  <si>
    <t>Honolulu</t>
  </si>
  <si>
    <t>University of Hawai ªi at MƒÅnoa</t>
  </si>
  <si>
    <t>Ahearn G.A.</t>
  </si>
  <si>
    <t>Sodium and calcium share the electrogenic 2 Na&lt;sup&gt;+&lt;/sup&gt;-1 H&lt;sup&gt;+&lt;/sup&gt; antiporter in crustacean antennal glands</t>
  </si>
  <si>
    <t>10.1152/ajprenal.1990.259.5.f758</t>
  </si>
  <si>
    <t>2-s2.0-0025130849</t>
  </si>
  <si>
    <t>['wiley blackwell', 'water oxidation', 'thylakoid membrane', 'thylakoid lumen', 'stromal side', 'short circuited', 'rights reserved', 'results imply', 'proton uptake', 'proton release', 'primary structure', 'photosystem complex', 'lumental side', 'longer released', 'instead transferred', 'higher plants', 'embo j', 'covalent modification', 'certain proteins', 'bound plastoquinone']</t>
  </si>
  <si>
    <t>In photosynthesis of higher plants, photosystem II drives electron transfer from the water‚Äêoxidizing manganese centre at the lumental side to bound plastoquinone at the stromal side of the thylakoid membrane. Proton release into the lumen and proton uptake from the stroma, i.e. net proton pumping, follows as consequence of vectoral electron transport. The proton pumping activity can be short circuited by covalent modification with N,N‚Ä≤‚Äêdicyclohexylcarbodiimide (cHxN)2C of certain proteins in the 20‚Äì28‚ÄêkDa range. After modification, protons from water oxidation are no longer released into the thylakoid lumen, but instead transferred through the photosystem complex to protonate the photoreduced bound quinone at the other side of the membrane [Jahns, P., Polle, A. &amp; Junge, W. (1988) EMBO J. 7, 589‚Äì594]. Here we identify the pertinent (cHxN)2C‚Äêbinding proteins by amino acid sequence analysis and localize (cHxN)2C‚Äêbinding sites within their primary structure. The proteins that are associated with the proton short circuit are light‚Äêharvesting chlorophyll‚Äêa/b‚Äêbinding proteins. Our results imply that in addition to acting as antennae they may serve another function: the funneling into the thylakoid lumen of protons, which are liberated in the water‚Äêoxidizing Mn centre. Copyright ¬© 1990, Wiley Blackwell. All rights reserved</t>
  </si>
  <si>
    <t>731-736</t>
  </si>
  <si>
    <t>European Journal of Biochemistry</t>
  </si>
  <si>
    <t>60009731;60009731</t>
  </si>
  <si>
    <t>6701491634;10241088300</t>
  </si>
  <si>
    <t>JAHNS, Peter;JUNGE, Wolfgang</t>
  </si>
  <si>
    <t>Osnabruck</t>
  </si>
  <si>
    <t>Universit√§t Osnabr√ºck</t>
  </si>
  <si>
    <t>JAHNS P.</t>
  </si>
  <si>
    <t>Dicyclohexylcarbodiimide‚Äêbinding proteins related to the short circuit of the proton‚Äêpumping activity of photosystem II: Identified as light‚Äêharvesting chlorophyll‚Äêa/b‚Äêbinding proteins</t>
  </si>
  <si>
    <t>10.1111/j.1432-1033.1990.tb19393.x</t>
  </si>
  <si>
    <t>2-s2.0-0025133235</t>
  </si>
  <si>
    <t>['¬© 1990', 'spins moving', 'solved numerically', 'slice selection', 'rights reserved', 'plug flow', 'phase shifts', 'nonselective antenna', 'magnetization profiles', 'line selection', 'laminar flow', 'flow rate', 'constant velocity', 'calculations use', 'bloch equations', 'american association', 'activated spins']</t>
  </si>
  <si>
    <t>The Bloch equations are solved numerically for spins moving at constant velocity for the case of 90¬∞ slice selection, and for subsequent 180¬∞ spin-echo line selection. The calculations use the comoving, rotating reference frame which is shown to be valid for general accelerated motions. Magnetization profiles and phase shifts are presented for slice selection for both plug and laminar flow. Line selection is studied for the case of plug flow, where a ‚Äúlocal vector sum‚Äù is introduced to demonstrate effective localization of activated spins. In addition to local magnetization densities, the spatially integrated signals seen by a nonselective antenna are calculated. The relation between net phase shift and flow rate is examined and deviations from the predictions of simple analytic models are discussed. ¬© 1990, American Association of Physicists in Medicine. All rights reserved.</t>
  </si>
  <si>
    <t>847-854</t>
  </si>
  <si>
    <t>NA</t>
  </si>
  <si>
    <t>Medical Physics</t>
  </si>
  <si>
    <t>60028628;60028628</t>
  </si>
  <si>
    <t>22973893400;57097335900</t>
  </si>
  <si>
    <t>Aaron, R.;Shiftman, C. A.</t>
  </si>
  <si>
    <t>Northeastern University</t>
  </si>
  <si>
    <t>Aaron R.</t>
  </si>
  <si>
    <t>Line and slice selection for moving spins</t>
  </si>
  <si>
    <t>10.1118/1.596557</t>
  </si>
  <si>
    <t>2-s2.0-0025135249</t>
  </si>
  <si>
    <t>['phase shifters', 'performance correlation', 'measured results', 'level results', 'level data', 'highly reproducible']</t>
  </si>
  <si>
    <t>The measured results of the production of high-performance, highly reproducible, small-size (96 mils √ó 48 mils) GaAs monolithic 5-b phase shifters for phased array system applications are presented. Very good DC (&gt;90%) and RF (75%-80%) yields have been achieved on an X-band phase shifter. The performance correlation of these phase shifters between wafer-level results and assembled-module-level data has been verified.</t>
  </si>
  <si>
    <t>633-637</t>
  </si>
  <si>
    <t>60085710;60085710;60085710;60085710;60085710;60085710</t>
  </si>
  <si>
    <t>7102032743;7402392541;55424583200;57208265981;7402211255;7004373159</t>
  </si>
  <si>
    <t>Ali, Fazal;Mitchell, Scott;Murphy, Aidan;Adar, Aharon;Ho, Pang;Podell, Allen</t>
  </si>
  <si>
    <t>Sunnyvale</t>
  </si>
  <si>
    <t>Pacific Monolithics</t>
  </si>
  <si>
    <t>Ali F.</t>
  </si>
  <si>
    <t>Production results of X-band GaAs MMIC 5-bit phase shifters</t>
  </si>
  <si>
    <t>2-s2.0-0025135657</t>
  </si>
  <si>
    <t>['output isolation', 'ghz band', 'carrier rejections', '60 db', '6 w', '45 db', '40 dbc', '11 mm2']</t>
  </si>
  <si>
    <t>The design, fabrication, and performance of a GaAs monolithic linear vector modulator in the 10-14-GHz band are described. The vector modulator consists of four monolithic microwave integrated circuit (MMIC) chips (a quadrature power splitter, two binary phase shift keying (BPSK) modulators, and a Wilkinson power combiner) and is mounted in a microwave test fixture with input-output isolation of greater than 60 dB. The total area occupied by the four MMIC chips is less than 11 mm2, and the total power consumption is less than 1.6 W. The circuit exhibits sideband and carrier rejections of more than 45 dB with third-order intermodulation signals at -40 dBc.</t>
  </si>
  <si>
    <t>465-468</t>
  </si>
  <si>
    <t>60016561;60016561</t>
  </si>
  <si>
    <t>6602212129;55882849300</t>
  </si>
  <si>
    <t>Van Den Bogaart, F. L.M.;Pyndiah, R.</t>
  </si>
  <si>
    <t>Eindhoven</t>
  </si>
  <si>
    <t>Philips Research</t>
  </si>
  <si>
    <t>Van Den Bogaart F.</t>
  </si>
  <si>
    <t>10-14 GHz linear MMIC vector modulator with less than 0.1 dB and 0.8¬∞ amplitude and phase error</t>
  </si>
  <si>
    <t>2-s2.0-0025135674</t>
  </si>
  <si>
    <t>['¬± 0', 'phase states', 'phase state', 'phase shift', 'low attenuation', 'loss reflection', 'insertion loss', 'experimental results', 'band performance', '8 db', '5 db']</t>
  </si>
  <si>
    <t>A low-loss reflection-type analog phase shifter circuit is described, and experimental results are presented. The circuit incorporates several design features to produce nearly 360¬∞ of phase shift at X-band while achieving an insertion loss of only 4.8 dB with ¬±0.5 dB of variation over all phase states. These results improve upon previously reported X-band performance by demonstrating a large phase shift range together with low attenuation and low amplitude variation with phase state.</t>
  </si>
  <si>
    <t>487-490</t>
  </si>
  <si>
    <t>60007742;60007742</t>
  </si>
  <si>
    <t>6602845255;7102764296</t>
  </si>
  <si>
    <t>Upshur, John I.;Geller, Bernard D.</t>
  </si>
  <si>
    <t>Upshur J.</t>
  </si>
  <si>
    <t>Low-loss 360¬∞ X-band analog phase shifter</t>
  </si>
  <si>
    <t>2-s2.0-0025135675</t>
  </si>
  <si>
    <t>['theoretically consistent', 'rigorous determination', 'longitudinal strips', 'longitudinal strip', 'loaded idg', 'idg ).', 'galerkin method', 'finite width', 'equivalent circuits', 'dipoles forming', 'dielectric interface', 'circuit parameters', 'antenna arrays', 'accurate synthesis']</t>
  </si>
  <si>
    <t>A rigorous determination is made of the equivalent circuits of longitudinal strips of finite width on the air-dielectric interface of an inset dielectric guide (IDG). These are used to design an array of dipoles forming a longitudinally polarized linear antenna that is theoretically consistent with the properties of microstrip-loaded IDG. It is demonstrated that the longitudinal strip can be successfully analyzed using the Galerkin method, yielding both the circuit parameters and the radiation characteristics essential for the accurate synthesis of antenna arrays.</t>
  </si>
  <si>
    <t>1059-1062</t>
  </si>
  <si>
    <t>60030480;60030480</t>
  </si>
  <si>
    <t>35516302600;56253019800</t>
  </si>
  <si>
    <t>Sewell, P. D.;Rozzi, T.</t>
  </si>
  <si>
    <t>Bath</t>
  </si>
  <si>
    <t>University of Bath</t>
  </si>
  <si>
    <t>Sewell P.D.</t>
  </si>
  <si>
    <t>Rigorous analysis of a longitudinal strip on the surface of inset dielectric guide</t>
  </si>
  <si>
    <t>2-s2.0-0025135687</t>
  </si>
  <si>
    <t>['transit time', 'systems vary', 'system development', 'scanning antennas', 'radar concept', 'pulsed radars', 'low level', 'impact avalanche', 'gunn assemblies', 'ghz radar', 'frequency agility', 'field trials', 'clutter backgrounds', 'autonomous detection', '3 km']</t>
  </si>
  <si>
    <t>The hardware and system development which has been carried out in order to evaluate the use of 94-GHz radar for the autonomous detection of targets in all clutter backgrounds is described. Several instrumentation radars, both ground-based and airborne, have been developed for use on field trials. These systems vary in complexity from simple, solid-state, IMPATT (impact avalanche and transit time) transmitter/Gunn assemblies to high-power, pulsed radars with scanning antennas, dual receiver channels and frequency agility. The radar concept of interest is one which is carried by a high-speed military vehicle, flying at low level (30-60 m), which has to detect and discriminate with high probability groups of mobile armored targets to ranges of 3 km.</t>
  </si>
  <si>
    <t>969-972</t>
  </si>
  <si>
    <t>Archdale, Anthony</t>
  </si>
  <si>
    <t>Farnborough</t>
  </si>
  <si>
    <t>BAE Systems plc</t>
  </si>
  <si>
    <t>Archdale A.</t>
  </si>
  <si>
    <t>MMW radar target acquisition system</t>
  </si>
  <si>
    <t>2-s2.0-0025138016</t>
  </si>
  <si>
    <t>['rhodobacter sphaeroides', 'reaction center', 'pufx gene', 'pufbalm restores', 'puf operon', 'positive phenotype', 'level seen', 'including pufx', 'fragment containing', 'downstream region', 'dna downstream', 'corresponding increase', 'additional 1']</t>
  </si>
  <si>
    <t>The puf operon in Rhodobacter sphaeroides is composed of the genes for the photosynthetic reaction center L and M subunits, light-harvesting antenna complex I, and one other open reading frame termed pufX. Complementation of a reaction center-deficient, photosynthetically incompetent pufLMX deletion strain in trans with a fragment containing the entire puf operon, including pufX and an additional 1,100 base pairs of DNA downstream of pufX, restored the reaction center and the photosynthesis-positive phenotype. Complementation of the same strain with pufBALM restores the reaction center to the level seen with the entire puf operon but not the photosynthesis-positive phenotype. Northern (RNA) blot analysis revealed that oxygen regulated transcription was not blocked in the absence of pufX and the downstream region. Spectroscopic and protein analyses indicated that the pigment-binding protein complexes, including the reaction center, were expressed and showed normal absorption characteristics. A 20% reduction in the amount of light-harvesting antenna complex II and a corresponding increase in the amount of light-harvesting antenna complex I were observed in the deletion strain harboring the plasmid with the puf insert lacking the pufX gene and the downstream region compared with those complemented with the entire puf operon and an additional downstream 1,100 base pairs.</t>
  </si>
  <si>
    <t>977-985</t>
  </si>
  <si>
    <t>Journal of Bacteriology</t>
  </si>
  <si>
    <t>60006070;60006070;60006070</t>
  </si>
  <si>
    <t>6602688325;8229986900;7101607962</t>
  </si>
  <si>
    <t>Farchaus, J. W.;Gruenberg, H.;Oesterhelt, D.</t>
  </si>
  <si>
    <t>Planegg</t>
  </si>
  <si>
    <t>Max Planck Institute for Biochemistry</t>
  </si>
  <si>
    <t>Farchaus J.</t>
  </si>
  <si>
    <t>Complementation of a reaction center-deficient Rhodobacter sphaeroides pufLMX deletion strain in trans with pufBALM does not restore the photosynthesis-positive phenotype</t>
  </si>
  <si>
    <t>10.1128/jb.172.2.977-985.1990</t>
  </si>
  <si>
    <t>2-s2.0-0025139203</t>
  </si>
  <si>
    <t>['multiple arrays', 'high efficiency', 'feeding system', 'broadband matching', 'antenna characteristics']</t>
  </si>
  <si>
    <t>The IDG (inset dielectric guide) has proved to be an excellent antenna medium featuring pure polarization, broadband matching, and high efficiency. Antenna characteristics, however, are affected by the feeding system. An effective feed arrangement suitable for application to multiple arrays in IDG is presented.</t>
  </si>
  <si>
    <t>1243-1246</t>
  </si>
  <si>
    <t>56253019800;56332046000</t>
  </si>
  <si>
    <t>Rozzi, T.;Ma, L.</t>
  </si>
  <si>
    <t>Rozzi T.</t>
  </si>
  <si>
    <t>Efficient mode launcher for arrays of longitudinal dipoles in IDG</t>
  </si>
  <si>
    <t>2-s2.0-0025139544</t>
  </si>
  <si>
    <t>['transition region', 'real spectral', 'purely bound', 'physical nature', 'partially dielectric', 'frequency range', 'complex nonspectral', 'anomalous features']</t>
  </si>
  <si>
    <t>Most modes on partially dielectric-loaded open guiding structures are purely bound in some frequency range and leaky in another. The transition region between them is complicated and interesting, including a section where the dispersion curve doubles back, because it connects a complex nonspectral (leaky-wave) solution with a real spectral (bound-wave or surface-wave) solution. The physical nature of this type of transition region is discussed in the context of a recently proposed novel leaky-wave antenna structure, and some anomalous features are described.</t>
  </si>
  <si>
    <t>1067-1070</t>
  </si>
  <si>
    <t>60032350;60032350;60032350</t>
  </si>
  <si>
    <t>7004439932;7006012591;7005564352</t>
  </si>
  <si>
    <t>Lampariello, P.;Frezza, F.;Oliner, A. A.</t>
  </si>
  <si>
    <t>Sapienza Universit√† di Roma</t>
  </si>
  <si>
    <t>Lampariello P.</t>
  </si>
  <si>
    <t>Transition region between bound-wave and leaky-wave ranges for a partially dielectric-loaded open guiding structure</t>
  </si>
  <si>
    <t>2-s2.0-0025152596</t>
  </si>
  <si>
    <t>['mutual influence', 'large number', 'excitation amplitude', 'examined taking', 'corresponding moments', 'boolean statistics', 'asymptotic normality', 'array factor', 'antenna array']</t>
  </si>
  <si>
    <t>The case of Boolean statistics of the excitation amplitude of radiators in an antenna array is examined taking their mutual influence into account. The possibility of obtaining the moments of the distribution of the array factor if the corresponding moments are known for an array without mutual coupling together with the mutual interaction coefficients is demonstrated. The asymptotic normality of the distribution of the array factor of an array with a large number of radiators is proved.</t>
  </si>
  <si>
    <t>31-36</t>
  </si>
  <si>
    <t>Beyder, A. B.</t>
  </si>
  <si>
    <t>Beyder A.</t>
  </si>
  <si>
    <t>Statistics of phased antenna arrays taking into account the mutual effect of the radiators</t>
  </si>
  <si>
    <t>2-s2.0-0025152698</t>
  </si>
  <si>
    <t>National Institute of Neurological Disorders and Stroke</t>
  </si>
  <si>
    <t>R01NS020040</t>
  </si>
  <si>
    <t>NINDS</t>
  </si>
  <si>
    <t>['synapses may', 'subsequently severed', 'stable even', 'separable events', 'second set', 'roughly equivalent', 'recent findings', 'provide innervation', 'olfactory glomeruli', 'normal number', 'many axons', 'least 2', 'induce glomeruli', 'glomerular structure', 'dose dependence', 'crucial element', '4 stages', '4 days', '20 segments', '11 segments']</t>
  </si>
  <si>
    <t>antennal lobe | deafferentation | glia</t>
  </si>
  <si>
    <t>The role of antennal sensory axons in the induction and stabilization of olfactory glomeruli has been explored in the moth Manduca sexta. First, we asked the question: how many axons are necessary to induce glomerulus formation within the first‚Äêorder olfactory neuropil of the brain? Axons from as few as 10 of the normal 70‚Äì80 repeating antennal segments were sufficient to induce glomeruli. However, there was a dose dependence in the number of glomeruli that developed in partially innervated lobes. When only 11 segments of the antenna were allowed to provide innervation to the lobe, only 37 of the normal 59 ¬± 2 glomeruli developed; over 20 segments were necessary to induce the normal number of glomeruli. In a second set of experiments, we asked: for how long must antennal axons be present to stabilize newly formed glomeruli? We found that antennal axons must be intact for at least 2 to 4 stages (roughly equivalent to 2 to 4 days) for glomeruli to be stable even if the axons are subsequently severed. This finding, taken in the light of other recent findings in our laboratory, suggests that the formation of synapses may be a crucial element in the stabilization of glomerular structure. All together, the results of the present study indicate that induction and stabilization of glomeruli are separable events with different underlying cellular bases. Copyright ¬© 1990 Wiley‚ÄêLiss, Inc.</t>
  </si>
  <si>
    <t>69-82</t>
  </si>
  <si>
    <t>Journal of Comparative Neurology</t>
  </si>
  <si>
    <t>60023324;60023324</t>
  </si>
  <si>
    <t>7102144017;6602768463</t>
  </si>
  <si>
    <t>Tolbert, Leslie P.;Sirianni, Peter A.</t>
  </si>
  <si>
    <t>Tucson</t>
  </si>
  <si>
    <t>Arizona Research Laboratories</t>
  </si>
  <si>
    <t>Tolbert L.</t>
  </si>
  <si>
    <t>Requirement for olfactory axons in the induction and stabilization of olfactory glomeruli in an insect</t>
  </si>
  <si>
    <t>10.1002/cne.902980106</t>
  </si>
  <si>
    <t>2-s2.0-0025161317</t>
  </si>
  <si>
    <t>['unknown voltages', 'scanning aa', 'problem reduces', 'penalty functions', 'interacting elements', 'input impedances', 'homogeneous system', 'equidistant aa', 'determined apart', 'balanced dipoles', 'antenna arrays', 'amplitude distribution']</t>
  </si>
  <si>
    <t>A method for solving the problem of mean-squares phase synthesis of antenna arrays (AAs) with interacting elements to give a specified complex radiation pattern is described. A linear, equidistant AA of balanced dipoles is studied as an example. In solving the problem, restrictions on the values of the input impedances of the dipoles, which consist of a homogeneous system of equations in the unknown voltages at their inputs, are introduced. Only the form of the amplitude distribution of the voltages on the inputs of the dipoles, determined apart from an unknown amplitude factor are fixed in the synthesis. The value of the factor is chosen so as to minimize the rms synthesis error. The problem reduces to finding the minimum of a convex quadratic form with constraints in the form of equalities and is solved by the method of penalty functions. Examples of the synthesis of a scanning AA are presented.</t>
  </si>
  <si>
    <t>44-51</t>
  </si>
  <si>
    <t>Kondrat'yev, A. S.</t>
  </si>
  <si>
    <t>Kondrat'yev A.</t>
  </si>
  <si>
    <t>Phase synthesis of antenna arrays with correction of the input impedances of the elements</t>
  </si>
  <si>
    <t>2-s2.0-0025174487</t>
  </si>
  <si>
    <t>['results show', 'practical importance', 'hyperthermic treatment', 'ghz bandwidth', 'filled bolus', 'electromagnetic heating', 'distilled water', 'degradation due', 'confidence interval', 'center frequencies', '6 ghz', '1 cm']</t>
  </si>
  <si>
    <t>An assessment is made of the degradation that is caused by a water-filled bolus in the precision of tissue temperature measured noninvasively by a five-band microwave radiometry scheme. The precision is expressed in terms of the confidence interval of tissue temperature estimated from a set of five brightness temperatures measured with an experimental instrument operating at center frequencies of 1.2, 1.8, 2.5, 2.9, and 3.6 GHz, with a 0.4-GHz bandwidth. Results show that degradation due to a bolus having a thickness of about 1 cm is small when it is filled with deionized or distilled water. It is concluded that the use of water-filled bolus is permissible for microwave radiometric measurement. This is of a practical importance when the technique is used in combination with electromagnetic heating for hyperthermic treatment of cancer.</t>
  </si>
  <si>
    <t>541-544</t>
  </si>
  <si>
    <t>60103680;60103680;60103680;60103680;60103680</t>
  </si>
  <si>
    <t>56796547400;35414113700;57206201592;57217778552;7202744310</t>
  </si>
  <si>
    <t>Mizushina, S.;Matsuda, M.;Matsui, K.;Hamamura, Y.;Sugiura, T.</t>
  </si>
  <si>
    <t>Shizuoka</t>
  </si>
  <si>
    <t>Shizuoka University</t>
  </si>
  <si>
    <t>Mizushina S.</t>
  </si>
  <si>
    <t>Effects of water-filled bolus on the precision of microwave radiometric measurements of temperatures in biological structures</t>
  </si>
  <si>
    <t>2-s2.0-0025176135</t>
  </si>
  <si>
    <t>['single 3', 'several modules', 'rf modules', 'rf manifold', 'radiating elements', 'preliminary results', 'novel approach', 'multiple modules', 'made possible', 'layers include', 'layered structure', 'gaas wafer', 'cooling manifold', 'circuit elements']</t>
  </si>
  <si>
    <t>A novel approach to active phased array technology is described. Several modules are fabricated at the same time and placed in a layered structure. The layers include the RF modules, cooling manifold, DC bias distribution, RF manifold, and radiating elements. In this configuration, 16 or more T/R (transmit/receive) modules are fabricated on a single 3-in GaAs wafer. The realization of multiple modules on a wafer is made possible by redundancy of circuit elements and novel mechanical switches. Preliminary results on these efforts are presented.</t>
  </si>
  <si>
    <t>1223-1226</t>
  </si>
  <si>
    <t>60020818;60020818;60020818;60020818</t>
  </si>
  <si>
    <t>6602126722;6506324175;7005479220;55432728600</t>
  </si>
  <si>
    <t>Whicker, L. R.;Zingaro, J. J.;Driver, M. C.;Clarke, R. C.</t>
  </si>
  <si>
    <t>Pittsburgh</t>
  </si>
  <si>
    <t>Westinghouse Electric Company</t>
  </si>
  <si>
    <t>Whicker L.</t>
  </si>
  <si>
    <t>New approach to active phased arrays through RF-wafer scale integration</t>
  </si>
  <si>
    <t>2-s2.0-0025176148</t>
  </si>
  <si>
    <t>['two species', 'slow type', 'recordings showed', 'neurons located', 'neurons branch', 'motoneurons innervating', 'motoneurons combined', 'intracellular recordings', 'gryllus campestris', 'dorsal neuropil', 'cobalt backfilling', 'antennal muscles']</t>
  </si>
  <si>
    <t>antennal muscles | insect antenna | insect brain | motoneurons | neuroanatomy</t>
  </si>
  <si>
    <t>The morphology of the antennal muscles of two cricket species, Gryllus campestris and G. bimaculatus, and their innervation are described. The motoneurons innervating the five tentorio‚Äêscapal muscles M4 and M5 and the two scapo‚Äêpedicellar muscles M6 and M7 were stained with cobalt chloride introduced via the cut axonal endings in the muscle. The seven antennal muscles are innervated by a total of 17 excitatory motoneurons and one common inhibitory neuron. These neurons branch in the dorsal neuropil of the deuto‚Äêand tritocerebrum. No difference in the morphology of the motoneurons between the two species was evident. Two dorsal‚Äêunpaired‚Äêmedial (DUM) neurons located in the suboesophageal ganglion also innervate the antennal muscles. Intracellular recordings of some motoneurons combined with Lucifer Yellow injections corroborated the motoneuron morphology obtained by cobalt backfilling from the muscles. The recordings showed that the motoneurons are either of the fast or the slow type. Copyright ¬© 1990 Wiley‚ÄêLiss, Inc.</t>
  </si>
  <si>
    <t>256-268</t>
  </si>
  <si>
    <t>60019722;60019722;60019722;60019722</t>
  </si>
  <si>
    <t>7005736995;6508098046;6505540854;16147920800</t>
  </si>
  <si>
    <t>Honegger, Hans‚ÄêWilli ‚ÄêW;Allg√§uer, C√∂lestin;Klepsch, Ulrike;Welker, Jutta</t>
  </si>
  <si>
    <t>Technical University of Munich</t>
  </si>
  <si>
    <t>Honegger H.</t>
  </si>
  <si>
    <t>Morphology of antennal motoneurons in the brains of two crickets, gryllus bimaculatus and gryllus campestris</t>
  </si>
  <si>
    <t>10.1002/cne.902910208</t>
  </si>
  <si>
    <t>2-s2.0-0025177287</t>
  </si>
  <si>
    <t>P30CA033572</t>
  </si>
  <si>
    <t>['u cables', 'small clinics', 'rural hospitals', 'rights reserved', 'return losses', 'provide heating', 'observed near', 'nearly closed', 'nasopharyngeal applicator', 'muscle phantom', 'maximum power', 'heating patterns', 'heating near', 'end cavities', 'effective treatment', 'cervical applicator', 'applicators require', 'applicator tips', '915 mhz', '30 w', '12 db']</t>
  </si>
  <si>
    <t>Applicator | Cervical | Hyperthermia | Intracavitary | Nasopharyngeal</t>
  </si>
  <si>
    <t>Many intracavitary microwave applicators have been designed to heat tissues along the side of an antenna. For tumours in nearly closed-end cavities such as the nasopharynx and cervix, heating near the tip of the applicators is necessary for effective treatment. A nasopharyngeal applicator made of Micro Coax UT-250A and a cervical applicator made of RG-9/U cables were designed to provide heating at the tip. Return losses of 8-12 dB were obtained at 915 MHz by varying the size of two metal sleeves and adjusting the distance between these sleeves and the reflectors at the applicator tips. Heating patterns were evaluated on a muscle phantom with a thermograph. At 915 MHz, maximum heating rates of 1.3 and 0.85¬∞C/W-min, respectively, were observed near the tip of the nasopharyngeal applicator and at its first sleeve opening. When operated at 915 MHz the cervical applicator has a maximum heating rate of 0.25¬∞C/W-min at the tip. Clinically, both applicators require a maximum power of 30 W to provide effective heating. This makes it possible to provide intracavitary hyperthermia at rural hospitals and small clinics with a small portable system. ¬© 1990 Informa UK Ltd All rights reserved: reproduction in whole or part not permitted.</t>
  </si>
  <si>
    <t>997-1004</t>
  </si>
  <si>
    <t>60082502;60007474;60007474;60007474;60007474</t>
  </si>
  <si>
    <t>7102024340;24452192400;7102481508;55967542900;7201921588</t>
  </si>
  <si>
    <t>Zhong, Q. R.;Chou, C. K.;Mcdougall, J. A.;Chan, K. W.;Luk, K. H.</t>
  </si>
  <si>
    <t>China;United States</t>
  </si>
  <si>
    <t>Guangzhou;Duarte</t>
  </si>
  <si>
    <t>Sun Yat-Sen University Cancer Center;City of Hope National Med Center</t>
  </si>
  <si>
    <t>60082502;60007474</t>
  </si>
  <si>
    <t>Zhong Q.R.</t>
  </si>
  <si>
    <t>Short communication: Intracavitary hyperthermia applicators for treating nasopharyngeal and cervical cancers</t>
  </si>
  <si>
    <t>10.3109/02656739009140982</t>
  </si>
  <si>
    <t>2-s2.0-0025184054</t>
  </si>
  <si>
    <t>Deutsche Forschungsgemeinschaft</t>
  </si>
  <si>
    <t>Br 712/7-1</t>
  </si>
  <si>
    <t>DFG</t>
  </si>
  <si>
    <t>['¬© 1990', 'phospholipase c', 'membrane fraction', 'labelled lipid', 'inositol trisphosphate', 'high activity', 'dependent manner', 'antennal preparations']</t>
  </si>
  <si>
    <t>antennae | inositol triphosphate | insects | Odorants | pheromones | phospholipase C</t>
  </si>
  <si>
    <t>Exogenous tritiated phosphatidylinositol bisphosphate added to antennal preparations from locust and cockroach was hydrolysed releasing inositol triphosphate. High activity of phospholipase C was detected in the soluble as well as in the membrane fraction. At low free calcium concentrations hydrolysis of the labelled lipid was stimulated by odorants and pheromones in a GTP-dependent manner. Consequently the level of inositol trisphosphate in antennal preparations increased upon odorant stimulation. ¬© 1990.</t>
  </si>
  <si>
    <t>49-56</t>
  </si>
  <si>
    <t>Cellular Signalling</t>
  </si>
  <si>
    <t>60018373;60018373;60018373;60018373;60018373</t>
  </si>
  <si>
    <t>7003692909;7004874595;6603037070;6602173508;7103041183</t>
  </si>
  <si>
    <t>Boekhoff, Ingrid;Strotmann, J√∂rg;Raming, Klaus;Tareilus, Erwin;Breer, Heinz</t>
  </si>
  <si>
    <t>Boekhoff I.</t>
  </si>
  <si>
    <t>Odorant-sensitive phospholipase C in insect antennae</t>
  </si>
  <si>
    <t>10.1016/0898-6568(90)90032-6</t>
  </si>
  <si>
    <t>2-s2.0-0025190096</t>
  </si>
  <si>
    <t>['transient reduction', 'three treatments', 'target temperature', 'results indicate', 'one hour', 'mitogenic responses', 'mitogenic response', 'like condition', 'increased 2', 'immunological responses', 'higher level', 'enhanced ability', 'cancer patients', 'blood samples', '3 fold']</t>
  </si>
  <si>
    <t>The effect of moderate whole body hyperthermia (WBH) on the immunological responses of cancer patients was studied by monitoring their peripheral blood mononuclear cells (PBMC) in vitro. WBH of 2¬∞C above normal body temperature was induced in patients by utilizing a 433 MHz microwave system with a series of 6-9 external antennae. A total of three treatments were given with a frequency of one per week. Blood samples were drawn before treatment, when the target temperature was attained, and one hour after heating was discontinued. Changes in the number of PBMC, the mitogenic response, natural killer cell activity, and the production of Interleukin-1, Interleukin-2, and Interferon (IL-1, IL-2, IF) were measured in vitro. Mitogenic responses were increased 2-3 fold when the temperature was raised. Although there was an increase in the number of PBMC, during the course of heating, repeated treatment resulted in a selective and transient reduction in the number of PBMC. Nevertheless, the PBMC were capable of producing a higher level of cytokines and attained an enhanced ability to destroy target cells in vitro. The results indicate that, by inducing a fever-like condition, the immunological responses are enhanced in vitro.</t>
  </si>
  <si>
    <t>213-223</t>
  </si>
  <si>
    <t>Lymphokine Research</t>
  </si>
  <si>
    <t>60024609;60024609;60024609;60024609</t>
  </si>
  <si>
    <t>57217405366;7004233170;57204010218;35390960400</t>
  </si>
  <si>
    <t>Park, M. M.;Hornback, N. B.;Endres, S.;Dinarello, C. A.</t>
  </si>
  <si>
    <t>Indianapolis</t>
  </si>
  <si>
    <t>Indiana University-Purdue University Indianapolis</t>
  </si>
  <si>
    <t>Park M.M.</t>
  </si>
  <si>
    <t>The effect of whole body hypertermia on the immune cell activity of cancer patients</t>
  </si>
  <si>
    <t>2-s2.0-0025195911</t>
  </si>
  <si>
    <t>['¬© 1990', 'zooplanktonic crustacea', 'united kingdom', 'species stem', 'slight movements', 'rights reserved', 'propulsive antennae', 'previous reports', 'long periods', 'great accelerations', 'good swimmer', 'average speed', 'antennal frequency', 'adversely affected', '583 beats', '40 mm', '3 mm', '2 mm', '1 ),']</t>
  </si>
  <si>
    <t>Gigantocypris is a good swimmer, capable of moving fast enough to overtake a variety of zooplanktonic crustacea and chaetognaths. It swims smoothly without violent accelerations and decelerations. Previous reports of unstable weak swimming in this species stem from the study of overheated animals Gigantocypris is stenothermal, adversely affected at temperatures above about 15¬∞C. Gigantocypris is nearly neutrally buoyant (sinking speed 0.2 mm s-1) and is capable of hovering for long periods with the aid of slight movements of the propulsive antennae. When swimming quickly Gigantocypris achieves an average speed of 16‚Ä¢4 mm s-1 (9.6 mm body length; 391 antenna‚Äô beats min-1) at12‚Äì5¬∞C. It is unlikely that Gigantocypris performs significant diurnal vertical migrations. The heart of Gigantocypris is large and beats at ca 100 beats min-1. Macrocypridina is a faster swimmer (&lt;52.3 mm s-1 (8*3 mm body length) at 12.5¬∞C with an antennal frequency of 583 beats s-1), but each beat is accompanied by great accelerations and decelerations. Macro-cypridina is dense, sinking at 40 mm s-1. Macrocypridina is eurythermal, its swimming speed increasing steadily between 11.5 and 20¬∞C. ¬© 1990, Marine Biological Association of the United Kingdom. All rights reserved.</t>
  </si>
  <si>
    <t>43-55</t>
  </si>
  <si>
    <t>Journal of the Marine Biological Association of the United Kingdom</t>
  </si>
  <si>
    <t>Davenport, John</t>
  </si>
  <si>
    <t>Bangor</t>
  </si>
  <si>
    <t>Bangor University</t>
  </si>
  <si>
    <t>Davenport J.</t>
  </si>
  <si>
    <t>Observations on swimming, posture and buoyancy in the giant oceanic ostracods, gigantocypris mulleri and macrocypridina castanea</t>
  </si>
  <si>
    <t>10.1017/S0025315400034184</t>
  </si>
  <si>
    <t>2-s2.0-0025206045</t>
  </si>
  <si>
    <t>['surface refractivity', 'often limited', 'model based', 'high accuracy', 'cases predict', 'atmospheric refraction', '7 ¬∞']</t>
  </si>
  <si>
    <t>The performance of radio antennas operating at low elevation angles is often limited by atmospheric refraction (angular bending). The bending is due to the change of the index of refraction with height in the atmosphere. It increases with a decreasing elevation angle and can approach a value of 0-7¬∞ for an antenna pointing close to the horizon. It is shown that the total angular bending correlates well with the surface refractivity and a model based on this quantity can in most cases predict the total refraction angle with high accuracy. ¬© 1990 Maney Publishing.</t>
  </si>
  <si>
    <t>259-269</t>
  </si>
  <si>
    <t>Survey Review</t>
  </si>
  <si>
    <t>Ifadis, I. M.</t>
  </si>
  <si>
    <t>Greece</t>
  </si>
  <si>
    <t>Thessaloniki</t>
  </si>
  <si>
    <t>Aristotle University of Thessaloniki</t>
  </si>
  <si>
    <t>Ifadis I.</t>
  </si>
  <si>
    <t>Modelling of the atmospheric refraction for radio waves</t>
  </si>
  <si>
    <t>10.1179/003962678791486194</t>
  </si>
  <si>
    <t>2-s2.0-0025206109</t>
  </si>
  <si>
    <t>['wiley company', 'measured coupling', 'inc .,', 'four designs', 'cross polarization']</t>
  </si>
  <si>
    <t>Antennas | dual‚Äêpolarized arrays | microstrip</t>
  </si>
  <si>
    <t>A comparison between four designs of dual‚Äêpolarized microstrip arrays is reported. The measured coupling between ports, the cross polarization, and the gain are presented and discussed. Copyright ¬© 1990 Wiley Periodicals, Inc., A Wiley Company</t>
  </si>
  <si>
    <t>17-18</t>
  </si>
  <si>
    <t>Microwave and Optical Technology Letters</t>
  </si>
  <si>
    <t>60072442;60017563</t>
  </si>
  <si>
    <t>7202294701;23032510000</t>
  </si>
  <si>
    <t>Levine, E.;Shtrikman, S.</t>
  </si>
  <si>
    <t>Israel;Israel</t>
  </si>
  <si>
    <t>Ashdod;Rehovot</t>
  </si>
  <si>
    <t>Elta Electronics Industries Ltd.;Weizmann Institute of Science Israel</t>
  </si>
  <si>
    <t>Levine E.</t>
  </si>
  <si>
    <t>Experimental comparison between four dual‚Äêpolarized microstrip antennas</t>
  </si>
  <si>
    <t>10.1002/mop.4650030107</t>
  </si>
  <si>
    <t>2-s2.0-0025206432</t>
  </si>
  <si>
    <t>['wiley company', 'surface waves', 'surface wave', 'radiation characteristics', 'radiated power', 'numerical results', 'inc .,', 'far field']</t>
  </si>
  <si>
    <t>lossy cover‚Äêlayer | magnetic line‚Äêsource | Microstrip patch | radiation efficiency | surface‚Äêwave power</t>
  </si>
  <si>
    <t>The effects of a thick cover layer on the radiation characteristics of a microstrip patch antenna are investigated. A magnetic line source model has been used to derive explicit expressions for the far field, radiated power, directivity, and surface wave of the antenna. Numerical results are presented to show the effects of a lossless as well as a lossy dielectric cover layer on the surface waves and the radiated power. Copyright ¬© 1990 Wiley Periodicals, Inc., A Wiley Company</t>
  </si>
  <si>
    <t>31-38</t>
  </si>
  <si>
    <t>60000009;60000221;60000221</t>
  </si>
  <si>
    <t>7004169306;7402592343;7403319959</t>
  </si>
  <si>
    <t>Hoorfar, Ahmad;Gupta, K. C.;Chang, D. C.</t>
  </si>
  <si>
    <t>Boulder;Villanova</t>
  </si>
  <si>
    <t>University of Colorado Boulder;Villanova University</t>
  </si>
  <si>
    <t>60000221;60000009</t>
  </si>
  <si>
    <t>Hoorfar A.</t>
  </si>
  <si>
    <t>Radiation and surface waves of a microstrip antenna covered with a dielectric layer</t>
  </si>
  <si>
    <t>10.1002/mop.4650030112</t>
  </si>
  <si>
    <t>2-s2.0-0025206901</t>
  </si>
  <si>
    <t>['water link', 'satisfactorily equip', 'propagation conditions', 'mediterranean sea', 'main characteristics', 'islands system', 'high capacity', 'experimental link', 'centre national', 'caribbean inter', 'alcatel atfh']</t>
  </si>
  <si>
    <t>High capacity over-water microwave systems have special difficulties related to propagation conditions above the sea. Microwave unit AFH 270, built by Alcatel ATFH and characterized by its modern automatically adaptive equipment, has made it possible to satisfactorily equip the Caribbean inter- islands system. The main characteristics of this system and of microwave unit AFH 270 are described in this article. An experimental link, installed by the French 'Centre National d'Etudes des Telecommunications' (CNET) above the Mediterranean sea between Agde and Port-Vendres, made it possible to assess the possibilities of the equipment on this type of over-water link.</t>
  </si>
  <si>
    <t>25-34</t>
  </si>
  <si>
    <t>Commutation and Transmission</t>
  </si>
  <si>
    <t>;;;;;;</t>
  </si>
  <si>
    <t>7004974179;6506374474;7202826438;57208023818;57190616301;6504193697;7801327949</t>
  </si>
  <si>
    <t>Bonin, J. P.;Torrez, P.;Prince, J. N.;Fernandez, E.;Rooryck, M.;Benoit Guyod, G.;Moille, A.</t>
  </si>
  <si>
    <t>Bonin J.P.</t>
  </si>
  <si>
    <t>140 Mbit/s inter-island microwave system in the Caribbean</t>
  </si>
  <si>
    <t>2-s2.0-0025208605</t>
  </si>
  <si>
    <t>['structured uncertainties', 'robustness issues', 'regulator problem', 'output compensators', 'input multiple', 'estimator problem', 'cost function']</t>
  </si>
  <si>
    <t>A procedure is developed to deal with performance and robustness issues in the design of multiple-input multiple-output compensators for lightly damped flexible structures. The procedure is based upon representing errors in the plant design model as structured uncertainties, and applying a modified linear quadratic Gaussian design method. The cost function in the regulator problem and the process noise model in the estimator problem are varied in a manner that reflects specific parameter uncertainty including frequency, damping, or modal displacement errors. Numerical examples dealing with the control of a large flexible space antenna with uncertain frequencies demonstrate the application of the method.</t>
  </si>
  <si>
    <t>66-72</t>
  </si>
  <si>
    <t>Journal of Guidance, Control, and Dynamics</t>
  </si>
  <si>
    <t>Jan-Feb</t>
  </si>
  <si>
    <t>60099442;60099442</t>
  </si>
  <si>
    <t>6603927732;7003776318</t>
  </si>
  <si>
    <t>Blelloch, P. A.;Mingori, D. L.</t>
  </si>
  <si>
    <t>Andover</t>
  </si>
  <si>
    <t>Dynamics Research Corporation</t>
  </si>
  <si>
    <t>Blelloch P.</t>
  </si>
  <si>
    <t>Robust linear quadratic Gaussian control for flexible structures</t>
  </si>
  <si>
    <t>10.2514/3.20518</t>
  </si>
  <si>
    <t>2-s2.0-0025208956</t>
  </si>
  <si>
    <t>['wave beams', 'value problem', 'two approaches', 'laser beams', 'hertz vector', 'green function', 'first approach', 'emitting diodes', 'corresponding component', 'considered elsewhere', 'better suited', 'analytical investigation']</t>
  </si>
  <si>
    <t>Two approaches to investigating the propagation and diffraction of wave beams are compared. The first approach, based on an integration of Maxwell's equations with given extraneous sources, has been considered elsewhere. The corresponding component of the Hertz vector was determined from Green's theorem as outlined. The method of the Green function of the boundary-value problem, in addition to the theory of wave beams, makes it possible to analyze the scattering of the fields of wide aperture antennas and light-emitting diodes. Using the Fourier integral tool is better suited for an analytical investigation of the features of the scattering of laser beams.</t>
  </si>
  <si>
    <t>122-125</t>
  </si>
  <si>
    <t>Yegorova, N. P.</t>
  </si>
  <si>
    <t>Yegorova N.</t>
  </si>
  <si>
    <t>Comparison of two approaches to solving the problem of diffraction of a wave beam by a planar boundary</t>
  </si>
  <si>
    <t>2-s2.0-0025210856</t>
  </si>
  <si>
    <t>['simple means', 'satellite broadcasts', 'problems associated', 'practical system', 'particularly suitable', 'communications systems', 'communications satellite', 'basic principles', 'array phasing']</t>
  </si>
  <si>
    <t>Costas loop | Self‚Äêphased array</t>
  </si>
  <si>
    <t>The carrier‚Äêphased array‚Äîin which array phasing is derived from the incident modulated signal‚Äîis conceptually a very simple means of achieving automatic beam pointing in communications systems. The technique is particularly suitable for satellite reception applications, although careful consideration must be given in a practical design due to problems associated with the low signal levels derived from satellite broadcasts. In this paper, the basic principles of operation of such an array are described and the requirements of a practical system are addressed, resulting in the design and evaluation of an array system suitable for use with BPSK modulated signals from a communications satellite. Copyright ¬© 1990 John Wiley &amp; Sons, Ltd.</t>
  </si>
  <si>
    <t>International Journal of Satellite Communications</t>
  </si>
  <si>
    <t>January/February 1990</t>
  </si>
  <si>
    <t>Brennan, P. V.</t>
  </si>
  <si>
    <t>Brennan P.</t>
  </si>
  <si>
    <t>A carrier‚Äêphased satellite receiving array</t>
  </si>
  <si>
    <t>10.1002/sat.4600080102</t>
  </si>
  <si>
    <t>2-s2.0-0025211698</t>
  </si>
  <si>
    <t>Australian Telecommunications and Electronics Research Board</t>
  </si>
  <si>
    <t>ATERB</t>
  </si>
  <si>
    <t>['unwanted interference', 'uncorrelated noise', 'spaced elements', 'snr ).', 'proposed technique', 'pic ).', 'performance degradation', 'paper proposes', 'output snr', 'output signal', 'one beam', 'numerical examples', 'noise ratio', 'line array', 'interference source', 'desired signal', 'correlation increases', 'correlation effect', 'correlated sources', 'correlated arrivals', 'analytical expression', 'also included']</t>
  </si>
  <si>
    <t>The correlation between desired signal and unwanted interference can degrade the performance of an antenna array processor. Previously, this performance degradation was demonstrated by showing that the mean output power reduces as the correlation increases. This method only suggests that some cancellation of the desired signal takes place, but it fails to indicate what happens to the output signal-to-noise ratio (SNR). This paper derives expressions for the SNR at the output of two antenna array processors in the presence of correlated arrivals, and investigates how the output SNR is affected by the magnitude and the phase of the correlation, the number of elements in the array, the direction and the level of the interference source, and the level of the uncorrelated noise. The two processors considered are: the optimal element space processor (ESP) and the optimal postbeamformer interference canceller (PIC). The PIC processor processes the signal by forming two beams and adjusting the weights of one beam in contrast to the ESP where the signals from all the elements are weighted and all the weights are adjusted. Furthermore, this paper proposes a method to decorrelate the correlated sources, and derives an analytical expression to show the de-correlation effect of the proposed technique for a line array of equi-spaced elements. The numerical examples are also included. ¬© 1990 IEEE</t>
  </si>
  <si>
    <t>IEEE Transactions on Acoustics, Speech, and Signal Processing</t>
  </si>
  <si>
    <t>Godara, Lal Chand</t>
  </si>
  <si>
    <t>Australia</t>
  </si>
  <si>
    <t>Canberra</t>
  </si>
  <si>
    <t>University of New South Wales at Australian Defence Force Academy</t>
  </si>
  <si>
    <t>Godara L.C.</t>
  </si>
  <si>
    <t>Beamforming in the Presence of Correlated Arrivals Using Structured Correlation Matrix</t>
  </si>
  <si>
    <t>10.1109/29.45613</t>
  </si>
  <si>
    <t>2-s2.0-0025211958</t>
  </si>
  <si>
    <t>['two types', 'straight line', 'sectoral horn', 'pattern close', 'fields generated', 'elementary considerations', 'certain values', 'aperture angles']</t>
  </si>
  <si>
    <t>It is shown that for two types of horns - sectoral and conical - for certain values of the aperture angles the currents flowing along the walls of these horns can only approach patterns satisfying certain additional conditions. If a pattern does not satisfy these conditions, these currents cannot generate either the pattern itself or any other pattern close to it. For a sectoral horn this result can be obtained from elementary considerations on the symmetry of the fields generated by a current on a straight line.</t>
  </si>
  <si>
    <t>65-70</t>
  </si>
  <si>
    <t>Katsenelenbaum, B. Z.</t>
  </si>
  <si>
    <t>Katsenelenbaum B.</t>
  </si>
  <si>
    <t>Properties of horn patterns (nonapproximability)</t>
  </si>
  <si>
    <t>2-s2.0-0025212874</t>
  </si>
  <si>
    <t>['unimodal stimuli', 'thoracic ganglia', 'specific combinations', 'situated within', 'sensory interneurons', 'sensory afferents', 'results suggest', 'prominent member', 'neurons originating', 'neurons involved', 'multiglomerular complex', 'motor control', 'mechanosensory stimulation', 'main components', 'local interneurons', 'leg neuropil', 'lateral deutocerebrum', 'lateral deutocerbrum', 'insect brain', 'higher centers', 'heterolateral interneurons', 'gdnc respond', 'gdn ),', 'functional properties', 'flies groups', 'endings derived', 'eight dns', 'dns occur', 'dncs ).', 'discrete groups', 'connect dncs', 'characteristic region', 'characteristic ensemble', 'characteristic combination', 'cardinal role', 'area interposed']</t>
  </si>
  <si>
    <t>blowfly | brain organization | descending neurons | multimodal integration</t>
  </si>
  <si>
    <t>Intersegmental descending neurons (DNs) link the insect brain to the thoracic ganglia. Iontophoresis of cobalt or fluorescent dyes reveals DNs as uniquely identifiable elements, the dendrites of which are situated within a characteristic region of the lateral deutocerbrum. Here we demonstrate that DNs occur as discrete groups of elements termed DN clusters (DNCs). A DNC is a characteristic combination of neurons that arises from a multiglomerular complex in which the main components of each glomerulus are a characteristic ensemble of sensory afferents. Other neurons involved in the complex are local interneurons, heterolateral interneurons that connect DNCs on both sides of the brain, and neurons originating in higher centers of the brain. We describe the structure, relationships, and projections of eight DNs that contribute to a descending neuron cluster located ventrally in the lateral deutocerebrum, an area interposed between the ventral antennal lobes and the laterally disposed optic lobes. We have named this cluster the GDNC because its most prominent member is the giant descending neuron (GDN), which plays a cardinal role in the midleg ‚Äújump‚Äù response and which is implicated in the initiation of flight. The GDN and its companion neurons receive primary mechanosensory afferents from the antennae, terminals of wide‚Äê and small‚Äêfield retinotopic neurons originating in the lobula, and endings derived from sensory interneurons that originate in leg neuropil of the thoracic ganglia. We demonstrate that DNs of this cluster share morphological and functional properties. They have similar axon trajectories into the thoracic ganglia, where they invade functionally related neuropils. Neurons of the GDNC respond to identical stimulus paradigms and share similar electrophysiological characteristics. Neither the GDN nor other members of its cluster show spontaneous activity. These neurons are reluctant to respond to unimodal stimuli, but respond to specific combinations of visual and mechanosensory stimulation. These results suggest that in flies groups of morphologically similar DNs responding to context‚Äêspecific environmental cues may cooperate in motor control. Copyright ¬© 1990 Wiley‚ÄêLiss, Inc.</t>
  </si>
  <si>
    <t>59-75</t>
  </si>
  <si>
    <t>60024025;60023324</t>
  </si>
  <si>
    <t>16454160400;7006202510</t>
  </si>
  <si>
    <t>Milde, J√ºlgen J.;Strausfeld, Nicholas J.</t>
  </si>
  <si>
    <t>Koln;Tucson</t>
  </si>
  <si>
    <t>University of Cologne;Arizona Research Laboratories</t>
  </si>
  <si>
    <t>Milde J.</t>
  </si>
  <si>
    <t>Cluster organization and response characteristics of the giant fiber pathway of the blowfly Calliphora erythrocephala</t>
  </si>
  <si>
    <t>10.1002/cne.902940106</t>
  </si>
  <si>
    <t>2-s2.0-0025218411</t>
  </si>
  <si>
    <t>National Institute of Allergy and Infectious Diseases</t>
  </si>
  <si>
    <t>R37AI023253</t>
  </si>
  <si>
    <t>NIAID</t>
  </si>
  <si>
    <t>['trophic effect', 'tissue culture', 'tentatively identify', 'neuronlike appearance', 'neuronal phenotype', 'multipolar cells', 'membrane biophysics', 'local interneurons', 'lns ),', 'lateral group', 'lack lns', 'glial cells', 'facilitate studies', 'ensure survival', 'dissociated neurons', 'cultures produced', 'cultures made', 'cultures containing', 'controlled environment', 'consistently observed', 'characteristic whole', 'cell currents', 'anterior groups', 'antennal lobes']</t>
  </si>
  <si>
    <t>To facilitate studies of the development and membrane biophysics of cells in the central olfactory pathway of the moth Manduca sexta, we have dissociated neurons and glial cells from the antennal lobes (ALs) and cultivated them in the controlled environment of tissue culture. Cultures produced from cells of the lateral group of AL neurons alone are enriched in local interneurons (LNs), while cultures made from cells of the median and anterior groups of AL neurons contain projection neurons (PNs) but lack LNs. Cultures containing only PNs, but not cultures with both PNs and LNs, require a conditioning factor derived from a conspecific cell line in order to ensure survival. Under these conditions, we identify 5 types of cells in the 'PN-only' cultures that are consistently observed and distinguishable on the basis of their morphology and characteristic whole-cell current profiles. In cultures that contain both PNs and LNs, we find 3 additional types of cells with neuronlike appearance. Whereas the PNs have whole-cell currents that suggest a neuronal phenotype, we have not yet observed similar currents in the 3 other types of cells. We tentatively identify the latter 3 cell types as LNs whose development has been arrested. The conditioning factor also has a trophic effect on phase-dark, multipolar cells that are observed in freshly dispersed cultures. Their morphology and whole-cell currents lead us to suggest that they are glial cells.</t>
  </si>
  <si>
    <t>848-859</t>
  </si>
  <si>
    <t>Journal of Neuroscience</t>
  </si>
  <si>
    <t>60010065;60010065</t>
  </si>
  <si>
    <t>7201425890;7102653635</t>
  </si>
  <si>
    <t>Hayashi, J. H.;Hildebrand, J. G.</t>
  </si>
  <si>
    <t>The University of Arizona</t>
  </si>
  <si>
    <t>Hayashi J.H.</t>
  </si>
  <si>
    <t>Insect olfactory neurons in vitro: Morphological and physiological characterization of cells from the developing antennal lobes of Manduca sexta</t>
  </si>
  <si>
    <t>10.1523/jneurosci.10-03-00848.1990</t>
  </si>
  <si>
    <t>2-s2.0-0025218758</t>
  </si>
  <si>
    <t>['wavelength light', 'thus allowing', 'small amounts', 'results suggest', 'releasd porphyrins', 'reaction centers', 'rapid increase', 'ppme concentration', 'porphyrins accumulated', 'pigment biosynthesis', 'photosynthesis research', 'mutant cells', 'minor pigment', 'major one', 'major light', 'layer chromatography', 'inner surface', 'inhibitor caused', 'inhibited cells', 'gases affect', 'gases act', 'found primarily', 'fluorescence spectroscopy', 'dim light', 'differentially affected', 'control cells', 'comparative absorption', 'cells grown', 'cell membrane', 'brown precipitate', 'biosynthetic step', 'biosynthetic apparatus', 'bchl ).', 'associated primarily', 'antenna pigment', 'anesthetic gases', 'also resistant']</t>
  </si>
  <si>
    <t>The green sulfur bacterium Chlorobium vibrioforme contains two types of bacteriochlorophyll (Bchl). The minor pigment, Bchl a, is associated primarily with the cell membrane and its reaction centers; and the major light-harvesting antenna pigment, Bchl d, is found primarily in the chlorosomes, which are attached to the inner surface of the cell membrane. Anesthetic gases, such as N2O, ethylene, and acetylene, were found to inhibit the synthesis of Bchl d, but not of Bchl a, thus allowing the cells to grow at high light intensities with a greatly diminished content of antenna pigment. Chlorosomes were absent or sparse in inhibited cells. Porphyrins accumulated in the inhibited cells. The major one was identified as the Bchl precursor magnesium-protoporphyrin IX monomethyl ester (Mg-PPME) by comparative absorption and fluorescence spectroscopy and thin-layer chromatography of the porphyrin and its derivatives with those of authentic protoporphyrin IX. Small amounts of mg-PPME were present in control cells, but the addition of inhibitor caused a rapid increase in the Mg-PPME concentration, accompanying the inhibition of Bchl d synthesis. Cells grown in the presence of ethephon (as a source of ethylene) and allowed to stand in dim light for long periods accumulated large amounts of PPME and other porphyrins and excreted or releasd porphyrins, which accumulated as a brown precipitate in the culture. Inhibition of Bchl d synthesis was relieved upon removal of the inhibitor. These results suggest that the gases act at a step in pigment biosynthesis that affects the utilization of Mg-PPME for isocyclic ring formation. Synthesis of Bchl d and Bchl a may be differentially affected by the gases because of compartmentation of their biosynthetic apparatus or because competition for precursors favors Bchl a synthesis. An athephon-resistant mutant strain was isolated by selection for growth in dim, long-wavelength light. The mutant cells were also resistant to acetylene, but not to N2O. The ability to reversibly generate viable Chlorobium cells that lack antenna pigments may be useful in photosynthesis research. The ethephon- and acetylene-resistant strain may be useful in the study of the enzymes and genes that are involved in the biosynthetic step that the gases affect.</t>
  </si>
  <si>
    <t>1352-1360</t>
  </si>
  <si>
    <t>60011460;60011460;60011460</t>
  </si>
  <si>
    <t>6701391052;7003836289;7005816859</t>
  </si>
  <si>
    <t>Ormerod, J. G.;Nesbakken, T.;Beale, S. I.</t>
  </si>
  <si>
    <t>Providence</t>
  </si>
  <si>
    <t>Brown University</t>
  </si>
  <si>
    <t>Ormerod J.</t>
  </si>
  <si>
    <t>Specific inhibition of antenna bacteriochlorophyll synthesis in Chlorobium vibrioforme by anesthetic gases</t>
  </si>
  <si>
    <t>10.1128/jb.172.3.1352-1360.1990</t>
  </si>
  <si>
    <t>2-s2.0-0025219624</t>
  </si>
  <si>
    <t>National Aeronautics and Space Administration</t>
  </si>
  <si>
    <t>NASA</t>
  </si>
  <si>
    <t>['values measured', 'tilted cylinder', 'strong cross', 'second target', 'scattering matrix', 'practical technique', 'polarization isolation', 'particularly useful', 'field conditions', 'careful alignment', 'calibration technique', 'calibration targets', 'calibrating single', 'antenna ports', '5 ¬∞', '3 db', '25 db']</t>
  </si>
  <si>
    <t>A practical technique is proposed for calibrating single-antenna polarimetric radar systems using a metal sphere plus any second target with a strong cross-polarized radar cross section. This technique assumes perfect isolation between antenna ports. It is shown that all magnitudes and phases (relative to one of the like-polarized linear polarization configurations) of the radar transfer function can be calibrated without knowledge of the scattering matrix of the second target. Comparison of the values measured (using this calibration technique) for a tilted cylinder at X-band with theoretical values shows agreement within ¬±0.3 dB in magnitude and +5¬∞ in phase. The radar overall cross-polarization isolation was 25 dB. The technique is particularly useful for calibrating a radar under field conditions, because it does not require the careful alignment of calibration targets. ¬© 1990 IEEE</t>
  </si>
  <si>
    <t>70-75</t>
  </si>
  <si>
    <t>IEEE Transactions on Geoscience and Remote Sensing</t>
  </si>
  <si>
    <t>60025778;60025778;60025778</t>
  </si>
  <si>
    <t>35585913500;7103159953;6602564626</t>
  </si>
  <si>
    <t>Sarabandi, Kamal;Ulaby, Fawwaz T.;Tassoudji, M. Ali</t>
  </si>
  <si>
    <t>Sarabandi K.</t>
  </si>
  <si>
    <t>Calibration of Polarimetric Radar Systems With Good Polarization Isolation</t>
  </si>
  <si>
    <t>10.1109/36.45747</t>
  </si>
  <si>
    <t>2-s2.0-0025225969</t>
  </si>
  <si>
    <t>['treated comprehensively', 'system solutions', 'system dynamics', 'symmetrical manner', 'signals needed', 'relatively sensitive', 'recent methods', 'quadrature signals', 'paper treats', 'paper deals', 'one described', 'latter generates', 'initial conditions', 'four signals', 'exist regions', 'electronic hardware', 'completely cyclic', 'certain applications', 'also discussed']</t>
  </si>
  <si>
    <t>This paper treats the development of a non‚Äêlinearly stabilized oscillator model which generates four sine waves in quadrature. This system is dealt with in spite of the fact that quadrature signals can be generated by a simple two‚Äêphase oscillator. the latter generates only two of the signals needed in a four‚Äêphase system. the rest of the phases signals could nevertheless be obtained by inventing the originally existing signals. It appears, however, that for certain applications the generation of all four signals in a completely cyclic and symmetrical manner (the one described here) is preferable. It is envisaged that one such application is related to recent methods of actively feeding phased array antennas, where each element in the array is connected to an appropriate oscillator phase stage. Most of the paper deals with the development of an appropriate generator model. the non‚Äêlinear oscillator dynamics is treated comprehensively. the peculiar behaviour associated with the limit cycle dynamics and with other manifestations of the system dynamics is investigated. It appears from the detailed simulation work that there exist regions of initial conditions where the system solutions are expected to be relatively sensitive to initial conditions. As a result, it is believed that the system with certain additions may reveal chaotic dynamic behaviour. the realization of the system in electronic hardware is also discussed. Copyright ¬© 1990 John Wiley &amp; Sons, Ltd.</t>
  </si>
  <si>
    <t>71-84</t>
  </si>
  <si>
    <t>1097007X</t>
  </si>
  <si>
    <t>International Journal of Circuit Theory and Applications</t>
  </si>
  <si>
    <t>60027161;60027161</t>
  </si>
  <si>
    <t>55152287700;6602119956</t>
  </si>
  <si>
    <t>Kaplan, B. Z.;Yardeni, D.</t>
  </si>
  <si>
    <t>Beer Sheba</t>
  </si>
  <si>
    <t>Ben-Gurion University of the Negev</t>
  </si>
  <si>
    <t>Kaplan B.</t>
  </si>
  <si>
    <t>Development of a symmetrically stabilized four‚Äêphase oscillator and some implications</t>
  </si>
  <si>
    <t>10.1002/cta.4490180108</t>
  </si>
  <si>
    <t>2-s2.0-0025226718</t>
  </si>
  <si>
    <t>1 pol CA42745-01A1</t>
  </si>
  <si>
    <t>['transverse planes', 'thermal system', 'temperature patterns', 'temperature distribution', 'spatial sar', 'nodal point', 'negligible coupling', 'interstitial applicator', 'heat capacitance', 'four antennas', 'electrical resistance', 'electrical capacitance', 'current source', 'asymmetric dipole', 'antenna array']</t>
  </si>
  <si>
    <t>The power deposition pattern of four antennas, positioned on the corners of a 2 cm square array with different driving phases, is computed under the assumption of negligible coupling between the antennas. The spatial SAR (specific absorption rate) distribution is calculated by modeling each interstitial applicator as an insulated, asymmetric dipole. For comparison with the heating patterns measured by a thermal video system, the calculated SAR distributions are converted into temperature patterns through an electric network simulation of the heating in artificial muscle tissue. At each nodal point of a grid in the thermal system, the absorbed microwave power (or SAR times density), thermal resistivity, heat capacitance, and temperature are simulated, respectively, as current source, electrical resistance, electrical capacitance, and potential. Therefore, solving the equivalent electric network on a computerized simulation routine (SPICE) yields the temperature distribution. In both the axial and transverse planes, the resulting temperature distributions from the antenna array, with various driving phases, agree very well with the measured temperature patterns. ¬© 1990 IEEE</t>
  </si>
  <si>
    <t>69-77</t>
  </si>
  <si>
    <t>IEEE Transactions on Microwave Theory and Techniques</t>
  </si>
  <si>
    <t>60008724;60008724;60113147</t>
  </si>
  <si>
    <t>55876267500;7004721662;7007049525</t>
  </si>
  <si>
    <t>Zhang, Yang;Joines, William T.;Oleson, James R.</t>
  </si>
  <si>
    <t>Durham;Durham</t>
  </si>
  <si>
    <t>Duke University Medical Center;Duke University</t>
  </si>
  <si>
    <t>60113147;60008724</t>
  </si>
  <si>
    <t>Zhang Y.</t>
  </si>
  <si>
    <t>The Calculated and Measured Temperature Distribution of a Phased Interstitial Antenna Array</t>
  </si>
  <si>
    <t>10.1109/22.44158</t>
  </si>
  <si>
    <t>2-s2.0-0025229218</t>
  </si>
  <si>
    <t>['probe antenna', 'precise model', 'planar e', 'numerically treated', 'moment method', 'field distribution', 'exciting aperture', 'difference method', 'computational effort']</t>
  </si>
  <si>
    <t>Two feed models for the analysis of a waveguide-to-microstrip transition using a planar E-probe antenna are investigated. In addition to currents on the probe an accurate model takes account of the field distribution in the exciting aperture. The model is analysed by employing the finite-difference method, and the moment method with the help of Galerkin's Method, and piecewise-sinusoidal current expansions. Alternatively, a simple feed model is derived which uses a delta-gap voltage generator. It is numerically treated by a piecewise-sinusoidal reaction technique. The calculated input impedances obtained from the simple feed model is almost as accurate as from the more precise model. Furthermore, the simple feed model drastically reduces the computational effort.</t>
  </si>
  <si>
    <t>AEU. Archiv fur Elektronik und Ubertragungstechnik</t>
  </si>
  <si>
    <t>60007902;60007902</t>
  </si>
  <si>
    <t>57196860667;6506086105</t>
  </si>
  <si>
    <t>Meier, Uwe;Huelsen, Uwe</t>
  </si>
  <si>
    <t>Braunschweig</t>
  </si>
  <si>
    <t>Technische Universit√§t Braunschweig</t>
  </si>
  <si>
    <t>Meier U.</t>
  </si>
  <si>
    <t>Analysis of different antenna feed models for the calculation of the input impedance of a waveguide-to-microstrip transition</t>
  </si>
  <si>
    <t>2-s2.0-0025229806</t>
  </si>
  <si>
    <t>['wiley company', 'interference cancelling', 'inc .,', 'data processing', 'computer simulations']</t>
  </si>
  <si>
    <t>Adaptive arrays | optical computing | optical data processing</t>
  </si>
  <si>
    <t>The Bimodal Optical Computer (BOC) is considered for Adaptive Phase Array Radar (APAR) data processing. The effect of the errors in the BOC and the number of iterations on the optimum weight calculations for the interference cancelling are studied. Computer simulations for five‚Äêand nine‚Äêelement APARs are presented. Copyright ¬© 1990 Wiley Periodicals, Inc., A Wiley Company</t>
  </si>
  <si>
    <t>21-24</t>
  </si>
  <si>
    <t>60020583-106279298</t>
  </si>
  <si>
    <t>Abushagur, Mustafa A.G.</t>
  </si>
  <si>
    <t>Huntsville;Huntsville</t>
  </si>
  <si>
    <t>The University of Alabama in Huntsville;Electrical and Computer Engineering Department</t>
  </si>
  <si>
    <t>60020583;106279298</t>
  </si>
  <si>
    <t>Abushagur M.</t>
  </si>
  <si>
    <t>Error effects on the processing of adaptive array data using the BOC</t>
  </si>
  <si>
    <t>10.1002/mop.4650030109</t>
  </si>
  <si>
    <t>2-s2.0-0025231101</t>
  </si>
  <si>
    <t>['vitro expression', 'vitro cultures', 'shown previously', 'receptor cells', 'produced primary', 'normal course', 'monoclonal antibodies', 'male antennae', 'least partially', 'good correlation', 'facilitate studies', 'detected solely', 'defined stages', 'characterized immunocytochemically', 'cells dissociated', 'antigens suggests']</t>
  </si>
  <si>
    <t>Sex-pheromone components released by Manduca sexta females are detected solely by male-specific olfactory receptor neurons that innervate long sensilla trichodea on the male antennae. To facilitate studies of the development and physiology of these receptor cells, we have produced primary in vitro cultures of cells dissociated from pupal male antennae. These cultures comprise several morphological types of cells, 2 of which have been characterized immunocytochemically with a pair of monoclonal antibodies that were shown previously to recognize certain antigens in olfactory receptor neurons at defined stages of development. The good correlation between in vivo and in vitro expression of these antigens suggests that the immunocytochemically recognized cells are olfactory receptor neurons that follow at least partially their normal course of differentiation in vitro.</t>
  </si>
  <si>
    <t>837-847</t>
  </si>
  <si>
    <t>6505628705;7102653635</t>
  </si>
  <si>
    <t>Strengl, M.;Hildebrand, J. G.</t>
  </si>
  <si>
    <t>Strengl M.</t>
  </si>
  <si>
    <t>Insect olfactory neurons in vitro: Morphological and immunocytochemical characterization of male-specific antennal receptor cells from developing antennae of male Manduca sexta</t>
  </si>
  <si>
    <t>10.1523/jneurosci.10-03-00837.1990</t>
  </si>
  <si>
    <t>2-s2.0-0025231336</t>
  </si>
  <si>
    <t>['reduce reflection', 'proposed method', 'omnidirectional antennas', 'layer makes', 'horn antenna', 'dielectric layer', 'band radiation']</t>
  </si>
  <si>
    <t>The effect of a dielectric layer, placed in front of an antenna, on the characteristics of the millimeter- and submillimeter-band radiation of the antenna is investigated. It is shown that the effect of the layer is significant only for omnidirectional antennas, and the proposed method for matching the aperture of a horn antenna by adjusting the geometry of the layer makes it possible to reduce reflection over a wide frequency band.</t>
  </si>
  <si>
    <t>61-65</t>
  </si>
  <si>
    <t>8323051100;7005786838;35582040000</t>
  </si>
  <si>
    <t>Martynyuk, S. P.;Kostenko, A. A.;Khlopov, G. I.</t>
  </si>
  <si>
    <t>Martynyuk S.</t>
  </si>
  <si>
    <t>Effect of a dielectric window on the characteristics of millimeter- and submillimeter-wave aperture antennas</t>
  </si>
  <si>
    <t>2-s2.0-0025233073</t>
  </si>
  <si>
    <t>['wave electronics', 'wave device', 'type devices', 'surface current', 'spatial distribution', 'selective filter', 'required one', 'radiation resistance', 'individual elements', 'frequency characteristic', 'ferromagnetic film', 'curvilinear profile', 'corresponding choice', 'actually specified']</t>
  </si>
  <si>
    <t>One promising direction of investigations in the area of spin-wave electronics is the development of selective filter-type devices. The frequency characteristic of a spin-wave filter results primarily from the corresponding choice of microstrip antenna system (AS). The spatial distribution of the surface current is actually specified by the choice of AS geometry. To obtain a surface current distribution in the AS that is close to that required one can apodize and 'weight' the individual elements of the AS. The purpose of this paper is to calculate the radiation resistance of an AS with electrodes of a curvilinear profile and to solve the problem of synthesizing the frequency characteristic of a spin-wave device having the required selective properties. We consider a system of N electrodes near the surface of a ferromagnetic film.</t>
  </si>
  <si>
    <t>143-146</t>
  </si>
  <si>
    <t>Dmitriyev, V. F.</t>
  </si>
  <si>
    <t>Dmitriyev V.</t>
  </si>
  <si>
    <t>Synthesis of frequency characteristics of spin-wave devices based on antenna systems having a curvilinear profile</t>
  </si>
  <si>
    <t>2-s2.0-0025233074</t>
  </si>
  <si>
    <t>['wiley company', 'resonant peaks', 'rcs understanding', 'incidence angles', 'inc .,', 'current distributions', 'current distribution', 'antenna patterns', 'antenna components']</t>
  </si>
  <si>
    <t>antenna mode | dipole antenna | Radar cross section | scattering | structural mode</t>
  </si>
  <si>
    <t>The short‚Äêcircuit, match, and antenna components of RCS are examined for a thin‚Äêwire dipole over a range of lengths and incidence angles. Resonances are identified and discussed in terms of current distributions and antenna patterns. The antenna component contains more resonant peaks than the short‚Äêcircuit component due to differences in current distribution. The results are useful for RCS understanding and control. Copyright ¬© 1990 Wiley Periodicals, Inc., A Wiley Company</t>
  </si>
  <si>
    <t>Hansen, R. C.</t>
  </si>
  <si>
    <t>Hansen R.</t>
  </si>
  <si>
    <t>Antenna mode and structural mode RCS: DIPOLE</t>
  </si>
  <si>
    <t>10.1002/mop.4650030104</t>
  </si>
  <si>
    <t>2-s2.0-0025235444</t>
  </si>
  <si>
    <t>['¬© 1990', 'rights reserved', 'electrical engineers']</t>
  </si>
  <si>
    <t>Antennas | Optoelectronics | Transients</t>
  </si>
  <si>
    <t>Equiangular spiral antennas are integrated with ultrafast photoconductive switches. A time domain investigation of their transient radiation properties is presented. ¬© 1990, The Institution of Electrical Engineers. All rights reserved.</t>
  </si>
  <si>
    <t>133-135</t>
  </si>
  <si>
    <t>Electronics Letters</t>
  </si>
  <si>
    <t>60017366;60017366;60017366</t>
  </si>
  <si>
    <t>6602459372;7004102516;7003917289</t>
  </si>
  <si>
    <t>Pastol, Y.;Arjavalingam, G.;Halbout, J. M.</t>
  </si>
  <si>
    <t>Pastol Y.</t>
  </si>
  <si>
    <t>Characterisation of an Optoelectronically Pulsed Equiangular Spiral Antenna</t>
  </si>
  <si>
    <t>10.1049/el:19900091</t>
  </si>
  <si>
    <t>2-s2.0-0025235520</t>
  </si>
  <si>
    <t>['results show', 'resonance wavelength', 'potentially useful', 'maximum sensitivity', 'maximum depth', 'length 15', 'input admittance', 'geophysical surveying', 'electrical characteristics', 'copyright 1990', 'conducting overburden', 'complex permittivity', 'admittance measurements']</t>
  </si>
  <si>
    <t>Calculations of the input admittance of a thin cylindrical horizontal dipole antenna over a two‚Äêlayered lossy half‚Äêspace have been carried out. This has allowed an evaluation to be made of the sensitivity of admittance measurements to variations in the electrical characteristics of the Earth below a conducting overburden and hence to determine the potential of such measurements in geophysical surveying. The results show that maximum sensitivity to changes in the complex permittivity of the lower half‚Äêspace is obtained by the use of a band of frequencies about the first antenna resonance. The maximum depth of sensitivity of the observations was found to be approximately one quarter of the resonance wavelength or 8 m for an antenna of length 15 m, indicating that admittance measurements provide a potentially useful and simple geological surveying technique. Copyright 1990 by the American Geophysical Union.</t>
  </si>
  <si>
    <t>27-35</t>
  </si>
  <si>
    <t>January-February 1990</t>
  </si>
  <si>
    <t>7003771490;56914765300</t>
  </si>
  <si>
    <t>Ridd, P. V.;Nicol, J. L.</t>
  </si>
  <si>
    <t>Ridd P.</t>
  </si>
  <si>
    <t>Input admittance of a horizontal antenna over a two‚Äêlayered lossy half‚Äêspace</t>
  </si>
  <si>
    <t>10.1029/RS025i001p00027</t>
  </si>
  <si>
    <t>2-s2.0-0025235550</t>
  </si>
  <si>
    <t>['¬© 1990', 'swift accommodation', 'stable state', 'related areas', 'rapid changes', 'pigments reach', 'pigment pool', 'phycobiliproteins decrease', 'oscillatory behaviour', 'mechanism leading', 'light treatment', 'irradiance increases', 'harvesting antenna', 'extreme conditions', 'environmental irradiances', 'already described', 'accommodation mechanism', '5 h']</t>
  </si>
  <si>
    <t>The responses of the light-harvesting antenna (phycobiliproteins and chlorophyll a) of the Rhodophycean algae Corallina elongata Ellis et Solander, have been studied in relation to irradiance. Laboratory and field experiments reveal a short-term (0-5 h) accommodation mechanism. After 5 h of light treatment, pigments reach a stable state under constant laboratory conditions. Phycobiliproteins decrease when irradiance increases and chlorophyll a shows the reverse. The mechanism leading to this stable state is oscillatory. The oscillations are dampled through time. Extreme conditions (conditions which induce a decrease in the pigment pool) enhance the oscillatory behaviour. In the field, where irradiance is not constant, the oscillations are enhanced. This behaviour, already described in other related areas of research, allows a swift accommodation of the algae to rapid changes in environmental irradiances. ¬© 1990.</t>
  </si>
  <si>
    <t>127-138</t>
  </si>
  <si>
    <t>Aquatic Botany</t>
  </si>
  <si>
    <t>60003662;60003662</t>
  </si>
  <si>
    <t>6603270093;6506784647</t>
  </si>
  <si>
    <t>Algarra, Patricia;Xavier Niell, F.</t>
  </si>
  <si>
    <t>Malaga</t>
  </si>
  <si>
    <t>Universidad de M√°laga</t>
  </si>
  <si>
    <t>Algarra P.</t>
  </si>
  <si>
    <t>Short-term pigment response of Corallina elongata Ellis et Solander to light intensity</t>
  </si>
  <si>
    <t>030437709090077X</t>
  </si>
  <si>
    <t>10.1016/0304-3770(90)90077-X</t>
  </si>
  <si>
    <t>2-s2.0-0025235867</t>
  </si>
  <si>
    <t>['unusual shape', 'tactile sensilla', 'sheep louse', 'sexually dimorphic', 'sensory structures', 'posterior surface', 'possible thermohygroreceptor', 'external appearance', 'described previously', 'chemosensory pegs', '11 sensilla']</t>
  </si>
  <si>
    <t>The antennae of adult Damalinia ovis, the sheep louse, were studied using light and scanning electron microscopy. Sensory structures are located on all three antennal segments with the predominant sensilla type being tactile. Nine different types of sensilla are described on the basis of external appearance. One of the sensilla, designated a ‚Äúpit organ‚Äù because of its unusual shape, has not been described previously. A pair of these sensilla are present on each antenna, and their function is unknown. A group of 11 sensilla on the tip of each antenna contains olfactory and chemosensory pegs, and a possible thermohygroreceptor. The antennae are sexually dimorphic, the male having more tactile sensilla, two well‚Äêdeveloped terminal hooks, and a different cuticular architecture on the posterior surface of antennal segment 1. Copyright ¬© 1990 Wiley‚ÄêLiss, Inc.</t>
  </si>
  <si>
    <t>203-209</t>
  </si>
  <si>
    <t>Journal of Morphology</t>
  </si>
  <si>
    <t>Clarke, Anthony R.</t>
  </si>
  <si>
    <t>Brisbane</t>
  </si>
  <si>
    <t>The University of Queensland</t>
  </si>
  <si>
    <t>Clarke A.</t>
  </si>
  <si>
    <t>External morphology of the antennae of Damalinia ovis (phthiraptera: Trichodectidae)</t>
  </si>
  <si>
    <t>10.1002/jmor.1052030207</t>
  </si>
  <si>
    <t>2-s2.0-0025235959</t>
  </si>
  <si>
    <t>National Institutes of Health</t>
  </si>
  <si>
    <t>1-CM17522-22</t>
  </si>
  <si>
    <t>NIH</t>
  </si>
  <si>
    <t>['substantial improvement', 'single source', 'rights reserved', 'relative phases', 'relative phase', 'neck phantom', 'neck lesions', 'general approach', 'experimental aspects', 'combine numerical', 'analytical approaches', 'amplitude control', '915 mhz', '400 mhz']</t>
  </si>
  <si>
    <t>Microwave | Phantom | Phased array | SAR</t>
  </si>
  <si>
    <t>An investigation of phased-array microwave systems (PAMS) for non-invasively inducing hyperthermia, primarily in neck lesions, has been done with implications for applications at other sites such as lung and pelvis. Our general approach was to combine numerical and analytical approaches with parallel experimental studies. In this paper we will concentrate only on the experimental aspects. The object, such as a homogeneous cylindrical phantom or a neck phantom, was encircled with several standard applicators driven by a single source, but with relative phase and amplitude control over each applicator. The relative phases of the applicators were adjusted by using an implanted monopole antenna connected to an HP network analyser. Power was applied and the specific absorption rate (SAR) was determined by using split phantoms and thermography or by measuring temperature transients dT/dt, recorded by implanted thermometer probes. We found that at 915 MHz for our applicators (SMA Co.) the centre of an 11 cm diameter muscle-like phantom heated to about 33% of the value at the surface in front of the applicator. Similarly, we were able to show significant SAR at the centre of realistically sized neck phantoms using four phased apertures of 915 MHz. Furthermore, substantial improvement was observed if the frequency was lowered to about 400 MHz. ¬© 1990 Informa UK Ltd All rights reserved: reproduction in whole or part not permitted.</t>
  </si>
  <si>
    <t>453-474</t>
  </si>
  <si>
    <t>60010065;60010065;60023691;113135158;60010065</t>
  </si>
  <si>
    <t>7202116933;7004653255;7005772755;7404550590;6602701159</t>
  </si>
  <si>
    <t>Gross, E. J.;Cetas, T. C.;Stauffer, P. R.;Liu, R. L.;Lumori, M. L.D.</t>
  </si>
  <si>
    <t>United States;United States;China</t>
  </si>
  <si>
    <t>San Francisco;Tucson;Zhengzhou</t>
  </si>
  <si>
    <t>University of California, San Francisco;The University of Arizona;Henan Tumor Institute and Hospital</t>
  </si>
  <si>
    <t>60023691;60010065;113135158</t>
  </si>
  <si>
    <t>Gross E.</t>
  </si>
  <si>
    <t>Experimental assessment of phased-array heating of neck tumours</t>
  </si>
  <si>
    <t>10.3109/02656739009141151</t>
  </si>
  <si>
    <t>2-s2.0-0025238876</t>
  </si>
  <si>
    <t>['studied theoretically', 'station antenna', 'small region', 'reflected wave', 'propagation characteristics', 'paper proposes', 'metropolitan area', 'low base', 'electromagnetic waves']</t>
  </si>
  <si>
    <t>With a view to making efficient use of frequency and to prepare for full-scale mobile telephone service in the future by means of enclosing the electromagnetic waves in a small region, the basic propagation characteristics are studied for the case where a low base-station antenna (with the height of less than 15 m) is installed on the street of a metropolitan area. This paper proposes the two-wave model consisting of the diffracted wave traveling through a trench-shaped cross section surrounded by buildings and a road, and of the reflected wave from buildings. The propagation characteristics are studied theoretically and experimentally.</t>
  </si>
  <si>
    <t>75-85</t>
  </si>
  <si>
    <t>Electronics and Communications in Japan, Part I: Communications (English translation of Denshi Tsushin Gakkai Ronbunshi)</t>
  </si>
  <si>
    <t>60025555;60025555</t>
  </si>
  <si>
    <t>56771829000;35887551100</t>
  </si>
  <si>
    <t>Kozono, Shigeru;Taguchi, Akira</t>
  </si>
  <si>
    <t>Nippon Telegraph and Telephone Corporation</t>
  </si>
  <si>
    <t>Kozono S.</t>
  </si>
  <si>
    <t>Propagation characteristics of low base-station antenna on urban roads</t>
  </si>
  <si>
    <t>2-s2.0-0025244493</t>
  </si>
  <si>
    <t>National Science Foundation</t>
  </si>
  <si>
    <t>DCI 8552579</t>
  </si>
  <si>
    <t>NSF</t>
  </si>
  <si>
    <t>['varying systems', 'various errors', 'unconventional applications', 'substantial progress', 'subband coding', 'speech processing', 'several authors', 'several applications', 'related topics', 'recent techniques', 'recent progress', 'qmf banks', 'qmf ),', 'polyphase concept', 'periodically time', 'multirate coding', 'interpolation filters', 'includes design', 'image compression', 'considerable detail', 'building blocks', 'basic concepts', 'antenna systems']</t>
  </si>
  <si>
    <t>Multirate digital filters and filter banks find application in communications, speech processing, image compression, antenna systems, analog voice privacy systems, and in the digital audio industry. During the last several years there has been substantial progress in multirate system research. This includes design of decimation and interpolation filters, analysis/synthesis filter banks (also called quadrature mirror filters, or QMF), and the development of new sampling theorems. First, the basic concepts and building blocks in multirate digital signal processing (DSP), including the digital polyphase representation, are reviewed. Next, recent progress as reported by several authors in this area is discussed. Several applications are described, including the following: subband coding of waveforms, voice privacy systems, integral and fractional sampling rate conversion (such as in digital audio), digital crossover networks, and multirate coding of narrow-band filter coefficients. The M-band QMF bank is discussed in considerable detail, including an analysis of various errors and imperfections. Recent techniques for perfect signal reconstruction in such systems are reviewed. The connection between QMF banks and other related topics, such as block digital filtering and periodically time-varying systems, based on a pseudo-circulant matrix framework, is covered. Unconventional applications of the polyphase concept are discussed. ¬© 1990 IEEE</t>
  </si>
  <si>
    <t>56-93</t>
  </si>
  <si>
    <t>Proceedings of the IEEE</t>
  </si>
  <si>
    <t>Vaidyanathan, P. P.</t>
  </si>
  <si>
    <t>California Institute of Technology</t>
  </si>
  <si>
    <t>Vaidyanathan P.</t>
  </si>
  <si>
    <t>Multirate Digital Filters, Filter Banks, Polyphase Networks, and Applications: A Tutorial</t>
  </si>
  <si>
    <t>10.1109/5.52200</t>
  </si>
  <si>
    <t>2-s2.0-0025244687</t>
  </si>
  <si>
    <t>['¬© 1990', 'wave integration', 'transmitter oscillator', 'traffic surveillance', 'specific applications', 'sige heterojunctions', 'planar millimeter', 'military applications', 'microstrip antenna', 'mainly used', 'first applications', 'device structures', 'device characteristics', 'detector element', 'described circuits', 'coplanar waveguide', 'controlled oscillators', '73 ghz', '52 db', '30 ghz', '200 mw', '100 ghz', '1 cm']</t>
  </si>
  <si>
    <t>Microwaves at frequencies above 30 GHz (millimeter waves), which offer several advantages, are mainly used at present for military applications. A broad civil market will be opened if a cost-effective planar integration can be achieved. The suitability of high resistivity silicon for planar millimeter-wave integration is described. To produce silicon monolithic millimeter-wave integrated circuits (SIMMWICs) the device structures are grown by molecular beam epitaxy on high-resistivity silicon substrate. Discrete impact avalanche transit time (IMPATT) and Schottky diodes fabricated from this material show excellent performances at 100 GHz: they have more than 1 W oscillator output power and a detector tangential signal sensitivity of - 52 dB m at around 90 GHz. For specific applications the device characteristics can be influenced by the introduction of SiGe heterojunctions. The MITATT (mixed tunneling avalanche transit time) oscillator and the resonant tunneling detector are given as examples. Hybrid integrated transmitters, voltage-controlled oscillators, and mixers can be fabricated on high resistivity silicon. The transmitter oscillator with a double-drift IMPATT diode as the active element emits a maximum continuous wave output power of 200 mW at 73 GHz. The advantages of the coplanar waveguide are pointed out and monolithic integrated oscillators and detectors are demonstrated. The chip with a coplanar Schottky diode as the detector element and a microstrip antenna with 36 radiating elements shows a sensitivity of 65 microV microW-1 cm-2. The first applications of the described circuits for traffic surveillance are described and discussed. ¬© 1990.</t>
  </si>
  <si>
    <t>185-197</t>
  </si>
  <si>
    <t>Thin Solid Films</t>
  </si>
  <si>
    <t>Luy, Johann Friedrich</t>
  </si>
  <si>
    <t>Daimler AG</t>
  </si>
  <si>
    <t>Luy J.</t>
  </si>
  <si>
    <t>Silicon-based millimeter-wave integrated circuits</t>
  </si>
  <si>
    <t>10.1016/0040-6090(90)90413-8</t>
  </si>
  <si>
    <t>2-s2.0-0025245278</t>
  </si>
  <si>
    <t>['¬© 1990', 'waveguide transitions', 'transient fields', 'suitable numericalmethods', 'subsequently treated', 'special case', 'rights reserved', 'numerical approach', 'moving bunches', 'method transformseach', 'metallic waveguides', 'matrix mathematics', 'large variety', 'integral equations', 'frequencyeddy currents', 'frequency modes', 'equivalentmatrix expression', 'although derived']</t>
  </si>
  <si>
    <t>A numerical approach for the solution of Maxwell's equations is presented. Based on a Unitedifference Ycc lattice the method transformseach of the four Maxwell equations into an equivalentmatrix expression that can be subsequently treated by matrix mathematics and suitable numericalmethods for solving matrix problems. The algorithm, although derived from integral equations, can be considered to be a special case of finite difference formalisms. A large variety of two and three-dimensional field problems can be solved by computer programs based on this approach: electrostatics and magnctostatics, low-frequencyeddy currents in solid and laminated iron cores, high-frequency modes in resonators, waves on dielectric or metallic waveguides, transient fieldsof antennas and waveguide transitions, transient fields of free-moving bunches of charged particles etc. ¬© 1990, Walter Walter de Gruyter. All rights reserved.</t>
  </si>
  <si>
    <t>Frequenz</t>
  </si>
  <si>
    <t>60011226;60011226;60011226;60011226;60011226;60011226;60011226;60011226;60011226;60011226;60030635;60030635;60030635;60007774;115809135;115809135;115809135;115809135;115809135</t>
  </si>
  <si>
    <t>6603544872;6701446833;57201529743;57212988599;6603605665;6603869403;57201524573;6508012142;57197310602;7006068674;7003354473;56283794200;55998432500;57220457071;6507513338;6505912578;7404338035;6602915891;6602238860</t>
  </si>
  <si>
    <t>Dehler, Micha;Dohlus, Martin;Fischerauer, Alice;Fischerauer, Gerhard;Hahne, Peter;Klatt, Reinhard;Krawczyk, Frank;Pr√∂pper, Thomas;Sch√ºtt, Petra;Weiland, Thomas;Ebeling, Frank;Marx, Michaela;Wipf, Susan G.;Steffen, Bernhard;Barts, Therese;Browman, Jean;Cooper, Richard K.;Rodenz, Gary;Rusthoi, Dan</t>
  </si>
  <si>
    <t>Germany;Germany;Germany;Mexico</t>
  </si>
  <si>
    <t>Hamburg;Darmstadt;J√ºlich;</t>
  </si>
  <si>
    <t>Deutsches Elektronen-Synchrotron (DESY);Technische Universit√§t Darmstadt;Forschungszentrum J√ºlich (FZJ);Loss Alamos</t>
  </si>
  <si>
    <t>60030635;60011226;60007774;115809135</t>
  </si>
  <si>
    <t>Dehler M.</t>
  </si>
  <si>
    <t>Maxwell's Grid Equations</t>
  </si>
  <si>
    <t>10.1515/FREQ.1990.44.1.9</t>
  </si>
  <si>
    <t>2-s2.0-0025252688</t>
  </si>
  <si>
    <t>['war brought', 'took place', 'space age', 'second quarter', 'related devices', 'rapid development', 'radio engineers', 'radar systems', 'ire voted', 'ire established', 'ire documented', 'first years', 'first decade', 'exciting period', 'electronic devices', 'digital computers', '1962 brought']</t>
  </si>
  <si>
    <t>This is a chronicle of how the Proceedings of the IRE documented and influenced the changes in electronic devices and systems that took place during the years from 1938 through 1962, the second quarter-century of the Institute of Radio Engineers. The first years of this period were dominated by World War II and the development of radar systems and related devices such as the high-power cavity magnetron and the klystron. The first decade after the war brought the rapid development of television, digital computers, and the transistor. An important structural change that affected the Proceedings took place in 1948, when the IRE established the professional group system. The exciting period from 1956 through 1962 brought the advent of the space age, the integrated electronic circuit, and the laser. The Proceedings recorded another major institutional change in 1962, when the membership of the IRE voted to appove a merger with the AIEE to form the IEEE. ¬© 1990 IEEE</t>
  </si>
  <si>
    <t>Brittain, James E.</t>
  </si>
  <si>
    <t>Georgia Institute of Technology</t>
  </si>
  <si>
    <t>Brittain J.</t>
  </si>
  <si>
    <t>The Evolution of Electrical and Electronics Engineering and the Proceedings of the IRE: 1938-1962</t>
  </si>
  <si>
    <t>10.1109/5.52198</t>
  </si>
  <si>
    <t>2-s2.0-0025252858</t>
  </si>
  <si>
    <t>['whole concept', 'vsats ).', 'vsat operating', 'rain fading', 'portsmouth polytechnic', 'particular interest', 'paper introduces', 'major extent', 'inevitable reductions', 'fade countermeasures', 'fade countermeasure', 'experiments concerned', 'data throughput', 'conventional systems', 'communication experiments', 'antenna characteristics', 'amplitude scintillations', 'adaptive modulation']</t>
  </si>
  <si>
    <t>Adaptive modulation | Digital satellite communications | Fade countermeasures | M‚ÄêPSK VSAT</t>
  </si>
  <si>
    <t>With the launch of the European Space Agency's Olympus‚Äê1 satellite, a whole new era of communication experiments in the 20/30 GHz bands will start. Of particular interest will be those experiments concerned with fade countermeasures for the very small aperture terminals (VSATs). Portsmouth Polytechnic's experiment will focus on adaptive modulation as a type of fade countermeasure, and this paper introduces and describes the whole concept. Based on the assumption that the performance of a VSAT operating at 20/30 GHz band will be affected to a major extent by amplitude scintillations and rain fading, the performance of a range of combinations of earth‚Äêstation power amplifier and antenna characteristics is presented. An adaptive multi‚Äêphase shift keying technique is then compared with conventional systems in terms of availability and data throughput. It is shown that such a fade countermeasure contributes to increasing both the overall system availability and the total data throughput of a digital communication system, while the inevitable reductions in data rate occur smoothly. Copyright ¬© 1990 John Wiley &amp; Sons, Ltd.</t>
  </si>
  <si>
    <t>31-41</t>
  </si>
  <si>
    <t>60025475;60025475</t>
  </si>
  <si>
    <t>7102929644;7005360728</t>
  </si>
  <si>
    <t>Filip, M.;Vilar, E.</t>
  </si>
  <si>
    <t>Portsmouth</t>
  </si>
  <si>
    <t>University of Portsmouth</t>
  </si>
  <si>
    <t>Filip M.</t>
  </si>
  <si>
    <t>Adaptive modulation as a fade countermeasure. An olympus experiment</t>
  </si>
  <si>
    <t>10.1002/sat.4600080104</t>
  </si>
  <si>
    <t>2-s2.0-0025252911</t>
  </si>
  <si>
    <t>['used histochemically', 'tumor cells', 'tumor adjacent', 'surrounding tissue', 'sugar structures', 'pha binding', 'outer surface', 'obtain colonies', 'metastatic potential', 'invasive tumors', 'important trait', 'findings suggest', 'esophageal carcinomas', 'distributed predominantly', 'dimensional form', 'collagen matrix', 'branched oligosaccharides', 'branched n', 'affinity binding', '42 patients']</t>
  </si>
  <si>
    <t>The -GlcNAc Œ≤1-6Man- (Œ≤1-6) branched N-glycosidic oligosaccharides expressed on tumor cells have been found to contribute to malignant and metastatic potential in experimental tumor models. Phaseolus vulgaris leukoagglutinin (L-PHA) requires the Œ≤1-6-linked lactosamine antenna for high-affinity binding and was used histochemically to characterize the distribution of these sugar structures in human esophageal squamous cell carcinomas from 42 patients. Leukoagglutinin-reactive carcinoma cells in the invasive tumors were distributed predominantly on the outer surface of the tumor adjacent to the surrounding tissue. Furthermore, when TE 1 cells, a human esophageal squamous cell carcinoma line, were cultured in a collagen gel matrix to obtain colonies in a three-dimensional form, these colonies exhibited high affinity for L-PHA binding only in the outer cell layer facing the collagen matrix, unrelated to the cell growth cycle. These findings suggest that the increase in Œ≤1-6-branched oligosaccharides in esophageal carcinomas is an important trait of the tumor in the invasion into the surrounding tissue.</t>
  </si>
  <si>
    <t>1007-1011</t>
  </si>
  <si>
    <t>American Journal of Pathology</t>
  </si>
  <si>
    <t>60016416;60016416;60016416;60016416</t>
  </si>
  <si>
    <t>16192360800;35407718800;57195569663;7004292522</t>
  </si>
  <si>
    <t>Takano, R.;Nose, M.;Nishihira, T.;Kyogoku, M.</t>
  </si>
  <si>
    <t>Sendai</t>
  </si>
  <si>
    <t>Tohoku University School of Medicine</t>
  </si>
  <si>
    <t>Takano R.</t>
  </si>
  <si>
    <t>Increase of Œ≤1-6-branched oligosaccharides in human esophageal carcinomas invasive against surrounding tissue in vivo and in vitro</t>
  </si>
  <si>
    <t>2-s2.0-0025254569</t>
  </si>
  <si>
    <t>['‚ äúyuma', 'zenith z', 'visible satellite', 'via mouse', 'velocity limits', 'terrain slope', 'survivability requirements', 'survivability measure', 'similarly computed', 'satellite visibility', 'sample results', 'sample outputs', 'representative scenario', 'realistic trajectories', 'ram memory', 'power levels', 'plan missions', 'pc monitor', 'overall navigation', 'noise densities', 'naval vehicles', 'mission planner', 'lessons learned', 'jammer visibility', 'ibm pc', 'graphically displayed', 'generic air', 'generate position', 'exposure time', 'ega graphics', 'dted ).', 'displayed pseudo', 'computed based', 'compute carrier', 'channel receiver', 'best dilution', 'also discussed', 'accomplish survivability', '640 kbytes', '248 pc']</t>
  </si>
  <si>
    <t>A Global Positioning System (GPS) Mission Planner (GMP) tool which has been implemented on an IBM PC is described in terms of its features and architecture, and sample outputs are presented. The GMP was written to permit operational units to plan missions and to accomplish survivability and navigation assessments based on realistic trajectories, GPS almanac data, broadband jammer specifications, and Digital Terrain Elevation Data (DTED). The GMP was required to operate on a Zenith Z-248 PC (or equivalent) with 2 floppy disk drives, EGA graphics, 640 KBytes of RAM memory and either a color or monochrome graphics monitor. GMP supports trajectory generation for generic air, land or naval vehicles and has ‚Äúsanity‚Äù checks for altitude, acceleration, terrain slope, and velocity limits. A survivability measure is computed based on exposure time to various threat types. ‚ÄúYuma-type‚Äù almanac data are used to support the GMP to define GPS satellite orbits. Jammers, threats and trajectory waypoints may be defined by either keyboard entry (e.g., longitude, latitude, and altitude) or via mouse and cursor on a displayed pseudo-color DTED map on the PC monitor. Satellite visibility and best Dilution-of-Precision (DOP) are computed using DTED. Jammer visibility and power levels at the vehicle are similarly computed. A realistic body masking and antenna gain model‚Äîbased on the Fixed Radiation Pattern Antenna (FRPA)‚Äîis employed to compute carrier-to-noise densities for each visible satellite. A navigation assessment program emulates a multi-channel receiver to generate position and velocity measurement uncertainties. An integrated Kalman filter generates position and velocity navigation estimates using a generic inertial measurement unit (IMU) and the GPS receiver measurement statistics. Results are graphically displayed to the operator so that overall navigation and survivability requirements can be assessed, and the mission revised accordingly. Sample results from a representative scenario are included. Lessons learned in developing a PC-based mission planning tool are also discussed. ¬© 1990 IEEE</t>
  </si>
  <si>
    <t>IEEE Aerospace and Electronic Systems Magazine</t>
  </si>
  <si>
    <t>60028672;60028672;60028672;60028672;60028672;</t>
  </si>
  <si>
    <t>7006694424;6507145103;57196584818;6603306451;7202322012;6504458287</t>
  </si>
  <si>
    <t>Avila, Paul G.;Karels, Steven N.;Macdonald, Thomas J.;Matchett, Gary A.;Roberts, Iris P.;Gloster, Vance</t>
  </si>
  <si>
    <t>Reading</t>
  </si>
  <si>
    <t>Analytic Sciences Corporation</t>
  </si>
  <si>
    <t>Avila P.G.</t>
  </si>
  <si>
    <t>An Overview of a Global Positioning System Mission Planner Implemented on a Personal Computer</t>
  </si>
  <si>
    <t>10.1109/62.45991</t>
  </si>
  <si>
    <t>2-s2.0-0025256223</t>
  </si>
  <si>
    <t>['¬© 1990', 'substantial degree', 'present study', 'mate assortatively', 'males would', 'main channel', 'made dumb', 'converse applied', 'assortment continued', 'assortment broke']</t>
  </si>
  <si>
    <t>Chorthippus parallelus parallelus and C. p. erythropus mate assortatively in the laboratory. Previously it had been assumed that differences in the songs of the males would be responsible for this assortment. However, in the present study, C. p. erythropus females continued to mate assortatively, and readily, with males that had been made dumb by the removal of their wings. Furthermore, this assortment broke down, and matings occurred less readily, following the removal of the antennae of both sexes. With C. p. parallelus the converse applied, i.e. assortment continued after the antennae were removed and mating occurred less readily in the absence of song. This implies that a substantial degree of differentiation (a change in the main channel of communication) has occurred between the mate recognition systems of these subspecies without leading to speciation. ¬© 1990.</t>
  </si>
  <si>
    <t>685-691</t>
  </si>
  <si>
    <t>Animal Behaviour</t>
  </si>
  <si>
    <t>Ritchie, Michael G.</t>
  </si>
  <si>
    <t>Norwich</t>
  </si>
  <si>
    <t>University of East Anglia</t>
  </si>
  <si>
    <t>Ritchie M.</t>
  </si>
  <si>
    <t>Are differences in song responsible for assortative mating between subspecies of the grasshopper Chorthippus parallelus (Orthoptera: Acrididae)?</t>
  </si>
  <si>
    <t>S0003347205803793</t>
  </si>
  <si>
    <t>10.1016/S0003-3472(05)80379-3</t>
  </si>
  <si>
    <t>2-s2.0-0025256584</t>
  </si>
  <si>
    <t>['treatment sessions', 'technique appear', 'subacute toxicity', 'significantly limited', 'related morbidity', 'recorded temperatures', 'prostatic urethra', 'prostate volume', 'personal reasons', 'performed along', 'median followup', 'desired temperatures', 'consisted primarily', 'chronic treatment', 'bladder spasm', 'best evaluated', 'antenna hyperthermia', 'although long', '5 months', '3 patients', '23 %)', '21 patients']</t>
  </si>
  <si>
    <t>A total of 21 patients with biopsy proved benign prostatic hyperplasia underwent treatment on a pilot protocol involving intracavitary transurethral radiating microwave (630 or 915 MHz.) antenna hyperthermia. Acute and subacute toxicity was mild and consisted primarily of bladder spasm (26% of the patients), hematuria (23%) and dysuria (9%), none of which significantly limited the achievement of desired temperatures during the treatment sessions. No chronic treatment-related morbidity or mortality was observed. Detailed thermal mapping, performed along the course of the prostatic urethra, recorded temperatures of 43C or more at greater than 75% of the loci. Highly significant increases in urine flow rate, decrease in post-void residual urine capacity and decrease in frequency of nocturia were observed. A marginally significant decrease in prostate volume was noted and, with a median followup of 12.5 months, only 3 patients have required subsequent prostatic resection. Transurethral hyperthermia represents a safe and promising outpatient approach to treatment of benign prostatic hyperplasia, particularly for patients who are not candidates for conventional surgical approaches because of medical or personal reasons. Further studies with the goal of optimizing the technique appear to be warranted, although long-term results would be best evaluated with prospective phase 3 trials.</t>
  </si>
  <si>
    <t>949-954</t>
  </si>
  <si>
    <t>Journal of Urology</t>
  </si>
  <si>
    <t>60015183;60015183;60015183;60015183;60015183</t>
  </si>
  <si>
    <t>7003599942;7201529114;7006549540;6701580823;7006372174</t>
  </si>
  <si>
    <t>Sapozink, M. D.;Boyd, S. D.;Astrahan, M. A.;Jozsef, G.;Petrovich, Z.</t>
  </si>
  <si>
    <t>Keck School of Medicine of USC</t>
  </si>
  <si>
    <t>Sapozink M.D.</t>
  </si>
  <si>
    <t>Transurethral hyperthermia for benign prostatic hyperplasia: Preliminary clinical results</t>
  </si>
  <si>
    <t>S0022534717401467</t>
  </si>
  <si>
    <t>10.1016/s0022-5347(17)40146-7</t>
  </si>
  <si>
    <t>2-s2.0-0025257129</t>
  </si>
  <si>
    <t>['¬© 1990', 'weighting vector', 'weight vector', 'small quantity', 'signal suppression', 'quadratic constraint', 'phase perturbations', 'performance achievable', 'partitioned beamformer', 'paper presents', 'optimal weight', 'numerical results', 'norm constraint', 'narrowband beamformer', 'linear constraint', 'latter approximation', 'array amplitude', 'approach taken']</t>
  </si>
  <si>
    <t>Antenna array processing | Robust beamforming</t>
  </si>
  <si>
    <t>This paper presents a technique for designing a narrowband beamformer which is robust against array amplitude and phase perturbations. The approach taken in the paper is to constrain the mean-square-error between the desired unity response and the response of the beamformer over variation in amplitude and phase to be less than or equal to a small quantity and obtain a quadratic constraint on the weight vector. The optimal weight is then obtained by minimizing the beamformer mean output power subject to the quadratic constraint. Subsequently, a linear constraint and a norm constraint are used to approximate the effect of the quadratic constraint. Based on the latter approximation, an alternative beamforming structure termed as partitioned beamformer is presented. The equivalent optimal vector for the partitioned beamformer has an interesting geometrical interpretation in the sense that signal suppression and the increase of length of the weighting vector of the beamformer are related. Numerical results are presented to illustrate the performance achievable. ¬© 1990.</t>
  </si>
  <si>
    <t>17-26</t>
  </si>
  <si>
    <t>Signal Processing</t>
  </si>
  <si>
    <t>Er, M. H.</t>
  </si>
  <si>
    <t>Singapore</t>
  </si>
  <si>
    <t>Singapore City</t>
  </si>
  <si>
    <t>Nanyang Technological University</t>
  </si>
  <si>
    <t>Er M.</t>
  </si>
  <si>
    <t>A robust formulation for an optimum beamformer subject to amplitude and phase perturbations</t>
  </si>
  <si>
    <t>016516849090004I</t>
  </si>
  <si>
    <t>10.1016/0165-1684(90)90004-I</t>
  </si>
  <si>
    <t>2-s2.0-0025258222</t>
  </si>
  <si>
    <t>['three dimensions', 'rough surfaces', 'realistic view', 'radiation patterns', 'phase information', 'overall radiation', 'light scattering', 'fullwave solution', 'four dimensions', 'field solutions', 'field distributions', 'different types', 'design parameters', 'computer screen', 'azimuthal angles', 'avisualization tool', 'article presents', 'antenna problems', 'also discussed', '3d surfaces']</t>
  </si>
  <si>
    <t>This article presents an efficient computer graphics tool for investigating the radiation patterns of antennas as functions of their design parameters. Electromagnetic- field solutions for antenna problems are complex. Consequently it is difficult to understand the overall radiation-field distributions, and how these field patterns vary with changes in design parameters. Avisualization tool to synthesize these radiation patterns in three dimensions (or even in four dimensions, by including the phase information) would be very useful for both synthesis and analysis. In this investigation the radiation patterns (or the magnitudes of field distributions) of antennas are treated as 3D surfaces, since the magnitudes of the far-field distributions are functions of polar and azimuthal angles. Two-dimensional GKS routines and a shading scheme based on the fullwave solution of light scattering from rough surfaces are used to provide a realistic view on the computer screen. Different types of radiation patterns and their characteristics are also discussed. ¬© 1990 IEEE</t>
  </si>
  <si>
    <t>41-49</t>
  </si>
  <si>
    <t>IEEE Computer Graphics and Applications</t>
  </si>
  <si>
    <t>109727347;109727347;109727347;109727347</t>
  </si>
  <si>
    <t>57196665357;7404436683;35513627000;7404885154</t>
  </si>
  <si>
    <t>Chakrabarti, Swapan;Wong, J. C.;Gogineni, Sivaprasad;Cho, Sungho</t>
  </si>
  <si>
    <t>Kansas City</t>
  </si>
  <si>
    <t>University of Kansas</t>
  </si>
  <si>
    <t>Chakrabarti S.</t>
  </si>
  <si>
    <t>Visualizing Radiation Patterns of Antennas</t>
  </si>
  <si>
    <t>10.1109/38.45809</t>
  </si>
  <si>
    <t>2-s2.0-0025261522</t>
  </si>
  <si>
    <t>College of Letters and Sciences, University of Wisconsin‚ÄìWhitewater</t>
  </si>
  <si>
    <t>BNS 8112744</t>
  </si>
  <si>
    <t>L&amp;S</t>
  </si>
  <si>
    <t>['¬© 1990', 'wasps demonstrated', 'tilted comb', 'subsequent holes', 'set sequence', 'routines within', 'repair technique', 'repair holes', 'repair decreases', 'pupal caps', 'polistes fuscatus', 'paper wasp', 'one antenna', 'older cells', 'new cell', 'neighbour cells', 'multiple cues', 'measurements required', 'lower side', 'linear phase', 'linear construction', 'larval growth', 'initiated ),', 'initially done', 'infrequently performed', 'hierarchical manner', 'hierarchical levels', 'given time', 'cues triggering', 'construction behaviour', 'constant rate', 'choice levels', 'cells tend', 'cell wall', 'cell shape', 'cell lengthening', 'building programme', 'building acts', 'animal behaviour', 'amputating one', 'also investigated']</t>
  </si>
  <si>
    <t>The paper wasp, Polistes fuscatus, builds its nest by both linear and non-linear construction. Linear construction follows a set sequence of building acts, while non-linear construction can be performed with any of several building acts at a given time. We report on the building programme regulating the non-linear phase of construction and discuss its relevance to the construction behaviour of other species. New cell placement is influenced by distance to the substrate, the location of nearest-neighbour cells (older cells on which the new cell is initiated), the groove between nearest-neighbour cells, orientation of comb and gravity. Gravity also influences many aspects of cell shape, and more cells tend to be added to the lower side of a tilted comb. Amputating one-half of one antenna from wasps demonstrated that the antennae are used for many of the measurements required during construction. Cell lengthening is initially done at a constant rate. Once the larvae become third instars, however, cell lengthening is regulated by larval growth. Wasps use two methods to repair holes in a cell wall: (1) patching and (2) tearing down the wall and rebuilding it. The time to repair decreases with subsequent holes, and some wasps clearly show an improvement in repair technique with experience, suggesting that some learning is involved. The cues triggering the addition of pulp to the petiole, the substrate and the pupal caps and secondary petiole construction were also investigated. These activities are infrequently performed and only specific cues could induce some of them. The decision process involved in non-linear construction can be represented by a non-overlapping branching hierarchy of choice levels. At each construction choice level, multiple cues are evaluated either simultaneously or in a hierarchical manner. Evidently, the more complex nest construction becomes (non-linear construction, multiple building materials, etc.), the more sophisticated the building programme must be. Hierarchical levels of evaluation, sub-routines within the building programme, and learning capabilities appear to be ways of achieving this sophistication. ¬© 1990 The Association for the Study of Animal Behaviour.</t>
  </si>
  <si>
    <t>105-124</t>
  </si>
  <si>
    <t>60032179;60032179</t>
  </si>
  <si>
    <t>7004281546;7004451533</t>
  </si>
  <si>
    <t>Downing, H. A.;Jeanne, R. L.</t>
  </si>
  <si>
    <t>Madison</t>
  </si>
  <si>
    <t>University of Wisconsin-Madison</t>
  </si>
  <si>
    <t>Downing H.</t>
  </si>
  <si>
    <t>The regulation of complex building behaviour in the paper wasp, Polistes fuscatus (Insecta, Hymenoptera, Vespidae)</t>
  </si>
  <si>
    <t>S0003347205807316</t>
  </si>
  <si>
    <t>10.1016/S0003-3472(05)80731-6</t>
  </si>
  <si>
    <t>2-s2.0-0025262493</t>
  </si>
  <si>
    <t>['wave resonances', 'real part', 'microstrip antenna', 'finite width', 'exchange solution', 'dips near', 'calculated taking']</t>
  </si>
  <si>
    <t>The problem of the excitation of dipole-exchange spin waves in a tangentially magnetized thin ferromagnetic film with an infinite current filament, parallel to the field, is solved. The radiation impedance per unit length of a microstrip antenna of finite width is calculated taking into account the dissipation in the film. It is shown that the real part of the impedance has dips near the frequencies of the spin-wave resonances, while the imaginary part exhibits sharp oscillations about some smooth curve corresponding to the zero-exchange solution.</t>
  </si>
  <si>
    <t>47-53</t>
  </si>
  <si>
    <t>Gol'dberg, L. B.</t>
  </si>
  <si>
    <t>Gol'dberg L.</t>
  </si>
  <si>
    <t>Exchange oscillations of the radiation impedance of surface magnetostatic waves</t>
  </si>
  <si>
    <t>2-s2.0-0025263260</t>
  </si>
  <si>
    <t>['vector analyses', 'translates past', 'time sequence', 'synchronous satellite', 'spherical earth', 'specified point', 'radiometric antenna', 'nonspherical earth', 'mechanically scanned', 'illustrated using', 'given point', 'footprint contour', 'determine whether', 'described along', 'antenna scans', 'antenna pattern']</t>
  </si>
  <si>
    <t>antenna footprints | Microwave/millimeter-wave systems | RF calibration</t>
  </si>
  <si>
    <t>Projections of antenna pattern characteristics from a satellite in circular orbit onto the earth's surface, referred to as footprints, are derived using vector analyses. These vector analyses are described along with a winding number approach used to determine whether a given point on the earth's surface lies within the footprint contour. The utility of this program is illustrated using a sun-synchronous satellite and a radiometric antenna that is mechanically scanned at a constant offset angle about the satellite nadir axis. The time sequence of the antenna pattern as the antenna scans and translates past a specified point on the earth's surface can be generated. This program has the generality to illustrate the effects of satellite attitude variations on the footprint contour. In addition, footprints for a nonspherical earth are contrasted with those for a spherical earth. ¬© 1990 IEEE</t>
  </si>
  <si>
    <t>117-122</t>
  </si>
  <si>
    <t>Ott, Randolph H.</t>
  </si>
  <si>
    <t>Ott R.</t>
  </si>
  <si>
    <t>Vector Analysis and Satellite Footprints</t>
  </si>
  <si>
    <t>10.1109/36.45754</t>
  </si>
  <si>
    <t>2-s2.0-0025263559</t>
  </si>
  <si>
    <t>N01-CM-87245a</t>
  </si>
  <si>
    <t>['within sets', 'stirred continuously', 'standard bsd', 'several quasi', 'rights reserved', 'reflected power', 'range 7', 'microwave antennas', 'insertion depth', 'insertion data', 'heating efficiency', 'efficiency varies', 'data obtained', 'ctc models', 'ctc antennas', 'antenna efficiency', 'adiabatic calorimeters', '915 mhz', '16 cm']</t>
  </si>
  <si>
    <t>Several quasi-adiabatic calorimeters have been constructed for determining the heating efficiency of microwave antennas. The absorber is 0-9% saline which is stirred continuously, making equilibration times short (several seconds). Depth of insertion data have been obtained for standard BSD and CTC antennas at 915 MHz. Efficiency varies only slightly with insertion depth in the range 7-16 cm and can be as high as 65% At shallower depths efficiency drops off, while reflected power and leakage fields increase. Data obtained in site visits conducted by the Hyperthermia Physics Center show that antenna efficiency of the BSD and CTC models can vary by as much as 35% within sets of functional 'identical' antennas. ¬© 1990 Informa UK Ltd All rights reserved: reproduction in whole or part not permitted.</t>
  </si>
  <si>
    <t>655-663</t>
  </si>
  <si>
    <t>60008883;60008883;60008883;60025500</t>
  </si>
  <si>
    <t>7401870192;36719415300;7005395085;6602318596</t>
  </si>
  <si>
    <t>Wilkinson, D. A.;Saylor, T. K.;Shrivastava, P. N.;Werts, E. D.</t>
  </si>
  <si>
    <t>Pittsburgh;Pittsburgh</t>
  </si>
  <si>
    <t>Allegheny General Hospital;Allegheny-Singer Research Institute</t>
  </si>
  <si>
    <t>60025500;60008883</t>
  </si>
  <si>
    <t>Wilkinson D.</t>
  </si>
  <si>
    <t>Calorimetric evaluation of antennas used for microwave interstitial hyperthermia</t>
  </si>
  <si>
    <t>10.3109/02656739009140961</t>
  </si>
  <si>
    <t>2-s2.0-0025277439</t>
  </si>
  <si>
    <t>['¬© 1990', 'tubulinc sub', 'smooth outlines', 'routine fixation', 'reproducible results', 'peripheral tissues', 'peripheral region', 'one mechanoreceptor', 'one chemoreceptor', 'one chemo', 'less destroying', 'large ice', 'good cryofixation', 'fine details', 'electron microscopy', 'different appearance', 'cryofixation succeeds', 'cryofixation appear', 'complementary techniques', 'chemical fixation', 'central zone', 'achieved preservation']</t>
  </si>
  <si>
    <t>cavernicolous coleoptera | chemoreceptors | cryofixation | Mechanoreceptors | ultrastructure</t>
  </si>
  <si>
    <t>Three different sensory organs (one mechanoreceptor, one chemoreceptor and one chemo-mechanoreceptor) of the antennae of the cavernicolous Coleoptera Speonomus hydrophilus and S. zophosinus have been compared by means of electron microscopy after chemical fixation or cryofixation without cryoprotectant; when cryofixation succeeds, cells and organelles have a different appearance from the chemically fixed ones: they have rounded and smooth outlines and are more electron-dense; some very fine details, such as tubulinc sub-units of microtubules, are perceptible after cryofixation only. However, chemical fixation gives much more reproducible results than cryofixation; moreover, when good cryofixation is achieved preservation of cells and organelles is satisfactory only for the peripheral region; large ice-crystals more or less destroying the central zone, except the nerves. In short, chemical fixation and cryofixation appear as complementary techniques: chemical fixation must be used as a routine fixation and cryofixation when specially good cell and molecular preservation must be achieved for peripheral tissues only. ¬© 1990.</t>
  </si>
  <si>
    <t>245-258</t>
  </si>
  <si>
    <t>Crouau, Y.</t>
  </si>
  <si>
    <t>France</t>
  </si>
  <si>
    <t>Saint-Girons</t>
  </si>
  <si>
    <t>Laboratoire souterrain du CNRS</t>
  </si>
  <si>
    <t>Crouau Y.</t>
  </si>
  <si>
    <t>Sensory organs in a cavernicolous insect after cryofixation without cryoprotectants: A comparative ultrastructural study</t>
  </si>
  <si>
    <t>10.1016/0040-8166(90)90027-7</t>
  </si>
  <si>
    <t>2-s2.0-0025282097</t>
  </si>
  <si>
    <t>['¬© 1990', 'small amplitude', 'simulated data', 'rights reserved', 'reverse processes', 'resolved earlier', 'rate constants', 'potential long', 'particular emphasis', 'live longer', 'ii centers', 'green algae', 'distinguishable kinetically', 'data suggest', 'critically examined', 'critical examination', 'closed photosystem', 'charge separation', 'biophysical society', '1 ns', '1 %.']</t>
  </si>
  <si>
    <t>The concept of a relaxed radical pair state in closed photosystem (PS) II centers (first quinone acceptor reduced) is critically examined on the basis of chlorophyll fluorescence decay data of the green alga Scenedesmus obliquus. Global analysis resulting in the decay-associated fluorescence spectra from closed PS II centers reveals a new PS II lifetime component (œÑ ‚âà 380 ps) in addition to two PS II components (œÑ ‚àº 1.3 and 2.1 ns) resolved earlier. Particular emphasis was given to resolve a potential long-lived (‚àº 10 ns) component of small amplitude; however, the longest lifetime found is only 2.1 ns. From comparison of experimental and simulated data we conclude that the maximum relative amplitude of such a potential long-lived component must be &lt;0.1%. The PS II kinetics are analyzed in terms of a three-state model involving an antenna/reaction center excited state, a primary radical pair state, and a relaxed radical pair state. The rate constants for charge separation and presumed radical pair relaxation as well as those for the reverse processes are calculated. Critical examination of these results leads us to exclude the formation with high yield (&gt; 15%) of a long-lived (œÑ ‚â• 3 ns) relaxed radical pair in closed PS II. If at all distinguishable kinetically and energetically from the primary radical pair, a relaxed radical pair would not live longer than 2‚Äì3 ns in green algae. The data suggest, however, that the concept of a long-lived relaxed radical pair state is inappropriate for intact PS II. ¬© 1990, The Biophysical Society. All rights reserved.</t>
  </si>
  <si>
    <t>1141-1153</t>
  </si>
  <si>
    <t>Biophysical Journal</t>
  </si>
  <si>
    <t>60072285;60072285</t>
  </si>
  <si>
    <t>55885753800;35501122300</t>
  </si>
  <si>
    <t>Roelofs, Theo A.;Holzwarth, Alfred R.</t>
  </si>
  <si>
    <t>Mulheim an der Ruhr</t>
  </si>
  <si>
    <t>Max Planck Institute for Chemical Energy Conversion</t>
  </si>
  <si>
    <t>Roelofs T.</t>
  </si>
  <si>
    <t>In search of a putative long-lived relaxed radical pair state in closed photosystem II: Kinetic modeling of picosecond fluorescence data</t>
  </si>
  <si>
    <t>S0006349590826345</t>
  </si>
  <si>
    <t>10.1016/S0006-3495(90)82634-5</t>
  </si>
  <si>
    <t>2-s2.0-0025293698</t>
  </si>
  <si>
    <t>['¬© 1990', 'unaccelerated ).', 'speed profile', 'source velocity', 'source transmits', 'source motion', 'simulation results', 'rights reserved', 'omnidirectional receiver', 'modes involved', 'horizontally stratified', 'domain interpretation', 'continuous wave', 'coherent modes', 'arbitrary sound', 'acoustical society', '1985 )].']</t>
  </si>
  <si>
    <t>In this paper, a method for estimating the source velocity from the acoustic signal field propagating in a dispersive oceanic waveguide is presented. The signal is observed at an omnidirectional receiver in the presence of additive white noise. The source transmits a continuous wave (cw) signal, and the source motion is assumed to be uniform (unaccelerated). The ocean is modeled as a waveguide that is horizontally stratified with an arbitrary sound-speed profile in the vertical. The acoustic field generated by a moving point source in terms of normal modes predicts that each mode has a different Doppler shift, which contrasts with a single Doppler shift in a homogeneous unbounded medium. The modes are considered to remain phase locked with each other, i.e., coherent. The source velocity, including the number of modes involved, can be estimated through resolving modal Doppler shifts. The method is a time-domain interpretation of a recently developed eigenstructure technique for a multitarget direction finding with passive antenna arrays, in conjunction with a smoothing preprocessing scheme to deal with coherent modes [Shan et al., IEEE Trans. Acoust. Speech Signal Process. ASSP-33, 806‚Äì811 (1985)]. Simulation results that illustrate the performance of the method are presented. ¬© 1990, Acoustical Society of America. All rights reserved.</t>
  </si>
  <si>
    <t>268-282</t>
  </si>
  <si>
    <t>Journal of the Acoustical Society of America</t>
  </si>
  <si>
    <t>60022195;60022195</t>
  </si>
  <si>
    <t>7404036752;7003519241</t>
  </si>
  <si>
    <t>Song, Hee Chun;Baggeroer, A. B.</t>
  </si>
  <si>
    <t>Cambridge</t>
  </si>
  <si>
    <t>Massachusetts Institute of Technology</t>
  </si>
  <si>
    <t>Song H.</t>
  </si>
  <si>
    <t>The resolution of modal Doppler shifts in a dispersive oceanic waveguide</t>
  </si>
  <si>
    <t>10.1121/1.399949</t>
  </si>
  <si>
    <t>2-s2.0-0025294554</t>
  </si>
  <si>
    <t>['tumor cells', 'triggering ability', 'terminal residues', 'superoxide release', 'suggesting substitution', 'resistant mutation', 'recognition sites', 'high stimulant', 'glycosidic glycosylation', 'glycosidic carbohydrates', 'findings suggest', 'competitive inhibition', 'cellular interaction', 'cell contact', 'binding capacity', '1 cells']</t>
  </si>
  <si>
    <t>Cell-to-cell contact between macrophages and tumor cells is an important initial reaction in a host defense mechanism against tumor cells. The authors have studied cell surface components of human esophageal carcinoma cells recognized by macrophages. Superoxide release from THP-1 cells, a human macrophage cell line, was analyzed in their interaction with a battery of human squamous cell carcinoma cell lines (TE) originated from esophageal cancer patients. The macrophage-triggering ability of TE 1 cell line, a high stimulant, was reduced after treatment with trypsin or tunicamycin, an inhibitor of N-glycosidic glycosylation. Addition of monosaccharides was efficient in competitive inhibition of these cellular interaction. Moreover, con-A-resistant mutation of TE 1 cells was found to reduce their macrophage-triggering ability, associated with increase of L-PHA-binding capacity, suggesting substitution to the GlcNAc Œ≤(1 ‚Üí 6)-linked lactosamine antenna in N-glycosidic carbohydrates. These findings suggest that terminal residues of N-glycosidic carbohydrates on some esophageal carcinoma cells may contribute to the recognition sites of macrophages.</t>
  </si>
  <si>
    <t>393-401</t>
  </si>
  <si>
    <t>60016416;60016416;60016416;60016416;60016416;60016416;60016416</t>
  </si>
  <si>
    <t>16192360800;35407718800;7203003992;57195569663;6603302259;55725690700;7004292522</t>
  </si>
  <si>
    <t>Takano, R.;Nose, M.;Kanno, H.;Nishihira, T.;Hiraizumi, S.;Kobata, A.;Kyogoku, M.</t>
  </si>
  <si>
    <t>Recognition of N-glycosidic carbohydrates on esophageal carcinoma cells by macrophage cell line THP-1</t>
  </si>
  <si>
    <t>2-s2.0-0025301369</t>
  </si>
  <si>
    <t>['steric orientation', 'possible formation', 'nonpolar solutions', 'important role', 'given type', 'data suggest', 'cd bands', 'approximately 4']</t>
  </si>
  <si>
    <t>The 2, 3, 4, 6‚ÄêTetra‚ÄêO‚Äêacetyl‚ÄêŒ≤‚ÄêD‚Äêgluco‚Äê, and Œ≤‚ÄêD‚Äêgalactopyranosides, as well as approximately 4 : 1 anomeric mixtures of Œ±‚Äê and Œ≤‚Äêmannopyranosides of Boc‚ÄêX‚ÄêY‚ÄêNHCH3 dipeptides (X‚ÄêY = Pro‚ÄêSer, Pro‚ÄêD‚ÄêSer, Val‚ÄêSer, Val‚ÄêD‚ÄêSer, and Gly‚ÄêSer) have been synthesized. CD and ir spectroscopic studies were performed to characterize the conformation of the glycosylated peptide backbone and examine the possible formation of intrapeptide and glycopeptide intramolecular H‚Äêbonds. It was found that O‚Äêglycosylated peptides containing a D‚Äêserine residue are likely to adopt a type II Œ≤‚Äêturn while those with the Pro‚ÄêSer or Val‚ÄêSer sequence feature a type I(III) Œ≤‚Äêturn in solution. Glycosylation also increases the magnitude of the CD bands, characteristic of the given type of Œ≤‚Äêturns, which can be interpreted as an indication of the stablization of the folded backbone conformation. Infrared data showed that in nonpolar solutions the peracetyl glycopeptides adopt both single‚Äê and double H‚Äêbonded conformations whose ratio, in some cases, depends on the position at C‚Äê2‚Ä≤ of the H‚Äêbond acceptor acetoxy group. These data suggest that five‚Äê, seven‚Äê, or ten‚Äêmembered glyco‚Äêturns may play an important role in fixing the steric orientation of the carbohydrate antennae systems in glycoproteins. Copyright ¬© 1990 John Wiley &amp; Sons, Inc.</t>
  </si>
  <si>
    <t>1549-1564</t>
  </si>
  <si>
    <t>Biopolymers</t>
  </si>
  <si>
    <t>October ‚Äê November 1990</t>
  </si>
  <si>
    <t>60025187-60016247;60025187-60016247;60025187-60016247</t>
  </si>
  <si>
    <t>7006250277;7006347313;7004921735</t>
  </si>
  <si>
    <t>Hollosi, M.;Perczel, A.;Fasman, G. D.</t>
  </si>
  <si>
    <t>Hungary;United States</t>
  </si>
  <si>
    <t>Budapest;Waltham</t>
  </si>
  <si>
    <t>E√∂tv√∂s Lor√°nd Tudom√°nyegyetem;Brandeis University</t>
  </si>
  <si>
    <t>60025187;60016247</t>
  </si>
  <si>
    <t>Hollosi M.</t>
  </si>
  <si>
    <t>Cooperativity of carbohydrate moiety orientation and Œ≤‚Äê turn stability is determined by intramolecular hydrogen bonds in protected glycopeptide models</t>
  </si>
  <si>
    <t>10.1002/bip.360291206</t>
  </si>
  <si>
    <t>2-s2.0-0025302789</t>
  </si>
  <si>
    <t>['¬© 1990', 'type larvae', 'type hosts', 'type controls', 'transplanted early', 'third chromosome', 'stages tested', 'separated vesicles', 'results suggest', 'overgrowth alleles', 'overgrowing discs', 'one allele', 'normal disc', 'normal development', 'mutant larvae', 'missing eyes', 'mediated communication', 'intrinsic limit', 'intercellular transfer', 'incomplete coupling', 'imaginal discs', 'homozygous cause', 'heteroallelic combinations', 'heteroallelic combination', 'growth control', 'grow beyond', 'gap junction', 'egg laying', 'dye coupling', 'duplicated antennae', 'drosophila melanogaster', 'dramatically reduced', 'discs overgrown', 'dcole88 ),', 'dco3 dco18', 'dco2 dco3', 'dco genotypes', 'characteristic syndrome', 'certain conditions', 'cell interactions', 'cause overgrowth', 'autonomous effect', 'animals show', '9 days', '4 days']</t>
  </si>
  <si>
    <t>The lethal(3)discs overgrown (dco) locus of Drosophila melanogaster, located on the third chromosome at cytogenetic position 100A5,6-100B1,2, is necessary for normal development and growth control in the imaginal discs of the larva. Three recessive lethal alleles (dco2, dco3, and dco18) in heteroallelic combinations and one allele (dco3) when homozygous cause the imaginal discs to continue to grow beyond the normal disc-intrinsic limit during an extended larval period. Some degeneration also occurs in the overgrowing discs. The discs overgrow even when transplanted early in their development into wild-type hosts, whereas normal discs stop growth at about the normal final size under such conditions, indicating that the overgrowth is a disc-autonomous effect of the mutations. During overgrowth the imaginal discs retain their single-layered epithelial structure except near regions of degeneration, and they differentiate into disc-appropriate but abnormal adult structures when transplanted into wild-type larval hosts. When the mutant larvae are reared under certain conditions a small percentage develop to the pharate adult stage, and these animals show a characteristic syndrome of abnormalities including swollen leg segments with many extra bristles, small or missing eyes, duplicated antennae and palpi, and separated vesicles of cuticle. A fourth recessive lethal allele (dcole88), when homozygous or in heteroallelic combination with the overgrowth alleles, causes the imaginal discs to degenerate, producing a "discless" phenotype. Gap junction-mediated communication was assayed by observing the intercellular transfer of injected fluorescein complexon (dye coupling). Dye coupling in the imaginal discs of the dco genotypes that cause overgrowth was dramatically reduced at 4 days after egg laying (AEL) compared with wild-type controls. Coupling was more normal although still significantly reduced at 7-8 and 12-14 days AEL. In c43hs1, another disc overgrowth mutant, the imaginal disc cells also showed very reduced dye coupling at 4 days and incomplete coupling at 9 days. In contrast, discs from wild-type larvae, two other imaginal disc overgrowth mutants, and a cell death mutant showed extensive dye coupling at all stages tested. Electron microscopic morphometry revealed a reduction in gap-junction length per unit lateral plasma membrane length in dco3 dco18 and c43hs1 wing discs, although not in dco2 dco3, compared with wild-type wing discs. The results suggest that gap-junctional cell communication may be involved in the cell interactions that limit cell proliferation in vivo. ¬© 1990.</t>
  </si>
  <si>
    <t>413-429</t>
  </si>
  <si>
    <t>Developmental Biology</t>
  </si>
  <si>
    <t>60007278;60007278;60021285;60009667;60007278</t>
  </si>
  <si>
    <t>6506384735;7201735128;6701823742;7003270034;7202903441</t>
  </si>
  <si>
    <t>Jursnich, Victoria A.;Fraser, Scott E.;Held, Lewis I.;Ryerse, Jan;Bryant, Peter J.</t>
  </si>
  <si>
    <t>United States;United States;United States</t>
  </si>
  <si>
    <t>Lubbock;;Irvine</t>
  </si>
  <si>
    <t>Texas Tech University;St. Louis University Medical Center;University of California, Irvine</t>
  </si>
  <si>
    <t>60021285;60009667;60007278</t>
  </si>
  <si>
    <t>Jursnich V.</t>
  </si>
  <si>
    <t>Defective gap-junctional communication associated with imaginal disc overgrowth and degeneration caused by mutations of the dco gene in Drosophila</t>
  </si>
  <si>
    <t>10.1016/0012-1606(90)90090-6</t>
  </si>
  <si>
    <t>2-s2.0-0025331713</t>
  </si>
  <si>
    <t>['tumour size', 'therapeutic temperature', 'subsequently approximated', 'rights reserved', 'performance characteristics', 'patients treated', 'given tumour', 'first step', 'extremely important', 'evaluated according', 'dimensional sar', 'appropriate selection', 'applicators used', 'adequate coverage', 'accurate knowledge', '3 cm']</t>
  </si>
  <si>
    <t>Applicators | Hyperthermia | Quality assurance</t>
  </si>
  <si>
    <t>Analysis of the results from recent clinical trials has shown that tumour size is a significant prognostic factor in eventual tumour control in patients treated with thermoradiotherapy. The critical issue appears to be the adequate coverage of hyperthermia target volume with therapeutic temperature. Therefore one must choose appropriate applicators for the treatment of a given tumour. Accurate knowledge of performance characteristics of the applicators used in clinics thus becomes crucial. In an attempt to take the first step for the appropriate selection of applicators in clinics several commonly used applicators were evaluated according to their 75% 50% and 25% two-dimensional SAR (specific absorption rate) contours at depths of 1-3 cm. The data were subsequently approximated by rectangles. This type of information, even with its limitations, is extremely important in implementing quality assurance in hyperthermia. In this communication we will present such information, and the implications in current hyperthermia clinical trials will be discussed. ¬© 1990 Informa UK Ltd All rights reserved: reproduction in whole or part not permitted.</t>
  </si>
  <si>
    <t>665-670</t>
  </si>
  <si>
    <t>60006263;60006263;60006263;60006263</t>
  </si>
  <si>
    <t>55630217100;7005939118;35400466600;7004588237</t>
  </si>
  <si>
    <t>Straube, W. L.;Myerson, R. J.;Emami, B.;Leybovich, L. B.</t>
  </si>
  <si>
    <t>St. Louis</t>
  </si>
  <si>
    <t>Washington University School of Medicine in St. Louis, Mallinckrodt Institute of Radiology</t>
  </si>
  <si>
    <t>Straube W.</t>
  </si>
  <si>
    <t>SAR patterns of external 915 MHz microwave applicators</t>
  </si>
  <si>
    <t>10.3109/02656739009140962</t>
  </si>
  <si>
    <t>2-s2.0-0025332768</t>
  </si>
  <si>
    <t>['¬© 1990', 'well matched', 'water vapor', 'upward steps', 'upward hr', 'steps produced', 'simultaneous reactions', 'shaped sensillum', 'roughly 5', 'rights reserved', 'result demonstrates', 'resolving power', 'relative humidity', 'receptor may', 'raising pw', 'quantitative rises', 'partial pressure', 'moistair cell', 'independent sensitivities', 'impulse frequency', 'either lead', 'could well', 'changing either', 'changes elicit', 'carausius responds', 'better construed', 'antennal mound', 'air cells', 'air cell', '55 %,', '5 ).', '4 ).', '3 ).', '3 %.']</t>
  </si>
  <si>
    <t>Hygroreceptor | Receptor cell | Response to humidity change | Response to temperature change | Stick insect</t>
  </si>
  <si>
    <t>The moist-air sensory cell in the antennal mound-shaped sensillum of Carausius responds to changes in relative humidity brought about by changing either the temperature (T) of the air or the partial pressure of water vapor (Pw) (Figs. 1, 5). When changes in either parameter cause relative humidity (Hr) to rise between roughly 5% and 55%, the same Hr-changes elicit very close to the same responses, no matter how Hr is changed (Figs. 2, 3). Even the resolving power for upward Hr-steps produced by lowering T is very close to that produced by raising Pw: 7.4% vs. 6.3%. Thus upward transients in impulse frequency (F) may be read off directly as quantitative rises in Hr. Whether the rise in Hr as signalled by the moist-air cell is the result of a rise in Pw or of a drop in T could well be indicated by the simultaneous reactions of the cold and dry-air cells (Figs. 1, 5). The moist-air cell also reacts to downward step changes in Hr, but very differently, depending on how they are brought about. Upward steps in T have a much larger effect on F than corresponding downward steps in Pw (Fig. 4). This result demonstrates that changes in relative humidity do not suffice to explain the changes in the activity of the moist-air cell. The receptor may be better construed as bimodal, reacting to changes in T and Pw with independent sensitivities and well matched to relative humidity when changes in either lead to increases in this parameter. The moistair cell's responses to T-steps at Pw = 0 (Figs. 1, 5) offer some support for this interpretation. ¬© 1990, Springer-Verlag. All rights reserved.</t>
  </si>
  <si>
    <t>507-516</t>
  </si>
  <si>
    <t>Journal of Comparative Physiology A: Sensory, Neural and Behavioral Physiology</t>
  </si>
  <si>
    <t>60069038;60030807</t>
  </si>
  <si>
    <t>56249960300;7003421668</t>
  </si>
  <si>
    <t>Tichy, Harald;Loftus, Richard</t>
  </si>
  <si>
    <t>Austria;Germany</t>
  </si>
  <si>
    <t>Vienna;Regensburg</t>
  </si>
  <si>
    <t>University of Vienna Institute of Zoology;Universit√§t Regensburg</t>
  </si>
  <si>
    <t>Tichy H.</t>
  </si>
  <si>
    <t>Response of moist-air receptor on antenna of the stick insect, Carausius morosus, to step changes in temperature</t>
  </si>
  <si>
    <t>10.1007/BF00192021</t>
  </si>
  <si>
    <t>2-s2.0-0025338933</t>
  </si>
  <si>
    <t>['unpaired spins', 'target theory', 'target size', 'rhodospirillum rubrum', 'radiation inactivation', 'photoreaction center', 'observed relationship', 'monomeric bacteriochlorophyll', 'model according', 'linewidth narrowing', 'linewidth broadening', 'hexameric structure', 'g signal', 'epr signal', 'epr linewidth', 'elementary structure', 'different doses', 'considerably narrower', 'best fit', '5 kda']</t>
  </si>
  <si>
    <t>Antenna proteins | Bacterial photosynthesis | Bacteriochlorophyll</t>
  </si>
  <si>
    <t>Oxidation of the B880 antenna holochrome gives rise to a 3.8-G linewidth electron paramagnetic resonance (EPR) signal that is considerably narrower than the 13-G signal of monomeric bacteriochlorophyll (Bchl) cation. Radiation inactivation was used to verify a model according to which this linewidth narrowing is due to delocalization over several Bchl molecules. Chromatophores of the photoreaction centerless mutant F24 of Rhodospirillum rubrum were subjected to different doses of Œ≥-radiation. This induced not only a decay of the EPR signal amplitude but also its linewidth broadening. According to target theory, the induced amplitude decay of the EPR signal had a target size of 10.5 kDa. This is attributed to an elementary structure (Œ±1Œ≤1Bchl2), whose number in the membrane would limit the rate of encounter with ferricyanide and thus the formation of unpaired spins. We applied Bernoulli statistics to predict, for a given survival probability of the signal, the number of surviving elementary structures in aggregates of (Œ±1Œ≤1Bchl2)n where n was varied from 4 to 7. Using an equation that predicted the Bchl special pair in the photoreaction center, we were able to simulate the observed relationship between the EPR linewidth and the dose of radiation. The best fit was obtained with a hexameric structure (Œ±1Œ≤1Bchl2)6.</t>
  </si>
  <si>
    <t>3405-3409</t>
  </si>
  <si>
    <t>Proceedings of the National Academy of Sciences of the United States of America</t>
  </si>
  <si>
    <t>60009507;60009507-60010939</t>
  </si>
  <si>
    <t>7006937587;56259745200</t>
  </si>
  <si>
    <t>Gingras, Gabriel;Picorel, Rafael</t>
  </si>
  <si>
    <t>Spain;Canada</t>
  </si>
  <si>
    <t>Zaragoza;Montreal</t>
  </si>
  <si>
    <t>CSIC - Estacion Experimental de Aula Dei EEAD;University of Montreal</t>
  </si>
  <si>
    <t>60010939;60009507</t>
  </si>
  <si>
    <t>Gingras G.</t>
  </si>
  <si>
    <t>Supramolecular arrangement of Rhodospirillum rubrum B880 holochrome as studied by radiation inactivation and electron paramagnetic resonance</t>
  </si>
  <si>
    <t>10.1073/pnas.87.9.3405</t>
  </si>
  <si>
    <t>2-s2.0-0025339376</t>
  </si>
  <si>
    <t>['¬© 1990', 'tracheal bundles', 'sensillogenic stripes', 'sensillogenic epithelium', 'sensilla chaetica', 'segmentally arranged', 'pupal phase', 'pupal cuticle', 'oxygen via', 'numerous dark', 'morphologically uniform', 'innermost layers', 'epidermis retracts', 'elongated cells', 'early sensilla', 'distal edges', 'central stem', 'areas arranged', 'antennal lumen', 'antennal blade', 'altogether carry', 'alternating thick']</t>
  </si>
  <si>
    <t>Antenna | Antheruea polyphemus | epidermal feet | metamorphosis | sensilla</t>
  </si>
  <si>
    <t>The antenna of the male silkmoth Antheraea polyphemus is a featherlike structure consisting of a central stem and ca. 120 side branches, which altogether carry about 70,000 olfactory sensilla. We investigate the development during the pupal phase. At the end of diapause, the antennal rudiment consists of a leaf-shaped, one-layered epidermal sac. It is supplied with oxygen via a central main trachea, which gives off numerous thin side branches. These are segmentally arranged into bundles which run to the periphery of the antennal blade. When the epidermis retracts from the pupal cuticle (apolysis; stage 1), it consists of cells which are morphologically uniform. The epidermal cells form a network of long, irregular basal protrusions (epidermal feet), which crisscross the antennal lumen. During the first day post-apolysis (stage 2), the antennal epidermis differentiates into alternating thick 'sensillogenic' and thin 'non-sensillogenic' areas arranged in stripes which run in parallel to the tracheal bundles. Numerous dark, elongated cells, which might be the sensillar stem cells, are scattered in the sensillogenic epithelium. A number of very early sensilla has been found at the distal edges of the sensillogenic stripes in positions which later will be occupied by sensilla chaetica. The whole antennal blade is enveloped by the transparent ecdysial membrane, consisting of the innermost layers of the pupal cuticle which are detached during apolysis. ¬© 1990.</t>
  </si>
  <si>
    <t>319-336</t>
  </si>
  <si>
    <t>Keil, Thomas A.;Steiner, Cornelia</t>
  </si>
  <si>
    <t>Morphogenesis of the antenna of the male silkmoth, Antheraea polyphemus. I. The leaf-shaped antenna of the pupa from diapause to apolysis</t>
  </si>
  <si>
    <t>004081669090007V</t>
  </si>
  <si>
    <t>10.1016/0040-8166(90)90007-V</t>
  </si>
  <si>
    <t>2-s2.0-0025340757</t>
  </si>
  <si>
    <t>['¬© 1990', 'using amplitude', 'tumors due', 'section designs', 'section antennas', 'realistic evaluation', 'radiation characteristics', 'numerical results', 'interstitial antennas', 'electromagnetic energy', 'dimensional models', 'also described']</t>
  </si>
  <si>
    <t>Hyperthermia | Interstitial antennas | Microwave hyperthermia</t>
  </si>
  <si>
    <t>Effective and realistic evaluation of the performance of interstitial antennas for microwave hyperthermia involves: (a) calculations of the radiation characteristics of these antennas, including those of multi-section designs, and (b) the development of 3-dimensional models of tumors and the computation of the power deposition patterns in these tumors due to their irradiation by an array of interstitial antennas. In this paper, we address both of these issues. Specifically, we developed numerical models for calculating the radiation characteristics of multi-section insulated antennas, and we utilized a 3-dimensional model based on a volume integral equation formulation for calculating the power deposition pattern in tumors. Numerical results were verified by comparing them with experimental data available in the literature. New numerical data are presented to illustrate the advantages of multi-section designs over uniformly-insulated interstitial antennas and to show the feasibility of using amplitude and phase steering capabilities to control the power deposition patterns of an interstitial antenna array. The role of each section in a multi-section antenna design in guiding versus radiating the electromagnetic energy and hence in controlling the power deposition pattern of multi-section antennas is also described. ¬© 1990.</t>
  </si>
  <si>
    <t>895-902</t>
  </si>
  <si>
    <t>60025488;60025488;60025488</t>
  </si>
  <si>
    <t>34769915200;6506217456;7003923643</t>
  </si>
  <si>
    <t>Iskander, M. F.;Tumeh, A. M.;Furse, C. M.</t>
  </si>
  <si>
    <t>Salt Lake City</t>
  </si>
  <si>
    <t>The University of Utah</t>
  </si>
  <si>
    <t>Iskander M.</t>
  </si>
  <si>
    <t>Evaluation and optimization of the electromagnetic performance of interstitial antennas for hyperthermia</t>
  </si>
  <si>
    <t>0360-3016(90)90414-F</t>
  </si>
  <si>
    <t>10.1016/0360-3016(90)90414-F</t>
  </si>
  <si>
    <t>2-s2.0-0025366784</t>
  </si>
  <si>
    <t>['¬© 1990', 'simultaneously fed', 'rights reserved', 'narrowed beam', 'loop element', 'electrical engineers', 'axial ratio', '3 db']</t>
  </si>
  <si>
    <t>Antenna arrays | Antennas | Polarisation</t>
  </si>
  <si>
    <t>An array antenna consisting of dual-loop slot elements with a simple feeding system is realised. Each dual-loop element has two loop slots that are simultaneously fed by a single triplate transmission line. A narrowed beam, of circular pol arisation, with an axial ratio of less than 3 dB, is obtained over a 3% bandwidth. The measured radiation pattern agrees well with a pattern calculated using array theory. ¬© 1990, The Institution of Electrical Engineers. All rights reserved.</t>
  </si>
  <si>
    <t>179-180</t>
  </si>
  <si>
    <t>60030526;60030526;60030526</t>
  </si>
  <si>
    <t>7403255155;7202700200;55633340100</t>
  </si>
  <si>
    <t>Hirose, K.;Horiuchi, H.;Nakano, H.</t>
  </si>
  <si>
    <t>Hosei University</t>
  </si>
  <si>
    <t>Hirose K.</t>
  </si>
  <si>
    <t>Dual-Loop Slot Array Antenna Radiating Circularly Polarised Wave</t>
  </si>
  <si>
    <t>10.1049/el:19900121</t>
  </si>
  <si>
    <t>2-s2.0-0025383103</t>
  </si>
  <si>
    <t>['unity gain', 'two parts', 'square sense', 'set consists', 'second part', 'performance characteristics', 'order derivative', 'one approach', 'n orders', 'minimum mean', 'linear constraints', 'higher orders', 'generalised formulation', 'frequency response', 'frequency band', 'first part', 'centre frequency', 'array processor', 'additional set']</t>
  </si>
  <si>
    <t>A few techniques have been proposed for designing narrowband antenna array processors with a specific broadband capability. In one approach the array processor is designed by imposing on it a set of linear constraints. This set consists of two parts. In the first part, the processor is constrained to have unity gain in the desired look direction at the centre frequency of the frequency band of interest. In the second part, an additional set of linear constraints is used to ensure that the gradient (first-order derivative) of the frequency response of the processor can be approximated to zero, in the minimum mean-square sense, over a specific frequency band. In the paper, it is shown that this approach can be extended to higher orders (n orders) so that other (n - 1) sets of new linear constraints can be obtained. With the extended higher order constraints, a generalised formulation is arrived at for this class of constraints. Computer simulation results are given to show the performance characteristics of a higher order processor using linear array geometry.</t>
  </si>
  <si>
    <t>41-47</t>
  </si>
  <si>
    <t>IEE proceedings. Part F. Communications, radar and signal processing</t>
  </si>
  <si>
    <t>Feb</t>
  </si>
  <si>
    <t>Ng, B. P.</t>
  </si>
  <si>
    <t>Singapore Polytechnic</t>
  </si>
  <si>
    <t>Ng B.P.</t>
  </si>
  <si>
    <t>Generalised approach to the design of narrowband antenna array processors with broadband capability</t>
  </si>
  <si>
    <t>10.1049/ip-f-2.1990.0007</t>
  </si>
  <si>
    <t>2-s2.0-0025383139</t>
  </si>
  <si>
    <t>['¬© 1990', 'rights reserved', 'presented showing', 'locked loops', 'linear voltage', 'electrical engineers', 'beam steering']</t>
  </si>
  <si>
    <t>Antennas | Phase-locked loops</t>
  </si>
  <si>
    <t>Phase-locked loops can be used as linear voltage-controlled phase shifters for phased antenna arrays. Results are presented showing that they offer considerable flexibility, both in configuration and modes of control, in beam steering and other more complex beamforming applications. ¬© 1990, The Institution of Electrical Engineers. All rights reserved.</t>
  </si>
  <si>
    <t>165-166</t>
  </si>
  <si>
    <t>60022148;60031224</t>
  </si>
  <si>
    <t>35087329300;7102646794</t>
  </si>
  <si>
    <t>Brennan, P. V.;Houghton, A. W.</t>
  </si>
  <si>
    <t>Plymouth;London</t>
  </si>
  <si>
    <t>Royal Naval Engineering College;University College London</t>
  </si>
  <si>
    <t>60031224;60022148</t>
  </si>
  <si>
    <t>Phased Array Beam Steering using Phase-Locked Loops</t>
  </si>
  <si>
    <t>10.1049/el:19900112</t>
  </si>
  <si>
    <t>2-s2.0-0025383512</t>
  </si>
  <si>
    <t>['¬© 1990', 'several samples', 'rights reserved', 'magnetic current', 'high frequencies', 'good agreement', 'feed mechanism', 'electrical engineers', 'calculated data', 'applications involving', 'aperture coupling', 'antenna parameters']</t>
  </si>
  <si>
    <t>Antenna feeders | Antennas | Microstrip</t>
  </si>
  <si>
    <t>Aperture coupling is investigated as a feed mechanism for microstrip antenna elements. Using modal field expansion, and assuming that coupling is via a magnetic current in the aperture, calculated data on the antenna parameters are obtained. Several samples are manufactured, tested and practical design curves generated at 5.0 and 10GHz. Good agreement between theory and experiment is obtained. These new results extend the validity of the analysis at high frequencies and will be useful for design and applications involving this type of antenna. ¬© 1990, The Institution of Electrical Engineers. All rights reserved.</t>
  </si>
  <si>
    <t>224-225</t>
  </si>
  <si>
    <t>60026338;60026338;60018714;60018714</t>
  </si>
  <si>
    <t>6507501502;35566584200;57027512900;7004481899</t>
  </si>
  <si>
    <t>Oostlander, R.;Antar, Y. M.M.;Ittipiboon, A.;Cuhaci, M.</t>
  </si>
  <si>
    <t>Canada;Canada</t>
  </si>
  <si>
    <t>Kingston;Ottawa</t>
  </si>
  <si>
    <t>Royal Military College of Canada;Communications Research Centre</t>
  </si>
  <si>
    <t>60026338;60018714</t>
  </si>
  <si>
    <t>Oostlander R.</t>
  </si>
  <si>
    <t>Aperture coupled microstrip antenna element design</t>
  </si>
  <si>
    <t>10.1049/el:19900151</t>
  </si>
  <si>
    <t>2-s2.0-0025383684</t>
  </si>
  <si>
    <t>['¬© 1990', 'specified frequency', 'rights reserved', 'realised analytically', 'oscillator configuration', 'ne71000 chip', 'load element', 'letter demonstrates', 'given mesfet', 'explicit equations', 'electrical engineers', 'circuit operated', 'active device', '2 ghz']</t>
  </si>
  <si>
    <t>Antennas | Microstrip | Optimisation | Oscillators</t>
  </si>
  <si>
    <t>This letter demonstrates a technique for the synthesis of a new integrated active radiating element topology. The approach adopted uses a microwave MESFET operating in large signal mode as the active device in an oscillator configuration. The oscillator has as its parallel feedback element and load element a microstrip patch antenna. The synthesis approach developed in this paper uses numerical optimisation to find the optimum terminal voltages for a given MESFET at a specified frequency. A set of explicit equations are presented in terms of these optimum terminal voltages. These allow the active radiating element terminations to be realised analytically. An NE71000 chip is used as the active device in the active radiating element circuit. Construction is on RT Duriod 5880 and the circuit operated at 10.2 GHz with 30 mW power delivered to the antenna. ¬© 1990, The Institution of Electrical Engineers. All rights reserved.</t>
  </si>
  <si>
    <t>263-264</t>
  </si>
  <si>
    <t>60029738;60029738</t>
  </si>
  <si>
    <t>7102894931;7005606579</t>
  </si>
  <si>
    <t>Fusco, V. F.;Burns, H. O.</t>
  </si>
  <si>
    <t>Belfast</t>
  </si>
  <si>
    <t>Queen's University Belfast</t>
  </si>
  <si>
    <t>Fusco V.</t>
  </si>
  <si>
    <t>Synthesis procedure for active integrated radiating elements</t>
  </si>
  <si>
    <t>10.1049/el:19900175</t>
  </si>
  <si>
    <t>2-s2.0-0025383685</t>
  </si>
  <si>
    <t>['toroidal field', 'small devices', 'second experiment', 'screen elements', 'rf fields', 'reversed field', 'results indicate', 'qualitatively reproduce', 'practically aligned', 'possible mechanisms', 'plasma edge', 'plasma coupling', 'particular relevance', 'observed differences', 'observed difference', 'normal field', 'magnetic field', 'impurity influx', 'icrf antennas', 'heating efficiency', 'first experiment', 'experimental results', 'dimensional single', 'coupling resistance', 'clear differences', 'arbitrary angle', 'antenna structures', '25 ¬∞.']</t>
  </si>
  <si>
    <t>Two comparative heating experiments were carried out to test the role of the antenna screen angle during high power ICRF heating in JET. In the first experiment the magnetic field was practically aligned with the screen elements, whereas in the second experiment the toroidal field was reversed and the angle between the elements and the field was 25¬∞. There were clear differences in the impurity influx, the heating efficiency and the coupling resistance between discharges with normal field and discharges with reversed field. The results indicate the impact of the Faraday screen design on the levels of RF enhanced metal influxes originating at the screen. This should be of particular relevance for the ICRF antennas in a reactor where, in contrast to small devices, most of the interaction between the RF fields and the plasma edge is expected to take place around the antenna structures because of the highly localized RF field patterns. A numerical code based on three-dimensional single-pass and full wave calculations of antenna-plasma coupling, including an arbitrary angle between the screen elements and the magnetic field, can qualitatively reproduce the observed difference in the coupling resistance. The experimental results are discussed with regard to possible mechanisms that can account for the observed differences in the two cases studied. ¬© 1990 IOP Publishing Ltd.</t>
  </si>
  <si>
    <t>251-263</t>
  </si>
  <si>
    <t>Nuclear Fusion</t>
  </si>
  <si>
    <t>60025104;60025104;60025104;60026838</t>
  </si>
  <si>
    <t>57212335886;7005524697;7003994552;7005473290</t>
  </si>
  <si>
    <t>Bure≈°, M.;Jacquinot, J. J.;Start, D. F.H.;Brambilla, M.</t>
  </si>
  <si>
    <t>Germany;United Kingdom</t>
  </si>
  <si>
    <t>Garching bei Munchen;</t>
  </si>
  <si>
    <t>Max Planck Institute for Plasma Physics;EFDA-JET</t>
  </si>
  <si>
    <t>60026838;60025104</t>
  </si>
  <si>
    <t>Bure≈° M.</t>
  </si>
  <si>
    <t>Brambilla: Role of the antenna screen angle during ICRF heating in JET</t>
  </si>
  <si>
    <t>10.1088/0029-5515/30/2/005</t>
  </si>
  <si>
    <t>2-s2.0-0025383686</t>
  </si>
  <si>
    <t>['wave arrays', 'vibrant topic', 'operational aspects', 'material developments', 'innovative designs', 'experienced within', 'distant future', 'design freedom', 'currently reported', 'creative ideas', 'central themes', 'antenna technology']</t>
  </si>
  <si>
    <t>Innovative designs, novelty, and creative ideas, currently reported in the international antenna literature, are highlighted under the headings of elements, travelling-wave arrays, apertures, arrays, measurements, and material developments. Manufacturing and operational aspects are noted and the driving forces identified, while the extent to which antenna technology is mature, the role of research, and degrees of design freedom are central themes which are considered in some depth. Factors of influence and innovation, likely to be experienced within the next five years, are conjectured, together with some speculation for the more distant future. It is concluded that antenna technology will remain a vibrant topic, rich in creative ideas, as long as the system demands persist. Copyright ¬© 1990 by The Electrical and Electronics Engineers Inc.</t>
  </si>
  <si>
    <t>IEEE Antennas and Propagation Magazine</t>
  </si>
  <si>
    <t>James, James R.</t>
  </si>
  <si>
    <t>Swindon</t>
  </si>
  <si>
    <t>Defence College of Management and Technology</t>
  </si>
  <si>
    <t>James J.</t>
  </si>
  <si>
    <t>What's New in Antennas?</t>
  </si>
  <si>
    <t>10.1109/74.80462</t>
  </si>
  <si>
    <t>2-s2.0-0025383782</t>
  </si>
  <si>
    <t>['useful simplifications', 'theoretical equations', 'reasonable probabilities', 'paper examines', 'noncoherent integration', 'imaging radar', 'image produced', 'false alarm', 'expected performance', 'clutter ratios', '0 db']</t>
  </si>
  <si>
    <t>In a surveillance or imaging radar, both coherent and noncoherent integration or averaging can be used as a means to increase the signal-to-noise power ratio. The paper examines the expected performance of a simple airborne radar based on a fixed antenna phase differential (monopulse) radar which uses noncoherent integration of pulses. Theoretical equations which describe the effects of noncoherent pulse integration in classical radar analysis are extended to the case of a two-antenna phase monopulse radar. Useful simplifications to the probability density function of the output signal accrue when it is recognised that the image produced from such a radar is a digital image composed of discrete picture elements of range and azimuth. It is shown that, provided the signal-to-noise and signal-to-clutter ratios are above 0 dB, reasonable probabilities of detection and false alarm are possible.</t>
  </si>
  <si>
    <t>27-31</t>
  </si>
  <si>
    <t>60020585;60020585</t>
  </si>
  <si>
    <t>7005722470;7401958205</t>
  </si>
  <si>
    <t>Gough, P. T.;Long, D. T.</t>
  </si>
  <si>
    <t>New Zealand</t>
  </si>
  <si>
    <t>Christchurch</t>
  </si>
  <si>
    <t>University of Canterbury</t>
  </si>
  <si>
    <t>Gough P.T.</t>
  </si>
  <si>
    <t>Performance expectations of an airborne surveillance radar based on phase monopulse techniques</t>
  </si>
  <si>
    <t>10.1049/ip-f-2.1990.0005</t>
  </si>
  <si>
    <t>2-s2.0-0025383915</t>
  </si>
  <si>
    <t>NCR-8703435</t>
  </si>
  <si>
    <t>['voice terminals', 'upper bound', 'simple relation', 'downlink uses', 'delay characteristics', 'data traffic', 'data packets', 'channel access']</t>
  </si>
  <si>
    <t>A centralized integrated voice/data radio network for fading multipath indoor radio channels is proposed and analyzed. The packets of voice and data are integrated through a movable boundary method. The channel access in uplink is framed-polling protocol whereas the downlink uses a time division multiple access (TDMA) scheme. This system dynamically switches between two transmission rates and uses multiple antennas to maximize the throughput in the fading multipath indoor environment. Throughput and delay characteristics of the system are analyzed by using four different techniques. The results are compared with those of Monte Carlo computer simulations. A simple relation between the number of voice terminals and the throughput of the data traffic are derived for an upper bound of 10 ms delay for the data packets. ¬© 1990 IEEE</t>
  </si>
  <si>
    <t>75-82</t>
  </si>
  <si>
    <t>IEEE Transactions on Vehicular Technology</t>
  </si>
  <si>
    <t>60011410;60011410</t>
  </si>
  <si>
    <t>7404451524;35613861900</t>
  </si>
  <si>
    <t>Zhang, Ker;Pahlavan, Kaveh</t>
  </si>
  <si>
    <t>Worcester</t>
  </si>
  <si>
    <t>Worcester Polytechnic Institute</t>
  </si>
  <si>
    <t>Zhang K.</t>
  </si>
  <si>
    <t>An Integrated Voice/Data System for Mobile Indoor Radio Networks</t>
  </si>
  <si>
    <t>10.1109/25.54958</t>
  </si>
  <si>
    <t>2-s2.0-0025384086</t>
  </si>
  <si>
    <t>['¬© 1990', 'scan performance', 'satellite tracking', 'rights reserved', 'geostationary arc', 'feed movement', 'electrical engineers', 'earth stations', 'beam efficiency']</t>
  </si>
  <si>
    <t>Antennas | Multiple beams | Reflectors | Satellite links | Scanning antennas</t>
  </si>
  <si>
    <t>The performance of offset Cassegrain antennas, shaped to provide wide scan angles, is outlined for use in earth stations which are capable of accessing several satellites simultaneously. The effect on the beam efficiency of scanning over a rectangular-shaped coverage region located about the geostationary arc is described. Limitations on scan performance are discussed as is the effect of satellite tracking by feed movement. ¬© 1990, The Institution of Electrical Engineers. All rights reserved.</t>
  </si>
  <si>
    <t>228-230</t>
  </si>
  <si>
    <t>60030000;60030000</t>
  </si>
  <si>
    <t>7202832083;6603191208</t>
  </si>
  <si>
    <t>Bird, T. S.;Sprey, M. A.</t>
  </si>
  <si>
    <t>Sydney</t>
  </si>
  <si>
    <t>CSIRO Industrial Physics</t>
  </si>
  <si>
    <t>Bird T.</t>
  </si>
  <si>
    <t>Scan limitations of shaped dual-offset reflector antennas for multiple satellite access</t>
  </si>
  <si>
    <t>10.1049/el:19900154</t>
  </si>
  <si>
    <t>2-s2.0-0025384169</t>
  </si>
  <si>
    <t>['whether eqs', 'undergraduate electromagnetics', 'traditional sequence', 'statics followed', 'static fields', 'side benefit', 'quasistatic conduction', 'power line', 'particular solution', 'magnetization parallels', 'magnetic recording', 'lecture demonstrations', 'homogeneous solution', 'fully electrodynamic', 'examples taken', 'electrostatic precipitators', 'easily realized', 'chu formulation', 'charges induced', 'characteristic times', 'always dynamic']</t>
  </si>
  <si>
    <t>An approach to undergraduate electromagnetics is outlined that differs from the traditional sequence of statics followed by electrodynamics. The purpose is to capture student interest while teaching relatively simple fields by relating the topics to electric, magnetic, and electromagnetic device examples. This is done by addressing (electro- and magneto-) statics as quasistatics, so that the fields are always dynamic. A side benefit is that electro- and magneto-quasistatic (EQS and MQS) fields can be more easily realized and measured than static fields, allowing for a wealth of lecture demonstrations, some of which are described. The interaction of fields with matter is emphasized, with examples taken from electrostatic precipitators, the current and charges induced in a person by a power line, magnetic recording, magnetic (i.e., electric) motors, antennae, etc. The introduction of magnetization parallels that of polarization, using the Chu formulation of electrodynamics. The role of sources (responsible for the particular solution) and perfectly conducting boundaries (homogeneous solution) is brought out. The role of characteristic times and lengths in determining the nature of the field, whether EQS, MQS, quasistatic conduction, or fully electrodynamic, is explained. ¬© 1990 IEEE</t>
  </si>
  <si>
    <t>35-46</t>
  </si>
  <si>
    <t>IEEE Transactions on Education</t>
  </si>
  <si>
    <t>7101825638;7006926088</t>
  </si>
  <si>
    <t>Haus, Hermann A.;Melcher, James R.</t>
  </si>
  <si>
    <t>Haus H.</t>
  </si>
  <si>
    <t>Fields that are Always Dynamic</t>
  </si>
  <si>
    <t>10.1109/13.53625</t>
  </si>
  <si>
    <t>2-s2.0-0025384189</t>
  </si>
  <si>
    <t>['voltage response', 'paper describes', 'numerical results', 'moments program', 'miniature e', 'methodology presented', 'good reconstruction', 'general three', 'electric field', 'dimensional fields', 'determine numerically', 'based upon', 'antenna structure', 'analytical study', 'although developed']</t>
  </si>
  <si>
    <t>A miniature E-field probe employing a 0.6-mm linear dipole antenna has been developed at the University of Virginia. This paper describes an analytical study of the miniature field probe‚Äôs response to a spatially varying electric field. Based on the Nyquist sampling theorem, the spatial sampling frequency at which an electric field should be measured for good reconstruction is established. In addition, using antenna theory, the voltage response of the probe is found in terms of the antenna‚Äôs transmitting current and the measured electric field. Based upon this relationship, reconstruction of the electric field from a set of discrete voltage responses is studied. A method of moments program has been developed to determine numerically the voltage response of the antenna structure to a spatially varying electric field. Numerical results are presented, which allow for the testing of certain theoretical findings important for analyzing measurement data. Although developed for only one-dimensional fields, the methodology presented can be applied to general three-dimensional fields. ¬© 1990 IEEE</t>
  </si>
  <si>
    <t>IEEE Transactions on Instrumentation and Measurement</t>
  </si>
  <si>
    <t>60000854;60021918;60030931</t>
  </si>
  <si>
    <t>6602222700;7403178904;7003735231</t>
  </si>
  <si>
    <t>Harrah, Steven D.;Ng, K. T.;Batchman, T. E.</t>
  </si>
  <si>
    <t>Norman;Charlottesville;Hampton</t>
  </si>
  <si>
    <t>University of Oklahoma;University of Virginia;NASA Langley Research Center</t>
  </si>
  <si>
    <t>60030931;60021918;60000854</t>
  </si>
  <si>
    <t>Harrah S.D.</t>
  </si>
  <si>
    <t>Voltage Response and Field Reconstruction for a Miniature Field Probe in a Spatially Nonuniform Electric Field</t>
  </si>
  <si>
    <t>10.1109/19.50410</t>
  </si>
  <si>
    <t>2-s2.0-0025384994</t>
  </si>
  <si>
    <t>['wider bandwidth', 'useful antenna', 'sufficiently adjustable', 'shorted post', 'results show', 'resonant frequency', 'radiation conductance', 'radiation characteristics', 'mode expansion', 'matching methods', 'input impedance', 'higher modes', 'higher gain', 'fringing field', 'feed position', 'experimental data', 'dielectric effect', 'cylindrical post', 'coaxial probe', 'characteristics indicate', 'analytical results', 'also taken']</t>
  </si>
  <si>
    <t>Input impedance, resonant frequency, bandwidth and radiation characteristics of microstrip circular patch antennas coaxially shorted by a cylindrical post are investigated. The analytical results for the dominant and higher modes are compared with experimental data. The radiation conductance, the fringing field and the effect of feed position, i.e. a coaxial probe, are included by the mode expansion and matching methods. The dielectric effect of the substrate is also taken into account for the computation of the radiation characteristics. The results show that the electrical performance parameters of a centrally shorted circular microstrip antenna are sufficiently adjustable by a modification of the radius of the shorted post. The characteristics indicate that the proposed radiation element is a useful antenna with higher gain, wider bandwidth and improved impedance behaviour.</t>
  </si>
  <si>
    <t>18-24</t>
  </si>
  <si>
    <t>0950107X</t>
  </si>
  <si>
    <t>IEE Proceedings H: Microwaves, Antennas and Propagation</t>
  </si>
  <si>
    <t>60009697;60009697</t>
  </si>
  <si>
    <t>7406588622;8092251400</t>
  </si>
  <si>
    <t>Lin, Y.;Shafai, L.</t>
  </si>
  <si>
    <t>Canada</t>
  </si>
  <si>
    <t>Winnipeg</t>
  </si>
  <si>
    <t>University of Manitoba</t>
  </si>
  <si>
    <t>Lin Y.</t>
  </si>
  <si>
    <t>Characteristics of concentrically shorted circular patch microstrip antennas</t>
  </si>
  <si>
    <t>10.1049/ip-h-2.1990.0004</t>
  </si>
  <si>
    <t>2-s2.0-0025385054</t>
  </si>
  <si>
    <t>['three geometries', 'scattering parameters', 'range 4', 'processing capabilities', 'obtain results', 'numerical values', 'determined using', '16 ghz']</t>
  </si>
  <si>
    <t>A three element frequency dependent equivalent circuit which characterises a symmetric step microstrip discontinuity is determined using the method of lines. This method was applied so as to exploit to the full the processing capabilities of the available Cyber 205 computer, and to obtain results with the highest possible accuracy at frequencies in the range 4-16 GHz. Numerical values of scattering parameters are given for three geometries.</t>
  </si>
  <si>
    <t>51-54</t>
  </si>
  <si>
    <t>60025779;60025779;60025779</t>
  </si>
  <si>
    <t>7202299118;6701540049;7003407427</t>
  </si>
  <si>
    <t>Webster, M. J.;Easter, B.;Hornsby, J. S.</t>
  </si>
  <si>
    <t>Webster M.</t>
  </si>
  <si>
    <t>Accurate determination of frequency dependent three element equivalent circuit for symmetric step microstrip discontinuity</t>
  </si>
  <si>
    <t>10.1049/ip-h-2.1990.0009</t>
  </si>
  <si>
    <t>2-s2.0-0025385353</t>
  </si>
  <si>
    <t>['reference axes', 'prescribed far', 'optical depolarisation', 'numerical implementation', 'geometrical optics']</t>
  </si>
  <si>
    <t>The possibility of synthesising dual offset reflector systems to produce a prescribed far-field power pattern with no depolarisation is examined under the principles of geometrical optics. A formulation is developed based upon a model in which both source and antenna far fields are represented by Huygen's fields. Numerical implementation in general appears difficult but a useful special case emerges in which the reference axes of the Huygen's fields are parallel. Results for a contoured beam application reveal that a shaped dual offset system with no optical depolarisation is possible, and further analysis using physical optics suggests that extremely good axial ratios can be obtained.</t>
  </si>
  <si>
    <t>60025225;60025225;60025225</t>
  </si>
  <si>
    <t>7004261323;6602206040;6505828163</t>
  </si>
  <si>
    <t>Westcott, B. S.;Brickell, F.;Wolton, I. C.</t>
  </si>
  <si>
    <t>Southampton</t>
  </si>
  <si>
    <t>University of Southampton</t>
  </si>
  <si>
    <t>Westcott B.</t>
  </si>
  <si>
    <t>Crosspolar control in far-field synthesis of dual offset reflectors</t>
  </si>
  <si>
    <t>10.1049/ip-h-2.1990.0006</t>
  </si>
  <si>
    <t>2-s2.0-0025385403</t>
  </si>
  <si>
    <t>['tension truss', 'tensile force', 'surface shape', 'surface sensitivity', 'surface deformation', 'rigid enough', 'rights reserved', 'results show', 'reflective mesh', 'promising candidate', 'perturbation method', 'parabolic shape', 'numerical simulations', 'inc .,', 'flexible cables', 'experimental verifications', 'elongation due', 'direction errors', 'derived using', 'cables satisfies', 'cable network', 'applied force']</t>
  </si>
  <si>
    <t>The tension truss antenna is a deplorable mesh surface antenna featuring a cable network, called a tension truss, that gives a parabolic shape to the reflective mesh. Cables in the tension truss are rigid enough to prevent their elongation due to the tension, and the number of nodes and cables satisfies the statically determinant condition. In this paper, surface sensitivity to magnitude and direction errors of the applied force, which gives the tensile force to the tension truss, is evaluated by Monte Carlo simulation. Results show that the surface deformation of a tension truss antenna is smaller than that of an antenna whose cable network is made of flexible cables. A surface control algorithm is derived using the perturbation method, and numerical simulations and experimental verifications of the algorithm are carried out. Results show that the surface shape of a tension truss antenna can be controlled by changing cable lengths, and local surface deformations can be improved without affecting the shape of the other parts of the surface. It is concluded that the tension truss antenna is a promising candidate for a large space antenna. ¬© 1990 American Institute of Aeronautics and Astronautics, Inc., All rights reserved.</t>
  </si>
  <si>
    <t>316-322</t>
  </si>
  <si>
    <t>AIAA Journal</t>
  </si>
  <si>
    <t>60025555;60025555;60000809</t>
  </si>
  <si>
    <t>6701546237;7005801010;7403691800</t>
  </si>
  <si>
    <t>Mitsugi, Jin;Yasaka, Tetsuo;Miura, Koryo</t>
  </si>
  <si>
    <t>Japan;Japan</t>
  </si>
  <si>
    <t>Tokyo;Sagamihara</t>
  </si>
  <si>
    <t>Nippon Telegraph and Telephone Corporation;JAXA Institute of Space and Astronautical Science</t>
  </si>
  <si>
    <t>60025555;60000809</t>
  </si>
  <si>
    <t>Mitsugi J.</t>
  </si>
  <si>
    <t>Shape control of the tension truss antenna</t>
  </si>
  <si>
    <t>10.2514/3.10391</t>
  </si>
  <si>
    <t>2-s2.0-0025385427</t>
  </si>
  <si>
    <t>['‚ àí3', 'toroidal direction', 'theoretical predictions', 'substantial absorption', 'strongly dependent', 'rf current', 'relative phase', 'plasma edge', 'plasma centre', 'phased four', 'parallel wavenumber', 'loading resistance', 'fast waves', 'excited waves', 'density gradient', 'dense plasmas', 'coupling experiment', 'coupling characteristics', 'antenna phasing', 'antenna increases']</t>
  </si>
  <si>
    <t>The coupling characteristics of the fast wave excited by a phased four-loop antenna array are described. Fast waves in the lower hybrid frequency range have the potential of generating plasma current in hot and dense plasmas. Fast waves are excited at the plasma edge by an oscillating magnetic field parallel to the toroidal direction. The parallel wavenumber of the excited fast waves is determined by the relative phase of the RF current on each antenna. The loading resistance of the antenna increases with density, but at densities above 2 √ó 1019 m‚àí3 it starts to decrease with density, because of the steepening of the density gradient. The loading resistance is strongly dependent on the antenna phasing. The maximum loading due to surface wave excitation is obtained at Œîœï = 0 and the minimum at Œîœï = œÄ. Substantial absorption of the excited fast waves is observed at the plasma centre when the antenna phasing is Œîœï = œÄ. The absorption efficiency rises with decreasing phase velocity of the excited waves. The experimental results obtained in the coupling experiment are consistent with theoretical predictions. ¬© 1990 IOP Publishing Ltd.</t>
  </si>
  <si>
    <t>297-305</t>
  </si>
  <si>
    <t>60012288;60012288;60012288;60012288;60012288;60012288;60012288;60012288;60012288;60012288;60012288;60012288;60012288;60012288;60012288;60012288;60012288;60012288;60012288;60012288;60012288;60012288;60000264;60022089;60101699;60025272</t>
  </si>
  <si>
    <t>55703205600;7202656118;57209192153;24485903500;7202141734;7401566496;57211765894;7404021406;57082055000;57083334700;56972296400;55700216100;7003741997;35350459800;57214216089;6602130772;35393093200;7004017855;7201706434;36063470300;56187794400;7401705258;7007048412;22976753700;57205086798;7405807498</t>
  </si>
  <si>
    <t>Yamamoto, T.;Kawashima, H.;Hoshino, K.;Aikawa, H.;Kasai, S.;Kawakami, T.;Kondoh, T.;Maeda, H.;Matsuda, T.;Matsumoto, H.;Miura, Y.;Mori, M.;Odajima, K.;Ogawa, H.;Ogawa, T.;Ohasa, K.;Ohtsuka, H.;Sengoku, S.;Shoji, T.;Suzuki, N.;Tamai, H.;Yamauchi, T.;Uesugi, Y.;Neufeld, C. R.;Nakazawa, I.;Fujita, T.</t>
  </si>
  <si>
    <t>Japan;Japan;Canada;Japan;Japan</t>
  </si>
  <si>
    <t>Tokyo;Tokyo;Montreal;Naka;Nagoya</t>
  </si>
  <si>
    <t>Mitsubishi Electric Corporation;The University of Tokyo;Hydro-Quebec;Naka Fusion Institute;Nagoya University</t>
  </si>
  <si>
    <t>60101699;60025272;60022089;60012288;60000264</t>
  </si>
  <si>
    <t>Yamamoto T.</t>
  </si>
  <si>
    <t>Coupling of fast waves launched into the jft-2m tokamak by a phased four-loop antenna array</t>
  </si>
  <si>
    <t>10.1088/0029-5515/30/2/008</t>
  </si>
  <si>
    <t>2-s2.0-0025385429</t>
  </si>
  <si>
    <t>['reflector coupling', 'plate feed', 'paraboloidal reflector', 'optical approximation', 'obtained using', 'numerical solutions', 'method applied', 'field radiated', 'computed using', 'combined electric', 'axisymmetric reflector']</t>
  </si>
  <si>
    <t>The problem of a cylindrical feed radiating in the presence of an axisymmetric reflector is formulated in terms of a combined electric and magnetic field integral equation. This equation is simplified by means of an optical approximation and numerical solutions are obtained using the method of moments. The field radiated by the combination of feed and reflector is computed using a hybrid physical optics and moment method approach, where the effects of feed-reflector coupling are taken into account. Examples are given of the method applied to the analysis of a splash-plate feed and a dual-mode coaxial feed illuminating a paraboloidal reflector.</t>
  </si>
  <si>
    <t>100631478;100631478</t>
  </si>
  <si>
    <t>7102394929;7006639115</t>
  </si>
  <si>
    <t>Parkinson, J. R.;Mehler, M. J.</t>
  </si>
  <si>
    <t>C &amp; S Antennas Ltd</t>
  </si>
  <si>
    <t>Parkinson J.</t>
  </si>
  <si>
    <t>Integral equation formulation of cylindrical feed-axisymmetric reflector coupling</t>
  </si>
  <si>
    <t>10.1049/ip-h-2.1990.0003</t>
  </si>
  <si>
    <t>2-s2.0-0025385548</t>
  </si>
  <si>
    <t>['temporal variations', 'spatial nonlinearities', 'reflection process', 'received power', 'pulsed soundings', 'observations indicate', 'modal content', 'may limit', 'latitude paths', 'ionosphere exhibit', 'experimental investigation']</t>
  </si>
  <si>
    <t>The wavefronts of high-frequency (HF) radio waves received after reflection from the ionosphere exhibit both spatial nonlinearities and temporal variations which may limit the performance of large aperture antenna arrays. An experimental investigation has been undertaken in which the phase and amplitude of ionospherically propagated signals have been measured at several widely spaced antennas and the measurements have been interpreted in terms of the reflection process. Signals were received over a 122 km path for which pulsed soundings were available and from several European broadcast transmitters. The received signals exhibited widely differing behaviour and this is interpreted in terms of their modal content. For predominantly single moded signals, the observations indicate that for mid-latitude paths any random components normally contribute less than 10% of the received power.</t>
  </si>
  <si>
    <t>25-30</t>
  </si>
  <si>
    <t>60033125;60033125;60033125</t>
  </si>
  <si>
    <t>35548735200;7403591722;57198743779</t>
  </si>
  <si>
    <t>Warrington, E. M.;Thomas, E. C.;Jones, T. B.</t>
  </si>
  <si>
    <t>Leicester</t>
  </si>
  <si>
    <t>University of Leicester</t>
  </si>
  <si>
    <t>Warrington E.</t>
  </si>
  <si>
    <t>Measurements on the wavefronts of ionospherically propagated HF radio waves made with a large aperture antenna array</t>
  </si>
  <si>
    <t>10.1049/ip-h-2.1990.0005</t>
  </si>
  <si>
    <t>2-s2.0-0025385549</t>
  </si>
  <si>
    <t>['two factors', 'structures depends', 'separate treatment', 'proper choice', 'planar archimedean', 'mathematical description', 'logarithmic spirals', 'feeding network', 'crosspolarisation discrimination', 'arm shape', 'antenna system', 'antenna shape', 'antenna arms', 'also demonstrated', '15 db']</t>
  </si>
  <si>
    <t>The crosspolarisation of antenna systems involving 4-arm-structures depends on two factors: the quality of the feeding network and the shape of the antenna arms. Using a mathematical description for the separate treatment of these factors, planar archimedean and logarithmic spirals are investigated to optimise the arm shape. It is shown that a proper choice of the antenna shape can improve the crosspolarisation discrimination of the antenna system by more than 15 dB. It is also demonstrated that an optimised antenna shape yields significantly improved polarisation performance for the entire main beam region, even in the case of a poor excitation network.</t>
  </si>
  <si>
    <t>45-50</t>
  </si>
  <si>
    <t>Kraft, U. R.</t>
  </si>
  <si>
    <t>Berlin</t>
  </si>
  <si>
    <t>Technical University of Berlin</t>
  </si>
  <si>
    <t>Kraft U.</t>
  </si>
  <si>
    <t>Optimisation of circular polarisation performance for 4-arm planar spiral antenna with non perfect excitation networks</t>
  </si>
  <si>
    <t>10.1049/ip-h-2.1990.0008</t>
  </si>
  <si>
    <t>2-s2.0-0025385550</t>
  </si>
  <si>
    <t>['various targets', 'transmitted signal', 'system calibration', 'scattering characteristics', 'received signals', 'q channels', 'one side', 'locked loop', 'incidence ranging', 'cw mode', 'compression radars', 'coherent measurement', 'better understand', 'antennas protruding', '94 ghz', '60 deg']</t>
  </si>
  <si>
    <t>Coherent instrumentation radars have been developed at 35 and 94 GHz for use in radar cross section measurements at angles of incidence ranging from 0 to 60 deg. The systems are designed to measure the radar cross section of various targets, at like- and cross-polarizations, in an effort to better understand their scattering characteristics. Both are dual antenna systems capable of operating in FM-CW mode or as pulse or pulse-compression radars. Samples of the transmitted signal are provided for system calibration. The systems also include a phase-locked loop to linearize the sweep when operating in FM-CW mode. The use of quadrature mixers provides/and Q channels for phase-coherent measurement of the received signals. All hardware is mounted inside weatherproof, lightweight aluminum boxes with the antennas protruding from one side. Multiconductor cables provide control signals and access to the received signals. General purpose data acquisition computers collect samples of the received signals that are later processed digitally. ¬© 1990 IEEE</t>
  </si>
  <si>
    <t>208-211</t>
  </si>
  <si>
    <t>60015457;60015457;60015457</t>
  </si>
  <si>
    <t>6506172789;7101731387;35513627000</t>
  </si>
  <si>
    <t>Lawner, Richard T.;Blanchard, Peter F.;Gogineni, Siva Prasad</t>
  </si>
  <si>
    <t>Lawrence</t>
  </si>
  <si>
    <t>Lawner R.</t>
  </si>
  <si>
    <t>Coherent FM-CW Millimeter-Wave Radar Systems for Radar Cross Section Measurements</t>
  </si>
  <si>
    <t>10.1109/19.50446</t>
  </si>
  <si>
    <t>2-s2.0-0025385617</t>
  </si>
  <si>
    <t>['¬© 1990', 'three arms', 'rights reserved', 'first time', 'electrical engineers', 'conductor width', 'also given']</t>
  </si>
  <si>
    <t>Antenna theory | Antennas | Electromagnetic waves</t>
  </si>
  <si>
    <t>Currents on a single tripole set in a domain of 32 x 64 samples have been computed over a 4 : 1 frequency range, with one sample across the conductor width. Some results are also given for three and give samples across the conductors, indicating for the first time the complexity of the current flow around the junction of the three arms of the element. ¬© 1990, The Institution of Electrical Engineers. All rights reserved.</t>
  </si>
  <si>
    <t>227-228</t>
  </si>
  <si>
    <t>122843045;122843045</t>
  </si>
  <si>
    <t>57023291700;7201840709</t>
  </si>
  <si>
    <t>Mokhtar, M. M.;Parker, E. A.</t>
  </si>
  <si>
    <t>Kent</t>
  </si>
  <si>
    <t>University of Canter-bury</t>
  </si>
  <si>
    <t>Mokhtar M.</t>
  </si>
  <si>
    <t>Conjugate gradient computation of the current distribution on a tripole FSS array element</t>
  </si>
  <si>
    <t>10.1049/el:19900153</t>
  </si>
  <si>
    <t>2-s2.0-0025385846</t>
  </si>
  <si>
    <t>['uniform theory', 'radiation patterns', 'moment method', 'good agreement', 'francis ltd']</t>
  </si>
  <si>
    <t>Experimental measurements together with calculations for the radiation patterns of a Œª/4 monopole centred on a small thick circular disc are presented. A hybrid technique combining the moment method and the uniform theory of diffraction is utilized in the calculations. Only first- and second-order diffracted fields are considered. Good agreement between calculations and measurements is shown. ¬© 1990 Taylor and Francis Ltd.</t>
  </si>
  <si>
    <t>283-292</t>
  </si>
  <si>
    <t>Ibrahim, H. M.</t>
  </si>
  <si>
    <t>Yemen</t>
  </si>
  <si>
    <t>Sana'a</t>
  </si>
  <si>
    <t>Sana'a University</t>
  </si>
  <si>
    <t>Ibrahim H.</t>
  </si>
  <si>
    <t>Radiation patterns of a Œª/4 monopole mounted on a small thick circular disc</t>
  </si>
  <si>
    <t>10.1080/00207219008921170</t>
  </si>
  <si>
    <t>2-s2.0-0025385928</t>
  </si>
  <si>
    <t>['wiley company', 'wave propagation', 'polarization along', 'main effect', 'luneburg lens', 'lens antenna', 'introduced recently', 'inc .,', 'cross polarization', 'chirality parameter', 'achiral medium']</t>
  </si>
  <si>
    <t>geometrical optics | Luneburg lens | polarization</t>
  </si>
  <si>
    <t>The geometrical optics method for the wave propagation in inhomogeneous chiral media, introduced recently, is here applied to the Luneburg lens antenna. For sufficiently small values of the chirality parameter, the geometrical optics rays can be calculated as for the achiral medium and the main effect of the chirality is rotation of polarization along the ray. This effect can be exploited to correct the polarization in the aperture of a lens antenna. In this paper the cross polarization of the Luneburg lens is eliminated through use of an inhomogeneous chirality distribution. Copyright ¬© 1990 Wiley Periodicals, Inc., A Wiley Company</t>
  </si>
  <si>
    <t>62-66</t>
  </si>
  <si>
    <t>60103653;60103653;60103653</t>
  </si>
  <si>
    <t>7004903706;7102492958;35568243700</t>
  </si>
  <si>
    <t>Viitanen, Ari J.;Lindell, Ismo V.;Sihvola, An H.</t>
  </si>
  <si>
    <t>Finland</t>
  </si>
  <si>
    <t>Espoo</t>
  </si>
  <si>
    <t>Aalto University</t>
  </si>
  <si>
    <t>Viitanen A.</t>
  </si>
  <si>
    <t>Polarization correction of luneburg lens with chiral medium</t>
  </si>
  <si>
    <t>10.1002/mop.4650030207</t>
  </si>
  <si>
    <t>2-s2.0-0025385989</t>
  </si>
  <si>
    <t>['uniform heating', 'temperature patterns', 'temperature distributions', 'signals applied', 'phantom muscle', 'lateral plane', 'generated around', 'biological tissue', 'axial plane', 'antennas ).']</t>
  </si>
  <si>
    <t>An interstitial microwave antenna array for hyperthermia cancer treatment is investigated. The purpose is to generate both uniform and controlled nonuniform temperature distributions in biological tissue by modulating the phases of the signals applied to each antenna. The array has four antennas positioned on the corners of a 2 cm square. The distributions of absorbed power within the arrays are computed and then converted into temperature distributions through a heat conduction simulation. The temperature patterns over phantom muscle are presented in both the lateral plane (perpendicular to the antennas) and the axial plane (parallel to the antennas). It has been found that, by proper phase modulation of RF signals applied to each antenna, a uniform heating can be produced in the entire array volume. Also, a peripheral heating pattern may be generated around the array, again by using the proper phase modulation. ¬© 1990 IEEE</t>
  </si>
  <si>
    <t>217-221</t>
  </si>
  <si>
    <t>Microwave Hyperthermia Induced by a Phased Interstitial Antenna Array</t>
  </si>
  <si>
    <t>10.1109/22.46434</t>
  </si>
  <si>
    <t>2-s2.0-0025386184</t>
  </si>
  <si>
    <t>['‚ äúelectromagnetics', 'tem cells', 'single course', 'screen rooms', 'radiated emissions', 'presentation based', 'paper deals', 'open sites', 'made relevant', 'graduate study', 'first year', 'engineering electromagnetics', 'electromagnetic environment', 'electromagnetic compatibility', 'electrical engineering', 'distinct degree', 'discussions drawn', 'ce students', 'ce student', 'career paths', 'antenna engineering']</t>
  </si>
  <si>
    <t>In recent years many engineering schools have split computer engineering (CE) away from electrical engineering (EE) to become a separate program leading to a distinct degree. EE students take two electromagnetics courses which prepare them for ‚Äúelective‚Äù courses in microwave or antenna engineering, or electric machine design, but CE students will not follow these career paths. This paper deals with the content of the single course in engineering electromagnetics which can be accommodated in the CE ‚Äúcore.‚Äù The concepts of electromagnetic compatibility (EMC) are central to the interests of CE students. An outline for an ‚Äúelectromagnetics-for-computer-engineer-ing‚Äù course is given combining ‚Äútraditional‚Äù electromagnetics topics with definitions, concepts, and discussions drawn from EMC. In this way engineering electromagnetics is made relevant and vital for the CE student. Specific EMC topics are included as they arise in a presentation based on a ‚Äústandard‚Äù engineering electromagnetics text. Shielding, radiated emissions, susceptibility, the electromagnetic environment, EMC test methods, open sites, shielded anechoic rooms, screen rooms, TEM cells, and EMC test antennas are discussed. The goal of the computer engineering electromagnetics course is to prepare the student for a full-scale EMC course to be taken as an elective in the final undergraduate year or the first year of graduate study. ¬© 1990 IEEE</t>
  </si>
  <si>
    <t>119-128</t>
  </si>
  <si>
    <t>Trueman, Christopher W.</t>
  </si>
  <si>
    <t>Montreal</t>
  </si>
  <si>
    <t>Concordia University</t>
  </si>
  <si>
    <t>Trueman C.</t>
  </si>
  <si>
    <t>An Electromagnetics Course with EMC Applications for Computer Engineering Students</t>
  </si>
  <si>
    <t>10.1109/13.53635</t>
  </si>
  <si>
    <t>2-s2.0-0025386261</t>
  </si>
  <si>
    <t>Connecticut State Emergency Response Commission</t>
  </si>
  <si>
    <t>['theoretical approach', 'station site', 'station antenna', 'spectral efficiency', 'significant increase', 'receive modes', 'proliferating demands', 'novel approach', 'neighboring co', 'mobile users', 'greatly reducing', 'energy associated', 'channel cells', 'angular distribution', 'addressed volume']</t>
  </si>
  <si>
    <t>The problem of meeting the proliferating demands for mobile telephony within the confinements of the limited radio spectrum allocated to these services is addressed. A multiple beam adaptive base-station antenna is proposed as a major system component in an attempt to solve this problem. This novel approach is demonstrated here by employing an antenna array capable of resolving the angular distribution of the mobile users as seen at the base-station site, and then using this information to direct beams toward either lone mobiles, or groupings of mobiles, for both transmit and receive modes of operation. The energy associated with each mobile is thus confined within the addressed volume, greatly reducing the amount of co-channel interference experienced from and by neighboring co-channel cells. In order to ascertain the benefits of such an antenna, a theoretical approach is adopted which models the conventional and proposed antenna systems in a typical mobile radio environment. For a given performance criterion, this indicates that a significant increase in the spectral efficiency, or capacity, of the network is obtainable with the proposed adaptive base-station antenna. ¬© 1990 IEEE</t>
  </si>
  <si>
    <t>56-67</t>
  </si>
  <si>
    <t>60020650;60020650;60020650;60020650</t>
  </si>
  <si>
    <t>7004287978;7102568206;35449666300;55138271800</t>
  </si>
  <si>
    <t>Swales, Simon C.;Beach, Mark A.;Edwards, David J.;Mcgeehan, Joseph P.</t>
  </si>
  <si>
    <t>Bristol</t>
  </si>
  <si>
    <t>University of Bristol</t>
  </si>
  <si>
    <t>Swales S.C.</t>
  </si>
  <si>
    <t>The Performance Enhancement of Multibeam Adaptive Base-Station Antennas for Cellular Land Mobile Radio Systems</t>
  </si>
  <si>
    <t>10.1109/25.54956</t>
  </si>
  <si>
    <t>2-s2.0-0025386274</t>
  </si>
  <si>
    <t>Department of Science and Technology, Ministry of Science and Technology, India</t>
  </si>
  <si>
    <t>DST</t>
  </si>
  <si>
    <t>['wave electric', 'relative importance', 'radial component', 'preferred component', 'optimal feed', 'maintain high', 'magnetic field', 'field components', 'feeds excite', 'feed structures', 'direct feed', 'dipole antenna', 'cyclotron resonance', 'antenna region', 'also presented']</t>
  </si>
  <si>
    <t>Investigations on the optimization of feed structures for exciting the slotted line antenna for high-density plasma production are presented. Each feed structure used (except the direct feed) excites a preferred component of the wave electric/magnetic field. It is seen that the efficacy of plasma production using the different feeds depends directly on the relative importance of the field components (which the feeds excite) for the slow wave mode of the antenna. The optimal feed is shown to be a dipole antenna, oriented so as to excite the radial component of the electric field within the slotted line structure. The plasma characterization results as a function of the input microwave power and the magnetic field in the antenna region are also presented and discussed. The ability of the antenna to maintain high-density plasmas well away from electron-cyclotron resonance is demonstrated. ¬© 1990 IEEE</t>
  </si>
  <si>
    <t>134-141</t>
  </si>
  <si>
    <t>IEEE Transactions on Plasma Science</t>
  </si>
  <si>
    <t>60032730;60032730;60032730</t>
  </si>
  <si>
    <t>57146946800;7004238247;57192126441</t>
  </si>
  <si>
    <t>Ganguli, A.;Baskaran, R.;Pandey, H. D.</t>
  </si>
  <si>
    <t>Indian Institute of Technology Delhi</t>
  </si>
  <si>
    <t>Ganguli A.</t>
  </si>
  <si>
    <t>Feed Optimization For the Slotted Line Antenna For High-Density Plasma Production</t>
  </si>
  <si>
    <t>10.1109/27.45516</t>
  </si>
  <si>
    <t>2-s2.0-0025386514</t>
  </si>
  <si>
    <t>['¬© 1990', 'rights reserved', 'frequency range', 'electrical engineers']</t>
  </si>
  <si>
    <t>Antennas | Dipole antennas | Optimisation</t>
  </si>
  <si>
    <t>The optimisation of a dipole fed reflector antenna is presented. The shape of the reflector and the dipole is varied in order to obtain a constant radiation pattern within a frequency range of nearly one octave. ¬© 1990, The Institution of Electrical Engineers. All rights reserved.</t>
  </si>
  <si>
    <t>241-243</t>
  </si>
  <si>
    <t>60015815;60015815</t>
  </si>
  <si>
    <t>7004772201;7006070055</t>
  </si>
  <si>
    <t>Stocker, K. E.;Landstorfer, F. M.</t>
  </si>
  <si>
    <t>Universit√§t Stuttgart</t>
  </si>
  <si>
    <t>Stocker K.</t>
  </si>
  <si>
    <t>Optimisation of UHF antennas</t>
  </si>
  <si>
    <t>10.1049/el:19900162</t>
  </si>
  <si>
    <t>2-s2.0-0025386716</t>
  </si>
  <si>
    <t>['substrate material', 'power flowing', 'power absorption', 'microstrip circuits', 'layer model', 'indicent angle', 'incident pulse', 'incident emp', 'dielectric interface', 'cause malfunctions']</t>
  </si>
  <si>
    <t>The interference of an electromagnetic pulse incident on the air-dielectric interface of a three-layer model for microstrip circuits was studied. Numerical results illustrating the power absorption by the model as a function of indicent angle and width of the pulse are presented. It is found that less than 1% of the power of the incident pulse can be absorbed by the substrate material. However, about 80% of the power of the incident pulse can be induced on the air-dielectric interface during the reflection of the pulse by the boundary. This amount of power flowing on the surface of the circuit can cause malfunctions or interference if the incident EMP has sufficiently intense wave fields.</t>
  </si>
  <si>
    <t>75-77</t>
  </si>
  <si>
    <t>Wong, Kin Lu</t>
  </si>
  <si>
    <t>Taiwan</t>
  </si>
  <si>
    <t>Kaohsiung</t>
  </si>
  <si>
    <t>National Sun Yat-Sen University</t>
  </si>
  <si>
    <t>Wong K.L.</t>
  </si>
  <si>
    <t>Effects of electromagnetic interference for electromagnetic pulses incident on microstrip circuits</t>
  </si>
  <si>
    <t>10.1049/ip-h-2.1990.0013</t>
  </si>
  <si>
    <t>2-s2.0-0025386740</t>
  </si>
  <si>
    <t>['wiley company', 'resonance frequencies', 'input impedances', 'inc .,', 'corresponding patches', 'also shown']</t>
  </si>
  <si>
    <t>experimental method | inverted configuration | Microstrip antennas | resonance frequencies | suspended‚Äêsubstrate</t>
  </si>
  <si>
    <t>A simple experimental method is presented which enables the determination of the resonance frequencies of suspended‚Äêsubstrate microstrip antennas. Resonance frequencies have been measured in L‚Äêband for square patch‚Äêantennas in ‚Äúsuspended‚Äêsubstrate‚Äù as well as in ‚Äúinverted‚Äù configurations. The relationship between the above measured resonance frequencies and the input impedances of the corresponding patches is also shown. Copyright ¬© 1990 Wiley Periodicals, Inc., A Wiley Company</t>
  </si>
  <si>
    <t>66-70</t>
  </si>
  <si>
    <t>Lin, C. C.</t>
  </si>
  <si>
    <t>Leiden</t>
  </si>
  <si>
    <t>Airbus Group SE</t>
  </si>
  <si>
    <t>Lin C.</t>
  </si>
  <si>
    <t>Experimental determination of the resonance frequencies of suspended‚Äêsubstrate microstrip antennas</t>
  </si>
  <si>
    <t>10.1002/mop.4650030208</t>
  </si>
  <si>
    <t>2-s2.0-0025386763</t>
  </si>
  <si>
    <t>['vlf fields', 'switchame high', 'practical construction', 'pass filter', 'paper describes', 'line fields', 'like response', 'hz power', 'frequency range', 'formulla omitted', 'distinguishing features', '200 khz', '20 hz', '10 khz']</t>
  </si>
  <si>
    <t>A small magnetic flux probe has been developed, and it exhibits a magnetometer-like response over the frequency range of 20 Hz to 200 kHz with an effective antenna height of 1 m. The E-field equivalent noise floor of this device is [formulla omitted] at 10 kHz. A switchaMe high-pass filter is included to allow the measurement of VLF fields in the presence of strong 50‚Äì400-Hz power-line fields. The distinguishing features of this probe are its method of winding and shielding. This paper describes both the theory of operation and practical construction of such a probe. ¬© 1990 IEEE</t>
  </si>
  <si>
    <t>67-69</t>
  </si>
  <si>
    <t>1558187X</t>
  </si>
  <si>
    <t>IEEE Transactions on Electromagnetic Compatibility</t>
  </si>
  <si>
    <t>Hauser, James P.</t>
  </si>
  <si>
    <t>Monterey</t>
  </si>
  <si>
    <t>Naval Postgraduate School</t>
  </si>
  <si>
    <t>Hauser J.</t>
  </si>
  <si>
    <t>A 20-Hz-to-200-kHz Magnetic Flux Probe for EMI Surveys</t>
  </si>
  <si>
    <t>10.1109/15.45242</t>
  </si>
  <si>
    <t>2-s2.0-0025387536</t>
  </si>
  <si>
    <t>['wind shear', 'using bin', 'shear hazard', 'rights reserved', 'performance improvement', 'higher frequency', 'doppler radars', 'baseline x', 'aircraft takeoff', '5 km', '(. 75']</t>
  </si>
  <si>
    <t>Using a microburst/clutter/radar simulation program, a preliminary feasibility study was conducted to assess the performance of Doppler radars for the detection of low-altitude wind shear during aircraft takeoff and landing. Preliminary results show that using bin-to-bin automatic gain control (AGC), clutter filtering, limited detection range, and suitable antenna tilt management, wind shear from a ‚Äúwet‚Äù microburst can be accurately detected 10 to 65 s (.75 to 5 Km) in front of the aircraft. Although a performance improvement can be obtained at higher frequency, the baseline X-band system simulated also detected the presence of wind-shear hazard for a ‚Äúdry‚Äù microburst. ¬© 1989 American Institute of Aeronautics and Astronautics, Inc. All rights reserved.</t>
  </si>
  <si>
    <t>151-157</t>
  </si>
  <si>
    <t>Journal of Aircraft</t>
  </si>
  <si>
    <t>60000854-117806401;60032205;60000854-117806401</t>
  </si>
  <si>
    <t>6602948491;7003761044;55724779000</t>
  </si>
  <si>
    <t>Bracalente, E. M.;Britt, C. L.;Jones, W. R.</t>
  </si>
  <si>
    <t>Research Triangle Park;Hampton;Hampton</t>
  </si>
  <si>
    <t>RTI International;NASA Langley Research Center;Guidance and Control Division</t>
  </si>
  <si>
    <t>60032205;60000854;117806401</t>
  </si>
  <si>
    <t>Bracalente E.M.</t>
  </si>
  <si>
    <t>Airborne doppler radar detection of low-altitude wind shear</t>
  </si>
  <si>
    <t>10.2514/3.45911</t>
  </si>
  <si>
    <t>2-s2.0-0025387636</t>
  </si>
  <si>
    <t>['presently underway', 'multipath effects', 'mobile satellites', 'major effort', 'investigators concentrate', 'fdma ).', 'efficient modulation', 'capable system', 'analysis presents', 'allocated l']</t>
  </si>
  <si>
    <t>A major effort is presently underway to define the most efficient modulation/hiultiple access system in mobile satellite communication. While investigators concentrate on digital voice modulation, the proposed multiple access methods almost always imply frequency division multiple access (FDMA). This analysis presents a comparison between FDMA and code division multiple access (CDMA) when both multiple access methods operate in the mobile satellite communication environment. The mobile satellites under consideration use multiple beams or scan beam antennas, and employ frequency reuse of the allocated L -band frequency spectrum. Because CDMA can better absorb Doppler and multipath effects and permits higher rate coding, it is found that CDMA, in general, with practical considerations set aside, appears to be the more capable system. ¬© 1990 IEEE</t>
  </si>
  <si>
    <t>Johannsen, Klaus G.</t>
  </si>
  <si>
    <t>Johannsen K.</t>
  </si>
  <si>
    <t>Code Division Multiple Access Versus Frequency Division Multiple Access Channel Capacity in Mobile Satellite Communication</t>
  </si>
  <si>
    <t>10.1109/25.54952</t>
  </si>
  <si>
    <t>2-s2.0-0025387693</t>
  </si>
  <si>
    <t>['¬© 1990', 'rights reserved', 'radiation pattern', 'good agreement', 'field distributions', 'experimental far', 'electrical engineers', 'difference method']</t>
  </si>
  <si>
    <t>Antennas | Microwave antennas</t>
  </si>
  <si>
    <t>A finite-difference method is used to design a sectoral horn antenna that uses corner channel inserts to produce a tapered aperture amplitude distribution in the E-plane. The channel inserts effectively suppress sidelobe levels in the radiation pattern. Good agreement is found between predicted and experimental far-field distributions. ¬© 1990, The Institution of Electrical Engineers. All rights reserved.</t>
  </si>
  <si>
    <t>231-233</t>
  </si>
  <si>
    <t>60025779;60015138;60068815</t>
  </si>
  <si>
    <t>6701862683;7103235804;55952625000</t>
  </si>
  <si>
    <t>Ata, O. W.;Benson, T. M.;Marincic, A.</t>
  </si>
  <si>
    <t>Serbia;United Kingdom;United Kingdom</t>
  </si>
  <si>
    <t>Belgrade;Bangor;Nottingham</t>
  </si>
  <si>
    <t>University of Belgrade;Bangor University;University of Nottingham</t>
  </si>
  <si>
    <t>60068815;60025779;60015138</t>
  </si>
  <si>
    <t>Ata O.</t>
  </si>
  <si>
    <t>Sidelobe suppression in an E-plane sectoral horn antenna</t>
  </si>
  <si>
    <t>10.1049/el:19900156</t>
  </si>
  <si>
    <t>2-s2.0-0025387751</t>
  </si>
  <si>
    <t>['radiation patterns', 'point source', 'line source', 'factors controlling', 'conical reflector', 'aperture blockage', 'also identified']</t>
  </si>
  <si>
    <t>The properties of line sources simulated by a parabolic cylindrical surface utilizing a point source are investigated. The factors controlling the cross-polarization and the means for elimination of the aperture blockage are also identified and studied. The line source is then used to illuminate a conical reflector with a 90¬∞ vertex angle. The performance of the resulting dual reflector system and the effects of various design parameters on its radiation patterns are investigated and presented.</t>
  </si>
  <si>
    <t>Canadian Journal of Electrical and Computer Engineering</t>
  </si>
  <si>
    <t>7004817270;8092251400</t>
  </si>
  <si>
    <t>Sanad, M. S.A.;Shafai, L.</t>
  </si>
  <si>
    <t>Sanad M.S.A.</t>
  </si>
  <si>
    <t>Parabolic cylindrical surfaces employed as line sources and their use for illuminating conical reflectors</t>
  </si>
  <si>
    <t>10.1109/CJECE.1990.6592168</t>
  </si>
  <si>
    <t>2-s2.0-0025387782</t>
  </si>
  <si>
    <t>['subject matter', 'student responses', 'software package', 'ongoing effort', 'learning processes', 'learning nature', 'introductory electromagnetics', 'ibm pc', 'four examples', 'distributed throughout', 'coordinate systems', 'classroom integrated', 'associated topics', 'assisted instruction', 'antenna fundamentals', '15 programs']</t>
  </si>
  <si>
    <t>A comprehensive, user-interactive software package for the IBM PC or compatible, resulting from an ongoing effort by the author to enhance the teaching and learning processes in the instruction of introductory electromagnetics courses is described.1 The associated topics are distributed throughout the realm of introductory electromagnetics, ranging from coordinate systems to antenna fundamentals. The PC-assisted instruction involves the use of the software in the classroom integrated with the lecture-discussion of the subject matter, as well as outside the classroom by the student at his/her own pace and leisure. Following brief descriptions of the 15 programs of the software package, four examples are presented in detail to illustrate the teaching and learning nature of the software. Student responses to the PC-assisted instruction are included. ¬© 1990 IEEE</t>
  </si>
  <si>
    <t>51-59</t>
  </si>
  <si>
    <t>Rao, N. Narayana</t>
  </si>
  <si>
    <t>Urbana</t>
  </si>
  <si>
    <t>University of Illinois Urbana-Champaign</t>
  </si>
  <si>
    <t>Rao N.N.</t>
  </si>
  <si>
    <t>PC-Assisted Instruction of Introductory Electromagnetics</t>
  </si>
  <si>
    <t>10.1109/13.53627</t>
  </si>
  <si>
    <t>2-s2.0-0025387866</t>
  </si>
  <si>
    <t>['well matched', 'transmitting characteristics', 'theoretically determined', 'substrate used', 'standard transmitting', 'receiving antenna', 'physically small', 'paper discusses', 'microstrip antenna', 'intrinsic properties', 'cm square', '450 mhz', '17 ).']</t>
  </si>
  <si>
    <t>This paper discusses the possibility of employing a microstrip patch antenna as a standard transmitting or receiving antenna. The intrinsic properties of the substrate used for the antenna are determined by careful impedance measurements.Experimental results indicate that the transmitting characteristics of a microstrip antenna can be theoretically determined from its geometry. The microstrip patch antenna discussed here is physically small (20-cm square for 450 MHz) and can be well matched to a 50-Œ©power delivery system (SWR = 1.17). ¬© 1990 IEEE</t>
  </si>
  <si>
    <t>Kanda, Motohisa</t>
  </si>
  <si>
    <t>Gaithersburg</t>
  </si>
  <si>
    <t>National Institute of Standards and Technology</t>
  </si>
  <si>
    <t>Kanda M.</t>
  </si>
  <si>
    <t>A Microstrip Patch Antenna as a Standard Transmitting and Receiving Antenna</t>
  </si>
  <si>
    <t>10.1109/15.45245</t>
  </si>
  <si>
    <t>2-s2.0-0025388176</t>
  </si>
  <si>
    <t>46-47</t>
  </si>
  <si>
    <t>IEEE Spectrum</t>
  </si>
  <si>
    <t>Chen, Katherine T.</t>
  </si>
  <si>
    <t>Chen K.T.</t>
  </si>
  <si>
    <t>The specialties</t>
  </si>
  <si>
    <t>10.1109/6.45080</t>
  </si>
  <si>
    <t>2-s2.0-0025388285</t>
  </si>
  <si>
    <t>['reduce considerably', 'numerical results', 'lossy surface', 'lossless case', 'galerkin procedure', 'copyright 1990']</t>
  </si>
  <si>
    <t>A method for the analysis of infinite planar circular cylindrical phased arrays of waveguide fed apertures embedded in a lossy surface is presented. Use is made of the surface impedance concept and an appropriate equivalence principle to reduce considerably the number of simultaneous equations arising in the Galerkin procedure. Numerical results for the matched element gain pattern are presented for circular feed waveguides and compared with the lossless case. Copyright 1990 by the American Geophysical Union.</t>
  </si>
  <si>
    <t>133-147</t>
  </si>
  <si>
    <t>March-April 1990</t>
  </si>
  <si>
    <t>6603129106;36880802100;7005831705;6602805535</t>
  </si>
  <si>
    <t>Stalzer, Henry J.;Fathy, Ali;Hessel, Alexander;Shmoys, Jerry</t>
  </si>
  <si>
    <t>Stalzer H.</t>
  </si>
  <si>
    <t>Effect of lossy ground on performance of planar and cylindrical arrays</t>
  </si>
  <si>
    <t>10.1029/RS025i002p00133</t>
  </si>
  <si>
    <t>2-s2.0-0025398735</t>
  </si>
  <si>
    <t>['reflector antennas', 'n auxiliary', 'analysis allows']</t>
  </si>
  <si>
    <t>The mathematical analysis appropriate for evaluating the interference cancellation performance of continuously variable time-domain adaptive antennas is developed. The analysis is applicable to reflector antennas having N auxiliary, continuously variable time delay taps for the case of phase modulated interference. The analysis allows the evaluation of improvement in performance of reflector antennas with variable time delay taps versus fixed delay taps. ¬© 1990 IEEE</t>
  </si>
  <si>
    <t>359-368</t>
  </si>
  <si>
    <t>0018926X</t>
  </si>
  <si>
    <t>IEEE Transactions on Antennas and Propagation</t>
  </si>
  <si>
    <t>The Application of Howells‚ÄîApplebaum Adaptive Control Theory to Continuously Variable Time-Domain Reflector Antenna Response</t>
  </si>
  <si>
    <t>10.1109/8.52243</t>
  </si>
  <si>
    <t>2-s2.0-0025398791</t>
  </si>
  <si>
    <t>['several cases', 'patch model', 'part ii', 'mm employing', 'mm ).', 'important case', 'formulation c', 'contiguous halfspaces', 'conducting surfaces', 'arbitrary number']</t>
  </si>
  <si>
    <t>In Part I of this paper three mixed-potential electric field integral equations (MPIEs) have been formulated for conducting surfaces of arbitrary shape residing in plane-stratified dielectric media with an arbitrary number of layers. One of the MPIEs (Formulation C) was found to be particularly well suited for the application of the method of moments (MM). In Part II of this paper, Formulation C of Part I is specialized to the important case of a scatterer or antenna of arbitrary shape residing in contiguous halfspaces. This MPIE is solved by the MM employing a triangle-patch model of the surface of the object. Sample numerical results are presented for several cases of interest. ¬© 1990 IEEE</t>
  </si>
  <si>
    <t>345-352</t>
  </si>
  <si>
    <t>60020547;60010491</t>
  </si>
  <si>
    <t>7004961387;7202567207</t>
  </si>
  <si>
    <t>Michalski, Krzysztof A.;Zheng, Dalian</t>
  </si>
  <si>
    <t>College Station;University</t>
  </si>
  <si>
    <t>Texas A&amp;M University;University of Mississippi</t>
  </si>
  <si>
    <t>Michalski K.A.</t>
  </si>
  <si>
    <t>Electromagnetic Scattering and Radiation by Surfaces of Arbitrary Shape in Layered Media, Part II: Implementation and Results for Contiguous Half-Spaces</t>
  </si>
  <si>
    <t>10.1109/8.52241</t>
  </si>
  <si>
    <t>2-s2.0-0025398952</t>
  </si>
  <si>
    <t>['strongly affected', 'remarkable difference', 'plasma distance', 'mode plasmas', 'loading resistance', 'limiter plasmas', 'limiter discharges', 'increases strongly', 'icrf heating', 'density profile', 'antenna loading']</t>
  </si>
  <si>
    <t>H-mode plasmas have been observed during ICRF heating in JFT-2M. In H-mode plasmas, there is a remarkable difference in the antenna loading between single-null divertor discharges and limiter discharges. When an L-H transition occurs, the loading resistance tends to decrease in single-null divertor plasmas but it increases strongly in limiter plasmas. It is shown that the difference in the behaviour of the loading resistance can be attributed to the change of the density profile; also, the antenna loading is strongly affected by the size of the antenna-plasma distance. ¬© 1990 IOP Publishing Ltd.</t>
  </si>
  <si>
    <t>499-503</t>
  </si>
  <si>
    <t>60012288;60012288;60012288;60012288</t>
  </si>
  <si>
    <t>57214216089;56187794400;57083334700;7003741997</t>
  </si>
  <si>
    <t>Ogawa, T.;Tamai, H.;Matsumoto, H.;Odajima, K.</t>
  </si>
  <si>
    <t>Ogawa T.</t>
  </si>
  <si>
    <t>Characteristics of icrf loading during the h-mode in the jft-2m tokamak</t>
  </si>
  <si>
    <t>10.1088/0029-5515/30/3/011</t>
  </si>
  <si>
    <t>2-s2.0-0025398977</t>
  </si>
  <si>
    <t>['unconstrained problem', 'technique developed', 'state solution', 'previously shown', 'optimal weights', 'loop implementation', 'gs algorithms', 'frost introduced', 'convergence rate', 'constrained problem', 'buckley whereby', 'analytical results']</t>
  </si>
  <si>
    <t>Frost introduced a linearly constrained optimization algorithm such that certain mainbeam properties are preserved while attaining good cancellation. An open-loop implementation of this algorithm is developed here. This implementation is shown to be equivalent to the technique developed by Jim, Griffiths, and Buckley whereby the constrained problem is reduced to an unconstrained problem. In addition, analytical results are presented for the convergence rate when the sampled matrix inversion (SMI) or Gram-Schmidt (GS) algorithm are employed. It has been previously shown that the steady-state solution for the optimal weights is identical for both constrained and reduced unconstrained problems. It is shown here that if the SMI or GS algorithms are employed, then the transient weighting vector solution for the constrained problem is identical to the equivalent transient weighting vector solution for the reduced unconstrained implementation. ¬© 1990 IEEE</t>
  </si>
  <si>
    <t>263-272</t>
  </si>
  <si>
    <t>Gerlach, Karl</t>
  </si>
  <si>
    <t>Washington, D.C.</t>
  </si>
  <si>
    <t>Naval Research Laboratory</t>
  </si>
  <si>
    <t>Gerlach K.</t>
  </si>
  <si>
    <t>Implementation and Convergence Considerations of a Linearly Constrained Adaptive Array</t>
  </si>
  <si>
    <t>10.1109/7.53459</t>
  </si>
  <si>
    <t>2-s2.0-0025398997</t>
  </si>
  <si>
    <t>['wiley company', 'vertical plane', 'upper portion', 'uniform regardless', 'thereby improving', 'test antenna', 'sidelobe characteristics', 'shaped beam', 'reflector surface', 'rain drops', 'main part', 'inc .,', 'illumination level', 'horizontal plane', 'flare angle', 'fan beam', 'extremely good', 'boundary shape', 'accurate method']</t>
  </si>
  <si>
    <t>With a view to applications of the 21‚ÄêGHz LDR (local distribution radio) system to point‚Äêto‚Äêmultipoint systems, a hub station antenna was developed which produces an improved cosecant square beam in the vertical plane and the fan beam in the horizontal plane. The antenna is made of an offset‚Äêshaped reflector fed by a corrugated conical horn with a rotationally symmetric beam. As a shaped reflector synthesis, an efficient and accurate method is proposed, which is a combination of the geometrical optics method and the physical optics method. To produce the high gain part of the shaped beam (beam nose), the method of a doubly curved reflector is extended so that the main part of the reflector surface is obtained in the geometrical optic process. Next, to form the low gain part (beam skirt), the physical optics shaped reflector design method is applied to an upper portion of the reflector. By defining the boundary shape of the reflector on the cone with a horn as the vertex and the flare angle from the horn axis constant, the control of the illumination level over the entire reflector edge is low and uniform regardless of the polarization, thereby improving the sidelobe characteristics. The measured radiation characteristics of the test antenna are extremely good so that the validity and effectiveness of the present antenna design are proven. The measured values include the simulated experimental results in the case where rain drops are attached to the radome. Copyright ¬© 1990 Wiley Periodicals, Inc., A Wiley Company</t>
  </si>
  <si>
    <t>59-72</t>
  </si>
  <si>
    <t>Electronics and Communications in Japan (Part I: Communications)</t>
  </si>
  <si>
    <t>60021208;60021208</t>
  </si>
  <si>
    <t>7102999195;57201551756</t>
  </si>
  <si>
    <t>Nomoto, Shinichi;Watanabe, Fumio</t>
  </si>
  <si>
    <t>KDDI Corporation</t>
  </si>
  <si>
    <t>Nomoto S.</t>
  </si>
  <si>
    <t>Highly contoured beam antennas for 21 ghz‚Äêband ldr hub stations</t>
  </si>
  <si>
    <t>10.1002/ecja.4410730306</t>
  </si>
  <si>
    <t>2-s2.0-0025399254</t>
  </si>
  <si>
    <t>['wiley company', 'preliminary results', 'monopulse array', 'inc .,', 'element excitations', 'difference patterns', 'acceptable sum']</t>
  </si>
  <si>
    <t>Linear arrays | monopulse | nonuniform interele‚Äêment spacings | two‚Äêsection feed network</t>
  </si>
  <si>
    <t>A method is proposed for using array element positions plus the element excitations in order to obtain both acceptable sum and difference patterns for a monopulse array with a two‚Äêsection feed network. Preliminary results are discussed. Copyright ¬© 1990 Wiley Periodicals, Inc., A Wiley Company</t>
  </si>
  <si>
    <t>106-109</t>
  </si>
  <si>
    <t>60021902;60021902</t>
  </si>
  <si>
    <t>57203176700;34975061400</t>
  </si>
  <si>
    <t>McNamara, Derek A.;Jacobs, J. Pieter</t>
  </si>
  <si>
    <t>McNamara D.</t>
  </si>
  <si>
    <t>The utilization of nonuniform spacings for improved two‚Äêsection monopulse array performance</t>
  </si>
  <si>
    <t>10.1002/mop.4650030310</t>
  </si>
  <si>
    <t>2-s2.0-0025399394</t>
  </si>
  <si>
    <t>['¬© 1990', 'wire approximation', 'triangular type', 'triangular patches', 'theoretical results', 'testing functions', 'surface integrals', 'rights reserved', 'plane wave', 'numerically solved', 'numerically analyzed', 'moment method', 'input admittance', 'direct calculation', 'different number', 'cylinder antenna', 'current distribution', 'cpu time', 'admittance solution']</t>
  </si>
  <si>
    <t>In this paper, the cylindrical dipole antenna is numerically analyzed by the moment method. Surface of the antenna is approximated by triangular patches and the electric field integral equation is used for direct calculation of the surface current distribution. Therefore we can treat the cylinder antenna in open or closed boundary form. The current expansion functions and the testing functions of the electric field boundary condition are triangular type. The surface integrals are numerically solved by a 33-point Gaussian quadrature approximation. The current distribution on a flat plate illuminated by a plane wave and the input admittance of a hollow cylindrical dipole as the near field quantities have been investigated. The convergence of the input admittance against the number of the triangular patches is presented and also the admittance solution is compared with the thin-wire approximation and theoretical results. Finally the CPU time and memory storage size for different number of patches are presented. Rapid admittance convergence and few required unknowns per square wavelength are the advantages of the surface patch modeling. ¬© 1990, IEEE. All rights reserved.</t>
  </si>
  <si>
    <t>905-908</t>
  </si>
  <si>
    <t>IEEE Transactions on Magnetics</t>
  </si>
  <si>
    <t>108957932;60023147;60023147</t>
  </si>
  <si>
    <t>16835800400;35451628800;7202137163</t>
  </si>
  <si>
    <t>Analoui, M.;Tsuboi, H.;Nakata, T.</t>
  </si>
  <si>
    <t>Okayama;Kita-ku, Okayama</t>
  </si>
  <si>
    <t>Okayama University;Graduate School of Natural Science and Technology</t>
  </si>
  <si>
    <t>60023147;108957932</t>
  </si>
  <si>
    <t>Analoui M.</t>
  </si>
  <si>
    <t>Numerical analysis of antenna by a surface patch modeling</t>
  </si>
  <si>
    <t>10.1109/20.106464</t>
  </si>
  <si>
    <t>2-s2.0-0025399445</t>
  </si>
  <si>
    <t>Air Force Office of Scientific Research</t>
  </si>
  <si>
    <t>F33615-86-O3233</t>
  </si>
  <si>
    <t>AFOSR</t>
  </si>
  <si>
    <t>['spacecraft consisting', 'spacecraft comprising', 'rigid platform', 'rights reserved', 'preselected lines', 'paper contains', 'mission consists', 'inertial space', 'inc .,', 'given number', 'flexible antenna', 'feedback controls', 'elastic vibration']</t>
  </si>
  <si>
    <t>This investigation is concerned with the dynamics and control of a spacecraft comprising a rigid platform and a given number Of retargeting flexible antennas. The mission consists of maneuvering the antennas so as to coincide with preselected lines of sight while stabilizing the platform in an inertial space and suppressing the elastic vibration of the antennas. The paper contains the derivation of the equations of motion by a Lagrangian approach using quasicoordinates, as well as a procedure for designing the feedback controls. A numerical example involving a spacecraft consisting of a rigid platform and a flexible antenna is presented. ¬© 1990 American Institute of Aeronautics and Astronautics, Inc., All rights reserved.</t>
  </si>
  <si>
    <t>241-248</t>
  </si>
  <si>
    <t>60027090;60027090</t>
  </si>
  <si>
    <t>7004373066;7006129131</t>
  </si>
  <si>
    <t>Meirovitch, Leonard;Kwak, Moon K.</t>
  </si>
  <si>
    <t>Blacksburg</t>
  </si>
  <si>
    <t>Virginia Polytechnic Institute and State University</t>
  </si>
  <si>
    <t>Meirovitch L.</t>
  </si>
  <si>
    <t>Dynamics and control of spacecraft with retargeting flexible antennas</t>
  </si>
  <si>
    <t>10.2514/3.20543</t>
  </si>
  <si>
    <t>2-s2.0-0025399576</t>
  </si>
  <si>
    <t>['three components', 'represented graphically', 'many others', 'electromagnetic field', 'copyright 1990']</t>
  </si>
  <si>
    <t>The electromagnetic field generated by a vertical electric dipole on or near the surface of the Earth is studied for continuous‚Äêwave excitation. The analytical foundation established by Sommerfeld and developed by many others is reviewed, and simple explicit new formulas are derived for the three components of the electromagnetic field and represented graphically. Their range of validity is defined. They show that the surface waves constitute the entire far field along the air‚Äêearth boundary. Copyright 1990 by the American Geophysical Union.</t>
  </si>
  <si>
    <t>149-160</t>
  </si>
  <si>
    <t>King, Ronold W.P.</t>
  </si>
  <si>
    <t>King R.</t>
  </si>
  <si>
    <t>Electromagnetic field of a vertical dipole over an imperfectly conducting half‚Äêspace</t>
  </si>
  <si>
    <t>10.1029/RS025i002p00149</t>
  </si>
  <si>
    <t>2-s2.0-0025399592</t>
  </si>
  <si>
    <t>['widely used', 'velocity modulation', 'various components', 'speed computing', 'real structures', 'real structure', 'particle density', 'modeling program', 'many attempts', 'inherent complexity', 'fast scilloscopes', 'domain microwave', 'distributed elements', 'coupled structures', 'commercial frequency', 'analyzing traveling']</t>
  </si>
  <si>
    <t>Traveling-wave circuit structures are widely used for particle density and velocity modulation in accelerators, amplifiers, fast scilloscopes, and as antennas. While many attempts have been made over the years to model the behavior of these coupled structures, the inherent complexity of the problem required highly idealized models. High-speed computing and modern circuit analysis techniques have made possible accurate passive network models that include both lumped and distributed elements. Described here is a method of analyzing traveling-wave structures based on a coupled-line physical model and a commercial frequency-domain microwave-circuit-modeling program. This approach provides significant insight into the sources of pulse distortion observed in real structures. The model is compared to a real structure to benchmark the model's various components. ¬© 1990 IEEE</t>
  </si>
  <si>
    <t>862-869</t>
  </si>
  <si>
    <t>IEEE Transactions on Electron Devices</t>
  </si>
  <si>
    <t>Dunham, Mark E.</t>
  </si>
  <si>
    <t>Los Alamos</t>
  </si>
  <si>
    <t>Los Alamos National Laboratory</t>
  </si>
  <si>
    <t>Dunham M.</t>
  </si>
  <si>
    <t>Modern Circuit Models For Traveling-Wave Structures With Nearest Neighbor Coupling</t>
  </si>
  <si>
    <t>10.1109/16.47803</t>
  </si>
  <si>
    <t>2-s2.0-0025399708</t>
  </si>
  <si>
    <t>['¬© 1990', 'rights reserved', 'qualitative reasoning', 'qualitative information', 'proposed method', 'optimum search', 'optimization process', 'objective function', 'monotonicity analysis', 'mechanical engineers', 'make use', 'japan society', 'easily carried', 'complex systems', 'approximate direction']</t>
  </si>
  <si>
    <t>Active Constraints Set | Design Engineering | Optimum Design | Qualitative Reasoning | Search</t>
  </si>
  <si>
    <t>A Study on a multi-objective optimum design method applying qualitative reasoning to a part of the optimization process is proposed. A single-objective optimum design problem is solved by a monotonicity analysis, and then with the information of active constraints sets, we add these constraints to the objective function and turn the problem into a multi-objective optimum design problem. Qualitative reasoning is modified to be able to make use of the qualitative information which gives an approximate direction of the optimum search and saves the number of the iteration for optimization. It appears from the structural optimum design of an antenna that the proposed method is applicable for the optimization of complex systems, since an optimization can be easily carried out even with inadequate quantitative information. ¬© 1990, The Japan Society of Mechanical Engineers. All rights reserved.</t>
  </si>
  <si>
    <t>398-403</t>
  </si>
  <si>
    <t>Transactions of the Japan Society of Mechanical Engineers Series C</t>
  </si>
  <si>
    <t>55669805100;55559343400</t>
  </si>
  <si>
    <t>Arakawa, Masao;Yamakawa, Hiroshi</t>
  </si>
  <si>
    <t>Arakawa M.</t>
  </si>
  <si>
    <t>A Study on the Optimum Design Applying Qualitative Reasoning</t>
  </si>
  <si>
    <t>10.1299/kikaic.56.398</t>
  </si>
  <si>
    <t>2-s2.0-0025399928</t>
  </si>
  <si>
    <t>['¬© 1990', 'tlm method', 'rights reserved', 'radiated pattern', 'optimal shape', 'letter presents', 'geometrical parameters', 'electromagnetic fields', 'electrical engineers', 'aperture slot', 'antenna operating']</t>
  </si>
  <si>
    <t>Antennas | Microwaves</t>
  </si>
  <si>
    <t>The letter presents the electromagnetic fields in a short exponentially tapered slot antenna, calculated with a 3-D TLM method. The calculation of fields for different aperture slotwidths gives an optimal shape for which the radiation is a maximum. The radiated pattern is calculated and shows the influence of the aperture slot-width on the directivity. The TLM method enables the determination of geometrical parameters of the antenna operating at any frequency, for microwave imaging applications for example. ¬© 1990, The Institution of Electrical Engineers. All rights reserved.</t>
  </si>
  <si>
    <t>468-470</t>
  </si>
  <si>
    <t>60015502;60015502;60015502</t>
  </si>
  <si>
    <t>6701555390;7003356267;6602079064</t>
  </si>
  <si>
    <t>Ndagijimana, F.;Saguet, P.;Bouthinon, M.</t>
  </si>
  <si>
    <t>Grenoble</t>
  </si>
  <si>
    <t>ENSERG - INP Grenoble</t>
  </si>
  <si>
    <t>Ndagijimana F.</t>
  </si>
  <si>
    <t>Tapered Slot Antenna Analysis with 3-D TLM Method</t>
  </si>
  <si>
    <t>10.1049/el:19900304</t>
  </si>
  <si>
    <t>2-s2.0-0025399976</t>
  </si>
  <si>
    <t>['wiley company', 'value close', 'theoretical value', 'switching algorithm', 'selection switching', 'rayleigh distribution', 'output scheme', 'optimal values', 'multipath fading', 'mobile communication', 'made using', 'inc .,', 'field experiment', 'experimental system', 'diversity branches', 'constructed experimentally']</t>
  </si>
  <si>
    <t>An antenna pattern diversity reception system was constructed experimentally as a means to cope with multipath fading in mobile communication, where the four‚Äêdirection antenna is used as the diversity branches, which themselves have the fading reduction effect. The variable threshold switching method is employed as the output scheme from the diversity branches. The switching algorithm for the four‚Äêbranch multithreshold reception is discussed. From the computer simulation based on the actually measured fading data, the optimal values for the parameters of the branch switching control algorithm are determined. A field experiment is made using the experimental system, and it is verified that the short‚Äêterm fading is improved in the actual multipath environment with the value close to the theoretical value, for the selection switching by four receivers using uncorrelated branches with Rayleigh distribution. Copyright ¬© 1990 Wiley Periodicals, Inc., A Wiley Company</t>
  </si>
  <si>
    <t>60011001;60011001;60011001</t>
  </si>
  <si>
    <t>55455371200;7005235088;7406244729</t>
  </si>
  <si>
    <t>Takeuchi, Tsutomu;Ikegami, Fumio;Yoshida, Susumu</t>
  </si>
  <si>
    <t>Kyoto</t>
  </si>
  <si>
    <t>Kyoto University</t>
  </si>
  <si>
    <t>Takeuchi T.</t>
  </si>
  <si>
    <t>Experimental studies on fading reduction by four‚Äêdirection antenna pattern diversity reception with variable multithreshold switching strategy</t>
  </si>
  <si>
    <t>10.1002/ecja.4410730301</t>
  </si>
  <si>
    <t>2-s2.0-0025400034</t>
  </si>
  <si>
    <t>['‚ äòn1', '‚ àí3', 'toroidal direction', 'septum width', 'secondary waveguide', 'plane junctions', 'physical properties', 'optimum density', 'new coupler', 'multijunction units', 'multijunction unit', 'multijunction antenna', 'main properties', 'launcher manufacturing', 'large range', 'investigated numerically', 'geometrical parameters', 'general design', 'electron density', 'edge effects', 'also investigated', 'accessibility limit']</t>
  </si>
  <si>
    <t>The physical properties of the JET lower hybrid antenna have been investigated numerically with a two-dimensional computer code based on the linear coupling theory. The antenna is made from an array of multijunction units which divide the incident power along the toroidal direction. The main properties of this new coupler are investigated and compared with those of the conventional grills generally used in previous lower hybrid experiments. In the light of this study, the general design of the multijunction antenna is presented; the importance of the geometrical parameters of the multijunction unit (e.g. choice of the location of the E-plane junctions, septum width between waveguides) is stressed. These parameters are optimized and their values are taken into account in launcher manufacturing. With such an optimization, the electric field enhancement in each secondary waveguide is minimized for an electron density at the launcher of about 1018 m‚àí3, the power reflection coefficient is below 1.5% and the ‚Äòn1-weighted antenna directivity‚Äô is expected to lie between 60% and 70% in a large range of plasma densities around the optimum density. By using two shorted passive waveguides on each side of the antenna, the edge effects are reduced. The effect of the accessibility limit on coupling is also investigated. ¬© 1990 IOP Publishing Ltd.</t>
  </si>
  <si>
    <t>471-484</t>
  </si>
  <si>
    <t>60025104-60003729;60025104-60003729</t>
  </si>
  <si>
    <t>7003729827;7102026019</t>
  </si>
  <si>
    <t>Litaudon, X.;Moreau, D.</t>
  </si>
  <si>
    <t>United Kingdom;France</t>
  </si>
  <si>
    <t>;Saint Paul lez Durance</t>
  </si>
  <si>
    <t>EFDA-JET;CEA Cadarache</t>
  </si>
  <si>
    <t>60025104;60003729</t>
  </si>
  <si>
    <t>Litaudon X.</t>
  </si>
  <si>
    <t>Coupling of slow waves near the lower hybrid frequency in jet</t>
  </si>
  <si>
    <t>10.1088/0029-5515/30/3/009</t>
  </si>
  <si>
    <t>2-s2.0-0025400178</t>
  </si>
  <si>
    <t>['wiley company', 'variational formula', 'theory shows', 'microstrip antenna', 'input impedance', 'increasing complexity', 'inc .,', 'gap capacitance', 'fudge factors', 'experiment data', 'dielectric substrate', 'diaphragm exists', 'coaxial aperture']</t>
  </si>
  <si>
    <t>antenna feed | Microstrip antennas | mode‚Äêmatching method | variational method</t>
  </si>
  <si>
    <t>The input impedance of a probe‚Äêfed, annular‚Äêring‚Äêloaded, circular‚Äêdisk microstrip antenna is analyzed using three methods of increasing complexity. The first method uses a new variational formula. The second method uses a mode‚Äêmatching method. The third method uses the mode‚Äêmatching method with a diaphragm at the coaxial aperture. The mode‚Äêmatching methods are identical to the variational formula under the single‚Äêmode approximation. When a diaphragm is present, the singl‚Äêmode approximation is insufficient, implying the variational formula is inaccurate when a diaphragm exists. The theory shows that the effect of the gap capacitance at the coaxial aperture on the input impedance of the microstrip antenna is important when the dielectric substrate is thick. The theories agree well with experiment data with no fudge factors. Copyright ¬© 1990 Wiley Periodicals, Inc., A Wiley Company</t>
  </si>
  <si>
    <t>79-83</t>
  </si>
  <si>
    <t>60000745;60000745;60000745</t>
  </si>
  <si>
    <t>26643168800;55645491100;7401934487</t>
  </si>
  <si>
    <t>Chew, W. C.;Nie, Z.;Lo, Y. T.</t>
  </si>
  <si>
    <t>Chew W.</t>
  </si>
  <si>
    <t>The effect of feed on the input impedance of a microstrip antenna</t>
  </si>
  <si>
    <t>10.1002/mop.4650030302</t>
  </si>
  <si>
    <t>2-s2.0-0025400208</t>
  </si>
  <si>
    <t>['vertically separated', 'representations obtained', 'observation points', 'numerical examples', 'numerical evaluation', 'microstrip green', 'laterally rather', 'integration contour', 'function exhibits', 'function converges', 'field points', 'especially useful', 'copyright 1990']</t>
  </si>
  <si>
    <t>A radial propagation integral representation of the microstrip electric dyadic surface Green's function is developed. This representation is very efficient for a numerical evaluation of the field when the source and observation points are laterally rather than vertically separated with respect to the plane of the substrate. Furthermore, when the integration contour is deformed to the steepest descent path, the Green's function exhibits an even faster convergence. In contrast, the conventional Sommerfeld integral representation of the microstrip Green's function converges very poorly for this case. Numerical examples are presented which indicate that the representations obtained here are surprisingly efficient even for relatively small lateral separation of the source and field points. This work is especially useful in the moment method analysis of microstrip antenna arrays where the mutual coupling effects are important. Copyright 1990 by the American Geophysical Union.</t>
  </si>
  <si>
    <t>161-174</t>
  </si>
  <si>
    <t>6603705367;35579308700</t>
  </si>
  <si>
    <t>Barkeshli, S.;Pathak, P. H.</t>
  </si>
  <si>
    <t>Barkeshli S.</t>
  </si>
  <si>
    <t>Radial propagation and steepest descent path integral representations of the planar microstrip dyadic Green's function</t>
  </si>
  <si>
    <t>10.1029/RS025i002p00161</t>
  </si>
  <si>
    <t>2-s2.0-0025400934</t>
  </si>
  <si>
    <t>['radiation pattern', 'many years', 'lobe levels', 'computer program', 'channel interference', 'broadcasting institutions', 'antenna array', '40 db']</t>
  </si>
  <si>
    <t>The problem of co-channel interference has been a matter of concern to broadcasting institutions for many years. In this paper, the ability of the Numerical Electromagnetics Code (NEC2) computer program is investigated for the prediction of the radiation pattern of an antenna array on a mast. The evaluation and validation of NEC2 is undertaken by the comparison of measured and computed radiation patterns of Log Periodic Dipole Antenna Arrays. Emphasis is placed on the correspondence of the side-lobe levels -30 to -40 dB down from the main-lobe. This is important in the synthesis of an array with predictable null positions and depths. ¬© 1990 IEEE</t>
  </si>
  <si>
    <t>89-93</t>
  </si>
  <si>
    <t>IEEE Transactions on Broadcasting</t>
  </si>
  <si>
    <t>7404141260;23013000100</t>
  </si>
  <si>
    <t>Baker, D. C.;Reuss, T. G.</t>
  </si>
  <si>
    <t>Baker D.C.</t>
  </si>
  <si>
    <t>An investigation of the design of a log-periodic dipole array with low side-lobe levels for broadcast applications</t>
  </si>
  <si>
    <t>10.1109/11.52368</t>
  </si>
  <si>
    <t>2-s2.0-0025401020</t>
  </si>
  <si>
    <t>['¬© 1990', 'square value', 'simple computer', 'rights reserved', 'one frequency', 'frequency band', 'electrical engineers', 'basic idea', 'array response', 'aided approach']</t>
  </si>
  <si>
    <t>Antenna arrays | Antennas | Computer-aided design</t>
  </si>
  <si>
    <t>In this letter, a simple computer-aided approach is used to design the beampattern of an array of arbitrary geometrical shape with minimum white noise output power. The basic idea of the approach is to minimise the mean-square value of the array response in certain directional regions while imposing a directional gain constraint at one frequency or over a frequency band of interest. ¬© 1990, The Institution of Electrical Engineers. All rights reserved.</t>
  </si>
  <si>
    <t>337-339</t>
  </si>
  <si>
    <t>Ng B.</t>
  </si>
  <si>
    <t>Array synthesis using a simple computer-aided approach</t>
  </si>
  <si>
    <t>10.1049/el:19900221</t>
  </si>
  <si>
    <t>2-s2.0-0025401090</t>
  </si>
  <si>
    <t>['weighting functions', 'various cases', 'value problem', 'tangential components', 'starting point', 'radiation characteristics', 'present configuration', 'moment method', 'magnetic field', 'graphical form', 'general form', 'first derived', 'excitation aperture', 'electric field', 'either 1', 'directive diagrams', 'crosspolarization effects', 'coupling coefficients', 'boundary conditions', 'approach using', 'also investigated']</t>
  </si>
  <si>
    <t>An analysis is presented for determining the radiation characteristics of a parallel-plate aperture waveguide radiating through a slab that exhibits both (electric) and (magnetic) anisotropics of the most general form. The excitation is taken to be either 1) the lowest order transverse electric (TE) or the lowest order transverse magnetic (TM) (i.e., transverse electromagnetic (TEM)) waves, or 2) a uniform, E- or H-polarized, incident plane wave. As a result of the anisotropy, crosspolarization effects are observed. The formulation of the boundary-value problem is carried out in the Fourier transform domain. Considerable contraction results by using previously developed matrix analysis techniques. In this way a fruitful integral representation of the tangential components of the magnetic field is first derived in terms of the tangential components of the electric field at the excitation aperture. Next, and after imposing the boundary conditions at the aperture boundary surface, this representation is used as the starting point for a solution on the basis of a moment method (MM) approach using the eigenmodes as basis and weighting functions. Numerical results related to the reflection and coupling coefficients as well as the directive diagrams of the structure are presented in graphical form for various cases. The effect of the anisotropy on these characteristics is also investigated and the possibility to use the present configuration as a controllable antenna element is pointed out. ¬© 1990 IEEE</t>
  </si>
  <si>
    <t>369-379</t>
  </si>
  <si>
    <t>60002947;60002947</t>
  </si>
  <si>
    <t>7004716169;7102355233</t>
  </si>
  <si>
    <t>Tsalamengas, John L.;Uzunoglu, Nikolaos K.</t>
  </si>
  <si>
    <t>Athens</t>
  </si>
  <si>
    <t>National Technical University of Athens</t>
  </si>
  <si>
    <t>Tsalamengas J.</t>
  </si>
  <si>
    <t>Radiation Properties of a Flanged Parallel-Plate Waveguide Loaded with an [formula omitted] General Anisotropic Slab</t>
  </si>
  <si>
    <t>10.1109/8.52244</t>
  </si>
  <si>
    <t>2-s2.0-0025401219</t>
  </si>
  <si>
    <t>['stratified media', 'second part', 'patch model', 'part paper', 'medium consisting', 'knowledge concerning', 'key step', 'general procedure', 'free space', 'first part', 'electromagnetic radiation', 'dielectric layers', 'developed mpies', 'called mixed', 'arbitrary surface', 'arbitrary shape', 'arbitrary number', 'analyze scatterers']</t>
  </si>
  <si>
    <t>An accurate and general procedure is developed for the analysis of electromagnetic radiation and scattering by perfectly conducting objects of arbitrary shape embedded in a medium consisting of an arbitrary number of planar, dielectric layers. The key step in this procedure is the formulation of the so-called mixed-potential electric field integral equation (MPIE) that is amenable to an existing advanced solution technique developed for objects in free space, and which employs the method of moments in conjunction with a triangular-patch model of the arbitrary surface. Hence, our goal is to immediately increase analysis capabilities in electromagnetics, yet remain compatible with the large existing base of knowledge concerning the solution of surface integral equations. In this first part of a two-part paper, three alternative forms of the MPIE in plane-stratified media are developed and their properties are discussed. In the second part, one of the developed MPIEs is implemented to analyze scatterers and antennas of arbitrary shape that penetrate the interface between contiguous dielectric halfspaces. ¬© 1990 IEEE</t>
  </si>
  <si>
    <t>335-344</t>
  </si>
  <si>
    <t>Electromagnetic Scattering and Radiation by Surfaces of Arbitrary Shape in Layered Media, Part I: Theory</t>
  </si>
  <si>
    <t>10.1109/8.52240</t>
  </si>
  <si>
    <t>2-s2.0-0025401286</t>
  </si>
  <si>
    <t>['type analysis', 'tubular antenna', 'thin antennas', 'input admittance']</t>
  </si>
  <si>
    <t>Hurd's Wiener-Hopf (HWH) type analysis for the admittance of a long, thin, tubular antenna is extended to the case of an electrically thick solid antenna. Expressions are presented for the input admittance and the current distribution along a solid dipole antenna without restriction on the thickness. It is found that as with thin antennas, using one term of the final solution asymptotic series also produces accurate results for thick long antennas. Also, it is found that two series terms have to be used when the antenna is short. ¬© 1990 IEEE</t>
  </si>
  <si>
    <t>400-403</t>
  </si>
  <si>
    <t>60019000;60019000</t>
  </si>
  <si>
    <t>6701492696;7202820407</t>
  </si>
  <si>
    <t>Saoudy, S. A.;Sinha, B. P.</t>
  </si>
  <si>
    <t>St John's</t>
  </si>
  <si>
    <t>Memorial University of Newfoundland</t>
  </si>
  <si>
    <t>Saoudy S.A.</t>
  </si>
  <si>
    <t>On the Wiener‚ÄîHopf Analysis of Thick Solid Antenna with Nonzero Feed Gap Width</t>
  </si>
  <si>
    <t>10.1109/8.52248</t>
  </si>
  <si>
    <t>2-s2.0-0025401287</t>
  </si>
  <si>
    <t>['¬© 1990', 'urban environments', 'rights reserved', 'preliminary results', 'elevation angle', 'electrical engineers', 'directly relevant', 'antenna separation', '5 metres', '3 ¬∞']</t>
  </si>
  <si>
    <t>Antennas | Radiowave propagation | Satellite links</t>
  </si>
  <si>
    <t>Preliminary results are presented of a height diversity experiment with closely separated antennas operating at an elevation angle of 3.3¬∞ in the 11 GHz satellite band. Scintillation and atmospheric multipath effects are shown to be alleviated with an antenna separation of 16.5 metres. The technique is directly relevant to the expansion of satellite services using small antennas (e.g. IBS or VSAT) at low elevation angles, particularly in urban environments. ¬© 1990, The Institution of Electrical Engineers. All rights reserved.</t>
  </si>
  <si>
    <t>479-480</t>
  </si>
  <si>
    <t>60031028;60004541</t>
  </si>
  <si>
    <t>57215794970;7003842304</t>
  </si>
  <si>
    <t>Bryant, D. L.;Allnutt, J. E.</t>
  </si>
  <si>
    <t>United Kingdom;United States</t>
  </si>
  <si>
    <t>London;Washington, D.C.</t>
  </si>
  <si>
    <t>British Telecommunications plc;INTELSAT</t>
  </si>
  <si>
    <t>Bryant D.L.</t>
  </si>
  <si>
    <t>Use of Closely-Spaced Height Diversity Antennas to Alleviate the Effects of Low Angle Non-Absorptive Fading on Satellite Slant Paths</t>
  </si>
  <si>
    <t>10.1049/el:19900311</t>
  </si>
  <si>
    <t>2-s2.0-0025401489</t>
  </si>
  <si>
    <t>['typical results', 'ground plane', 'equivalence principle', 'entire structure', 'electric current', 'either lossless', 'conducting bodies']</t>
  </si>
  <si>
    <t>An E-field integral equation is developed for the analysis of finite printed circuit antennas with multiple dielectric regions. In this analysis, the ground plane is considered to be finite. The dielectric substrates may be either lossless or lossy, and may be inhomogeneous but must be finite. First, the equivalence principle is used to replace all conducting bodies by equivalent surface electric currents and all dielectrics by equivalent volume polarization currents. The respective boundary conditions on the dielectrics and the conductors are utilized to solve for the electric current on the entire structure. Finally, typical results are presented to illustrate the potential of this method. ¬© 1990 IEEE</t>
  </si>
  <si>
    <t>305-312</t>
  </si>
  <si>
    <t>60030551;60030551</t>
  </si>
  <si>
    <t>55650323300;7003593230</t>
  </si>
  <si>
    <t>Sarkar, Tapan K.;Arvas, Ercument</t>
  </si>
  <si>
    <t>Syracuse</t>
  </si>
  <si>
    <t>Syracuse University</t>
  </si>
  <si>
    <t>Sarkar T.</t>
  </si>
  <si>
    <t>An Integral Equation Approach to the Analysis of Finite Microstrip Antennas: Volume/Surface Formulation</t>
  </si>
  <si>
    <t>10.1109/8.52238</t>
  </si>
  <si>
    <t>2-s2.0-0025401496</t>
  </si>
  <si>
    <t>['vhf bands', 'transmitting site', 'transmitting antenna', 'radiation properties', 'physical constants', 'ground surrounding', 'distortionless area']</t>
  </si>
  <si>
    <t>The nocturnal service area or distortionless area of MF AM broadcast stations depends on the radiation properties of the transmitting antenna and the physical constants of the ground surrounding the transmitting site. These ground constants limit the maximum physical antenna height to be used and establish how large the nocturnal service area would be. Sometimes the nocturnal service area could be increased by the use of vertical antenna array. In this case it's very important to know how is the increase of the theoretical nocturnal service area of the station and if the use of more sofisticated radiating systems are justified. Calculations have been made to determine the theoretical nocturnal service area of the station using vertical arrays and curves with maximum distortionless distance are given as a function of frequency and ground physical constants. Measurements on reduced scale models in HF and VHF bands are shown with improvements in antenna antifading properties and of course in nocturnal service area. ¬© 1990 IEEE</t>
  </si>
  <si>
    <t>74-81</t>
  </si>
  <si>
    <t>Trainotti, Valentin</t>
  </si>
  <si>
    <t>Trainotti V.</t>
  </si>
  <si>
    <t>The nocturnal service area of MF am broadcast stations using vertical arrays</t>
  </si>
  <si>
    <t>10.1109/11.52366</t>
  </si>
  <si>
    <t>2-s2.0-0025401521</t>
  </si>
  <si>
    <t>['transmitting antenna', 'theoretical predictions', 'radius relationship', 'radio horizon', 'paramount importance', 'optimum h', 'measured data', 'maximum diurnal', 'good agreements', 'good accuracy', 'factor permits', 'existing mf', 'diffraction factor', 'critical study', 'broadcast station', 'best h', 'antifading properties']</t>
  </si>
  <si>
    <t>Measurements have been made on ground electrical field intensity in order to obtain a coefficient for the shadow or diffraction factor. This factor permits to determine with good accuracy the ground E field from the transmitting antenna to a point well beyond the radio horizon. The ground E field is of paramount importance to obtain the nocturnal service area of an AM broadcast station. Nocturnal service area depends on the antifading properties of the transmitting monopole antenna. Critical study of height-radius relationship (H/a) effect has been made in order to determine the performance of the transmitting monopole antenna. Results are very interesting because they permit to evaluate what is the best H/a relationship for a determined antenna height in order to obtain maximum directivity and maximum diurnal and nocturnal service area. Improvements in existing MF AM antennas can be achieved for high fidelity stereo transmissions choosing the optimum H/a relationship. Measured data on reduced scale models are shown and compared with theoretical predictions. Good agreements have been achieved between them. ¬© 1990 IEEE</t>
  </si>
  <si>
    <t>82-88</t>
  </si>
  <si>
    <t>Height radius effect on mf am transmitting monopole antenna</t>
  </si>
  <si>
    <t>10.1109/11.52367</t>
  </si>
  <si>
    <t>2-s2.0-0025401639</t>
  </si>
  <si>
    <t>['¬© 1990', 'system characteristics', 'stability evaluation', 'six degrees', 'rights reserved', 'mechanism including', 'mechanical engineers', 'magnetic actuators', 'load mass', 'linear characteristics', 'japan society', 'dynamic characteristics', 'displacement sensors', 'computed using', 'approximately linearized']</t>
  </si>
  <si>
    <t>Antenna Pointing | Characteristic Matrix | Dynamic Response | High Precision Positioning | Linearization | Magnetic Suspension | Nonlinearity | Satellite</t>
  </si>
  <si>
    <t>The stability criteria based on the root locus method in the magnetically suspended positioning mechanism with six degrees of freedom were derived using characteristic matrices. These describe the linear characteristics of the mechanism including the driven tetrahedron armature with load mass, controller, displacement sensors and magnetic actuators. The nonlinear electromagnetic force was approximately linearized. From these were derived linear expressions of dynamic characteristics on every equilible position, and was shown how every real parameter affects the system characteristics of the mechanism. Eigenfrequency variation along with the static equilible position travel of the tetrahedron was computed using the dynamic matrix equations, and was compared with experimental data obtained from the tetrahedron model fabricated for this purpose. The results were used for the stability evaluation of the mechanism in a wide operational range. ¬© 1990, The Japan Society of Mechanical Engineers. All rights reserved.</t>
  </si>
  <si>
    <t>842-850</t>
  </si>
  <si>
    <t>Shingu, Shitta</t>
  </si>
  <si>
    <t>Shingu S.</t>
  </si>
  <si>
    <t>Design Method of Magnetically Suspended Positioning Mechanism: (3rd Report, Stability and Linearized Characteristics in Magnetic Suspension System)</t>
  </si>
  <si>
    <t>10.1299/kikaic.56.842</t>
  </si>
  <si>
    <t>2-s2.0-0025401907</t>
  </si>
  <si>
    <t>['order case', 'new set', 'correspondence presents', 'constraints ensure']</t>
  </si>
  <si>
    <t>The correspondence presents a new set of constraints for controlling the beampattern spatial derivatives of a flat response broadband processor. The constraints ensure that the beampattern of the processor is independent of the choice of phase center location. It is shown that for the first-order case, the set of constraints are linear but for the second-order case, the set of constraints are linear and quadratic. ¬© 1990 IEEE</t>
  </si>
  <si>
    <t>551-552</t>
  </si>
  <si>
    <t>60005510;60019102</t>
  </si>
  <si>
    <t>7102842938;24341657200</t>
  </si>
  <si>
    <t>Er, M. H.;Ng, B. P.</t>
  </si>
  <si>
    <t>Singapore;Singapore</t>
  </si>
  <si>
    <t>Singapore City;Singapore City</t>
  </si>
  <si>
    <t>Singapore Polytechnic;Nanyang Technological University</t>
  </si>
  <si>
    <t>60019102;60005510</t>
  </si>
  <si>
    <t>Er M.H.</t>
  </si>
  <si>
    <t>On Derivative Constrained Broad-Band Beamforming</t>
  </si>
  <si>
    <t>10.1109/29.106874</t>
  </si>
  <si>
    <t>2-s2.0-0025401933</t>
  </si>
  <si>
    <t>['transponder resources', 'transponder power', 'technical requirements', 'significant problems', 'early 1990s', 'different services', 'beam antennas', 'band spectrum', 'allocating transponders', '87 paves']</t>
  </si>
  <si>
    <t>Allocation of L-band spectrum for land mobile satellite services in Mobile-WARC-87 paves the way for the introduction of such services in the early 1990s. Management of transponder resources, i.e., power, bandwidth, and spot-beam antennas, poses a set of unique and significant problems in the design and operation of mobile satellite networks. Presented here is a three-level hierarchical approach, and the technical requirements for solving these problems are identified. The two upper levels employ reconfigurable fixed assignment for allocating transponders to antenna spot beams, and transponder power and bandwidth to different services. The lowest level employs demand assignment and packet multiple access protocols for resource sharing among different subscribers. Uncoupling the resource management problems into manageable portions reduces the complexity and enhances the robustness of the network. ¬© 1990 IEEE</t>
  </si>
  <si>
    <t>273-281</t>
  </si>
  <si>
    <t>Leung, Victor C.M.</t>
  </si>
  <si>
    <t>Vancouver</t>
  </si>
  <si>
    <t>The University of British Columbia</t>
  </si>
  <si>
    <t>Leung V.C.M.</t>
  </si>
  <si>
    <t>Management of Transponder Resources in Mobile Satellite Systems</t>
  </si>
  <si>
    <t>10.1109/7.53440</t>
  </si>
  <si>
    <t>2-s2.0-0025402159</t>
  </si>
  <si>
    <t>['yet maintain', 'typically overlooked', 'tokamak scrape', 'three times', 'specific example', 'simplified two', 'relative magnitudes', 'reduced densities', 'practical viability', 'normally employed', 'new technique', 'model predicts', 'layer transport', 'important role', 'heat fluxes', 'folding lengths', 'folding length', 'field ion', 'field diffusion', 'faraday shield', 'electron mobilities', 'ebsol technique', 'bombarding flux', 'bias potentials', 'applied bias', 'alcator c']</t>
  </si>
  <si>
    <t>A new technique is proposed that may be used to reduce the bombarding flux of plasma onto critical RF antenna components (Faraday shield) yet maintain a high plasma density relatively near the antenna to maximize coupling efficiency. Limiters, which are normally employed to protect the Faraday shield from direct plasma contact, are modified and biased electrically positive, forming a narrow boundary layer plasma with a significantly reduced density e-folding length. A simplified two-fluid transport model which includes phenomenological cross-field diffusion and mobility is used to estimate the effect of the induced electrostatic barrier scrape-off layer (EBSOL) on the local density e-folding length. The model predicts that the influence of an applied bias on the local density gradient depends only on the relative magnitudes of cross-field ion and electron mobilities. Characteristic density e-folding lengths in front of the Faraday shield may be reduced by up to a factor of five with positive bias potentials of the order of three times the local electron temperature. The result is insensitive to the magnetic field strength and suggests that an order of magnitude or more reduction in the ion sputtering rate on the Faraday shield may be achievable. The result also suggests that cross-field mobility may play an important role in scrape-off layer transport, even in the absence of an externally imposed bias ‚Äì an effect that is typically overlooked in tokamak scrape-off layer transport analysis. As a specific example of the EBSOL technique, an arrangement that might be employed to protect the Faraday shield of an Alcator C-MOD ICRF antenna structure is considered. Bias potentials, currents, heat fluxes and reduced densities at the Faraday shield are estimated for anticipated plasma conditions. The dimensionless phenomenological transport parameter Œõ (= TŒº‚ä•/D‚ä•) is shown to be important for assessing the practical viability of the EBSOL technique, with Œõ ‚â™ 1 implying that multiple biased limiter electrodes in minor radius may be required. ¬© 1990 IOP Publishing Ltd.</t>
  </si>
  <si>
    <t>485-497</t>
  </si>
  <si>
    <t>LaBombard, B.</t>
  </si>
  <si>
    <t>LaBombard B.</t>
  </si>
  <si>
    <t>Use of an electrostatic barrier scrape-off layer as a technique to reduce impurity sources from bulk plasma bombardment of radiofrequency antenna structures</t>
  </si>
  <si>
    <t>10.1088/0029-5515/30/3/010</t>
  </si>
  <si>
    <t>2-s2.0-0025402347</t>
  </si>
  <si>
    <t>['modifications made', 'experimental instrument', 'diffraction along', 'anisotropic measurements', 'anechoic chamber', 'aftera description']</t>
  </si>
  <si>
    <t>A three-wave recording interferometer has been modified in order to adapt it for the anisotropic measurements of rubber sheets containing carbon particles. Due to the modifications made, it is no longernecessary to use an anechoic chamber, and the disadvantages of antennas?are eliminated, together with diffraction along the edges of samples. Aftera description of the experimental instrument, some of the measurement?results are presented. ¬© 1990 IEEE</t>
  </si>
  <si>
    <t>330-333</t>
  </si>
  <si>
    <t>60102125;60102125;60102125</t>
  </si>
  <si>
    <t>6602324272;6508196067;6602329530</t>
  </si>
  <si>
    <t>Sardos, Ren√©;Escarmant, Jean Fran√ßois;Saint-Christophe, Emmanuel</t>
  </si>
  <si>
    <t>Bordeaux</t>
  </si>
  <si>
    <t>Universit√© de Bordeaux</t>
  </si>
  <si>
    <t>Sardos R.</t>
  </si>
  <si>
    <t>Anisotropic Measurements of Rubber Sheets with an AT-Band Three-Wave Interferometer</t>
  </si>
  <si>
    <t>10.1109/22.45356</t>
  </si>
  <si>
    <t>2-s2.0-0025402386</t>
  </si>
  <si>
    <t>['type material', 'schultzei group', 'nairobiensis n', 'medical importance', 'maxillary palpus', 'material examined', 'left unnamed', 'larval habitats', 'kenyan fauna', 'karenensis n', 'isechnoensis n', 'host preferences', 'group status', 'ecological distribution', 'biting habits', 'adult seasonal', 'adult males', 'adult females', 'adult female', '52 species', '46 species', '45 species']</t>
  </si>
  <si>
    <t>The 55 known Culicoides species of Kenya, including the adult females of 52 species and the adult males of 46 species, are described. New taxa described for Kenya include C. isechnoensis n. sp. (subgenus Meijerehelea), C. karenensis n. sp. (similis group), and C. nairobiensis n. sp. (inornatipennis group). Three new species of the C. schultzei group are left unnamed. The Kenyan fauna is arranged in five recognized subgenera (10 species), eight species groups (36 species), and nine unplaced species. Comprehensive taxonomic keys are included for adult females and males; and sections in the treatments of each species are devoted to synonymy, type material, diagnosis, descriptions of the adult female and male, subgeneric or group status, larval habitats, adult seasonal and ecological distribution, host preferences and biting habits, medical importance (if appropriate), geographic distribution, and material examined. Line drawing illustrations of females of 52 species and males of 45 species are presented; they include the head, antenna, maxillary palpus, mandible, legs, wing, and spermathecae of females, and the genitalia of males.</t>
  </si>
  <si>
    <t>85-195</t>
  </si>
  <si>
    <t>Glick, J. I.</t>
  </si>
  <si>
    <t>Frederick</t>
  </si>
  <si>
    <t>U.S. Army Medical Research Institute of Infectious Diseases</t>
  </si>
  <si>
    <t>Glick J.</t>
  </si>
  <si>
    <t>Culicoides biting midges (Diptera: Ceratopogonidae) of Kenya.</t>
  </si>
  <si>
    <t>10.1093/jmedent/27.2.85</t>
  </si>
  <si>
    <t>2-s2.0-0025402569</t>
  </si>
  <si>
    <t>['zero component', 'wave number', 'wave fields', 'shield elements', 'plasma side', 'parametric dependence', 'outgoing waves', 'edge density', 'detailed structure', 'boundary condition', 'artificial absorbers', 'antenna simulate']</t>
  </si>
  <si>
    <t>The global wave propagation code ORION is extended to include a non-zero component of the wave electric field E parallel to B. With the inclusion of EPLL, it is possible to calculate the detailed structure of wave fields in the low density plasma immediately surrounding the antenna and Faraday shield structure. Artificial absorbers on the plasma side of the antenna simulate a boundary condition for outgoing waves. Surface charge induced on the Faraday shield elements causes enhanced parallel electric fields in the gaps between the shield elements. Numerical surveys show the parametric dependence of EPLL on the average rotational transform, edge density and wave number.</t>
  </si>
  <si>
    <t>505-519</t>
  </si>
  <si>
    <t>Mar</t>
  </si>
  <si>
    <t>60024266;60024266;60024266;60024266</t>
  </si>
  <si>
    <t>7005521707;7006526034;35371543400;6701752564</t>
  </si>
  <si>
    <t>Jaeger, E. F.;Batchelor, D. B.;Carter, M. D.;Weitzner, H.</t>
  </si>
  <si>
    <t>Oak Ridge</t>
  </si>
  <si>
    <t>Oak Ridge National Laboratory</t>
  </si>
  <si>
    <t>Jaeger E.</t>
  </si>
  <si>
    <t>Global ICRF wave propagation in edge plasma and Faraday shield regions</t>
  </si>
  <si>
    <t>10.1088/0029-5515/30/3/012</t>
  </si>
  <si>
    <t>2-s2.0-0025403249</t>
  </si>
  <si>
    <t>['input resistances', 'francis ltd', 'detailed comparison', 'band width', 'aspect ratio']</t>
  </si>
  <si>
    <t>A detailed comparison of three broadside modes (TM10, TM01, TM03) of the rectangular microstrip patch antenna with regard to directivity, gain and band width is presented. Their dependences on the aspect ratio are delineated. Results are also given showing the variation of the input resistances at resonance as a function of frequency. ¬© 1990 Taylor and Francis Ltd.</t>
  </si>
  <si>
    <t>447-460</t>
  </si>
  <si>
    <t>60021624;60002798;60014169</t>
  </si>
  <si>
    <t>7501501369;55510527400;7101890953</t>
  </si>
  <si>
    <t>Lee, K. F.;Luk, K. M.;Huynh, T.</t>
  </si>
  <si>
    <t>United States;United States;Hong Kong</t>
  </si>
  <si>
    <t>Toledo;Falls Church;Hong Kong</t>
  </si>
  <si>
    <t>The University of Toledo;General Dynamics Corporation;Chinese University of Hong Kong</t>
  </si>
  <si>
    <t>60021624;60014169;60002798</t>
  </si>
  <si>
    <t>Lee K.F.</t>
  </si>
  <si>
    <t>Comparison of the characteristics of three broadside modes of the rectangular patch antenna</t>
  </si>
  <si>
    <t>10.1080/00207219008921188</t>
  </si>
  <si>
    <t>2-s2.0-0025403499</t>
  </si>
  <si>
    <t>['theoretical predictions', 'simulation results', 'samples taken', 'rapid convergence', 'power levels', 'paper approximations', 'output sir', 'noise ratio', 'maximum signal', 'interference ratio', 'input signals', 'equally important', 'digital communications', 'diagonal loading', 'covariance matrix', 'continuous wave', 'commonly used', 'adaptive array']</t>
  </si>
  <si>
    <t>The sample matrix inversion (SMI) algorithm is commonly used in adaptive arrays since it offers rapid convergence to the maximum signal-to-interference-plus-noise ratio (SINR) solution. However, in some applications, such as digital communications or satellite television communications, other measures of performance such as the signal-to-interference ratio (SIR) may be equally important. In this paper approximations are derived for the power levels at the output of an adaptive array that uses the diagonally loaded SMI algorithm. Diagonal loading is a technique where the diagonal of the covariance matrix is augmented with a positive or negative constant prior to inversion. We examine how SINR and SIR at the array output vary with the number of samples taken when the input signals are continuous wave. It is shown that positive loading produces more rapid convergence with a reduction in output SIR. Negative loading provides an improved SIR level, but it is shown that the output power levels are erratic and slow to converge. Simulation results are given which verify the theoretical predictions. ¬© 1990 IEEE</t>
  </si>
  <si>
    <t>394-399</t>
  </si>
  <si>
    <t>60024592;60003500;60024592</t>
  </si>
  <si>
    <t>7005826279;35567209400;55470784600</t>
  </si>
  <si>
    <t>Ganz, Matthew W.;Moses, Randolph L.;Wilson, Sanford L.</t>
  </si>
  <si>
    <t>Lexington;Columbus</t>
  </si>
  <si>
    <t>Lincoln Laboratory;The Ohio State University</t>
  </si>
  <si>
    <t>60024592;60003500</t>
  </si>
  <si>
    <t>Ganz M.</t>
  </si>
  <si>
    <t>Convergence of the SMI and the Diagonally Loaded SMI Algorithms with Weak Interference</t>
  </si>
  <si>
    <t>10.1109/8.52247</t>
  </si>
  <si>
    <t>2-s2.0-0025403569</t>
  </si>
  <si>
    <t>['¬© 1990', 'source configuration', 'single bias', 'rights reserved', 'narrow slot', 'mounted across', 'electrical engineers', 'array applications', 'approximately 6mw', '2 ghz']</t>
  </si>
  <si>
    <t>Antennas | Field-effect transistors | Microstrip</t>
  </si>
  <si>
    <t>A packaged microwave FET has been integrated directly onto a rectangular patch antenna, forming an active radiating element for array applications. The FET is mounted across a narrow slot in the patch, and operates in a single bias, common-source configuration. A total radiated power of approximately 6mW was measured at 8.2 GHz. ¬© 1990, The Institution of Electrical Engineers. All rights reserved.</t>
  </si>
  <si>
    <t>494-495</t>
  </si>
  <si>
    <t>60007776;60007776;60007776</t>
  </si>
  <si>
    <t>7103208478;9233223100;7202478023</t>
  </si>
  <si>
    <t>York, R. A.;Martinez, R. D.;Compton, R. C.</t>
  </si>
  <si>
    <t>Ithaca</t>
  </si>
  <si>
    <t>Cornell University</t>
  </si>
  <si>
    <t>York R.</t>
  </si>
  <si>
    <t>Active Patch Antenna Element for Array Applications</t>
  </si>
  <si>
    <t>10.1049/el:19900321</t>
  </si>
  <si>
    <t>2-s2.0-0025403689</t>
  </si>
  <si>
    <t>['¬© 1990', 'rights reserved', 'rf antenna', 'moment method', 'imaging space', 'high efficiency', 'electromagnetic field', 'current distribution', 'adaptive dimensions']</t>
  </si>
  <si>
    <t>A RF antenna for MRI must emit very uniform electromagnetic fields over the imaging space as well as have a high efficiency in order to obtain high quality images. The authors have developed a program in which the moment method using point matching formulation is applied. It is demonstrated as an application of the moment method that the uniformity of the current distribution on the RF antenna can be improved with the adaptive series capacitors. Thus the adaptive dimensions of the multiturn RF antenna may be examined to make the electromagnetic field over the imaging space uniform on the assumption that the uniform ‚Äòcurrent flows on the antenna. ¬© 1990, IEEE. All rights reserved.</t>
  </si>
  <si>
    <t>901-904</t>
  </si>
  <si>
    <t>60103375;60103375;60023147;60023147;60015975</t>
  </si>
  <si>
    <t>7403991238;57215762480;35451628800;55628565614;7101984805</t>
  </si>
  <si>
    <t>Fujita, M.;Higuchi, M.;Tsuboi, H.;Tanaka, H.;Misaki, T.</t>
  </si>
  <si>
    <t>Japan;Japan;Japan</t>
  </si>
  <si>
    <t>Tokyo;Okayama;Fukuyama</t>
  </si>
  <si>
    <t>Fuji Electric Co., Ltd.;Okayama University;Fukuyama University</t>
  </si>
  <si>
    <t>60103375;60023147;60015975</t>
  </si>
  <si>
    <t>Fujita M.</t>
  </si>
  <si>
    <t>Design of the rf antenna for mri</t>
  </si>
  <si>
    <t>10.1109/20.106463</t>
  </si>
  <si>
    <t>2-s2.0-0025404074</t>
  </si>
  <si>
    <t>['¬© 1990', 'rights reserved', 'incident directions', 'electrical engineers', 'effective aperture', 'coherent sources']</t>
  </si>
  <si>
    <t>Algorithms | Matrix algebra | Signal processing</t>
  </si>
  <si>
    <t>A novel circular array spatial smoothing technique that does not reduce the effective aperture of an array is proposed. Its ability to estimate the incident directions of coherent sources is improved, as compared to the conventional spatial smoothing technique and modified spatial smoothing algorithm. ¬© 1990, The Institution of Electrical Engineers. All rights reserved.</t>
  </si>
  <si>
    <t>343-345</t>
  </si>
  <si>
    <t>60003196;60017161;60003196</t>
  </si>
  <si>
    <t>7201983547;57211732009;57211729330</t>
  </si>
  <si>
    <t>Lim, B. L.;Lim, Y. C.;Hui, S. K.</t>
  </si>
  <si>
    <t>Singapore City;Singapore</t>
  </si>
  <si>
    <t>National University of Singapore;DSO National Laboratories</t>
  </si>
  <si>
    <t>60017161;60003196</t>
  </si>
  <si>
    <t>Lim B.L.</t>
  </si>
  <si>
    <t>Bearing estimation of coherent sources by circular spatial modulation averaging (CSMA) technique</t>
  </si>
  <si>
    <t>10.1049/el:19900225</t>
  </si>
  <si>
    <t>2-s2.0-0025404145</t>
  </si>
  <si>
    <t>['wiley company', 'three cases', 'potential applications', 'magnetic fields', 'inc .,', 'dielectric coating']</t>
  </si>
  <si>
    <t>Coaxial line antenna | dielectric constant measurement | method of moments</t>
  </si>
  <si>
    <t>Near field time‚Äêaverage power distribution and radiation direction patterns are presented for a coaxial line flush‚Äêmounted on an infinite ground plane and terminated with (a) an infinite homogeneous half space, (b) a hemispherical extended center conductor, (c) a hemispherical dielectric cover, and (d) a hemispherical extended center conductor with a dielectric coating. Expressions are given for the electric and magnetic fields and Green's functions for the dielectric coaled conducting hemisphere case, from which the fields and Green's functions for the other three cases can be constructed. Each of the four structures described here is either in use or has potential applications as an antenna or as a component in an external medium dielectric constant measurement system. Copyright ¬© 1990 Wiley Periodicals, Inc., A Wiley Company</t>
  </si>
  <si>
    <t>90-95</t>
  </si>
  <si>
    <t>60020547;60005837</t>
  </si>
  <si>
    <t>7003263401;57191003148</t>
  </si>
  <si>
    <t>Nevels, Robert D.;Ed Wheeler, J.</t>
  </si>
  <si>
    <t>College Station;Houston</t>
  </si>
  <si>
    <t>Texas A&amp;M University;University of Houston</t>
  </si>
  <si>
    <t>Nevels R.</t>
  </si>
  <si>
    <t>Near field radiation from four coaxial line fed structures</t>
  </si>
  <si>
    <t>10.1002/mop.4650030306</t>
  </si>
  <si>
    <t>2-s2.0-0025404432</t>
  </si>
  <si>
    <t>['terrain profile', 'semiblind test', 'resulting predictions', 'previous efforts', 'one frequency', 'gtd model', 'geometrical theory', 'excellent agreement', 'diffraction paths', 'different types', 'corresponding measurements', 'antenna heights']</t>
  </si>
  <si>
    <t>A propagation model based on the geometrical theory of diffraction (GTD) has been developed. The model has been used to compute path loss for different types of terrain as a function of receiving antenna height over a range of 12 m, and for diffraction paths over 700-m range of antenna heights. Excellent agreement with measurements has been reported. As a result of these previous efforts, a semiblind test of the GTD model was set up by personnel at the MIT Lincoln Laboratory. In this test two different terrain profiles were furnished to the author, along with measured path loss versus receiving antenna elevation at one frequency. The author was free to adjust the piecewise linear approximation to the terrain profile and relative antenna heights to match the furnished measured data as closely as the GTD model was able. The GTD model was then used to predict path loss versus receiving antenna elevation at other frequencies, and the resulting predictions were sent to MIT Lincoln Laboratory without the author having seen the corresponding measurements. The agreement for both sites at all frequencies is good. ¬© 1990 IEEE</t>
  </si>
  <si>
    <t>403-405</t>
  </si>
  <si>
    <t>Luebbers, Raymond J.</t>
  </si>
  <si>
    <t>University Park</t>
  </si>
  <si>
    <t>Pennsylvania State University</t>
  </si>
  <si>
    <t>Luebbers R.J.</t>
  </si>
  <si>
    <t>A Semiblind Test of the GTD Propagation Model for Reflective Rolling Terrain</t>
  </si>
  <si>
    <t>10.1109/8.52249</t>
  </si>
  <si>
    <t>2-s2.0-0025404566</t>
  </si>
  <si>
    <t>['theoretical results', 'substrate thickness', 'simple theory', 'resonant frequencies', 'reasonable agreement', 'radiation patterns', 'much smaller', 'input impedances', 'francis ltd', 'experimental results']</t>
  </si>
  <si>
    <t>A simple theory is presented for the analysis of cylindrical-rectangular microstrip patch antennae. The analysis is valid when the substrate thickness is much smaller than wavelength and radius of curvature. Formulae are given for the calculation of resonant frequencies, radiation patterns and input impedances. Experimental results and theoretical results are compared and reasonable agreement is obtained. ¬© 1990 Taylor and Francis Ltd.</t>
  </si>
  <si>
    <t>431-438</t>
  </si>
  <si>
    <t>60009658;60002798;60021624;60009658</t>
  </si>
  <si>
    <t>7003504220;55510527400;7501501369;57193914557</t>
  </si>
  <si>
    <t>Dahele, J. S.;Luk, K. M.;Lee, K. F.;Mitchell, R. J.</t>
  </si>
  <si>
    <t>United States;United Kingdom;Hong Kong</t>
  </si>
  <si>
    <t>Toledo;Swindon;Hong Kong</t>
  </si>
  <si>
    <t>The University of Toledo;Defence College of Management and Technology;Chinese University of Hong Kong</t>
  </si>
  <si>
    <t>60021624;60009658;60002798</t>
  </si>
  <si>
    <t>Dahele J.</t>
  </si>
  <si>
    <t>Theoretical and experimental studies of the cylindrical-rectangular microstrip patch antenna</t>
  </si>
  <si>
    <t>10.1080/00207219008921186</t>
  </si>
  <si>
    <t>2-s2.0-0025404710</t>
  </si>
  <si>
    <t>['wave antennas', 'slot field', 'simple model', 'several millimeter', 'experimental investigation', 'discussed together', 'design criteria', '94 ghz']</t>
  </si>
  <si>
    <t>The results of an experimental investigation of several millimeter-wave slotline leaky-wave antennas at 94 GHz are given. The applicability of a simple model for the slot field is discussed together with design criteria for such antennas. ¬© 1990 IEEE</t>
  </si>
  <si>
    <t>411-414</t>
  </si>
  <si>
    <t>60020304;60020304;60020304;60020304;60020304-60009254</t>
  </si>
  <si>
    <t>7007058790;7004561693;55222755300;36898536700;57203875412</t>
  </si>
  <si>
    <t>Slade, G. William;Carin, Lawrence;Xu, Qiang;Borchardt, Sue E.;Webb, Kevin J.</t>
  </si>
  <si>
    <t>College Park;West Lafayette</t>
  </si>
  <si>
    <t>University of Maryland, College Park;Purdue University</t>
  </si>
  <si>
    <t>60020304;60009254</t>
  </si>
  <si>
    <t>Slade G.</t>
  </si>
  <si>
    <t>A Study of Slotline Leaky-Wave Antennas</t>
  </si>
  <si>
    <t>10.1109/8.52251</t>
  </si>
  <si>
    <t>2-s2.0-0025404967</t>
  </si>
  <si>
    <t>['terrestrial broadcaster', 'system achieves', 'special interest', 'simulcasting sc', 'significant amounts', 'new system', 'new high', 'mhz channel', 'definition broadcasts', 'concise description']</t>
  </si>
  <si>
    <t>The spectrum-compatible high definition television (SC-HDTV) system achieves the encoding of a 28.9-MHZ source signal for transmission over a 6-MHZ channel in the terrestrial TV broadcasting bands. The new signal format reduces mutual interference between existing NTSC broadcasts and the new high-definition broadcasts and, therefore, significant amounts of current taboo spectrum space can be used for simulcasting SC-HDTV. A concise description of the new system is followed by a discussion of aspects of special interest to the terrestrial broadcaster. ¬© 1990 IEEE</t>
  </si>
  <si>
    <t>60074719;60074719</t>
  </si>
  <si>
    <t>6603861481;6602143785</t>
  </si>
  <si>
    <t>Eilers, Carl G.;Citta, Richard W.</t>
  </si>
  <si>
    <t>Lincolnshire</t>
  </si>
  <si>
    <t>Zenith Electronics Corporation</t>
  </si>
  <si>
    <t>Eilers C.G.</t>
  </si>
  <si>
    <t>Spectrum compatible high definition television</t>
  </si>
  <si>
    <t>10.1109/11.52358</t>
  </si>
  <si>
    <t>2-s2.0-0025404996</t>
  </si>
  <si>
    <t>['thin films', 'superdirective arrays', 'strict tolerances', 'still impractical', 'major reduction', 'limits applicability', 'internal fields', 'however matching', 'high q', 'greatly reduced', 'feed losses', 'electronic scanning', 'appear feasible']</t>
  </si>
  <si>
    <t>The applicability of superconductors to antennas is examined, with emphasis on the roles of external and internal fields. Six potential implementations have resulted. These are superdirective arrays, millimeter wavelength arrays, electrically small antennas, matching of antennas, phasers for electronic scanning, and travelling wave array feeds. Most superdirective arrays are still impractical, due to high Q and strict tolerances. Large millimeter arrays now appear feasible, due to a major reduction in feed losses. For electrically small antennas, high Q again limits applicability. However matching of small superdirective arrays, and all electrically small antennas, including large transmit antennas, is very attractive, as matching network losses are greatly reduced. Switched-line phasers offer a major size reduction; phase control via temperature of a single line poses some problems. Travelling wave array beam steering via temperature also appears possible. The last two utilize the kinetic inductance provided by thin films. ¬© 1990 IEEE</t>
  </si>
  <si>
    <t>345-355</t>
  </si>
  <si>
    <t>Superconducting Antennas</t>
  </si>
  <si>
    <t>10.1109/7.53444</t>
  </si>
  <si>
    <t>2-s2.0-0025405264</t>
  </si>
  <si>
    <t>['variational expression', 'scattering properties', 'radiating dipole', 'proper account', 'network methods', 'main disadvantages', 'image line', 'equivalent circuit', 'edge singularities', 'dielectric interface', 'advantages without']</t>
  </si>
  <si>
    <t>Inset dielectric guide (IDG) is an alternative to image line, retaining most of its advantages without its main disadvantages. In particular, it is possible to realize in IDG, low-cost leaky wave antennas with very pure polarization properties by laying thin metal strips (dipoles) on the air-dielectric interface. The scattering properties of thin metal strips are analyzed by means of a Ritz‚ÄîGalerkin variational approach, taking into proper account the edge singularities. A variational expression is derived for the equivalent circuit of the radiating dipole, and this information is applied to the design of a tapered linear array by network methods. The array was built and tested, and showed excellent performance. ¬© 1990 IEEE</t>
  </si>
  <si>
    <t>380-385</t>
  </si>
  <si>
    <t>60030480;60030480;60031624;60031624</t>
  </si>
  <si>
    <t>56253019800;56332046000;35952791600;7006658144</t>
  </si>
  <si>
    <t>Rozzi, T.;Ma, Lizhuang;De Leo, Roberto;Morini, Antonio</t>
  </si>
  <si>
    <t>Italy;United Kingdom</t>
  </si>
  <si>
    <t>Ancona;Bath</t>
  </si>
  <si>
    <t>Universit√† Politecnica delle Marche;University of Bath</t>
  </si>
  <si>
    <t>60031624;60030480</t>
  </si>
  <si>
    <t>Equivalent Network of Transverse Dipoles on Inset Dielectric Guide: Application to Linear Arrays</t>
  </si>
  <si>
    <t>10.1109/8.52245</t>
  </si>
  <si>
    <t>2-s2.0-0025405291</t>
  </si>
  <si>
    <t>Royal Society</t>
  </si>
  <si>
    <t>84/21 12</t>
  </si>
  <si>
    <t>CAICYT</t>
  </si>
  <si>
    <t>['useful diameter', 'tissue distribution', 'spatial resolution', 'simulating phantoms', 'scanner consists', 'numerical simulations', 'medical use', 'mechanical movement', 'measurement time', 'induced changes', 'imaging parameters', 'electronically scanning', 'differential imaging', 'contrast resolution', 'biomedical applications', 'absolute imaging', '7 mm', '20 cm']</t>
  </si>
  <si>
    <t>A microwave tomographic scanner for biomedical applications is presented. The scanner consists of a 64 element circular array with a useful diameter of 20 cm. Electronically scanning the transmitting and receiving antennas allows mnltiview measurements with no mechanical movement. Imaging parameters are appropriate for medical use: a spatial resolution of 7 mm and a contrast resolution of 1% for a measurement time of 3 s. Measurements on tissue-simulating phantoms and volunteers, together with numerical simulations, are presented to assess the system for absolute imaging of tissue distribution and for differential imaging of physiological, pathological, and induced changes in tissues. ¬© 1990 IEEE</t>
  </si>
  <si>
    <t>303-312</t>
  </si>
  <si>
    <t>IEEE Transactions on Biomedical Engineering</t>
  </si>
  <si>
    <t>60007592;60007592;60007592;60007592;60007592;60007592</t>
  </si>
  <si>
    <t>7003898162;7101995292;7004006645;6701922105;57210183362;7203051934</t>
  </si>
  <si>
    <t>Jofre, Luis;Hawley, Mark S.;Broquetas, Antoni;De Los Reyes, El√≠as;Ferrando, Miguel;Elias-Fust√©, Antonio R.</t>
  </si>
  <si>
    <t>Barcelona</t>
  </si>
  <si>
    <t>Universitat Polit√®cnica de Catalunya</t>
  </si>
  <si>
    <t>Jofre L.</t>
  </si>
  <si>
    <t>Medical Imaging with a Microwave Tomographic Scanner</t>
  </si>
  <si>
    <t>10.1109/10.52331</t>
  </si>
  <si>
    <t>2-s2.0-0025405563</t>
  </si>
  <si>
    <t>NAS 7-918</t>
  </si>
  <si>
    <t>['¬© 1990', 'west virginia', 'wavelength range', 'venus might', 'venus emission', 'venus atmosphere', 'upper limit', 'subcloud abundance', 'spatial variations', 'sparsely observed', 'nrao antenna', 'midlatitude regions', 'microwave spectrum', 'likewise suggested', 'laboratory measurements', 'green bank', 'gaseous h2so4', 'four wavelengths', 'especially sensitive', 'coordinated observations', 'also determined', 'additional measurements', '6 cm', '42 ghz', '35 cm', '3 cm', '2 ghz']</t>
  </si>
  <si>
    <t>Laboratory measurements of Steffes (1986) have suggested that the intensity and shape of the microwave spectrum of Venus might be especially sensitive to the subcloud abundance of constituents such as SO2 and gaseous H2SO4. It was likewise suggested that some variations of the shape of the emission spectrum might occur between 1.5 and 3 cm (10 to 20 GHz), a wavelength range which had previously only been sparsely observed. As a result, coordinated observations of Venus emission were conducted at four wavelengths between 1.35 cm (22.2 GHz) and 3.6 cm (8.42 GHz) using the 43-m NRAO antenna at Green Bank, West Virginia, and the 64-m antenna at NASA's Deep Space Communication Complex, Goldstone, California. In this paper, we report the methodology and results of these observations, and compare the results with other observations and with calculated emission spectra. We conclude that the observed emission spectrum is consistent with an average subcloud abundance of gaseous H2SO4 in equatorial and midlatitude regions which is approximately 5 ppm. It is suggested that additional measurements of atmospheric microwave opacity be made with the Pioneer-Venus Orbiter Radio Occultation experiment to search for temporal and spatial variations in gaseous H2SO4 abundance in the Venus atmosphere. An upper limit for the subcloud abundance of SO2 is also determined. ¬© 1990.</t>
  </si>
  <si>
    <t>83-92</t>
  </si>
  <si>
    <t>Icarus</t>
  </si>
  <si>
    <t>60021032;60009037;60021032</t>
  </si>
  <si>
    <t>6602186930;14067275800;57203812299</t>
  </si>
  <si>
    <t>Steffes, Paul G.;Klein, Michael J.;Jenkins, Jon M.</t>
  </si>
  <si>
    <t>Atlanta;Pasadena</t>
  </si>
  <si>
    <t>Georgia Institute of Technology;Jet Propulsion Laboratory</t>
  </si>
  <si>
    <t>60021032;60009037</t>
  </si>
  <si>
    <t>Steffes P.</t>
  </si>
  <si>
    <t>Observations of the microwave emission of Venus from 1.3 to 3.6 cm</t>
  </si>
  <si>
    <t>10.1016/0019-1035(90)90159-7</t>
  </si>
  <si>
    <t>2-s2.0-0025405641</t>
  </si>
  <si>
    <t>['within 1', 'whereas dithiothreitol', 'study leads', 'stimulated antennae', 'specific activity', 'sensory hairs', 'receptor potential', 'receptive dendrites', 'physiological role', 'physiological concentrations', 'pheromone stimulation', 'pheromone exposure', 'ph optimum', 'olfactory neurons', 'neither changes', 'mg protein', 'male b', 'male antennae', 'living antennae', 'known lack', 'isolated antennae', 'guanylate cyclase', 'freshly isolated', 'female silkmoths', 'female antennae', 'either species', 'drite preparation', 'conditioning stimulus', 'cgmp response', 'cgmp level', 'cgmp increase', 'cell recordings', 'camp levels', 'bovine lung', 'bombykol elicited', 'basal level', 'antibodies raised', '60 sec', '175 œºm', '13 sem', '10 sec', '1 mixture', '08 sem']</t>
  </si>
  <si>
    <t>Female sex pheromones applied to freshly isolated, living antennae of male Antheraea polyphemus and Bombyx mori led to an increase of cGMP. A 1:1 mixture of 2 pheromone components of Antheraea polyphemus blown for 10 sec in physiological concentrations over their antennal branches raised cGMP levels about 1.34-fold (¬±0.08 SEM, n = 23) from a basal level of 3.0 ¬± 0.6 (SEM, n = 20) pmol/mg protein. Similarly, bombykol elicited a 1.29-fold (¬±0.13 SEM, n = 23) cGMP increase in antennae of male Bombyx mori from a basal level of 2.7 ¬± 0.5 (SEM, n = 24) pmol/mg protein. No cross-sensitivity was found with respect to pheromones from either species. In antennae of female silkmoths, the cGMP response was missing upon stimulation with their own respective pheromones according to the known lack of pheromone receptor cells in the female. cAMP levels in the male antennae of 14.2 ¬± 2.9 (SEM, n = 4) pmol/mg protein in A. polyphemus and 15.0 ¬± 3.0 (SEM, n = 5) pmol/mg protein in B. mori were not affected by pheromone stimulation. Within 1-60 sec, the extent of cGMP increase in B. mori was independent of the duration of pheromone exposure. The levels of cGMP in pheromone-stimulated antennae of both species remained elevated for at least 10 min, i.e., much longer than the duration of the receptor potential measured in single-cell recordings. Guanylate cyclase activity was identified in homogenates of male and female antennae from both species. The Km of the guanylate cyclase from male B. mori for the preferential substrate MnGTP was 175 ŒºM. Specific activity at the pH optimum of 8.25 was 5-30 pmol √ó min-1 √ó mg-1. About half of total guanylate cyclase activity was soluble. SH-group blocking agents inhibited, whereas dithiothreitol and glutathion doubled enzyme activity. The enzyme was inhibited by antibodies raised against soluble guanylate cyclase from bovine lung. To localize the increase of cGMP in the antennae, sensory hairs of male A. polyphemus which contain only the receptive dendrites of the olfactory neurons, were isolated. Neither changes in cGMP concentrations upon pheromone stimulation nor guanylate cyclase activity were found in the den-drite preparation. This indicates that cGMP is possibly produced within the soma of the olfactory neurons or within the surrounding auxiliary cells. This study leads to the conclusion that cGMP is not involved in the transduction process generating the receptor potential. Both the down-regulation of the cGMP level and the recovery of the nerve impulse response after a conditioning stimulus were impaired in isolated antennae. This correlation might indicate a physiological role for cGMP in the setting of the parameters of the nerve impulse response.</t>
  </si>
  <si>
    <t>1217-1225</t>
  </si>
  <si>
    <t>60005460;60005460;60005460;60017246;60017246</t>
  </si>
  <si>
    <t>57217532540;57197016290;6603949880;7005580926;7401898565</t>
  </si>
  <si>
    <t>Ziegelberger, G.;Van den Berg, M. J.;Kaissling, K. E.;Klumpp, S.;Schultz, J. E.</t>
  </si>
  <si>
    <t>Germany;Germany</t>
  </si>
  <si>
    <t>Tubingen;Pocking</t>
  </si>
  <si>
    <t>Eberhard Karls Universit√§t T√ºbingen;Max Planck Institute for Ornithology</t>
  </si>
  <si>
    <t>60017246;60005460</t>
  </si>
  <si>
    <t>Ziegelberger G.</t>
  </si>
  <si>
    <t>Cyclic GMP levels and guanylate cyclase activity in pheromone-sensitive antennae of the silkmoths antheraea polyphemus and Bombyx mori</t>
  </si>
  <si>
    <t>10.1523/jneurosci.10-04-01217.1990</t>
  </si>
  <si>
    <t>2-s2.0-0025409031</t>
  </si>
  <si>
    <t>['within limits', 'transform representation', 'techniques available', 'results obtained', 'rectangular waveguides', 'mutual admittances', 'modes excited', 'mode reflection', 'latter preferred', 'ground plane', 'function approach', 'elliptical waveguides', 'detailed calculations', 'corresponding results', 'conversion coefficients', 'analysed using']</t>
  </si>
  <si>
    <t>Radiation from elliptical waveguides terminating in a ground plane is analysed using a Green's function approach. In the waveguides the field is expressed as a sum of the TEcmn, TMcmn, TEsmn and TMsmn elliptical waveguide modes, and expressions for the mutual admittances of modes excited at the apertures are obtained. From these expressions the mode reflection and conversion coefficients are determined. Of the techniques available for calculating the mutual admittances, the transform representation and direct integration approaches are used, with the latter preferred for detailed calculations. Results obtained for elliptical waveguides are compared with corresponding results for rectangular waveguides in a ground plane. Within limits, the less computationally intense rectangular waveguide solution can be a useful first approximation to the elliptical waveguide solution.</t>
  </si>
  <si>
    <t>121-126</t>
  </si>
  <si>
    <t>Apr</t>
  </si>
  <si>
    <t>Bird, T. S.</t>
  </si>
  <si>
    <t>Behaviour of multiple elliptical waveguides opening into a ground plane</t>
  </si>
  <si>
    <t>10.1049/ip-h-2.1990.0023</t>
  </si>
  <si>
    <t>2-s2.0-0025414261</t>
  </si>
  <si>
    <t>['sar antenna', 'reflector antennas', 'paper summarizes', 'francis ltd', 'board 18']</t>
  </si>
  <si>
    <t>RADARSAT is a low orbit remote sensing synthetic aperture radar (SAR) satellite. This paper summarizes the inter-relationship of radar mapping system requirements and the design of the on-board 18 m SAR antenna. Some aspects of array and reflector antennas are discussed in the context of a system with switched elevation beams. ¬© 1990 Taylor and Francis Ltd.</t>
  </si>
  <si>
    <t>611-619</t>
  </si>
  <si>
    <t>Kumar, A.</t>
  </si>
  <si>
    <t>AK Electromagnetique</t>
  </si>
  <si>
    <t>Kumar A.</t>
  </si>
  <si>
    <t>Design considerations for the SAR antenna for RADARSAT</t>
  </si>
  <si>
    <t>10.1080/00207219008921205</t>
  </si>
  <si>
    <t>2-s2.0-0025414325</t>
  </si>
  <si>
    <t>['type array', 'steering vector', 'steady state', 'squares method', 'reference signal', 'recursive algorithms', 'qr decomposition', 'generation procedure', 'desired signal', 'data communications', 'computational efficiency', 'array output']</t>
  </si>
  <si>
    <t>The regenerative hybrid adaptive antenna array has recently been proposed for data communications. It utilizes both the steering vector and reference signal, which is acquired from the array output through a detection-generation procedure, to preserve the desired signal while suppressing the interference. The regenerative hybrid adaptive array is much less sensitive to errors in the steering vector than the Applebaum-type array. The application of the least-squares method to the regenerative hybrid array to achieve fast convergence is investigated. Recursive algorithms such as the QR decomposition can be used to update the weights for computational efficiency. It is shown that the least-squares regenerative hybrid array converges to the steady state of the original regenerative hybrid array which is based on the gradient search algorithm. The array transient behavior and steady state performance are simulated by computer. ¬© 1990 IEEE</t>
  </si>
  <si>
    <t>489-497</t>
  </si>
  <si>
    <t>60005429;125408957;60012370;107783276</t>
  </si>
  <si>
    <t>7401672122;7501753591;7202892410;7005882710</t>
  </si>
  <si>
    <t>Yeh, Chien Chung;Wang, Wun Der;Chao, Tzy Hong S.;Mar, Jeich</t>
  </si>
  <si>
    <t>Taiwan;Taiwan;China;Taiwan</t>
  </si>
  <si>
    <t>Hsinchu;Taipei;;Taoyuan</t>
  </si>
  <si>
    <t>National Chiao Tung University;National Taiwan University;Navy Electronics and Communication School;Institute of Science and Technology</t>
  </si>
  <si>
    <t>60012370;60005429;125408957;107783276</t>
  </si>
  <si>
    <t>Yeh C.C.</t>
  </si>
  <si>
    <t>Least-Squares Regenerative Hybrid Array for Adaptive Beamforming</t>
  </si>
  <si>
    <t>10.1109/8.52267</t>
  </si>
  <si>
    <t>2-s2.0-0025414569</t>
  </si>
  <si>
    <t>['scan performance', 'finite array']</t>
  </si>
  <si>
    <t>Scan performance of infinite planar arrays can be approximated using Floquet excitations in a large but finite array. This method is evaluated for arrays of dipoles with and without a backscreen for comparison with exact unit cell results.</t>
  </si>
  <si>
    <t>94-98</t>
  </si>
  <si>
    <t>Tarzana</t>
  </si>
  <si>
    <t>R. C. Hansen, Inc.</t>
  </si>
  <si>
    <t>Evaluation of the large array method</t>
  </si>
  <si>
    <t>10.1049/ip-h-2.1990.0018</t>
  </si>
  <si>
    <t>2-s2.0-0025414585</t>
  </si>
  <si>
    <t>['antenna heights', '800 mhz']</t>
  </si>
  <si>
    <t>A radio wave attenuation measurement program was undertaken in tropical rain forests of India at frequencies from 50 to 800 MHz, antenna heights from 1.5 to 16.5 m above the ground with both horizontally and vertically polarized emissions, and at various separation distances varying from 40 to 4000 m. The results of these studies are presented, discussed, and an empirical model derived from these measurements is suggested. ¬© 1990 IEEE</t>
  </si>
  <si>
    <t>433-449</t>
  </si>
  <si>
    <t>;60015465;60020825</t>
  </si>
  <si>
    <t>57205779409;7005090013;7402899879</t>
  </si>
  <si>
    <t>Tewari, R. K.;Swarup, S.;Roy, Manujendra N.</t>
  </si>
  <si>
    <t>India;India</t>
  </si>
  <si>
    <t>Kolkata;Dehradun</t>
  </si>
  <si>
    <t>Jadavpur University;Defence Research and Development Organisation India</t>
  </si>
  <si>
    <t>60020825;60015465</t>
  </si>
  <si>
    <t>Tewari R.</t>
  </si>
  <si>
    <t>Radio Wave Propagation Through Rain Forests of India</t>
  </si>
  <si>
    <t>10.1109/8.52261</t>
  </si>
  <si>
    <t>2-s2.0-0025414692</t>
  </si>
  <si>
    <t>['using spot', 'two half', 'transmission coefficients', 'space trl', 'quartz plates', 'planar samples', 'network analyzer', 'multiple reflections', 'mode transitions', 'measured values', 'magnetic permeability', 'frequency range', 'flexible samples', 'errors due', 'diffraction effects', 'calibration technique', 'antennas via', 'absorbing materials', '4 ghz']</t>
  </si>
  <si>
    <t>A free-space measurement system operating in the 8.2‚Äì40 GHz frequency range is used to measure the reflection and transmission coefficients, S11 and S2I, of planar samples. The complex electric permittivity and the magnetic permeability are calculated from the measured values of S11 and S2I. The measurement system consists of transmit and receive horn lens antennas, a network analyzer, mode transitions, and a computer. Diffraction effects at the edges of the sample are minimized by using spot-focusing lens antennas. Errors due to multiple reflections between antennas via the surface of the sample are corrected by using a free-space TRL (thru, reflect, line) calibration technique. For thin, flexible samples, the sample had to be sandwiched between two half-wavelength (at mid-band) quartz plates, to eliminate the effect of sagging. Results are reported in the frequency range of 8.6‚Äì13.4 GHz for materials such as Teflon, sodium borosilicate glass, and microwave-absorbing materials. ¬© 1990 IEEE</t>
  </si>
  <si>
    <t>387-394</t>
  </si>
  <si>
    <t>60001439;60001439;60001439</t>
  </si>
  <si>
    <t>6603132150;7202350150;36039583900</t>
  </si>
  <si>
    <t>Ghodgaonkar, D. K.;Varadan, V. V.;Varadan, V. K.</t>
  </si>
  <si>
    <t>Ghodgaonkar D.K.</t>
  </si>
  <si>
    <t>Free-Space Measurement of Complex Permittivity and Complex Permeability of Magnetic Materials at Microwave Frequencies</t>
  </si>
  <si>
    <t>10.1109/19.52520</t>
  </si>
  <si>
    <t>2-s2.0-0025414694</t>
  </si>
  <si>
    <t>['via sampling', 'topped beam', 'selected portion', 'rotationally symmetric', 'results applicable', 'principal application', 'footprint pattern', 'elliptical contour', 'elliptical boundary', 'controllable height', 'appropriate root']</t>
  </si>
  <si>
    <t>An extension of Taylor's circular aperture pattern synthesis technique permits the generation of a flat-topped beam that is rotationally symmetric, surrounded by ring side lobes of controllable height, with the ripple amplitude also controllable. The corresponding continuous aperture distribution can be made pure real by appropriate root-pairing, which makes the results applicable, via sampling, to resonantly-spaced waveguide slot arrays. A one-dimensional linear stretch extends the results to rectangular grid planar arrays possessing an elliptical boundary. In that case the pattern is a flat-topped beam with an elliptical contour, surrounded by ring side lobes also of elliptical contour, but with amplitude and side lobe level still controlled. The principal application is to space vehicle communication systems required to place a footprint pattern on a selected portion of the earth's surface.</t>
  </si>
  <si>
    <t>108-112</t>
  </si>
  <si>
    <t>106773277;106773277</t>
  </si>
  <si>
    <t>57220065537;7101778980</t>
  </si>
  <si>
    <t>Elliott, R. S.;Stern, G. J.</t>
  </si>
  <si>
    <t>Sacramento</t>
  </si>
  <si>
    <t>University of California</t>
  </si>
  <si>
    <t>Elliott R.S.</t>
  </si>
  <si>
    <t>Footprint patterns obtained by planar arrays</t>
  </si>
  <si>
    <t>10.1049/ip-h-2.1990.0020</t>
  </si>
  <si>
    <t>2-s2.0-0025414712</t>
  </si>
  <si>
    <t>39-41</t>
  </si>
  <si>
    <t>Solbach, Klaus</t>
  </si>
  <si>
    <t>Solbach K.</t>
  </si>
  <si>
    <t>Optimum Tilt for Elevation-Scanned Phased Arrays</t>
  </si>
  <si>
    <t>10.1109/74.80502</t>
  </si>
  <si>
    <t>2-s2.0-0025414782</t>
  </si>
  <si>
    <t>['tested experimentally', 'phase shifters', 'novel concept', 'many applications', 'found feasible']</t>
  </si>
  <si>
    <t>A novel concept of feeding and phasing a large linear array of N antenna elements using only three or five feed points and phase shifters and still achieving beam switching is described. The concept is tested experimentally and found feasible. This interlaced phased array (IPA) is very useful in many applications of UHF, VHF, and HF radar probing of the ionosphere and atmosphere. ¬© 1990 IEEE</t>
  </si>
  <si>
    <t>573-575</t>
  </si>
  <si>
    <t>60023345;60023345;60023345;60023345</t>
  </si>
  <si>
    <t>7403177358;7004329255;6507112302;7007041141</t>
  </si>
  <si>
    <t>Reddy, C. A.;Janardhanan, K. V.;Mukundan, K. K.;Shenoy, K. S.V.</t>
  </si>
  <si>
    <t>Bengaluru</t>
  </si>
  <si>
    <t>Indian Space Research Organization</t>
  </si>
  <si>
    <t>Reddy C.</t>
  </si>
  <si>
    <t>Concept of an Interlaced Phased Array for Beam Switching</t>
  </si>
  <si>
    <t>10.1109/8.52279</t>
  </si>
  <si>
    <t>2-s2.0-0025414880</t>
  </si>
  <si>
    <t>['wire models', 'total energy', 'target response', 'received waveform', 'pulse waveforms', 'obtained directly', 'numerical examples', 'frequency band', 'energy within', 'energy concentrated', 'empirical determination', 'desired waveform', 'depends upon', 'based upon', 'aspect angle', 'analytical optimization']</t>
  </si>
  <si>
    <t>A scheme for synthesizing bandlimited radar waveforms for detection and discrimination of targets is presented. The procedure, which involves a maximization of the ratio of the energy within a specified time interval to the total energy of the received waveform, can be used to synthesize a bandlimited generator waveform that produces a target response with the majority of its energy concentrated in the specified time duration. For an appropriate time interval, which depends upon the bandwidth, such response exhibits energy concentration comparable to that produced by the K-pulse and E-pulse waveforms. The analysis does not require a numerical or empirical determination of the target's complex poles since the desired waveform is obtained directly from the knowledge of the system transfer function over the frequency band of interest. The procedure is based upon an analytical optimization, so no iterations or nonlinear programming techniques are required. The method is illustrated using simple thin-wire models as targets and antennas. Numerical examples of the method are given and effects of bandwidth, duration of optimization, and aspect angle are discussed. ¬© 1990 IEEE</t>
  </si>
  <si>
    <t>450-456</t>
  </si>
  <si>
    <t>60014313;60014313</t>
  </si>
  <si>
    <t>8507385300;7006791463</t>
  </si>
  <si>
    <t>Bayard, Jean Pierre R.;Schaubert, Daniel H.</t>
  </si>
  <si>
    <t>Bayard J.P.R.</t>
  </si>
  <si>
    <t>Target Identification Using Optimization Techniques</t>
  </si>
  <si>
    <t>10.1109/8.52262</t>
  </si>
  <si>
    <t>2-s2.0-0025415018</t>
  </si>
  <si>
    <t>ECS-8715073</t>
  </si>
  <si>
    <t>['theoretical results', 'second approach', 'satellite communications', 'radio astronomy', 'radiation behaviour', 'new horn', 'increased directivity', 'francis ltd', 'first analysed', 'feed system', 'features make', 'experimental measurements', 'electromagnetic waves', 'dielectric sphere', 'attractive feed', 'appropriate position', 'aperture source']</t>
  </si>
  <si>
    <t>The radiation behaviour is presented of a high gain variable beam antenna system consisting of a homogeneous dielectric sphere mounted at an appropriate position in front of the aperture of a dielectric-coated conical horn. The fields in the dielectric-coated conical horn are analysed using spherical hybrid modes. The condition for low cross polarization balanced hybrid modes is derived. Then radiated far field components of the feed system are first analysed by treating the dielectric sphere as a scatterer of electromagnetic waves. In a second approach, the dielectric sphere is treated as a microwave lens illuminated by an aperture source. Theoretical results are compared with experimental measurements, and good overall agreement is observed. The feed system has improved radiation characteristics with increased directivity and on-axis gain reduced sidelobe and low cross polarization levels. These features make the new horn an attractive feed for satellite communications and radio astronomy. ¬© 1990 Taylor and Francis Ltd.</t>
  </si>
  <si>
    <t>595-609</t>
  </si>
  <si>
    <t>Nair, R. A.</t>
  </si>
  <si>
    <t>Mankato</t>
  </si>
  <si>
    <t>Minnesota State University Mankato</t>
  </si>
  <si>
    <t>Nair R.A.</t>
  </si>
  <si>
    <t>High gain variable beam feed for satellite communications</t>
  </si>
  <si>
    <t>10.1080/00207219008921204</t>
  </si>
  <si>
    <t>2-s2.0-0025415317</t>
  </si>
  <si>
    <t>['spatial distribution', 'simultaneous reception', 'second calculates', 'physical mechanisms', 'paper examines', 'orientations within', 'number arrivals', 'new technique', 'multiple receivers', 'meteor trails', 'meteor orbits', 'individual trails', 'different locations', 'common volume', 'antenna patterns']</t>
  </si>
  <si>
    <t>This paper examines the ground illumination footprint of meteor trails and its effect on the simultaneous reception of meteor scatter transmissions by multiple receivers. A new technique is presented for calculating the ground illumination footprint of individual trails which provides added insight into the physical mechanisms. The probability of adjacent station reception as a function of location on the ground is calculated by computing the ground illumination footprint of individual trails at different locations and orientations within the common volume and weighting each footprint by the number of trails at that location and orientation. Two different models for the spatial arrival pattern of meteor trails are considered: the first model assumes that trails arrive uniformly over the common volume, and the second calculates the number arrivals from the spatial distribution of meteor orbits, antenna patterns, time of day, and season. The effect of antenna patterns on the ground illumination footprint of meteor scatter communication is examined. ¬© 1990 IEEE</t>
  </si>
  <si>
    <t>426-430</t>
  </si>
  <si>
    <t>IEEE Transactions on Communications</t>
  </si>
  <si>
    <t>Weitzen, Jay A.</t>
  </si>
  <si>
    <t>University of Massachusetts Lowell</t>
  </si>
  <si>
    <t>Weitzen J.A.</t>
  </si>
  <si>
    <t>A Study of the Ground Illumination Footprint of Meteor Scatter Communication</t>
  </si>
  <si>
    <t>10.1109/26.52652</t>
  </si>
  <si>
    <t>2-s2.0-0025415327</t>
  </si>
  <si>
    <t>['various devices', 'trapped electrons', 'ponderomotive trap', 'parallel fields', 'oscillation energy', 'neutral gas', 'megahertz range', 'many years', 'initial plasmas', 'initial breakdown', 'good agreement', 'field region', 'experimental observations', 'efficient breakdown', 'early phase', 'breakdown process', 'analytic model']</t>
  </si>
  <si>
    <t>The use of radiofrequency (RF) fields in the megahertz range to produce the initial plasmas for nuclear fusion experiments can provide a broader operating regime for many stellarator devices and can result in a saving of volt-seconds in tokamaks. This process has been used for many years in various devices at the Institute of Physics and Technology at Khar'kov. The initial breakdown of neutral gas by non-resonant RF near-fields can be understood in terms of RF electric fields parallel to the static magnetic field and a ponderomotive trap with a long scale length parallel to the static magnetic field. If the parallel fields are not too strong for a given antenna geometry, the concept of a ponderomotive trap is valid and the trapped electrons can oscillate in the near-field region for many RF periods. Efficient breakdown can begin if the oscillation energy of these trapped electrons is sufficient to ionize the gas. Good agreement between the experimental observations and an analytic model for the early phase of the breakdown process is presented. ¬© 1990 IOP Publishing Ltd.</t>
  </si>
  <si>
    <t>723-730</t>
  </si>
  <si>
    <t>60024266;60008794;60008794;60008794;60008794;60008794</t>
  </si>
  <si>
    <t>35371543400;6505836498;8447514100;7006059827;6603559476;8971113000</t>
  </si>
  <si>
    <t>Carter, M. D.;Lysojvan, A. I.;Moiseenko, V. E.;Nazarov, N. I.;Shvets, O. M.;Stepanov, K. N.</t>
  </si>
  <si>
    <t>United States;Ukraine</t>
  </si>
  <si>
    <t>Oak Ridge;Kharkiv</t>
  </si>
  <si>
    <t>Oak Ridge National Laboratory;National Science Center Kharkov Institute of Physics and Technology</t>
  </si>
  <si>
    <t>60024266;60008794</t>
  </si>
  <si>
    <t>Carter M.D.</t>
  </si>
  <si>
    <t>Plasma production using radiofrequency fields near or below the ion cyclotron range of frequencies</t>
  </si>
  <si>
    <t>10.1088/0029-5515/30/4/013</t>
  </si>
  <si>
    <t>2-s2.0-0025415346</t>
  </si>
  <si>
    <t>['waveguide simulators', 'two ways', 'thin substrates', 'simpler model', 'rigorous treatment', 'rigorous green', 'radiation properties', 'measured data', 'feed models', 'fed elements', 'computer time', 'antennas printed']</t>
  </si>
  <si>
    <t>An analysis of the radiation properties of infinite phased arrays of one- or two-probe-fed circular microstrip patches using a rigorous Green's function/moment method approach is presented. Two ways of treating the connection of a vertical feed probe to the patch are considered: an idealized probe feed model, which is useful for antennas printed on thin substrates or to predict general performance trends, and a more rigorous treatment that overcomes the deficiencies of the simpler model but requires larger amounts of computer time. Comparisons of both feed models with measured data from waveguide simulators are used to validate the theory for both one- and two-probe-fed elements. ¬© 1990 IEEE</t>
  </si>
  <si>
    <t>421-432</t>
  </si>
  <si>
    <t>60014313-60003892;60014313</t>
  </si>
  <si>
    <t>7005725769;7006061921</t>
  </si>
  <si>
    <t>Aberle, James T.;Pozar, David M.</t>
  </si>
  <si>
    <t>Amherst MA;Tempe</t>
  </si>
  <si>
    <t>University of Massachusetts Amherst;Arizona State University</t>
  </si>
  <si>
    <t>60014313;60003892</t>
  </si>
  <si>
    <t>Aberle J.T.</t>
  </si>
  <si>
    <t>Analysis of Infinite Arrays of One- and Two-Probe-Fed Circular Patches</t>
  </si>
  <si>
    <t>10.1109/8.52260</t>
  </si>
  <si>
    <t>2-s2.0-0025415903</t>
  </si>
  <si>
    <t>['water molecules', 'surface sputtering', 'surface oxides', 'rf heating', 'rf antenna', 'power input', 'physical sputtering', 'peripheral plasma', 'metal surfaces', 'metal oxides', 'metal atoms', 'mean density', 'magnetic field', 'magnet casing', 'h2 molecules', 'governed mainly', 'exchange atoms', 'edge plasma', 'decisive role', 'confinement volume', 'chemical interaction', 'authors study', 'authors show', '3 torsatron']</t>
  </si>
  <si>
    <t>The authors study the mechanisms by which light (oxygen, carbon) and heavy (metal atoms) impurities are released from the walls in the Uragan-3 torsatron, in which radiofrequency (RF) heating is the only way of heating (and producing) the plasma. Having investigated the relationship between the quantity of impurities in the peripheral plasma, as well as the mean density, the confining magnetic field and the power input, they show that metal impurities appear as a result of sputtering from metal surfaces. Carbon, too, like the metal atoms, enters the plasma as a result of physical sputtering of carbon bearing materials. However, oxygen production occurs in a different way ‚Äî through chemical interaction between hydrogen and metal oxides on the surface. By comparing impurity concentrations in the edge plasma and the fluxes of charge-exchange atoms as functions of nÃÑe, power input and magnetic field, the authors show that these fluxes do not play a decisive role, either in surface sputtering of the antenna and the magnet casing or in the chemical interaction responsible for the release of oxygen from the surfaces. Sputtering from the surface of the magnet casing that faces the confinement volume is shown to be governed mainly by the high frequency current associated with RF potential oscillations of the peripheral plasma. Sputtering from the surface of the RF antenna is due to its interaction with the quasi-constant ion current, with an energy of ‚â• 100 eV produced during RF heating. The formation of water molecules on the surface is due to interaction of surface oxides with hydrogen atoms formed during the dissociation of H2 molecules. ¬© 1990 IOP Publishing Ltd.</t>
  </si>
  <si>
    <t>657-664</t>
  </si>
  <si>
    <t>116292100;116292100;116292100;116292100;116292100;116292100;116292100;116292100;116292100;116292100;116292100</t>
  </si>
  <si>
    <t>56216464300;7102129803;6503925216;7102770327;7006059827;6504456392;7004496694;6602533022;6506530976;6601970421;7006289739</t>
  </si>
  <si>
    <t>Volkov, E. D.;Grigor'eva, L. I.;Zalesskij, Yu G.;Konovalov, V. G.;Nazarov, N. I.;Patlaj, I. I.;Polyakova, G. N.;Skibenko, A. I.;Slavnyj, A. S.;Chechkin, V. V.;Shapoval, A. N.</t>
  </si>
  <si>
    <t>Institute of Physics and Technology Khar'kov</t>
  </si>
  <si>
    <t>Volkov E.</t>
  </si>
  <si>
    <t>Light and heavy impurity production mechanisms during radiofrequency plasma heating in the Uragan-3 torsatron</t>
  </si>
  <si>
    <t>10.1088/0029-5515/30/4/007</t>
  </si>
  <si>
    <t>2-s2.0-0025416108</t>
  </si>
  <si>
    <t>['theoretical interpretation', 'theoretical calculations', 'technological implications', 'rf frequency', 'loading measurements', 'experimental results', 'edge density', 'ech ).', 'divertor configuration', 'coupling decrease', 'correct dependence', 'conducting side', 'antenna position', 'antenna loading', 'antenna geometry', 'absolute agreement']</t>
  </si>
  <si>
    <t>Measurements of low power (‚âÉ 1 mW) antenna loading are used to study the coupling of a compact loop antenna structure to plasmas in the divertor configuration in DIII-D heated by neutral beam injection (NBI) or electron cyclotron heating (ECH). When a transition to the H-mode regime occurs during NBI, the antenna loading resistance drops by approximately a factor of two. This coupling decrease is due to a steepening of the edge density profile near the separatrix, accompanied by a reduction in edge density in the scrape-off layer. During edge localized modes, the opposite effects occur, and the antenna coupling increases transiently. The loading measurements are compared with theoretical calculations which take into account the measured density profiles as well as the conducting side-walls of the recessed antenna housing. Absolute agreement between the theoretical and the experimental results is obtained, including the correct dependence on the density, antenna position, RF frequency and antenna geometry. The theoretical interpretation of the results is discussed, together with the technological implications for future high power experiments. ¬© 1990 IOP Publishing Ltd.</t>
  </si>
  <si>
    <t>579-597</t>
  </si>
  <si>
    <t>60013901;60013901;60013901;60013901;60024266;60024266;60024266;60015658</t>
  </si>
  <si>
    <t>7004515474;7202291663;7003617702;7004204756;7402222174;7004436911;7402922192;7007048412</t>
  </si>
  <si>
    <t>Mayberry, M. J.;Chiu, S. C.;Pinsker, R. I.;Prater, R.;Hoffman, D. J.;Baity, F. W.;Ryan, P. M.;Uesugi, Y.</t>
  </si>
  <si>
    <t>United States;Japan;United States</t>
  </si>
  <si>
    <t>Oak Ridge;Kashiwa;San Diego</t>
  </si>
  <si>
    <t>Oak Ridge National Laboratory;Japan Atomic Energy Agency;General Atomics</t>
  </si>
  <si>
    <t>60024266;60015658;60013901</t>
  </si>
  <si>
    <t>Mayberry M.J.</t>
  </si>
  <si>
    <t>Coupling of fast waves in the ion cyclotron range of frequencies to H-mode plasmas in DIII-D</t>
  </si>
  <si>
    <t>10.1088/0029-5515/30/4/001</t>
  </si>
  <si>
    <t>2-s2.0-0025416212</t>
  </si>
  <si>
    <t>['wiley company', 'wide range', 'power divider', 'minimum isolation', 'inc .,', 'fifth port', 'feeding network', 'design technique', 'broadband design']</t>
  </si>
  <si>
    <t>broadband design | characteristic impedance | Microstrip | ring type power divider</t>
  </si>
  <si>
    <t>The broadband design of a ring type microstrip power divider with any desired power division ratio is described. The improvement in bandwidth is obtained by the addition of a fifth port to the conventional four‚Äêport power divider design. The present design provides good device performance over a wide range of frequency. For a minimum isolation of around 30 dB, the coupling coefficients remain about constant over a band of frequency that is 30% of the design center frequency. This design technique is applicable to both equal and unequal power divisions. This broadband design of power divider is very useful for the basic power divider of the feeding network in microstrip antenna arrays including phased arrays. Copyright ¬© 1990 Wiley Periodicals, Inc., A Wiley Company</t>
  </si>
  <si>
    <t>119-122</t>
  </si>
  <si>
    <t>60024232;60024232;60024232</t>
  </si>
  <si>
    <t>7202869307;6701556104;7201666265</t>
  </si>
  <si>
    <t>Roy, Jibendu Sekhar;Poddar, Dipak Ranjan;Chowdhury, Santosh Kumar</t>
  </si>
  <si>
    <t>Kolkata</t>
  </si>
  <si>
    <t>University of Calcutta</t>
  </si>
  <si>
    <t>Roy J.</t>
  </si>
  <si>
    <t>Broadband design of ring type microstrip power divider</t>
  </si>
  <si>
    <t>10.1002/mop.4650030406</t>
  </si>
  <si>
    <t>2-s2.0-0025416298</t>
  </si>
  <si>
    <t>['wave antennas', 'transverse magnetic', 'transverse electric', 'size source', 'radiation pattern', 'planar surface', 'microstrip elements', 'leaky waves', 'general class', 'formulas may', 'formulas allow', 'cylindrical apertures', 'arbitrary size']</t>
  </si>
  <si>
    <t>Formulas for the farfield radiation pattern of cylindrical leaky waves propagating on a planar surface are derived. These formulas may be used to predict the radiation pattern of a general class of leaky-wave antennas, consisting of a finite-size source which excites a radially propagating leaky wave on some planar surface. Leaky wave antennas consisting of antenna elements embedded within dielectric layers (microstrip elements) fall into this category. Formulas are derived for both transverse electric (TE) and transverse magnetic (TM) leaky waves having arbitrary propagation constants. These formulas allow for the radiation from cylindrical apertures of arbitrary size, so that the effect of truncating the supporting planar surface with an absorbing material may be determined. ¬© 1990 IEEE</t>
  </si>
  <si>
    <t>482-488</t>
  </si>
  <si>
    <t>60005837;60005837</t>
  </si>
  <si>
    <t>6603864302;7404289310</t>
  </si>
  <si>
    <t>Ip, Antonio;Jackson, David R.</t>
  </si>
  <si>
    <t>University of Houston</t>
  </si>
  <si>
    <t>Ip A.</t>
  </si>
  <si>
    <t>Radiation from Cylindrical Leaky Waves</t>
  </si>
  <si>
    <t>10.1109/8.52266</t>
  </si>
  <si>
    <t>2-s2.0-0025416358</t>
  </si>
  <si>
    <t>['transmitted signal', 'spectral self', 'spectral correlation', 'score processors', 'objective functions', 'noise ratio', 'new approach', 'known value', 'frequency separation', 'coherence restoral', 'array manifold', 'arbitrary number', 'antenna array', 'also shown', 'algorithms maximize']</t>
  </si>
  <si>
    <t>A new approach to blind adaptive signal extraction using narrowband antenna arrays is presented. This approach has the capability to extract communication signals from co-channel interference environments using only known spectral correlation properties of those signals‚Äîin other words, without using knowledge of the content or direction of arrival of the transmitted signal, or the array manifold or background noise covariance of the receiver, to train the antenna array. The class of spectral self-coherence restoral (SCORE) objective functions is introduced, and algorithms for adapting antenna arrays to optimize these objective functions are developed. Using the theory of spectral correlation, it is shown via analysis and simulation that these algorithms maximize the signal-to-interference-and-noise ratio at the output of a narrowband antenna array, when a single communication signal with spectral self-coherence at a known value of frequency separation and an arbitrary number of interferers without spectral self-coherence at that frequency separation are impinging on the array. It is also shown that the SCORE processors can nearly optimally extract communication signals from environments containing multiple signals with spectral self-coherence at the same value of frequency separation. ¬© 1990 IEEE</t>
  </si>
  <si>
    <t>753-767</t>
  </si>
  <si>
    <t>100429724;60014439;60014439</t>
  </si>
  <si>
    <t>6701547057;7004526155;7202841195</t>
  </si>
  <si>
    <t>Agee, Brian G.;Schell, Stephan V.;Gardner, William A.</t>
  </si>
  <si>
    <t>Davis;Davis</t>
  </si>
  <si>
    <t>University of California, Davis;AGI Engineering Consulting</t>
  </si>
  <si>
    <t>60014439;100429724</t>
  </si>
  <si>
    <t>Agee B.</t>
  </si>
  <si>
    <t>Spectral Self-Coherence Restoral: A New Approach to Blind Adaptive Signal Extraction Using Antenna Arrays</t>
  </si>
  <si>
    <t>10.1109/5.54812</t>
  </si>
  <si>
    <t>2-s2.0-0025416374</t>
  </si>
  <si>
    <t>['theoretical study', 'space applications', 'satellite communications', 'radiation characteristics', 'low side', 'lobe patterns', 'lobe levels', 'higher gain', 'greater directivity', 'francis ltd', 'experimental pattern', 'directivity measurements', 'dielectric sphere', 'calculations based', 'band system', 'analytical treatment']</t>
  </si>
  <si>
    <t>Results of the experimental and theoretical study of the effect of placing a dielectric sphere in front of, but displaced from, the aperture of a corrugated conical horn are presented. The analytical treatment of the radiation characteristics of the device is based on the scattering theory approach. Calculations based on this formulation show good overall agreement with experimental pattern and directivity measurements. It is established that a dielectric-sphere-mounted corrugated conical horn will have gain and directivity in excess of conventional corrugated conical horns of the same dimensions. This is a broad-band system with low side-lobe patterns, and hence can be used as a variable beamwidth feed with higher gain, greater directivity, and low side-lobe levels for paraboloidal reflector antennas for satellite communications and many other space applications. ¬© 1990 Taylor and Francis Ltd.</t>
  </si>
  <si>
    <t>585-593</t>
  </si>
  <si>
    <t>Nair R.</t>
  </si>
  <si>
    <t>Dielectric-sphere-mounted corrugated conical horn</t>
  </si>
  <si>
    <t>10.1080/00207219008921203</t>
  </si>
  <si>
    <t>2-s2.0-0025416479</t>
  </si>
  <si>
    <t>['œ ≤', 'valued solutions', 'solutions exist', 'radiation pattern', 'numerical solutions', 'length structure', 'leaky waves', 'helical geometry', 'given mode', 'dispersion characteristics', 'dielectric substrate']</t>
  </si>
  <si>
    <t>An equation is presented to describe the dispersion characteristics of a tape helix separated from a concentric conducting core by a dielectric substrate. Numerical solutions for the complex-valued propagation constant can be used to obtain the complete k ‚Äî Œ≤ diagram of the helical geometry. The k-Œ≤ diagram provides information regarding the real-valued solutions for Œ≤ that represent true axial propagation, as well as the complex-valued solutions that represent surface waves and leaky waves. Under the assumption that these same solutions exist on a finite-length structure, the radiation pattern can be obtained for a given mode of propagation. ¬© 1990 IEEE</t>
  </si>
  <si>
    <t>578-584</t>
  </si>
  <si>
    <t>7202081356;7102466274;55197051100</t>
  </si>
  <si>
    <t>Peterson, Andrew F.;Greene, Bruce S.;Mittra, Raj</t>
  </si>
  <si>
    <t>Peterson A.</t>
  </si>
  <si>
    <t>Propagation and Radiation Characteristics of the Tape Helix with a Conducting Core and Dielectric Substrate</t>
  </si>
  <si>
    <t>10.1109/8.52281</t>
  </si>
  <si>
    <t>2-s2.0-0025416575</t>
  </si>
  <si>
    <t>['te01 mode', 'stepped form', 'practical realisation', 'plate separation', 'hyperbolic secant', 'horn axis', 'good agreement', 'field distributions', 'direction normal']</t>
  </si>
  <si>
    <t>Optical ray theory is used to design a phase-corrected microwave horn antenna of short-length which produces a tapered aperture amplitude distribution in the E-plane. The basis of the design is the creation of a region where the effective refractive index varies with hyperbolic secant (HYSEC) form in a direction normal to the horn axis. In a practical realisation this effective refractive index distribution is achieved in both smooth and stepped form by varying the plate separation of the planar waveguide supporting a TE01 mode. Good agreement is found between predicted and experimentally determined aperture and far-field distributions. Finally, the study is extended to the design of a novel antenna incorporating dielectric loading which, in theory, allows for operation at even shorter horn lengths.</t>
  </si>
  <si>
    <t>81-88</t>
  </si>
  <si>
    <t>Application of optical ray technique to the design of short microwave horn antennas with low side lobe levels</t>
  </si>
  <si>
    <t>10.1049/ip-h-2.1990.0016</t>
  </si>
  <si>
    <t>2-s2.0-0025416593</t>
  </si>
  <si>
    <t>['waveguide simulators', 'wave solution', 'scan blindness', 'infinite array', 'experimental data', 'calculated results']</t>
  </si>
  <si>
    <t>A full-wave solution is presented for the problem of an infinite array of vertical monopoles embedded in a grounded dielectric sheet. Calculated results are compared with experimental data from waveguide simulators for Œµr = 1 (air) and Œµr = 2.5 (acrylic) cases. Scan blindness is observed for the dielectric loaded case, and a grating lobe diagram augmented with surface wave circles is used to explain this phenomenon.</t>
  </si>
  <si>
    <t>117-120</t>
  </si>
  <si>
    <t>Pozar, D. M.</t>
  </si>
  <si>
    <t>University of Massachusetts System</t>
  </si>
  <si>
    <t>Pozar D.</t>
  </si>
  <si>
    <t>Performance of an infinite array of monopoles in a grounded dielectric slab</t>
  </si>
  <si>
    <t>10.1049/ip-h-2.1990.0022</t>
  </si>
  <si>
    <t>2-s2.0-0025416926</t>
  </si>
  <si>
    <t>U.S. Department of Energy</t>
  </si>
  <si>
    <t>DE-AC05-84OR21400</t>
  </si>
  <si>
    <t>USDOE</t>
  </si>
  <si>
    <t>['virtually independent', 'various combinations', 'tore supra', 'significant redistribution', 'separately optimizing', 'sectional shapes', 'sectional shape', 'relative fields', 'recessed box', 'plasma resulting', 'optimizing antennas', 'measured previously', 'including diii', 'fractional reduction', 'faraday shield', 'experiments show', 'current straps', 'current strap', 'current levels', 'coupling characteristics', 'cavity antennas', 'antenna current', 'also responsible']</t>
  </si>
  <si>
    <t>Compact loop antennas are being applied to several fusion experiments, including DIII-D, the Advanced Toroidal Facility, Tore Supra, and the Tokamak Fusion Test Reactor. Although individual configurations vary, all of these antennas generally comprise a current strap in a recessed box and a Faraday shield. The effect of the cross-sectional shape of the current strap on voltage and current levels was measured previously. In this work the coupling characteristics of cavity antennas that have current straps with the previously evaluated cross-sectional shapes are tested with several Faraday shields. The coupling is purely a measure of the magnetic flux linkage at relevant ICRH frequencies and does not include plasma spectral effects. Impedances and relative fields are measured for various combinations of the current strap and Faraday shield. The experiments show that the fractional reduction in the magnetic flux linkage to the plasma resulting from the addition of any particular Faraday shield is virtually independent of the shape of the current strap. This is true in spite of the fact that the same mechanism which is responsible for the reduction in flux is also responsible for a significant redistribution of the antenna current on the current strap. Thus the process of optimizing antennas is reduced to that of separately optimizing the current strap and Faraday shield. ¬© 1990 IEEE</t>
  </si>
  <si>
    <t>184-189</t>
  </si>
  <si>
    <t>60019647;60019647;60024266;60024266;60027550</t>
  </si>
  <si>
    <t>57225680795;24072016300;7402222174;57196875092;7003729769</t>
  </si>
  <si>
    <t>Kwon, M.;Thomas, C. E.;Hoffman, Daniel J.;Shepard, Thomas D.;Rettig, Curtis L.</t>
  </si>
  <si>
    <t>Los Angeles;Oak Ridge;Atlanta</t>
  </si>
  <si>
    <t>University of California, Los Angeles;Oak Ridge National Laboratory;Georgia Institute of Technology</t>
  </si>
  <si>
    <t>60027550;60024266;60019647</t>
  </si>
  <si>
    <t>Kwon M.</t>
  </si>
  <si>
    <t>Measurement of the Effects of Faraday Shields on ICRH Antenna Coupling</t>
  </si>
  <si>
    <t>10.1109/27.131018</t>
  </si>
  <si>
    <t>2-s2.0-0025418008</t>
  </si>
  <si>
    <t>['scattering pattern', 'scattering characterization', 'obtained numerically', 'numerical results', 'finite arrays', 'finite array', 'exact solution', 'dielectric slab', 'conjugate gradient', 'computed approximately', 'approximate solution']</t>
  </si>
  <si>
    <t>The scattering characterization of an infinite and truncated periodic array of perfectly conducting patches on a dielectric slab is discussed. In particular, an approximate solution is presented for the truncated array scattering based on the exact solution for the corresponding infinite array. The last is obtained numerically by solving for the patch currents via a conjugate gradient-fast Fourier transform (FFT) technique, eliminating a need to generate and store the usual square impedance matrix. The scattering pattern of the finite array is then computed approximately by integrating the infinite periodic array currents over the extent of the given finite array. Numerical results are presented for the infinite and finite arrays, and the accuracy of the approximate solution for the finite array is examined. ¬© 1990 IEEE</t>
  </si>
  <si>
    <t>556-563</t>
  </si>
  <si>
    <t>7403588231;7102576479</t>
  </si>
  <si>
    <t>Jin, Jian Ming;Volakis, John L.</t>
  </si>
  <si>
    <t>Jin J.</t>
  </si>
  <si>
    <t>Electromagnetic Scattering by a Perfectly Conducting Patch Array on a Dielectric Slab</t>
  </si>
  <si>
    <t>10.1109/8.52275</t>
  </si>
  <si>
    <t>2-s2.0-0025418045</t>
  </si>
  <si>
    <t>['typically viewed', 'tangential electric', 'simple expressions', 'scattering environment', 'representation theorems', 'representation theorem', 'reference surface', 'reduced portion', 'particular green', 'observation point', 'major use', 'key results', 'integral equations', 'finite surface', 'far zone', 'e .,', 'abstract quantities']</t>
  </si>
  <si>
    <t>Green's dyadics are typically viewed as abstract quantities and their application requires detailed dyadic manipulation. A major use of Green's dyadics is to derive representation theorems and integral equations. When particular Green's dyadics are employed, i.e., those satisfying boundary conditions on a finite surface, then the representation theorems and integral equations derive special benefits. Typical representation theorem benefits are that only the tangential electric or magnetic fields need be known on a reference surface as contrasted with the frequently employed Stratton-Chu (Franz) representation theorem where both are required. In a common integral equation application one eliminates portions of a scattering environment and derives integral equations over a reduced portion. The details of how to derive totally equivalent representation theorems are presented and the way to derive integral equations having the same benefit is outlined. Key results of this work are the representation theorems when the observation point is in the far zone of the reference surface. For this case, simple expressions are given in which plane wave excited currents on a perfect conductor replace Green's dyadics. ¬© 1990 IEEE</t>
  </si>
  <si>
    <t>564-568</t>
  </si>
  <si>
    <t>Sancer, Maurice I.</t>
  </si>
  <si>
    <t>Sancer M.</t>
  </si>
  <si>
    <t>Communications: Physically Interpretable Alternative to Green's Dyadics, Resulting Representation Theorems, and Integral Equations</t>
  </si>
  <si>
    <t>10.1109/8.52276</t>
  </si>
  <si>
    <t>2-s2.0-0025418212</t>
  </si>
  <si>
    <t>['theory brings', 'spaced antennas', 'paper presents', 'important considerations', 'generating direction', 'effective means', 'discrete time', 'discrete antennas', 'desired modulation', 'commutation among', 'channel monitoring', 'antenna hopping', 'analytical probing']</t>
  </si>
  <si>
    <t>This paper presents the theory of modulation by hopping or by commutation among a number of spaced antennas. The theory brings out the important considerations and criteria for selecting the separation of discrete antennas in discrete time and/or space to produce a desired modulation. In addition, antenna hopping and commutation are proposed for generating direction-dependent spread spectrum to enhance receiving system anti-interference processing gain and/or transmitted signal camouflage and LPI, as well as to provide an effective means for channel monitoring and analytical probing. ¬© 1990 IEEE</t>
  </si>
  <si>
    <t>399-403</t>
  </si>
  <si>
    <t>Baghdady, Elie J.</t>
  </si>
  <si>
    <t>Baghdady E.</t>
  </si>
  <si>
    <t>Directional Signal Modulation by Means of Switched Spaced Antennas</t>
  </si>
  <si>
    <t>10.1109/26.52647</t>
  </si>
  <si>
    <t>2-s2.0-0025418231</t>
  </si>
  <si>
    <t>['ripple around', 'minor sacrifice', 'frequency response', 'equally important', 'displaced iteratively', 'desired response', 'chebyshev response']</t>
  </si>
  <si>
    <t>The widely used first-order polynomial representation of the frequency response of a multihole directional coupler is assumed. The roots of this polynomial are displaced iteratively until a desired response is achieved. One possible outcome is a Chebyshev response, but the method is capable of improving on that result if all portions of the passband are not equally important. Further improvement can be achieved if the directivity is made to ripple around a somewhat higher level. This causes a minor sacrifice in bandwidth. Examples are given. ¬© 1990 IEEE</t>
  </si>
  <si>
    <t>411-416</t>
  </si>
  <si>
    <t>60027550;60025209</t>
  </si>
  <si>
    <t>57220065537;7410200582</t>
  </si>
  <si>
    <t>Elliott, Robert S.;Kim, Yong Uk</t>
  </si>
  <si>
    <t>Los Angeles;Los Angeles</t>
  </si>
  <si>
    <t>University of California, Los Angeles;Northrop Grumman corporation</t>
  </si>
  <si>
    <t>Improved Design of Multihole Directional Couplers Using an Iterative Technique</t>
  </si>
  <si>
    <t>10.1109/22.52582</t>
  </si>
  <si>
    <t>2-s2.0-0025418360</t>
  </si>
  <si>
    <t>['wire codes', 'wave region', 'successfully validated', 'significant improvement', 'measured results', 'loaded antennas', 'hybrid method', 'especially apparent', 'electrically small', 'detailed knowledge', 'also shown']</t>
  </si>
  <si>
    <t>Recently, a hybrid method in which quasistatic and full-wave integral equations are combined was developed. The method is useful for electromagnetic scattering problems in which the geometry contains one or more electrically small and geometrically complex sub-regions which are ‚Äúcapacitive‚Äù in nature. Using point collocation, the hybrid method has now been implemented for axially symmetric problems containing thin wires in the full-wave region and conductors and/or dielectrics in the electrically small regions. The method has been successfully validated by comparing predicted input admittances using the hybrid method with measured results for capacitor-loaded antennas. The hybrid method is also shown to be a significant improvement over thin-wire codes in which the electrically small region is replaced with an equivalent lumped load. The improvement is especially apparent in cases for which a detailed knowledge of the field in the electrically small region is needed. ¬© 1990 IEEE</t>
  </si>
  <si>
    <t>516-522</t>
  </si>
  <si>
    <t>60018208;60018208</t>
  </si>
  <si>
    <t>7402077896;7801592535</t>
  </si>
  <si>
    <t>Olsen, Robert G.;Mannikko, Paul D.</t>
  </si>
  <si>
    <t>Pullman</t>
  </si>
  <si>
    <t>Washington State University Pullman</t>
  </si>
  <si>
    <t>Olsen R.G.</t>
  </si>
  <si>
    <t>Validation of the Hybrid Quasi-Static/Full-Wave Method for Capacitively Loaded Thin-Wire Antennas</t>
  </si>
  <si>
    <t>10.1109/8.52270</t>
  </si>
  <si>
    <t>2-s2.0-0025418419</t>
  </si>
  <si>
    <t>['stratified medium', 'propagation constants', 'paper presents', 'numerical results', 'multilayered substrate', 'multilayered structures', 'electromagnetic fields', 'conducting patches', 'analytical technique']</t>
  </si>
  <si>
    <t>The paper presents an analytical technique for the calculation of the electromagnetic fields and surface currents associated to conducting patches of arbitrary shape embedded in a stratified medium. Surface waves arising in such structures are discussed in detail and approximate analytical formulas for their propagation constants are calculated. Two integral equation formulations are presented and their respective merits discussed. It is shown that for multilayered structures both formulations can be combined into an optimised hybrid approach. Numerical results, obtained with a method of moments, are presented for a cross-shaped patch embedded in a multilayered substrate.</t>
  </si>
  <si>
    <t>99-107</t>
  </si>
  <si>
    <t>60028186;60028186;60028186</t>
  </si>
  <si>
    <t>6507195458;7006665188;35609196900</t>
  </si>
  <si>
    <t>Barlatey, L.;Mosig, J. R.;Gardiol, F. E.</t>
  </si>
  <si>
    <t>Switzerland</t>
  </si>
  <si>
    <t>Lausanne</t>
  </si>
  <si>
    <t>Swiss Federal Institute of Technology Lausanne</t>
  </si>
  <si>
    <t>Barlatey L.</t>
  </si>
  <si>
    <t>Hybrid integral equation approach for patch antennas in multilayered substrates</t>
  </si>
  <si>
    <t>10.1049/ip-h-2.1990.0019</t>
  </si>
  <si>
    <t>2-s2.0-0025418441</t>
  </si>
  <si>
    <t>['steered away', 'special arrangement', 'octave range', 'linear array', 'element positions', 'effective aperture', 'constant beamwidth', 'anomalous lobe']</t>
  </si>
  <si>
    <t>A linear array having constant beamwidth over an octave range can be constructed from a special arrangement of element positions and filters which alter the effective aperture with frequency. However, sidelobe level control is complicated by the appearance of an anomalous lobe when the array is steered away from broadside. ¬© 1990 IEEE</t>
  </si>
  <si>
    <t>727-730</t>
  </si>
  <si>
    <t>7402926384;7202119813</t>
  </si>
  <si>
    <t>Webster, R. J.;Lang, T. N.</t>
  </si>
  <si>
    <t>Webster R.</t>
  </si>
  <si>
    <t>Prescribed Sidelobes for the Constant Beamwidth Array</t>
  </si>
  <si>
    <t>10.1109/29.52716</t>
  </si>
  <si>
    <t>2-s2.0-0025418826</t>
  </si>
  <si>
    <t>['thus derived', 'simple expressions', 'radiation resistance', 'product expansions', 'microstrip element', 'evaluated via', 'empirical formula']</t>
  </si>
  <si>
    <t>The radiation resistance of a microstrip element is evaluated via a bidimensional Fourier transform. These integrals are estimated in an asymptotic form using finite series and product expansions. An empirical formula is added when the estimation is poor. Simple expressions are thus derived. ¬© 1990 IEEE</t>
  </si>
  <si>
    <t>568-570</t>
  </si>
  <si>
    <t>Gera, Amos E.</t>
  </si>
  <si>
    <t>Ashdod</t>
  </si>
  <si>
    <t>Elta Electronics Industries Ltd.</t>
  </si>
  <si>
    <t>Gera A.E.</t>
  </si>
  <si>
    <t>The Radiation Resistance of a Microstrip Element</t>
  </si>
  <si>
    <t>10.1109/8.52277</t>
  </si>
  <si>
    <t>2-s2.0-0025418945</t>
  </si>
  <si>
    <t>['‚ äúwire', 'scattering properties', 'scattering characteristics', 'scattered power', 'quantitative description', 'mesh size', 'initial design', 'given error', 'gain insight', 'fundamental approach', 'characteristic modes', 'body shape', 'body radiation', 'allows one', 'actual body']</t>
  </si>
  <si>
    <t>The topic of modeling the radiation and scattering properties of a conducting body using the ‚Äúwire-grid‚Äù model is addressed. In particular, the convergence of the wire grid model (relative to the grid-mesh size) is examined from the viewpoint of the characteristic modes associated with the body. A quantitative description of the wire grid structure is described which allows one to associate a minimum grid size corresponding to a given error in the radiated or scattered power for an arbitrary body excitation. The utility of this technique allows one to determine the sensitivity of an initial design (say, for example, in an antenna design analysis) to making small changes in the antenna or body shape. The examples presented use the wire grid structure for modeling the actual body, but the fundamental approach of using the characteristic modes to formulate and gain insight into the body radiation and scattering characteristics is applicable in general. ¬© 1990 IEEE</t>
  </si>
  <si>
    <t>457-469</t>
  </si>
  <si>
    <t>Mayhan, Joseph T.</t>
  </si>
  <si>
    <t>Mayhan J.</t>
  </si>
  <si>
    <t>Characteristic Modes and Wire Grid Modeling</t>
  </si>
  <si>
    <t>10.1109/8.52263</t>
  </si>
  <si>
    <t>2-s2.0-0025419126</t>
  </si>
  <si>
    <t>['wiley company', 'small values', 'polarization correction', 'polarization along', 'main effect', 'inc .,', 'gutman lens', 'correct polarization', 'chirality parameter', 'chirality distribution', 'analytic expression']</t>
  </si>
  <si>
    <t>antenna | Geometrical optics | lens | polarization</t>
  </si>
  <si>
    <t>The geometrical optics method for polarization correction of inhomoge‚Äêneous lens antennas introduced recently is here applied to the Gutman lens antenna. For small values of the chirality parameter, the main effect of the chirality is rotation of polarization along the ray. This rotation effect may be used to eliminate the polarization rotation due to the curvature of the rays, to obtain the correct polarization in the aperture. In this paper an analytic expression for the chirality distribution is given for the Gutman lens. Copyright ¬© 1990 Wiley Periodicals, Inc., A Wiley Company</t>
  </si>
  <si>
    <t>136-140</t>
  </si>
  <si>
    <t>Viitanen, Ari J.</t>
  </si>
  <si>
    <t>Polarization correction of gutman lens with chiral medium</t>
  </si>
  <si>
    <t>10.1002/mop.4650030412</t>
  </si>
  <si>
    <t>2-s2.0-0025419198</t>
  </si>
  <si>
    <t>['theoretical expression', 'open end', 'additional term']</t>
  </si>
  <si>
    <t>It is shown that to obtain the complete radiation pattern of a transmission line antenna it is necessary to include the effects of radiation from the open end of the line. A theoretical expression for this additional term is presented and the result confirmed experimentally. ¬© 1990 IEEE</t>
  </si>
  <si>
    <t>575-578</t>
  </si>
  <si>
    <t>60003480;60026708</t>
  </si>
  <si>
    <t>7202758543;7101786976</t>
  </si>
  <si>
    <t>Green, Harry E.;Cashman, John D.</t>
  </si>
  <si>
    <t>Australia;Australia</t>
  </si>
  <si>
    <t>Canberra;Edinburgh</t>
  </si>
  <si>
    <t>University of New South Wales at Australian Defence Force Academy;Defence Science and Technology Group</t>
  </si>
  <si>
    <t>60026708;60003480</t>
  </si>
  <si>
    <t>Green H.E.</t>
  </si>
  <si>
    <t>The Transmission Line Antenna Revisited</t>
  </si>
  <si>
    <t>10.1109/8.52280</t>
  </si>
  <si>
    <t>2-s2.0-0025419539</t>
  </si>
  <si>
    <t>['small separation', 'requires one', 'rapidly locate', 'microstrip problems', 'iterative procedure', 'improper poles', 'field points', 'corresponding proper']</t>
  </si>
  <si>
    <t>A recently obtained closed-form asymptotic representation of the microstrip surface Green's function has been found to provide an efficient moment method analysis of microstrip problems. However, in order to make this closed-form expression remain accurate even for very small separation of source and field points (namely to within a few tenths of a wavelength), one must include in that solution both the proper and improper surface wave transition effects that are important. This requires one to find the location of the corresponding proper and improper poles. A good initial estimate to rapidly locate these poles by using an iterative procedure is presented. ¬© 1990 IEEE</t>
  </si>
  <si>
    <t>570-573</t>
  </si>
  <si>
    <t>;;60003500</t>
  </si>
  <si>
    <t>7202222050;6603705367;35579308700</t>
  </si>
  <si>
    <t>Marin, Miguel A.;Barkeshli, Sina;Pathak, Prabhakar H.</t>
  </si>
  <si>
    <t>Columbus</t>
  </si>
  <si>
    <t>The Ohio State University</t>
  </si>
  <si>
    <t>Marin M.A.</t>
  </si>
  <si>
    <t>On the Location of Proper and Improper Surface Wave Poles for the Grounded Dielectric Slab</t>
  </si>
  <si>
    <t>10.1109/8.52278</t>
  </si>
  <si>
    <t>2-s2.0-0025419860</t>
  </si>
  <si>
    <t>DMB-8704206</t>
  </si>
  <si>
    <t>['¬© 1990', 'thylakoid membranes', 'synechocystis 6803', 'simultaneously deleted', 'rights reserved', 'reaction center', 'psbf gene', 'ps ii', 'protein components', 'previously believed', 'one gene', 'neighbouring genes', 'mutant showed', 'integral component', 'fluorescence spectra', 'embo j', 'cytochrome b559protein', 'cyt b559is', 'cyt b559in', 'critically important', 'assembled normally', 'appreciable amounts', 'also impaired', '77 k', '695 nm', '1988 ).']</t>
  </si>
  <si>
    <t>Cytochrome b559 | Photosystem II | Protein Complex Stability | Site-Directed Mutagenesis | Synechocystis 6803</t>
  </si>
  <si>
    <t>Oligonucleotide-directed mutagenesis techniques were used to delete the psbF gene, encoding the Œ≤ subunit of the cytochrome b559protein of the photosystem II complex in the cyanobacterium, Synechocystis 6803. Cyt b559is an integral component of PS II complex. However, its precise functional role in PS II remains to be determined. Previously, we created a mutant in which the psbF gene as well as three of its neighbouring genes, psbE, psbL and psbJ were simultaneously deleted from the chromosome of Synechocystis 6803 (Pakrasi, Williams and Arntzen, EMBO J. 7, 325‚Äì332, 1988). This mutant had no PS II activity. However, the role of any one of the four individual gene products could not be determined by studying this mutant. The newly generated mutant. T256, had only one gene, psb¬•, deleted from the genome. This mutant was also impaired in its PS II activities. In addition, it had barely detectable levels of two other protein components, D1 (herbicide binding protein) and D2, of the reaction center of PS II, in its thylakoid membranes. In contrast, two other proteins of PS II, CP47 and CP43 were present in appreciable amounts. Fluorescence spectra (77 K) of the mutant showed the absence of a peak at 695 nm that was previously believed to originate from CP47. In addition, phycobilisomes, the light-harvesting antenna system of PS II. were found to be assembled normally in this mutant. We conclude that the presence of the Œ≤ subunit of Cyt b559in the thylakoid membranes is critically important for the assembly of PS II reaction center. ¬© 1990, Walter de Gruyter. All rights reserved.</t>
  </si>
  <si>
    <t>423-429</t>
  </si>
  <si>
    <t>Zeitschrift fur Naturforschung - Section C Journal of Biosciences</t>
  </si>
  <si>
    <t>60010261;60010261;60010261</t>
  </si>
  <si>
    <t>7006603763;6602124209;6603149025</t>
  </si>
  <si>
    <t>Pakrasi, Himadri B.;Nyhus, Karin J.;Granok, Howard</t>
  </si>
  <si>
    <t>Washington University in St. Louis</t>
  </si>
  <si>
    <t>Pakrasi H.</t>
  </si>
  <si>
    <t>Targeted Deletion Mutagenesis of the Œ≤ Subunit of Cytochrome b559 Protein Destabilizes the Reaction Center of Photosystem II</t>
  </si>
  <si>
    <t>10.1515/znc-1990-0519</t>
  </si>
  <si>
    <t>2-s2.0-0025423745</t>
  </si>
  <si>
    <t>['tropical regions', 'therefore hold', 'theory relies', 'temperate regions', 'several years', 'rainy periods', 'rain cells', 'placed along', 'path attenuation', 'northern australia', 'much higher', 'look path', 'longer valid', 'horizontal polarization', 'h ensures', 'generally considered', 'four radiometers', 'elevation angles', 'elevation angle', 'cosecant law', 'convective rain', 'attenuation layer', 'attenuating layer', 'aperture effects', '85 ¬∞.', '50 ¬∞.', '45 ¬∞', '2 ¬∞.', '10 ¬∞']</t>
  </si>
  <si>
    <t>Radiometry | Radiowave propagation | Satellite communications | Tropical climates</t>
  </si>
  <si>
    <t>The variation of path attenuation with elevation angle has been generally considered to approximate a cosecant law, certainly between elevation angles of about 10¬∞ and 50¬∞. Such a theory relies on the assumption that the attenuation layer is statiform for most of the time, and is therefore probably reasonable for temperate regions. In tropical areas however the incidence of convective rain is much higher than in temperate regions, so that during rainy periods, particularly at times of high rain rate, the assumption that the attenuating layer is stratiform is no longer valid. The cosecant law does not therefore hold in such conditions. An experiment has been carried out in the tropical rain belt of northern Australia over several years to investigate the elevation‚Äêangle dependency. Four radiometers were co‚Äêsited, with the same azimuth. Three of these, with a half power beamwidth of 2.2¬∞. were elevated to 15¬∞, 45¬∞ and 85¬∞. The fourth. with a beamwidth of 0¬∑6¬∞ was elevated to 45¬∞ so as to allow an investigation into aperture effects. The antennae were all orientated for horizontal polarization. Rain‚Äêgauges were co‚Äêsited with the radiometers and placed along the look path. The results obtained clearly indicate that, in tropical regions. the cosecant law is inappropriate for predicting the elevation angle effects of path attenuation. particularly at high rain rates. The presence of rain cells with rates exceeding 300 mm/h ensures that the assumption of a stratiform attenuating layer is invalid. Copyright ¬© 1990 John Wiley &amp; Sons, Ltd.</t>
  </si>
  <si>
    <t>211-221</t>
  </si>
  <si>
    <t>May/June 1990</t>
  </si>
  <si>
    <t>60019870;60003480;60019870;60019870</t>
  </si>
  <si>
    <t>6507958324;7102033618;6603747625;6701720403</t>
  </si>
  <si>
    <t>Bowthorpe, B. J.;Andrews, F. B.;Kikkert, C. J.;Arlett, P. L.</t>
  </si>
  <si>
    <t>Townsville;Edinburgh</t>
  </si>
  <si>
    <t>James Cook University;Defence Science and Technology Group</t>
  </si>
  <si>
    <t>60019870;60003480</t>
  </si>
  <si>
    <t>Bowthorpe B.</t>
  </si>
  <si>
    <t>Elevation angle dependence in tropical regions</t>
  </si>
  <si>
    <t>10.1002/sat.4600080313</t>
  </si>
  <si>
    <t>2-s2.0-0025427215</t>
  </si>
  <si>
    <t>['severe limitation', 'satellite bus', 'rain radar', 'rain observation', 'radar must', 'problems peculiar', 'mass limitations', 'large swath', 'independent samples', 'conventional technique', 'capabilities must', 'board satellites', 'available number']</t>
  </si>
  <si>
    <t>Radar technology | Rain measurements | Spaceborne radar | Tropical rain</t>
  </si>
  <si>
    <t>Specifications for a spaceborne rain radar for tropical rainfall measurement are described. A spaceborne rain radar has problems peculiar to rain observation from space. The radar must have a fast scanning mechanism to cover a large swath. Very weak rain echoes compared to the sea or land surface signal must be detected. These capabilities must be attained under the severe power consumption and mass limitations of the satellite bus. The fast scanning requirement forces application of an electrically scanning mechanism. This requirement also causes a severe limitation of the available number of independent samples. The requirement for weak rain echoes excludes application of the pulse compression technique, which is a very conventional technique for other active microwave sensors on board satellites. Under these constraints, a rain radar with an electrically scanning planar antenna at 13‚Äê8 GHz is proposed. Copyright ¬© 1990 John Wiley &amp; Sons, Ltd.</t>
  </si>
  <si>
    <t>257-268</t>
  </si>
  <si>
    <t>60092258;60092258;60092258;60092258;60092258;60001271</t>
  </si>
  <si>
    <t>55505923400;8324800300;7101896911;7003434877;7006711251;35500411600</t>
  </si>
  <si>
    <t>Nakamura, Kenji;Okamoto, Ken'Ichi;Ihara, Toshio;Awaka, Jun;Kozu, Toshiaki;Manabe, Takeshi</t>
  </si>
  <si>
    <t>Koganei;Kyoto</t>
  </si>
  <si>
    <t>Ministry of Posts and Telecommunications, Japan;Advanced Telecommunications Research Institute International (ATR)</t>
  </si>
  <si>
    <t>60092258;60001271</t>
  </si>
  <si>
    <t>Nakamura K.</t>
  </si>
  <si>
    <t>Conceptual design of rain radar for the tropical rainfall measuring mission</t>
  </si>
  <si>
    <t>10.1002/sat.4600080318</t>
  </si>
  <si>
    <t>2-s2.0-0025428038</t>
  </si>
  <si>
    <t>['theoretically shown', 'technique reduces', 'smi algorithm', 'sidelobe canceller', 'samples used', 'increases proportionally', 'gain margin', 'eigenvalue dependent', 'analytical result', 'adaptive weights', 'adaptive algorithm']</t>
  </si>
  <si>
    <t>The transient sidelobe level of a sidelobe canceller (SLC) is a function of the external noise environment, the number of adaptive auxiliary antennas, the adaptive algorithm employed, auxiliary antenna gain margins, and the number of samples used to calculate the adaptive weights. An analytical result for the adaptive sidelobe level is formulated for the case when the adaptive algorithm is the open-loop sampled matrix inversion (SMI) algorithm. This result is independent of whether the SMI algorithm is implemented using concurrent or nonconcurrent data processing. It is shown that the transient sidelobe level is eigenvalue dependent and increases proportionally to the gain margin of the auxiliary antenna elements with respect to the quiescent main antenna sidelobe level. Techniques that reduce this transient sidelobe level are discussed, and it is theoretically shown (as other researchers have discovered) that injecting independent noise into the auxiliary channels significantly reduces the transient sidelobe level. Also it is demonstrated that using this same technique reduces the SMI noise power residue settling time. ¬© 1990 IEEE</t>
  </si>
  <si>
    <t>560-568</t>
  </si>
  <si>
    <t>Adaptive Array Transient Sidelobe Levels And Remedies</t>
  </si>
  <si>
    <t>10.1109/7.106135</t>
  </si>
  <si>
    <t>2-s2.0-0025428335</t>
  </si>
  <si>
    <t>['spatial features', 'space missions', 'simultaneous observations', 'september 1983', 'isis spacecraft', 'isis 1', 'isee 3', 'frequencies less', 'electric dipoles', 'copyright 1990', 'conditions appropriate', 'compared directly', '4 mhz', '10 mhz']</t>
  </si>
  <si>
    <t>For several decades ionospheric focusing has been suggested as a means of improving antenna resolution at frequencies less than about 10 MHz for the observations of spatial features of the cosmic noise background as well as the spectra of discrete radio sources. In this paper the possibility of using terrestrial ionospheric focusing to improve the directivity of electric dipoles on space missions has been investigated by comparing simultaneous observations of a solar radio storm by the ISIS 1 and ISIS 2 spacecraft, in near Earth orbit, and the ISEE 3 spacecraft located beyond the magnetosphere. To this end, a three‚Äêdimensional ray tracing in a spherically stratified ionosphere has been carried out for conditions appropriate to the observations by the ISIS spacecraft of a solar radio storm in September 1983. This procedure allows Poynting flux spectral densities measured on ISIS to be converted to spectral densities well outside the ionosphere where they can be compared directly with simultaneous observations on ISEE 3. The results demonstrate good agreement over their common observing frequency range (1‚Äì2 MHz). Furthermore, since ISIS covers higher frequencies than ISEE 3, the spectrum of the solar radio storm was extended to 4 MHz. Copyright 1990 by the American Geophysical Union.</t>
  </si>
  <si>
    <t>237-249</t>
  </si>
  <si>
    <t>May-June 1990</t>
  </si>
  <si>
    <t>55663947600;8314977400;8376495100;7402456211</t>
  </si>
  <si>
    <t>James, H. G.;Benson, R. F.;Fainberg, J.;Stone, R. G.</t>
  </si>
  <si>
    <t>James H.G.</t>
  </si>
  <si>
    <t>The ionosphere as a focusing lens: A case study involving simultaneous type III solar radio storm measurements from the ISIS 1 and 2 and ISEE 3 satellites</t>
  </si>
  <si>
    <t>10.1029/RS025i003p00237</t>
  </si>
  <si>
    <t>2-s2.0-0025429633</t>
  </si>
  <si>
    <t>['subsequently applied', 'scattering properties', 'ring array', 'linear arrays', 'linear antennas', 'finite number', 'anisotropic cylinders', 'accurate form']</t>
  </si>
  <si>
    <t>A method is developed that permits the solution of scattering by arrays of a finite number of anisotropic cylinders in a convenient and accurate form. It is based on an analytic formulation using the boundary value problem and an application of a point matching technique. The method is subsequently applied to study the scattering properties of linear arrays of magnetized ferrite cylinders, and to determine the size and spacing of these scatters to improve the directivity of linear antennas. In addition, by means of this method, a continous beam scanning is achieved by a ring array of ferrite circular cylinders.</t>
  </si>
  <si>
    <t>48-55</t>
  </si>
  <si>
    <t>May</t>
  </si>
  <si>
    <t>7005734279;8092251400</t>
  </si>
  <si>
    <t>El-Gamal, M. Z.;Shafai, L.</t>
  </si>
  <si>
    <t>El-Gamal M.Z.</t>
  </si>
  <si>
    <t>Multiple scattering and scanning by arrays of anisotropic cylinders</t>
  </si>
  <si>
    <t>10.1109/CJECE.1990.6590946</t>
  </si>
  <si>
    <t>2-s2.0-0025429710</t>
  </si>
  <si>
    <t>National Science Council</t>
  </si>
  <si>
    <t>NSC77-0210-D036-01</t>
  </si>
  <si>
    <t>NSC</t>
  </si>
  <si>
    <t>['theoretical predictions', 'segmentation method', 'radiation pattern', 'operation frequency', 'microstrip antenna', 'input impedance', 'frequency operation', 'francis group', 'experimental data', 'cavity model', 'appropriate locations']</t>
  </si>
  <si>
    <t>Antenna | Segmentation method</t>
  </si>
  <si>
    <t>A microstrip antenna for dual-frequency operation has been investigated. The frequency can be controlled by placing PIN diodes at appropriate locations in the patch. The cavity model and segmentation method are used to analyze the operation frequency, input impedance, and radiation pattern. Finally, experimental data are compared with theoretical predictions. ¬© 1990 Taylor &amp; Francis Group, LLC.</t>
  </si>
  <si>
    <t>351-357</t>
  </si>
  <si>
    <t>Journal of the Chinese Institute of Engineers, Transactions of the Chinese Institute of Engineers,Series A/Chung-kuo Kung Ch'eng Hsuch K'an</t>
  </si>
  <si>
    <t>60015763;60015763</t>
  </si>
  <si>
    <t>24281167000;7402966563</t>
  </si>
  <si>
    <t>Chang, The Nan;Fang, Jr Cheng</t>
  </si>
  <si>
    <t>Taipei</t>
  </si>
  <si>
    <t>Tatung Institute of Technology Taiwan</t>
  </si>
  <si>
    <t>Chang T.</t>
  </si>
  <si>
    <t>Segmentation Analysis of Loaded Microstrip Antenna</t>
  </si>
  <si>
    <t>10.1080/02533839.1990.9677264</t>
  </si>
  <si>
    <t>2-s2.0-0025429733</t>
  </si>
  <si>
    <t>['wiley company', 'vor station', 'vor antenna', 'reduced significantly', 'receiving distance', 'receiving antenna', 'received signal', 'received near', 'present one', 'phase change', 'paper studies', 'paper proposes', 'operating condition', 'new carrier', 'monitored even', 'larger area', 'inc .,', 'domestic standard', 'circuit configuration', 'carrier wave', 'appropriate distance', 'acquisition cost']</t>
  </si>
  <si>
    <t>Of the VORs providing directional information to aircraft, the new DSB‚Äêtype Doppler VOR has recently been employed as the domestic standard. In this system, the required receiving signal is obtained in the far field whereas the received signal is distorted if it is received near the VOR station. On the other hand, when a VOR station is installed, it is difficult to secure a larger area than the present one because the acquisition cost of the land is high and selection of the land becomes even more difficult if the traditional land requirement is modified. Therefore, the receiving antenna for monitoring the operating condition and the performance of the equipment is often installed near the VOR antenna so that the signal can be distorted for accurate monitoring unless an appropriate distance is maintained. This paper studies a method in which the DSB‚Äêtype Doppler VOR can be monitored even if the receiving distance is short. The circuit configuration is complicated in the method in which the phase of the carrier being received is forced to follow the phase change of the side band signal. Instead, this paper proposes a method for simplifying the circuit configuration by replacing the carrier wave with a new carrier with an appropriate fixed phase, and an experiment is carried out. It is found that the distortion is reduced significantly and a VOR direction characteristic close to the case for a far field reception even with a short receiving distance is obtained. Copyright ¬© 1990 Wiley Periodicals, Inc., A Wiley Company</t>
  </si>
  <si>
    <t>73-80</t>
  </si>
  <si>
    <t>60009514;60009514;60009514</t>
  </si>
  <si>
    <t>56301880100;6603427164;7103316144</t>
  </si>
  <si>
    <t>Tanaka, Shuichi;Nihei, Shiro;Nagaoka, Masashi</t>
  </si>
  <si>
    <t>Chofu</t>
  </si>
  <si>
    <t>Electronic Navigation Research Institute</t>
  </si>
  <si>
    <t>Tanaka S.</t>
  </si>
  <si>
    <t>Near field monitoring system for the dsb d‚Äêvor</t>
  </si>
  <si>
    <t>10.1002/ecja.4410730508</t>
  </si>
  <si>
    <t>2-s2.0-0025429789</t>
  </si>
  <si>
    <t>['transmission path', 'standard deviation', 'slightly less', 'similar design', 'propagation losses', 'presenting results', 'performed mainly', 'modeling fits', '917 mhz', '729 measurements', '3 db']</t>
  </si>
  <si>
    <t>A contribution to the modeling of propagation losses in buildings is made by presenting results of measurements at 917 MHz, performed mainly in two large buildings of similar design, and by elaborating an empirical attenuation model based on estimates of ‚Äútransmission,‚Äù ‚Äúreflection,‚Äù and ‚Äúdiffraction‚Äù phenomena occurring in the transmission path. The modeling fits the data within ¬± 2 dB for 68% of the 729 measurements, the standard deviation between measurements and prediction being slightly less than 3 dB. ¬© 1990 IEEE</t>
  </si>
  <si>
    <t>101-108</t>
  </si>
  <si>
    <t>60032619;60032619</t>
  </si>
  <si>
    <t>6603151828;7004919589</t>
  </si>
  <si>
    <t>Lafortune, Jean Fran√ßwois;Lecours, Michel</t>
  </si>
  <si>
    <t>Quebec</t>
  </si>
  <si>
    <t>Universit√© Laval</t>
  </si>
  <si>
    <t>Lafortune J.</t>
  </si>
  <si>
    <t>Measurement and Modeling of Propagation Losses in a Building at 900 MHz</t>
  </si>
  <si>
    <t>10.1109/25.54226</t>
  </si>
  <si>
    <t>2-s2.0-0025430210</t>
  </si>
  <si>
    <t>['rectangular plate', 'present formulation', 'natural frequencies', 'higher modes', 'existing formulation', 'dominant modes', 'convergence problem']</t>
  </si>
  <si>
    <t>A new coupled surface integral equation formulation for determination of natural frequencies of a rectangular plate is proposed. The method of moments (MM) solution to this formulation and the subsequent numerical results are presented. The natural frequencies predicted by the theory have been verified by an experiment. In comparison with the existing formulation of this problem, the present formulation predicts equally well for the first few dominant modes but better for the higher modes. Also, in the present formulation, no convergence problem has been encountered. ¬© 1990 IEEE</t>
  </si>
  <si>
    <t>643-652</t>
  </si>
  <si>
    <t>60031707;60031707;60031707;60031707</t>
  </si>
  <si>
    <t>55726597200;7410241808;7005245058;7006894465</t>
  </si>
  <si>
    <t>Sun, Weimin;Chen, Kun Mu;Nyquist, Dennis P.;Rothwell, Edward J.</t>
  </si>
  <si>
    <t>East Lansing</t>
  </si>
  <si>
    <t>Michigan State University</t>
  </si>
  <si>
    <t>Sun W.</t>
  </si>
  <si>
    <t>Determination of the Natural Modes for a Rectangular Plate</t>
  </si>
  <si>
    <t>10.1109/8.53492</t>
  </si>
  <si>
    <t>2-s2.0-0025430213</t>
  </si>
  <si>
    <t>['‚ àí3', '‚ àí1', 'tracing code', 'tracing calculations', 'tenth harmonic', 'synchronous detection', 'slightly longer', 'plasma centre', 'phased four', 'modulation experiment', 'limiter plasma', 'investigated experimentally', 'initial rise', 'increasing density', 'fast waves', 'fast wave', 'convection velocity', 'agrees well', 'agrees roughly', 'absorption efficiency', 'absorption characteristics', 'absorbed mainly', '7 kev', '230 ka', '200 mhz', '10 ms']</t>
  </si>
  <si>
    <t>The absorption characteristics of fast waves excited by a phased four-loop antenna array have been investigated experimentally in JFT-2M. The frequency of the fast waves is 200 MHz, which corresponds to approximately the tenth harmonic of the ion cyclotron frequency of hydrogen. The fast wave power is absorbed mainly by the bulk thermal electrons. It is shown that the absorption efficiency of the excited fast waves is improved with increasing density and temperature, and with decreasing phase velocity of the fast wave. The results are consistent with the theoretical predictions obtained from ray-tracing calculations. The power deposition profile is obtained through synchronous detection of the electron cyclotron emission modulated by a periodic heat source. In this modulation experiment with a limiter plasma on JFT-2M the electron thermal diffusivity is 2-3 m2¬∑s‚àí1 and the convection velocity is 20-40 m¬∑s‚àí1 at nÃÑe = 2 √ó 1019 m‚àí3 and Ip = 230 kA. The resultant power deposition profile has a peak at the plasma centre and agrees well with that calculated with the ray-tracing code. The absorption efficiency calculated from the power deposition profile is 0.3-0.4 at nÃÑe = 2 √ó 1019 m‚àí3 and Te0 = 0.7 keV, which agrees roughly with that estimated from the initial rise of the plasma stored energy. The electron heating efficiency estimated from the absorption efficiency is (4‚Äì5) √ó 1019 eV¬∑m‚àí3¬∑kW‚àí1 and the incremental confinement time is 8-10 ms, which is slightly longer than that in L-mode plasmas heated by neutral beam injection and/or ion cyclotron heating in JFT-2M. ¬© 1990 IOP Publishing Ltd.</t>
  </si>
  <si>
    <t>831-844</t>
  </si>
  <si>
    <t>60000264;60015658;60015658;60015658;60015658;60015658;60015658;60015658;60015658;60015658;60015658;60015658;60015658;60015658;60015658;60015658;60015658;60015658;60015658;60015658;60015658;60015658;60015658;60022089;60101699;60025272</t>
  </si>
  <si>
    <t>7007048412;55703205600;7202656118;57209192153;24485903500;7202141734;7401566496;57211765894;7404021406;57082055000;57083334700;56972296400;55700216100;7003741997;35350459800;57214216089;6602130772;35393093200;7004017855;7201706434;36063470300;56187794400;7401705258;22976753700;57205086798;7405807498</t>
  </si>
  <si>
    <t>Uesugi, Y.;Yamamoto, T.;Kawashima, H.;Hoshino, K.;Aikawa, H.;Kasai, S.;Kawakami, T.;Kondoh, T.;Maeda, H.;Matsuda, T.;Matsumoto, H.;Miura, Y.;Mori, M.;Odajima, K.;Ogawa, H.;Ogawa, T.;Ohasa, K.;Ohtsuka, H.;Sengoku, S.;Shoji, T.;Suzuki, N.;Tamai, H.;Yamauchi, T.;Neufeld, C. R.;Nakazawa, I.;Fujita, T.</t>
  </si>
  <si>
    <t>Tokyo;Tokyo;Montreal;Kashiwa;Nagoya</t>
  </si>
  <si>
    <t>Mitsubishi Electric Corporation;The University of Tokyo;Hydro-Quebec;Japan Atomic Energy Agency;Nagoya University</t>
  </si>
  <si>
    <t>60101699;60025272;60022089;60015658;60000264</t>
  </si>
  <si>
    <t>Uesugi Y.</t>
  </si>
  <si>
    <t>Absorption of fast waves excited by a phased four-loop antenna array in the JFT-2M tokamak</t>
  </si>
  <si>
    <t>10.1088/0029-5515/30/5/003</t>
  </si>
  <si>
    <t>2-s2.0-0025430273</t>
  </si>
  <si>
    <t>['whose distribution', 'statistical model', 'statistical distribution', 'relation theoretically', 'proposed method', 'mutual relation', 'mobile antenna', 'meg using', 'meg characteristics', 'investigated using', 'incident waves', 'general expression', 'extremely applicable', 'experimental results', 'excellent agreement', 'empirical parameters', 'antennas moving', 'antenna patterns']</t>
  </si>
  <si>
    <t>A method is described for analyzing the mean effective gain (MEG) of antennas moving in a mobile communication environment. The MEG characteristics of a mobile antenna are determined by the mutual relation between the antenna patterns and the statistical distribution of incident waves in an environment. To analyze this relation theoretically, a general expression for the MEG using a statistical model of incident waves is derived, and a novel statistical model, whose distribution is uniform in azimuth and Gaussian in elevation, is proposed. The validity of the statistical model is confirmed through 900-MHz-band measurements carried out in a Tokyo urban area, and the empirical parameters for the statistical distribution are described. Furthermore, the MEG characteristics of a half-wavelength dipole antenna are investigated using the proposed method, and it is shown that the theoretical curves calculated using the empirical parameters are in excellent agreement with experimental results. This analysis is extremely applicable for evaluating the MEG characteristics of arbitrary mobile antennas in various mobile communication environments. ¬© 1990 IEEE</t>
  </si>
  <si>
    <t>117-131</t>
  </si>
  <si>
    <t>Taga, Tokio</t>
  </si>
  <si>
    <t>Advanced Telecommunications Research Institute International (ATR)</t>
  </si>
  <si>
    <t>Taga T.</t>
  </si>
  <si>
    <t>Analysis for Mean Effective Gain of Mobile Antennas in Land Mobile Radio Environments</t>
  </si>
  <si>
    <t>10.1109/25.54228</t>
  </si>
  <si>
    <t>2-s2.0-0025430375</t>
  </si>
  <si>
    <t>['pumped nd', 'phase shift', 'optical generation', 'microwave signal', 'line center', 'fiberoptic links', 'amplitude control', '300 khz', '3 db']</t>
  </si>
  <si>
    <t>Results are presented which demonstrate the optical generation and transmission of a microwave signal by mixing two high-quality optical signals from diode-laser-pumped Nd:YAG ring lasers, resulting in a narrow microwave line width (less than 5 kHz line width at 3 dB and less than ‚Äî115 dBc/Hz at 300 kHz from line center) and broad microwave tunability (dc to 52 GHz). A III‚ÄîV semiconductor waveguide with a doping superlattice active region is used to optoelectronically provide 20 dB of amplitude control and up to 5œÄ of phase shift. This approach can be straightforwardly implemented using integrated optics and fiberoptic links for control of phased array antenna elements. ¬© 1990 IEEE</t>
  </si>
  <si>
    <t>667-669</t>
  </si>
  <si>
    <t>60033252;60033252</t>
  </si>
  <si>
    <t>7006082916;6603329539</t>
  </si>
  <si>
    <t>Simonis, George J.;Purchase, Kenneth G.</t>
  </si>
  <si>
    <t>Adelphi</t>
  </si>
  <si>
    <t>U.S. Army Research Laboratory</t>
  </si>
  <si>
    <t>Simonis G.J.</t>
  </si>
  <si>
    <t>Optical Generation, Distribution, and Control of Microwaves Using Laser Heterodyne</t>
  </si>
  <si>
    <t>10.1109/22.54938</t>
  </si>
  <si>
    <t>2-s2.0-0025430376</t>
  </si>
  <si>
    <t>['site installations', 'runway suitable', 'paper describes', 'operational requirements', 'mls began', 'guidance signal', 'ground terrain']</t>
  </si>
  <si>
    <t>The design of MLS began with the user and his operational requirements, which were published by the ICAO Air Navigation Commission in 1972. This was followed by definition of a signal-in-space having the accuracy, reliability, integrity and coverage to satisfy aviation needs for all types of aircraft at any runway suitable for terminal instrument procedures. Even at runways where ground terrain and airport obstacles prevent standard split-site installations, the availability of MLS will not be limited. This paper describes how the MLS design fulfills the user‚Äôs operational requirements by protecting the guidance signal from reflected signal interference. ¬© 1990 IEEE</t>
  </si>
  <si>
    <t>27-39</t>
  </si>
  <si>
    <t>60032995;60032995</t>
  </si>
  <si>
    <t>7401961445;6602903887</t>
  </si>
  <si>
    <t>Kelly, R. J.;LaBerge, E. F.C.</t>
  </si>
  <si>
    <t>Morris Plains</t>
  </si>
  <si>
    <t>Honeywell International Inc.</t>
  </si>
  <si>
    <t>Kelly R.</t>
  </si>
  <si>
    <t>MLS: A Total System Approach</t>
  </si>
  <si>
    <t>10.1109/62.54624</t>
  </si>
  <si>
    <t>2-s2.0-0025430391</t>
  </si>
  <si>
    <t>['studied using', 'stratified media', 'special cases', 'siem ).', 'results obtained', 'fem ),', 'excellent agreement', 'dimensional problem', 'conventional two', 'analytical method']</t>
  </si>
  <si>
    <t>The radiation of a source in the presence of an obliquely stratified halfspace is studied using the surface integral equation method (SIEM). A generalized extinction theorem for the obliquely stratified halfspace problem is derived, which gives eight surface integral equations for the fields. The Green's functions for the stratified media are found by a semi-analytical method. Using these surface integral equations, the rather complicated two-dimensional problem can be solved by the one-dimensional finite element method (FEM), which saves computer memory and computation time compared to that for the conventional two-dimensional finite element method. For some special cases, the results obtained by this method are compared with those obtained by the numerical mode matching method and the Fourier integral technique. Excellent agreement has been observed between them. This method is general for any obliquely stratified halfspace with arbitrarily many layers in each region. ¬© 1990 IEEE</t>
  </si>
  <si>
    <t>653-663</t>
  </si>
  <si>
    <t>60000745;60000745</t>
  </si>
  <si>
    <t>57190242812;26643168800</t>
  </si>
  <si>
    <t>Liu, Qing Huo;Chew, Weng Cho</t>
  </si>
  <si>
    <t>Liu Q.H.</t>
  </si>
  <si>
    <t>Surface Integral Equation Method for the Analysis of an Obliquely Stratified Half-Space</t>
  </si>
  <si>
    <t>10.1109/8.53493</t>
  </si>
  <si>
    <t>2-s2.0-0025430455</t>
  </si>
  <si>
    <t>['single experiment', 'representative results', 'measured time', 'independently determines', 'imaginary parts', 'domain waveforms', 'dielectric constants', 'coherent technique', '130 ghz']</t>
  </si>
  <si>
    <t>A Broadband microwave measurement technique based on picosecond transient radiation from optoelectronically pulsed antennas is described. It is performed with exponentially tapered coplanar stripline antennas which are integrated with the photoconductive devices used for ultrafast pulse generation and sampling. The signal analysis required for deriving the desired physical properties from the measured time-domain waveforms is discussed. This is a coherent technique that independently determines both the real and the imaginary parts of the dielectric constants of materials, from 10 to 130 GHz, in a single experiment. Some representative results are presented. ¬© 1990 IEEE</t>
  </si>
  <si>
    <t>615-621</t>
  </si>
  <si>
    <t>60017366;60017366;60017366;60017366</t>
  </si>
  <si>
    <t>7004102516;6602459372;7003917289;6604060955</t>
  </si>
  <si>
    <t>Arjavalingam, G.;Pastol, Yvon;Halbout, Jean Marc;Kopcsay, Gerard V.</t>
  </si>
  <si>
    <t>Arjavalingam G.</t>
  </si>
  <si>
    <t>Broadband Microwave Measurements with Transient Radiation from Optoelectronically Pulsed Antennas</t>
  </si>
  <si>
    <t>10.1109/22.54930</t>
  </si>
  <si>
    <t>2-s2.0-0025430521</t>
  </si>
  <si>
    <t>['wide band', 'well suited', 'operating bandwidth', 'made unidirectional', 'image impedance', 'fire arrays', 'circular patch', 'also stable']</t>
  </si>
  <si>
    <t>Resonant microstrip antennas usually have very narrow impedance bandwidths. By simultaneously exciting two modes of a circular patch, a two-port patch radiator with image impedance that remains near constant over a wide band can be obtained. This result is achieved by adjusting the coupling so that the two modes present complementary impedances, one in series, the other in shunt, at the same point on the feeder. The patterns can be made unidirectional so that the antenna is well suited for use in series-fed, endfire, or side-fire arrays. The patterns are also stable over a wide frequency band. Hence, the operating bandwidth will likely be determined by efficiency or power gain rather than by impedance or patterns. ¬© 1990 IEEE</t>
  </si>
  <si>
    <t>760-763</t>
  </si>
  <si>
    <t>7006767012;55472049600</t>
  </si>
  <si>
    <t>Mayes, Paul E.;Thomas, M. D.</t>
  </si>
  <si>
    <t>Mayes P.</t>
  </si>
  <si>
    <t>Communications: A Broadband, Unidirectional, Two-Port Microstrip Patch Antenna</t>
  </si>
  <si>
    <t>10.1109/8.53505</t>
  </si>
  <si>
    <t>2-s2.0-0025430524</t>
  </si>
  <si>
    <t>['provide solutions', 'important applications', 'ils localizer', 'glide slope']</t>
  </si>
  <si>
    <t>This paper describes applications of slotted cable antennas to the ILS localizer and glide slope. Examples are given of both existing and prospective designs intended to provide solutions for specific siting problems. Important applications are to the end-fire glide slope and Category III localizers. ¬© 1990 IEEE</t>
  </si>
  <si>
    <t>16-20</t>
  </si>
  <si>
    <t>Watts, C. B.</t>
  </si>
  <si>
    <t>Watts C.B.</t>
  </si>
  <si>
    <t>Applications of Slotted Cable Antennas in the Instrument Landing System</t>
  </si>
  <si>
    <t>10.1109/62.54621</t>
  </si>
  <si>
    <t>2-s2.0-0025430615</t>
  </si>
  <si>
    <t>['¬© 1990', 'rights reserved', 'microstrip subarray', 'layer cross', 'experimental results', 'electrical engineers', 'coplanar cross']</t>
  </si>
  <si>
    <t>Antennas | Microstrip</t>
  </si>
  <si>
    <t>A microstrip subarray with coplanar and stacked parasitic elements is proposed. For a two-layer cross, it is estimated that the gain is several decibels larger than the coplanar cross or the two-layer EMCP antenna. Experimental results are presented. ¬© 1990, The Institution of Electrical Engineers. All rights reserved.</t>
  </si>
  <si>
    <t>668-669</t>
  </si>
  <si>
    <t>60021624;60021624;60026717</t>
  </si>
  <si>
    <t>7501501369;6602793643;24522606100</t>
  </si>
  <si>
    <t>Lee, K. F.;Talty, T.;Lee, R. Q.</t>
  </si>
  <si>
    <t>Cleveland;Toledo</t>
  </si>
  <si>
    <t>NASA Glenn Research Center;The University of Toledo</t>
  </si>
  <si>
    <t>60026717;60021624</t>
  </si>
  <si>
    <t>Microstrip Subarray with Coplanar and Stacked Parasitic Elements</t>
  </si>
  <si>
    <t>10.1049/el:19900437</t>
  </si>
  <si>
    <t>2-s2.0-0025430658</t>
  </si>
  <si>
    <t>['specified set', 'presented whereby', 'patch currents', 'linear array', 'design procedure']</t>
  </si>
  <si>
    <t>A linear array of microstrip patches coupled electromagnetically through sections of transmission line embedded within the substrate is presented and analyzed. Such an array has the advantages of a simple feed mechanism, since only the first and last patches need to be fed or terminated with a load. A design procedure is then presented whereby the coupling transmission line sections may be chosen in order to excite a specified set of patch currents, to produce a desired radiation pattern. ¬© 1990 IEEE</t>
  </si>
  <si>
    <t>754-759</t>
  </si>
  <si>
    <t>7404289310;7801592498</t>
  </si>
  <si>
    <t>Jackson, David R.;Manghnani, Prakash</t>
  </si>
  <si>
    <t>Jackson D.</t>
  </si>
  <si>
    <t>Analysis and Design of a Linear Array of Electromagnetically Coupled Microstrip Patches</t>
  </si>
  <si>
    <t>10.1109/8.53504</t>
  </si>
  <si>
    <t>2-s2.0-0025430721</t>
  </si>
  <si>
    <t>['wraparound elements', 'solved using', 'radiation pattern', 'moment method', 'current distribution']</t>
  </si>
  <si>
    <t>The radiation from a cylindrical microstrip antenna excited by a probe is analyzed. Both the cylindrical-rectangular and the wraparound elements are discussed. The current distribution on the patch is rigorously formulated using a cylindrically stratified medium approach. A set of vector integral equations is derived which governs the current distribution on the patch. The set of equations is then solved using a moment method. The input impedance together with the radiation pattern are derived both exactly and in the small substrate thickness limit. ¬© 1990 IEEE</t>
  </si>
  <si>
    <t>722-731</t>
  </si>
  <si>
    <t>60077590;60022195;60022195</t>
  </si>
  <si>
    <t>7004110635;7403094093;7202290923</t>
  </si>
  <si>
    <t>Habashy, Tarek M.;Ali, Sami M.;Kong, Jin Au</t>
  </si>
  <si>
    <t>Cambridge;Cambridge</t>
  </si>
  <si>
    <t>Schlumberger-Doll Research Center;Massachusetts Institute of Technology</t>
  </si>
  <si>
    <t>60077590;60022195</t>
  </si>
  <si>
    <t>Habashy T.M.</t>
  </si>
  <si>
    <t>Input Impedance and Radiation Pattern of Cylindrical-Rectangular and Wraparound Microstrip Antennas</t>
  </si>
  <si>
    <t>10.1109/8.53500</t>
  </si>
  <si>
    <t>2-s2.0-0025430735</t>
  </si>
  <si>
    <t>['urban areas', 'urban area', 'three types', 'reference antennas', 'receiving performance', 'portable equipment', 'polarized components', 'notable increase', 'horizontal elements', 'f antennas', 'f antenna', 'antenna systems', 'antenna elements']</t>
  </si>
  <si>
    <t>The receiving performance of mobile antenna systems having both vertical and horizontal elements at the 920 MHz band has been investigated by measurements in both rural and urban areas in Japan. Three types of inverted-F antennas for a car and three types of antenna elements, a monopole, a bent-slot, and an inverted-F antenna, for portable equipment, were used in the experiments. The average received power and its probability density function are obtained as the parameter to evaluate the performance of antenna systems. The performance of the bent-slot antenna system for portable equipment and the inverted-F antenna system mounted on a car are compared with the monopole or dipole antenna systems used as reference antennas. A notable increase in the average received power has been observed in operation in an urban area where the field distributes randomly and consists of cross-polarized components. ¬© 1990 IEEE</t>
  </si>
  <si>
    <t>150-160</t>
  </si>
  <si>
    <t>60014256;60018735;60014256;60014256;60014256</t>
  </si>
  <si>
    <t>6601997784;57223799795;57206589461;7403304145;7102376306</t>
  </si>
  <si>
    <t>Kuboyama, Haruhiro;Tanaka, Yoshihiko;Sato, Kazuo;Fujimoto, Kyohei;Hirasawa, Kazuhiro</t>
  </si>
  <si>
    <t>Tokyo;Tsukuba</t>
  </si>
  <si>
    <t>Toshiba Corporation;University of Tsukuba</t>
  </si>
  <si>
    <t>60018735;60014256</t>
  </si>
  <si>
    <t>Kuboyama H.</t>
  </si>
  <si>
    <t>Experimental Results with Mobile Antennas Having Cross-Polarization Components in Urban and Rural Areas</t>
  </si>
  <si>
    <t>10.1109/25.54231</t>
  </si>
  <si>
    <t>2-s2.0-0025430796</t>
  </si>
  <si>
    <t>['¬© 1990', 'rights reserved', 'proposed beam', 'noise ratio', 'field environment', 'electrical engineers', 'eigenstructure method', 'desired signal', 'array imperfection']</t>
  </si>
  <si>
    <t>Antenna array | Array imperfections | Array processing | Signal processing</t>
  </si>
  <si>
    <t>A robust array processing algorithm based on the eigenstructure method is presented. In the presence of array imperfection the proposed method yields maximum output signal-to-noise ratio. In a near-field environment the proposed beam-former performs well without cancelling the desired signal. ¬© 1990, The Institution of Electrical Engineers. All rights reserved.</t>
  </si>
  <si>
    <t>678-680</t>
  </si>
  <si>
    <t>60032144;60032144</t>
  </si>
  <si>
    <t>6701353629;56796471200</t>
  </si>
  <si>
    <t>Youn, W. S.;Un, C. K.</t>
  </si>
  <si>
    <t>South Korea</t>
  </si>
  <si>
    <t>Daejeon</t>
  </si>
  <si>
    <t>Korea Advanced Institute of Science and Technology</t>
  </si>
  <si>
    <t>Youn W.</t>
  </si>
  <si>
    <t>Eigenstructure Method for Robust Array Processing</t>
  </si>
  <si>
    <t>10.1049/el:19900444</t>
  </si>
  <si>
    <t>2-s2.0-0025430995</t>
  </si>
  <si>
    <t>['¬© 1990', 'rights reserved', 'reflector antennas', 'predicting formulas', 'gregorian antennas', 'general multi', 'free conditions', 'electrical engineers']</t>
  </si>
  <si>
    <t>Antennas</t>
  </si>
  <si>
    <t>The beam squint phenomenon is of importance when antenna pointing performance is considered. This phenomenon is characterised in paraboloidal, Cassegrain and Gregorian antennas. Squint-predicting formulas are presented, squint-free conditions are outlined and an extension of these formulas to general multi-reflector antennas is suggested. ¬© 1990, The Institution of Electrical Engineers. All rights reserved.</t>
  </si>
  <si>
    <t>722-724</t>
  </si>
  <si>
    <t>60027550;60027550</t>
  </si>
  <si>
    <t>7007026217;57190244601</t>
  </si>
  <si>
    <t>Duan, D. W.;Rahmat-Samii, Y.</t>
  </si>
  <si>
    <t>University of California, Los Angeles</t>
  </si>
  <si>
    <t>Duan D.W.</t>
  </si>
  <si>
    <t>Generalised formulas for beam squint prediction in conic-section reflector antennas</t>
  </si>
  <si>
    <t>10.1049/el:19900471</t>
  </si>
  <si>
    <t>2-s2.0-0025431650</t>
  </si>
  <si>
    <t>['turkel second', 'turkel conditions', 'term shows', 'simply related', 'practical computations', 'plane wave', 'order condition', 'order bayliss', 'nearby scatterer', 'mur conditions', 'major difference', 'line source', 'inherent accuracy', 'errors ).', 'distance r', 'closely related', 'actual magnitude', '4 behavior']</t>
  </si>
  <si>
    <t>Some of the more common radiation boundary conditions are examined to identify their underlying physical principles and inherent accuracy (or errors). It is found that the Sommerfeld and Mur conditions are closely related to the first- and second-order Bayliss-Turkel conditions, the major difference being the latter are for a line source a distance r away from the boundary, while the former are for a plane wave. This distance r is not simply related to the curvature of the surface of a nearby scatterer. The error in the Bayliss-Turkel second-order condition is known to be proportional to r-4. A calculation of the actual magnitude of this term shows the r -4 behavior to be correct but irrelevant for practical computations. ¬© 1990 IEEE</t>
  </si>
  <si>
    <t>740-745</t>
  </si>
  <si>
    <t>Canning, Francis X.</t>
  </si>
  <si>
    <t>Thousand Oaks</t>
  </si>
  <si>
    <t>Rockwell International Science Center</t>
  </si>
  <si>
    <t>Canning F.</t>
  </si>
  <si>
    <t>On the Application of Some Radiation Boundary Conditions</t>
  </si>
  <si>
    <t>10.1109/8.53502</t>
  </si>
  <si>
    <t>2-s2.0-0025431691</t>
  </si>
  <si>
    <t>['weight vectors', 'random errors', 'lms array', 'less sensitive', 'applebaum array']</t>
  </si>
  <si>
    <t>A hybrid adaptive array is presented which combines the least mean square error (LMS) array and the Applebaum array. The proposed hybrid array minimizes the effect of the random errors in the weight vectors of the LMS array and the Applebaum array. These weight vectors containing random errors are scaled and combined to yield a new weight vector. Employing the mean square error (MSE) as a measure of performance, optimal weighting factors are derived. Also, an algorithm is devised to adjust the weighting factors automatically by an iterative procedure based on the complex LMS algorithm to achieve the optimum weighting factors. It is shown that the hybrid array performs better than the Applebaum array or the LMS array. In addition, it is less sensitive to the random weight vector errors. ¬© 1990 IEEE</t>
  </si>
  <si>
    <t>711-721</t>
  </si>
  <si>
    <t>26662098000;6603686726</t>
  </si>
  <si>
    <t>Lin, Shen De;Barkat, Mourad</t>
  </si>
  <si>
    <t>Lin S.D.</t>
  </si>
  <si>
    <t>A Hybrid Array Minimizing the Effects of the Random Weight Vector Errors in the LMS Array and the Applebaum Array</t>
  </si>
  <si>
    <t>10.1109/8.53499</t>
  </si>
  <si>
    <t>2-s2.0-0025431829</t>
  </si>
  <si>
    <t>21-22</t>
  </si>
  <si>
    <t>Woodward, Joseph</t>
  </si>
  <si>
    <t>Woodward J.</t>
  </si>
  <si>
    <t>The Case for ILS</t>
  </si>
  <si>
    <t>10.1109/62.54622</t>
  </si>
  <si>
    <t>2-s2.0-0025431846</t>
  </si>
  <si>
    <t>Air Force Systems Command</t>
  </si>
  <si>
    <t>F33615-85-C-5064</t>
  </si>
  <si>
    <t>AFSC</t>
  </si>
  <si>
    <t>['yields sufficient', 'wide fet', 'wafer variations', 'typically 10', 'rf parameters', 'rf data', 'processing approach', 'process technology', 'permits fabrication', 'manufacturing environment', 'main advantage', 'long gate', 'halfmicrometer gate', 'gain block', 'gaas mmic', 'device dc', 'deep uv', 'bit phase', 'beam lithography', '2 years']</t>
  </si>
  <si>
    <t>The processing approach, FET parametric data, and RF functional test results on 704 gallium arsenide Monolithic Microwave Integrated Circuit (GaAs MMIC) phased-array receive antenna elements are presented. A novel, high-yield, FET gate fabrication technology is described. The main advantage of this processing approach is that it permits fabrication of sub-halfmicrometer gate-length devices using standard optical photolithography without recourse to deep UV or electron-beam lithography. The process is simple and easy to implement in a manufacturing environment. Exceptionally good gate length control, typically 10% for a 0.4-¬µm-long gate, is demonstrated. Yield of a 300-¬µm-wide FET, designed for use in a gain block and in a switch, is found to be 89% on average. Data are presented on wafer-to-wafer and on-wafer variations in device dc and RF parameters and equivalent circuit values. Typical standard deviations are in the 5‚Äì10% range. This process technology has been used to fabricate a 17.5-GHz, 3-bit phase-shift receive MMIC of moderately high complexity. Statistics of RF data on 704 such devices, fabricated over a period of 2 years, are presented. It is shown that such MMIC‚Äôs can be fabricated with yields sufficient for prototype active phased-array antenna applications. ¬© 1990 IEEE</t>
  </si>
  <si>
    <t>1209-1216</t>
  </si>
  <si>
    <t>60003537;60003537;60003537;60003537</t>
  </si>
  <si>
    <t>57198676865;6701739558;55447301000;56216303400</t>
  </si>
  <si>
    <t>Gupta, Aditya K.;Korpinen, Errol V.;Chen, Andy D.M.;Matthews, David S.</t>
  </si>
  <si>
    <t>Canoga Park</t>
  </si>
  <si>
    <t>Rockwell International</t>
  </si>
  <si>
    <t>Gupta A.</t>
  </si>
  <si>
    <t>A 17.5-GHz 3-Bit Phase-Shift Receive MMIC-Fabrication and Test Results</t>
  </si>
  <si>
    <t>10.1109/16.108181</t>
  </si>
  <si>
    <t>2-s2.0-0025431873</t>
  </si>
  <si>
    <t>['¬© 1990', 'rights reserved', 'modest increase', 'matching network', 'loop antennas', 'largely caused', 'electrical engineers', 'already superconducting']</t>
  </si>
  <si>
    <t>Antennas | Superconducting devices</t>
  </si>
  <si>
    <t>Electrically small dipole and loop antennas are modelled to show that supercooling the actual radiating dipole element produces negligible increase in performance when the tuning and matching network is already superconducting. A modest increase in gain is obtained for the loop. It is concluded that published measured enhanced gain figures for such antennas are largely caused to the lossless matching networks. ¬© 1990, The Institution of Electrical Engineers. All rights reserved.</t>
  </si>
  <si>
    <t>654-655</t>
  </si>
  <si>
    <t>60001881;60001881;60001881;60001881</t>
  </si>
  <si>
    <t>6701323282;55328764600;7007084505;7401707506</t>
  </si>
  <si>
    <t>Khamas, S.;Cook, G. G.;Kingsley, S. P.;Woods, R. C.</t>
  </si>
  <si>
    <t>Sheffield</t>
  </si>
  <si>
    <t>The University of Sheffield</t>
  </si>
  <si>
    <t>Khamas S.</t>
  </si>
  <si>
    <t>Significance of Matching Networks in Enhanced Performance of Small Antennas when Supercooled</t>
  </si>
  <si>
    <t>10.1049/el:19900428</t>
  </si>
  <si>
    <t>2-s2.0-0025431999</t>
  </si>
  <si>
    <t>['wiley company', 'vegetated regions', 'various sites', 'using frequency', 'uhf band', 'theoretical values', 'theoretical equation', 'suburban zones', 'suburban areas', 'similar relation', 'scattered buildings', 'paper discusses', 'open areas', 'okayama prefectures', 'median values', 'long intervals', 'inc .,', 'grassy lands', 'frequency characteristics', 'field strengths', 'field strength', 'empirical equation', 'correction factor', 'average values', 'antenna height']</t>
  </si>
  <si>
    <t>In designing a mobile communication system in suburban areas, it is necessary to estimate electric field strengths in open and suburban areas. We measured field strengths in the 150/900‚ÄêMHz band in open desert areas and in the 900‚ÄêMHz band in suburban areas in the Middle East region, and open and suburban areas in Kumamoto and Okayama prefectures in the 280‚ÄêMHz band. Using these results, this paper discusses the relationship between the median values of the field strengths and distances and their frequency characteristics. As a result, it was found that the average values of measured field strengths at various sites were smaller than the theoretical values of a flat earth model. The field strengths decreased with the squares of distance. This trend agreed generally with the similar relation for the flat earth model. An empirical equation was derived for the correction factor of the electric field strength which is to be multiplied by the theoretical equation of the flat earth model. Quasi‚Äêtheoretical and quasi‚Äêexperimental equations were obtained for the estimation of the median values of the field strength of long intervals in the VHF/UHF band for flat open areas and suburban zones. With these equations we can estimate the median values of the field strengths of long intervals in open areas (desert, grassy lands and vegetated regions) and suburban areas with scattered buildings and trees, using frequency, the antenna height of the transmitter and distance as parameters. Copyright ¬© 1990 Wiley Periodicals, Inc., A Wiley Company</t>
  </si>
  <si>
    <t>88-98</t>
  </si>
  <si>
    <t>117293519;60031293;60031293;60031293</t>
  </si>
  <si>
    <t>36787116500;36794229200;36964935600;57191016158</t>
  </si>
  <si>
    <t>Morita, Kazuo;Kojima, Osamu;Nakano, Toshio;Nonmembers, Toshimi Haida,</t>
  </si>
  <si>
    <t>Tokyo;Mitaka</t>
  </si>
  <si>
    <t>NEC Corporation;SECOM Co., Ltd.</t>
  </si>
  <si>
    <t>60031293;117293519</t>
  </si>
  <si>
    <t>Morita K.</t>
  </si>
  <si>
    <t>Estimation formula of vhf/uhf band field strength for mobile communications in suburban area</t>
  </si>
  <si>
    <t>10.1002/ecja.4410730510</t>
  </si>
  <si>
    <t>2-s2.0-0025432030</t>
  </si>
  <si>
    <t>['preventing degradation', 'modulator ).', 'minimum value', 'microwave signal', 'microwave frequency', 'manchester coding', 'intermodulation noise', 'highly dependent', 'generating second', 'direct trade', 'digital signal', 'conversion loss', 'combined electrically', 'baseband digital', '8 ghz', '5 ghz', '41 db', '10 mb']</t>
  </si>
  <si>
    <t>A frequency division multiplexed optical fiber link is described in which microwave (1 to 8 GHz) and baseband digital (1 to 10 Mb/s) signals are combined electrically and transmitted through a direct modulation microwave optical link. The microwave signal does not affect bit error rate (BER) performance of the Manchester-coded baseband digital data link. The baseband digital signal affects microwave signal quality by generating second-order intermodulation noise. The intermodulation noise power density is found to be proportional to both the microwave input power and the digital input power, enabling the system to be modeled as a mixer (AM modulator). The conversion loss for the digital signal is approximately 68 dB for a 1 GHz microwave signal and is highly dependent on the microwave frequency, reaching a minimum value of 41 dB at 4.5 GHz, corresponding to the laser diode relaxation oscillation frequency. We show that Manchester coding on the digital link places the intermodulation noise peak away from the microwave signal, preventing degradation of close carrier phase noise (&lt; 1 kHz offset). A direct trade-off between intermodulation noise and digital link margin is developed to project system performance. ¬© 1990 IEEE</t>
  </si>
  <si>
    <t>494-500</t>
  </si>
  <si>
    <t>60012564;60012564</t>
  </si>
  <si>
    <t>7005312983;56796701200</t>
  </si>
  <si>
    <t>Heim, Peter J.;Phillip McClay, C.</t>
  </si>
  <si>
    <t>McLean</t>
  </si>
  <si>
    <t>MITRE Corporation</t>
  </si>
  <si>
    <t>Heim P.J.</t>
  </si>
  <si>
    <t>Frequency Division Multiplexed Microwave and Baseband Digital Optical Fiber Link for Phased Array Antennas</t>
  </si>
  <si>
    <t>10.1109/22.54916</t>
  </si>
  <si>
    <t>2-s2.0-0025432033</t>
  </si>
  <si>
    <t>['wave frequencies', 'system architecture', 'reference signals', 'r modules', 'paper demonstrates', 'imaging platforms', 'fo link', 'dynamic range', 'distributed independently', 'digital data', 'design procedures', 'data signals', 'data link', 'data frequency', 'based communications', 'array elements', 'analog data', '&lt;/ inf', '88 db', '5 db', '200 mb']</t>
  </si>
  <si>
    <t>Large-aperture phased array antennas operating at millimeter-wave frequencies are designed for space-based communications and imaging platforms. Array elements are comprised of active T/R modules which are linked to the central processing unit through high-speed fiberoptic networks. The system architecture that best satisfies system requirements at millimeter-wave frequencies is T/R level data mixing, in which data frequency and reference signals are distributed independently before mixing at the T/R modules. This paper demonstrates the design procedures for a low-loss, high-speed fiberoptic link used for transmission of data signals over a 500‚Äì1000 MHz bandwidth as part of a data link in the T/R level mixing architecture. The FO link is characterized for transmission of analog and digital data. A dynamic range of 88 dB/MHz was measured for analog data over this bandwidth. On the other hand, for bursted SMSK satellite traffic at 200 Mb/s rates, a BER of 10&lt;sup&gt;-9&lt;/sup&gt;was measured for E&lt;inf&gt;b&lt;/inf&gt;/N&lt;inf&gt;o&lt;/inf&gt; of 15.5 dB. ¬© 1990 IEEE</t>
  </si>
  <si>
    <t>510-517</t>
  </si>
  <si>
    <t>60014662-60015623-60026717;60014662-60026717</t>
  </si>
  <si>
    <t>7006552817;6603653836</t>
  </si>
  <si>
    <t>Daryoush, Afshin S.;Saedi, Reza</t>
  </si>
  <si>
    <t>Cleveland;Boston;Philadelphia</t>
  </si>
  <si>
    <t>NASA Glenn Research Center;General Electric Company;Drexel University</t>
  </si>
  <si>
    <t>60026717;60015623;60014662</t>
  </si>
  <si>
    <t>Daryoush A.S.</t>
  </si>
  <si>
    <t>High-Speed Fiber-Optic Links for Distribution of Satellite Traffic</t>
  </si>
  <si>
    <t>10.1109/22.54918</t>
  </si>
  <si>
    <t>2-s2.0-0025432199</t>
  </si>
  <si>
    <t>['various densities', 'tested medium', 'random medium', 'optical distance', 'medium consists', 'main effect', 'image quality', 'experimentally examined']</t>
  </si>
  <si>
    <t>The effect of a random medium on the microwave imaging process is experimentally examined by positioning randomly distributed glass beads imbedded in thin styrofoam sheets in various densities between the target and the antennas. The main effect of the random medium is a reduction in the signal-to-noise (S/N) ratio for the tested medium with a small size parameter. If the medium consists of densely distributed particles, it is shown that the image quality is less than that of the sparsely distributed particle medium of the same optical distance. ¬© 1990 IEEE</t>
  </si>
  <si>
    <t>763-766</t>
  </si>
  <si>
    <t>;60015481;60015481</t>
  </si>
  <si>
    <t>6508103363;7005071830;7005122046</t>
  </si>
  <si>
    <t>Sierman, Michael J.;Kuga, Yasuo;Ishimaru, Akira</t>
  </si>
  <si>
    <t>Seattle</t>
  </si>
  <si>
    <t>University of Washington</t>
  </si>
  <si>
    <t>Sierman M.</t>
  </si>
  <si>
    <t>Effect of a Random Medium on Microwave Imaging</t>
  </si>
  <si>
    <t>10.1109/8.53506</t>
  </si>
  <si>
    <t>2-s2.0-0025432205</t>
  </si>
  <si>
    <t>['¬© 1990', 'rotational sense', 'rights reserved', 'return loss', 'radiation pattern', 'experimental results', 'electrical engineers']</t>
  </si>
  <si>
    <t>Antennas | Polarisation</t>
  </si>
  <si>
    <t>A singly-fed circular patch antenna generates a circularly polarised conical beam with the help of two perturbation elements. The location of the feed point relative to the perturbation elements determines the rotational sense of the circularly polarised wave. Theoretical and experimental results for the radiation pattern and return loss are presented. ¬© 1990, The Institution of Electrical Engineers. All rights reserved.</t>
  </si>
  <si>
    <t>638-640</t>
  </si>
  <si>
    <t>60030526;60030526;60030526;60030526</t>
  </si>
  <si>
    <t>55633340100;6506818591;57210523894;57220533028</t>
  </si>
  <si>
    <t>Nakano, H.;Vichien, K.;Sugiura, T.;Yamauchi, J.</t>
  </si>
  <si>
    <t>Nakano H.</t>
  </si>
  <si>
    <t>Singly-Fed Patch Antenna Radiating a Circularly Polarised Conical Beam</t>
  </si>
  <si>
    <t>10.1049/el:19900418</t>
  </si>
  <si>
    <t>2-s2.0-0025432403</t>
  </si>
  <si>
    <t>['various methods', 'two injection', 'two 21', 'synchronizing link', 'surveillance platforms', 'subharmonic factor', 'state oscillators', 'receive modules', 'phase shift', 'phase error', 'particular emphasis', 'paper concerns', 'optimum performance', 'nonlinear behavior', 'many active', 'locking range', 'future generations', 'frequency synchronization', 'frequency detuning', 'frequency coherency', 'experimental results', 'based transmit', 'also reported', 'also presented', 'active modules', '84 mhz', '14 db']</t>
  </si>
  <si>
    <t>Future generations of communication and surveillance platforms will be based on large-aperture phased array antennas composed of many active-MMIC-based transmit/receive modules. This paper concerns the phase and frequency coherency of these modules. A review of various methods of phase and frequency synchronization of active modules is presented, and particular emphasis is placed on the synchronization of oscillators through the use of an indirect subharmonic optical injection locking technique. In this approach, the nonlinear behavior of both large-signal modulated laser diodes and solid-state oscillators is exploited to extend the bandwidth of the synchronizing link to the millimeter-wave frequency range. Experimental results of the phase and frequency coherency of two 21.5 GHz FET oscillators are also reported here. Optimum performance has been achieved at a subharmonic factor of 1/4, with a locking range of 84 MHz and a phase noise degradation of only 14 dB. The phase coherency measurement of two injection-locked oscillators points to a phase shift, which is introduced as a result of the frequency detuning between the slave and master oscillator signals. A scheme to correct for this phase error is also presented. ¬© 1990 IEEE</t>
  </si>
  <si>
    <t>467-476</t>
  </si>
  <si>
    <t>Daryoush, Afshin S.</t>
  </si>
  <si>
    <t>Optical Synchronization of Millimeter-Wave Oscillators for Distributed Architectures</t>
  </si>
  <si>
    <t>10.1109/22.54913</t>
  </si>
  <si>
    <t>2-s2.0-0025432493</t>
  </si>
  <si>
    <t>Bundesministerium f√ºr Forschung und Technologie</t>
  </si>
  <si>
    <t>BMFT</t>
  </si>
  <si>
    <t>['¬© 1990', 'twofluid model', 'stabilized oscillators', 'rights reserved', 'rc films', 'microwave superconductivity']</t>
  </si>
  <si>
    <t>After a brief phcnomenological introduction of microwave superconductivity by means of the twofluid model the conductivity parameter ofpresent YBa2Cu3O7-xhigh-rc films are given. Based on these data it is shown that for frequencies below 100 GHz passive microwave components with much higher electrical performance or with condidcrably reduced geometrical size can be realized.Miniaturized band filter, pulse compression filter, cavity-stabilized oscillators and superconducting antennas serve as example. ¬© 1990, Walter de Gruyter. All rights reserved.</t>
  </si>
  <si>
    <t>141-144</t>
  </si>
  <si>
    <t>Chaloupka, Heinz</t>
  </si>
  <si>
    <t>Wuppertal</t>
  </si>
  <si>
    <t>Bergische Universit√§t Wuppertal</t>
  </si>
  <si>
    <t>Chaloupka H.</t>
  </si>
  <si>
    <t>High-Temperature Superconductors ‚Äî A Material for Miniaturized or High-Performance Microwave Components</t>
  </si>
  <si>
    <t>10.1515/FREQ.1990.44.5.141</t>
  </si>
  <si>
    <t>2-s2.0-0025432632</t>
  </si>
  <si>
    <t>Roepcke, Frank</t>
  </si>
  <si>
    <t>Federal Aviation Administration</t>
  </si>
  <si>
    <t>Roepcke F.</t>
  </si>
  <si>
    <t>ILS ‚Äî Past and Present</t>
  </si>
  <si>
    <t>10.1109/62.54619</t>
  </si>
  <si>
    <t>2-s2.0-0025432656</t>
  </si>
  <si>
    <t>['wide range', 'special emphasis', 'several variations', 'radiation patterns', 'radiated field', 'polarization properties', 'open end', 'helix design', 'geometrical parameters', 'feed region', 'extended knowledge', 'experimental helices', 'directions using', 'current distribution', 'calculated results', 'antennas shape', 'antenna design']</t>
  </si>
  <si>
    <t>The polarization properties of modified helical antennas are investigated for a wide range of directions using a two-dimensional polarization diagram. The current distribution on the antenna and the radiated field are calculated for several variations of the antennas shape to show the influences of the helix design on the main-beam polarization characteristics. This extended knowledge about typical polarization diagrams yields new conditions for the antenna design. Special emphasis is placed on the choice of the geometrical parameters for the open end and the feed region of the antenna to meet different system requirements. Finally the calculated results are confirmed with measured polarization characteristics and radiation patterns for experimental helices. ¬© 1990 IEEE</t>
  </si>
  <si>
    <t>589-597</t>
  </si>
  <si>
    <t>60011604;60011604</t>
  </si>
  <si>
    <t>7003780679;6602265580</t>
  </si>
  <si>
    <t>Kraft, Ulrich R.;M√∂nich, Gerhard</t>
  </si>
  <si>
    <t>Kraft U.R.</t>
  </si>
  <si>
    <t>Main-Beam Polarization Properties of Modified Helical Antennas</t>
  </si>
  <si>
    <t>10.1109/8.53486</t>
  </si>
  <si>
    <t>2-s2.0-0025432695</t>
  </si>
  <si>
    <t>['specular points', 'singularity theory', 'geometrical optics', 'field points', 'assumptions using']</t>
  </si>
  <si>
    <t>Ray-tracing Problems involving reflector surfaces are reviewed under geometrical optics (GO) assumptions using the approach of singularity theory. Quantitative results concerning numbers and configurations of specular points are obtained for source and field points, the positions of which are allowed to vary. ¬© 1990 IEEE</t>
  </si>
  <si>
    <t>625-632</t>
  </si>
  <si>
    <t>6603343312;6505518779;7004261323</t>
  </si>
  <si>
    <t>Chillingworth, David R.J.;Danesh-Narouie, G. R.;Westcott, Bryan S.</t>
  </si>
  <si>
    <t>Chillingworth D.</t>
  </si>
  <si>
    <t>On Ray-Tracing Via Caustic Geometry</t>
  </si>
  <si>
    <t>10.1109/8.53490</t>
  </si>
  <si>
    <t>2-s2.0-0025432696</t>
  </si>
  <si>
    <t>['wiley company', 'inc .,', 'approximate formulae', 'actual values']</t>
  </si>
  <si>
    <t>microstrip antenna | radiol wave | Surface wave</t>
  </si>
  <si>
    <t>Approximate formulae for the radial wave numbers of the surface wave modes in a grounded dielectric structure are presented. These were obtained by using the concept of successive approximation iteration scheme. Numerical results compare well with the actual values of the surface wave number. Copyright ¬© 1990 Wiley Periodicals, Inc., A Wiley Company</t>
  </si>
  <si>
    <t>169-172</t>
  </si>
  <si>
    <t>Bhattacharyya, Arun K.</t>
  </si>
  <si>
    <t>Saskatoon</t>
  </si>
  <si>
    <t>University of Saskatchewan</t>
  </si>
  <si>
    <t>Bhattacharyya A.</t>
  </si>
  <si>
    <t>Approximate formulae for the surface wave numbers in a grounded dielectric structure</t>
  </si>
  <si>
    <t>10.1002/mop.4650030510</t>
  </si>
  <si>
    <t>2-s2.0-0025433065</t>
  </si>
  <si>
    <t>['structure enables', 'propagation constant', 'numerical results', 'method based', 'layer substrate', 'larger bandwidth', 'input impedance', 'frequency operation', 'experimental results']</t>
  </si>
  <si>
    <t>A method based on the mixed potential integral equation for the analysis of flat microstrip antennas in a double-layer substrate is presented. The method is applied to compute the input impedance of a stacked patch configuration. This structure enables a larger bandwidth and may also provide dual-frequency operation. The Green's functions are discussed in detail and numerical results are obtained for the propagation constant of the dominant surface wave. Theoretical and experimental results are compared for two different antenna configurations. ¬© 1990 IEEE</t>
  </si>
  <si>
    <t>608-615</t>
  </si>
  <si>
    <t>6507195458;7006665188;7003285802</t>
  </si>
  <si>
    <t>Barlatey, Lionel;Mosig, Juan R.;Sphicopoulos, Thomas</t>
  </si>
  <si>
    <t>Analysis of Stacked Microstrip Patches with a Mixed Potential Integral Equation</t>
  </si>
  <si>
    <t>10.1109/8.53488</t>
  </si>
  <si>
    <t>2-s2.0-0025433465</t>
  </si>
  <si>
    <t>['typically 5', 'typical performances', 'strip placed', 'practical value', 'new low', 'ground plane', 'experimental results', 'design data', 'conducting wire', 'computer modeling', 'coaxial input', 'around 1', 'also introduced', '5 wavelength', '20 wavelengths']</t>
  </si>
  <si>
    <t>A new low-profile circularly polarized medium gain antenna is presented. This traveling wave antenna consists of a conducting wire or strip placed above a ground plane and following the contour of a cross with four or more branches and a diameter of around 1.5 wavelength. The length of the wire is typically 5-20 wavelengths over one or more turns. The antenna is fed from a coaxial input and terminated in a load. Multiple arm configurations are also introduced. A description is included of the antenna and its principles of operation. Computer modeling of the antenna is then followed by the optimization of a few configurations for which design data and typical performances are given. Experimental results on both one- and two-turn versions agree well with predictions and confirm the practical value of this novel antenna configuration. ¬© 1990 IEEE</t>
  </si>
  <si>
    <t>704-710</t>
  </si>
  <si>
    <t>Roederer, Antoine G.</t>
  </si>
  <si>
    <t>Noordwijk aan Zee</t>
  </si>
  <si>
    <t>ESTEC - European Space Research and Technology Centre</t>
  </si>
  <si>
    <t>Roederer A.</t>
  </si>
  <si>
    <t>The Cross Antenna: A New Low-Profile Circularly Polarized Radiator</t>
  </si>
  <si>
    <t>10.1109/8.53498</t>
  </si>
  <si>
    <t>2-s2.0-0025433466</t>
  </si>
  <si>
    <t>['poloidal phasing', 'polarization could', 'first time']</t>
  </si>
  <si>
    <t>The loading resistance ŒîR of a two-ion species tokamak plasma was measured for fast wave heating with poloidal phasing. The dependence of ŒîR on the relative antenna phasing is the same as that of the power absorption calculated by a two-dimensional ICRF code. It is for the first time that the effectiveness of poloidal phasing as a control of polarization could be demonstrated on a high density toroidal plasma with a low aspect ratio. ¬© 1990 IOP Publishing Ltd.</t>
  </si>
  <si>
    <t>925-927</t>
  </si>
  <si>
    <t>60011001;60011001;60011418;60018735</t>
  </si>
  <si>
    <t>56102798000;6701429033;7005212632;7404443597</t>
  </si>
  <si>
    <t>Yasaka, Y.;Itatani, R.;Takeno, H.;Inoue, S.</t>
  </si>
  <si>
    <t>Tokyo;Kobe;Kyoto</t>
  </si>
  <si>
    <t>Toshiba Corporation;Kobe University;Kyoto University</t>
  </si>
  <si>
    <t>60018735;60011418;60011001</t>
  </si>
  <si>
    <t>Yasaka Y.</t>
  </si>
  <si>
    <t>Letters: Improvement of ICRF antenna loading and power deposition using poloidal phasing</t>
  </si>
  <si>
    <t>10.1088/0029-5515/30/5/011</t>
  </si>
  <si>
    <t>2-s2.0-0025433495</t>
  </si>
  <si>
    <t>['spatial filtering', 'proposed system', 'paper proposes', 'improve performance', 'important problem', 'desired user', 'cochannel interference', 'canceller rejects']</t>
  </si>
  <si>
    <t>In the realization of code division multiple access based on a spread-spectrum communication system, i.e., spread spectrum multiple access (SSMA), reduction of cochannel interference is an important problem. This paper proposes an adaptive array antenna system including a canceller of cochannel interference, which can improve performance by a combination of temporal and spatial filtering. While the adaptive array suppresses interference sources with arrival angles different from that of the desired user, the adaptive digital filter-canceller rejects those whose arrival angles are the same as that of the desired user. The proposed system can achieve stable acquisition and low error rate of demodulated data even in a heavy interference channel where a conventional array antenna system cannot achieve satisfactory acquisition. ¬© 1990 IEEE</t>
  </si>
  <si>
    <t>675-682</t>
  </si>
  <si>
    <t>IEEE Journal on Selected Areas in Communications</t>
  </si>
  <si>
    <t>60018279;60018279;60025272;60016849</t>
  </si>
  <si>
    <t>7102287283;56894680100;7102025638;7005697813</t>
  </si>
  <si>
    <t>Kohno, Ryuji;Imai, Hideki;Hatori, Mitsutoshi;Pasupathy, Subbarayan</t>
  </si>
  <si>
    <t>Japan;Japan;Canada</t>
  </si>
  <si>
    <t>Tokyo;Yokohama;Toronto</t>
  </si>
  <si>
    <t>The University of Tokyo;Yokohama National University;University of Toronto</t>
  </si>
  <si>
    <t>60025272;60018279;60016849</t>
  </si>
  <si>
    <t>Kohno R.</t>
  </si>
  <si>
    <t>Combination of an Adaptive Array Antenna and a Canceller of Interference for Direct-Sequence Spread-Spectrum Multiple-Access System</t>
  </si>
  <si>
    <t>10.1109/49.54463</t>
  </si>
  <si>
    <t>2-s2.0-0025433624</t>
  </si>
  <si>
    <t>['reflection measurements', 'operating characteristics', 'network analyzer', 'microwave performance', 'measurement configurations', 'matrices measured', 'matched load', 'fiberoptic components', 'embedding relations', 'connector repeatability', 'calibration standards', 'calibration repeatability', 'alternative means', 'also presented', 'accuracy limitations', '0 ghz']</t>
  </si>
  <si>
    <t>An optical test set is presented which can be used with any vector network analyzer for measuring microwave transmission and reflection scattering parameters of fiberoptic components. Measurement configurations and operating characteristics are discussed. Calibration of the network analyzer, which is performed using fiberoptic offset shorts, matched load, and thru calibration standards, is discussed, reflection error terms are computed, and de-embedding relations are given for transmission and reflection measurements. A frequency response normalization is also presented as an alternative means of de-embedding reflection magnitude and phase. Accuracy limitations are addressed in terms of connector repeatability, calibration repeatability, accuracy of the calibration standards, test set dynamic range, and resolution. S matrices measured at 2.0 GHz are also presented to illustrate the utility of characterizing fiberoptic components in terms of microwave performance when designing a microwave fiberoptic network. ¬© 1990 IEEE</t>
  </si>
  <si>
    <t>552-559</t>
  </si>
  <si>
    <t>60001247;60028628</t>
  </si>
  <si>
    <t>7202745194;7003874564</t>
  </si>
  <si>
    <t>Curtis, David D.;Ames, Elizabeth E.</t>
  </si>
  <si>
    <t>Boston;</t>
  </si>
  <si>
    <t>Northeastern University;Hanscom AFB</t>
  </si>
  <si>
    <t>60028628;60001247</t>
  </si>
  <si>
    <t>Curtis D.</t>
  </si>
  <si>
    <t>Optical Test Set for Microwave Fiber-Optic Network Analysis</t>
  </si>
  <si>
    <t>10.1109/22.54923</t>
  </si>
  <si>
    <t>2-s2.0-0025433818</t>
  </si>
  <si>
    <t>['¬© 1990', 'suitable choices', 'rights reserved', 'radiator composed', 'polarised waves', 'polarisation needed', 'polarisation characteristics', 'electrical engineers']</t>
  </si>
  <si>
    <t>Antennas | Polarisation | Striplines</t>
  </si>
  <si>
    <t>The polarisation characteristics of the radiator composed of a slot and a strip is presented. It is verified that the circularly-polarised waves or other forms of polarisation needed can be obtained by the radiator with some suitable choices of configuration. ¬© 1990, The Institution of Electrical Engineers. All rights reserved.</t>
  </si>
  <si>
    <t>713-714</t>
  </si>
  <si>
    <t>60013682;60013682</t>
  </si>
  <si>
    <t>55232035000;56329991300</t>
  </si>
  <si>
    <t>Hur, J.;Lee, C. W.</t>
  </si>
  <si>
    <t>Seoul</t>
  </si>
  <si>
    <t>Seoul National University</t>
  </si>
  <si>
    <t>Hur J.</t>
  </si>
  <si>
    <t>Effects on polarisation of inclined conducting strip located in front of radiating slot</t>
  </si>
  <si>
    <t>10.1049/el:19900465</t>
  </si>
  <si>
    <t>2-s2.0-0025433908</t>
  </si>
  <si>
    <t>['unit cell', 'transverse magnetic', 'theoretical method', 'sensitive cases', 'scan performance', 'scan characteristics', 'plane performance', 'plane behavior', 'moment method', 'metal fence', 'dipole geometry', 'dipole array', 'current distribution', 'boundary conditions', 'basic idea', 'active impedance', '4 œª']</t>
  </si>
  <si>
    <t>Presented in this paper is a theoretical method to investigate the scan characteristics of a dipole array in the presence of thin metal fences along the H-plane. The basic idea of the analysis is to determine the current distribution on the dipole which interacts with the metal fence in the unit cell, so that the active impedance of the element can be computed. This was accomplished by using the moment method and imposing the boundary conditions on the tangential electric fields along the dipole and the metal fence. Since the scan performance in the H-plane is not affected by the fences, discussions are concentrated in the E-plane behavior. It was found that for a given element spacing and dipole geometry there is an optimum fence height at which the E-plane performance can be most improved. For a typical dipole array geometry the optimum fence height is about 0.4 Œª. It was thought that when the fences are too high and the beam is scanned too far from broadside, transverse magnetic (TM) surface waves propagating in the E-plane direction near the corrugated plane would be excited. However, no such sensitive cases were encountered in the study. ¬© 1990 IEEE</t>
  </si>
  <si>
    <t>683-692</t>
  </si>
  <si>
    <t>Lee, J. J.</t>
  </si>
  <si>
    <t>Lee J.J.</t>
  </si>
  <si>
    <t>Effects of Metal Fences on the Scan Performance of an Infinite Dipole Array</t>
  </si>
  <si>
    <t>10.1109/8.53496</t>
  </si>
  <si>
    <t>2-s2.0-0025434022</t>
  </si>
  <si>
    <t>['useful properties', 'present formulation', 'one pair', 'method analysis', 'key features', 'emc line', 'dipole pairs', 'design procedure', 'coupling coefficients', 'complete analysis', 'array construction']</t>
  </si>
  <si>
    <t>A design procedure based on a moment-method analysis is given for an array of microstrip dipoles electromagnetically coupled (EMC) to microstrip transmission lines. One of the key features of the design procedure is that only one pair of EMC dipoles needs to be analyzed at a time in order to develop the necessary coupling coefficients. These coupling coefficients then allow for the complete analysis or design of the array, accounting for interactions between all of the EMC line-dipole pairs. One of the useful properties of the present formulation is that EMC dipole arrays may easily be designed for which the length and offset of each dipole is the same, which simplifies the array construction. ¬© 1990 IEEE</t>
  </si>
  <si>
    <t>766-770</t>
  </si>
  <si>
    <t>60005837;60005837;60005837</t>
  </si>
  <si>
    <t>7404289310;6504050133;7402507033</t>
  </si>
  <si>
    <t>Jackson, David R.;Dinbergs, Arturs E.;Long, Stuart A.</t>
  </si>
  <si>
    <t>A Moment-Method Design Procedure for an Array of EMC Dipoles</t>
  </si>
  <si>
    <t>10.1109/8.53507</t>
  </si>
  <si>
    <t>2-s2.0-0025434023</t>
  </si>
  <si>
    <t>['wiley company', 'two nulls', 'theoretical reason', 'terminal elements', 'taylor directivity', 'synthesized nulls', 'synthesize nulls', 'show calculations', 'prevent interference', 'past methods', 'original array', 'one null', 'null direction', 'noted experimentally', 'new method', 'n elements', 'method depends', 'main beam', 'linear array', 'interfering waves', 'inc .,', 'first time', 'far removed', 'existing methods', 'element array', 'cancelling beam', 'array factor', 'array directivity']</t>
  </si>
  <si>
    <t>In this paper we propose a new method for an economical and realizable null synthesis to prevent interference between wireless communication lines and mixing with interfering waves. Existing methods are based on the principle of a subtraction of the directivity of a cancelling beam which has a maximum value along the prescribed null direction from that of the original array. These methods cannot avoid a degradation of the directivity in directions other than the null direction. In this paper we have applied the concept of an array of the arrays. We have synthesized nulls by the array factor of an (M + 1) element array which has M nulls in the directivity of an N element array. In total, we used M + N elements for the array. This method depends on the principle of the products of directivities. As long as the null direction is far removed from the main beam direction, there is, in principle, no degradation of the array directivity. By approximating element weights, we can synthesize nulls by controlling the weights of only terminal 2M elements. Past methods have noted experimentally a possible null synthesis by controlling the weights of the terminal elements. This paper provides clearly for the first time its theoretical reason and limits. We have applied the present analysis method for cases of Taylor directivity for the side‚Äêlobe level ‚Äê30 dB for n = 5 in a linear array with elements placed one‚Äêhalf wavelength apart. We show calculations in examples for syntheses of cases of one null and two nulls. We found that by synthesizing two symmetric nulls with respect to the main beam, there was almost no degradation of the array directivity. Copyright ¬© 1990 Wiley Periodicals, Inc., A Wiley Company</t>
  </si>
  <si>
    <t>Inagaki, Naoki</t>
  </si>
  <si>
    <t>Nagoya</t>
  </si>
  <si>
    <t>Nagoya Institute of Technology</t>
  </si>
  <si>
    <t>Inagaki N.</t>
  </si>
  <si>
    <t>Null synthesis based on the principle of pattern multiplication</t>
  </si>
  <si>
    <t>10.1002/ecja.4410730501</t>
  </si>
  <si>
    <t>2-s2.0-0025434223</t>
  </si>
  <si>
    <t>23-26</t>
  </si>
  <si>
    <t>Arnold, Richard</t>
  </si>
  <si>
    <t>Arnold R.</t>
  </si>
  <si>
    <t>MLS: Keeping Pace With the Future</t>
  </si>
  <si>
    <t>10.1109/62.54623</t>
  </si>
  <si>
    <t>2-s2.0-0025434242</t>
  </si>
  <si>
    <t>['¬© 1990', 'test microletters', 'rights reserved', 'image formation', 'image detection', 'electrical engineers', 'antenna properties']</t>
  </si>
  <si>
    <t>Image processing | Microscopes and microscopy</t>
  </si>
  <si>
    <t>The spatial resolution capability for image detection in the presence of strong scattering inside a medium is verified by virtue of the antenna properties of the optical heterodyne method. The image formation of test microletters in a highly scattering solution is successfully achieved using an optical heterodyne scanning microscope. ¬© 1990, The Institution of Electrical Engineers. All rights reserved.</t>
  </si>
  <si>
    <t>700-702</t>
  </si>
  <si>
    <t>118505297;60008435;60008435;118505297-60008435</t>
  </si>
  <si>
    <t>7005476927;35416423800;7103391017;57201758494</t>
  </si>
  <si>
    <t>Toida, M.;Kondo, M.;Ichimura, T.;Inaba, H.</t>
  </si>
  <si>
    <t>Japan;United Kingdom</t>
  </si>
  <si>
    <t>Sendai;Sendai</t>
  </si>
  <si>
    <t>Tohoku University;Research Development Corporation of Japan</t>
  </si>
  <si>
    <t>60008435;118505297</t>
  </si>
  <si>
    <t>Toida M.</t>
  </si>
  <si>
    <t>Experimental verification of image detection in highly scattering media using antenna properties of optical heterodyne microscope scheme</t>
  </si>
  <si>
    <t>10.1049/el:19900457</t>
  </si>
  <si>
    <t>2-s2.0-0025434292</t>
  </si>
  <si>
    <t>['wave signals', 'wave lo', 'wave devices', 'wave antennas', 'response evaluation', 'optical radiation', 'generated signal', 'generate millimeter', 'detailed characterizations', 'coupled millimeter', 'coherent mixing', '62 ghz', '2 ghz', '100 ghz']</t>
  </si>
  <si>
    <t>Coherent mixing of optical radiation from a tunable CW dye laser and a stabilized He‚ÄîNe laser was used to generate millimeter-wave signals in GaAs FET‚Äôs attached to printed circuit millimeter-wave antennas. The generated signal was further down-converted to a 2 GHz IF by an antenna-coupled millimeter-wave LO at 62 GHz. Detailed characterizations of power and S/N under different bias conditions have been performed. This technique is expected to allow signal generation and frequency-response evaluation of millimeter-wave devices at frequencies as high as 100 GHz. ¬© 1990 IEEE</t>
  </si>
  <si>
    <t>608-614</t>
  </si>
  <si>
    <t>60027550-60009037;60027550</t>
  </si>
  <si>
    <t>7006863370;7006388096</t>
  </si>
  <si>
    <t>Ni, David C.;Fetterman, Harold R.</t>
  </si>
  <si>
    <t>Los Angeles;Pasadena</t>
  </si>
  <si>
    <t>University of California, Los Angeles;Jet Propulsion Laboratory</t>
  </si>
  <si>
    <t>60027550;60009037</t>
  </si>
  <si>
    <t>Ni D.C.</t>
  </si>
  <si>
    <t>Millimeter-Wave Generation and Characterization of a GaAs FET by Optical Mixing</t>
  </si>
  <si>
    <t>10.1109/22.54929</t>
  </si>
  <si>
    <t>2-s2.0-0025434390</t>
  </si>
  <si>
    <t>['wiley company', 'treated systematically', 'transient characteristics', 'toroidal ferrite', 'three types', 'several formats', 'residual magnetization', 'recent advances', 'phase shifters', 'material characteristics', 'local loading', 'inc .,', 'electromagnetic fields', 'devices along', 'become indispensable', 'analytical solution', 'analysis including']</t>
  </si>
  <si>
    <t>Numerous nonreciprocal devices using magnetized ferrites have been developed for microwave and millimeter‚Äêwave circuits. Further, improvement of the material characteristics and development of new device structures have been studied with a view to high‚Äêdensity implementation of the devices along with the development of microwave integrated circuits. With the advances in high‚Äêspeed digital techniques studies of transient characteristics became necessary. Hence, it has become indispensable to carry out a three‚Äêdimensional (3‚ÄêD) analysis including the coupling with other devices as well as the time response analysis including the transient characteristics in the development of the devices using ferrite. Recent advances in phase array antennas have made the analysis of the characteristics of the rectangular waveguide phase shifters important with a view toward improvement. These phase shifters have several formats such as the local loading of a waveguide with several ferrite slabs and the use of residual magnetization. This paper makes use of the spatial network method which has been demonstrated to be effective for 3‚ÄêD time‚Äêresponse analysis of electromagnetic fields. This method is used for the analysis of three types of phase shifters with one and two ferrite slabs and a toroidal ferrite. It is demonstrated that the structures can be treated systematically and the validity of the method is confirmed by comparison with the analytical solution. Copyright ¬© 1990 Wiley Periodicals, Inc., A Wiley Company</t>
  </si>
  <si>
    <t>27-40</t>
  </si>
  <si>
    <t>8756663X</t>
  </si>
  <si>
    <t>Electronics and Communications in Japan (Part II: Electronics)</t>
  </si>
  <si>
    <t>60014652;60014652;60014652</t>
  </si>
  <si>
    <t>6602752213;7403004870;57214925937</t>
  </si>
  <si>
    <t>Kukutsu, Naoya;Yoshida, Norinobu;Fukai, Ichiro</t>
  </si>
  <si>
    <t>Sapporo</t>
  </si>
  <si>
    <t>Hokkaido University</t>
  </si>
  <si>
    <t>Kukutsu N.</t>
  </si>
  <si>
    <t>Transient analysis of ferrite phase shifters in rectangular waveguide in three‚Äêdimensional space</t>
  </si>
  <si>
    <t>10.1002/ecjb.4420730504</t>
  </si>
  <si>
    <t>2-s2.0-0025434396</t>
  </si>
  <si>
    <t>['¬© 1990', 'two ways', 'third party', 'teleconferencing ).', 'services may', 'security services', 'protocols may', 'osi system', 'new versions', 'disclosure protocol', 'decision protocol', 'contract signing', 'computer network', 'certified mail', 'blum ).', 'assist two']</t>
  </si>
  <si>
    <t>Beacons | Mutually suspicious users | Security protocols | Security services</t>
  </si>
  <si>
    <t>This paper describes new protocols for implementation of some security services for cooperation of mutually suspicious users. Such services may be: secure user identification and authentication, disclosure protocol, certified mail, contract signing, decision protocol (coin flipping), secure computing and secure group communications (teleconferencing). Those special security services may be implemented in a computer network or in OSI system in principle in two ways. If a trusted third party is used, called "beacon" by Rabin, then it must perform special protocols, which assist two (or more) mutually suspicious users to exchange confidential information. Without the third party, two suspicious users may exchange such information by a special randomized protocol, described, for instance, by Even et al. or by protocols (Blum). In this paper some modifications of Rabin's protocols are suggested, so that new versions of protocols may be used to implement the same security services, but with better operational efficiency. ¬© 1990.</t>
  </si>
  <si>
    <t>245-255</t>
  </si>
  <si>
    <t>Computers and Security</t>
  </si>
  <si>
    <t>Muftic, Sead</t>
  </si>
  <si>
    <t>Bosnia and Herzegovina</t>
  </si>
  <si>
    <t>Sarajevo</t>
  </si>
  <si>
    <t>University of Sarajevo</t>
  </si>
  <si>
    <t>Muftic S.</t>
  </si>
  <si>
    <t>Transaction protection by "antennas"</t>
  </si>
  <si>
    <t>0167-4048(90)90171-O</t>
  </si>
  <si>
    <t>10.1016/0167-4048(90)90171-O</t>
  </si>
  <si>
    <t>2-s2.0-0025434420</t>
  </si>
  <si>
    <t>['¬© 1990', 'rights reserved', 'obtain convergence', 'minimisation process', 'finite array', 'electrical engineers', 'currents obtained', 'currents induced', 'computed using']</t>
  </si>
  <si>
    <t>Antennas | Dipole antennas</t>
  </si>
  <si>
    <t>The currents induced in a finite array of dipoles have been computed using an efficient iterative technique. A minimisation process is introduced which requires fewer iterations to obtain convergence. The currents obtained are compared with a method of moments solution applied to the same array. ¬© 1990, The Institution of Electrical Engineers. All rights reserved.</t>
  </si>
  <si>
    <t>641-643</t>
  </si>
  <si>
    <t>60000891;60000891</t>
  </si>
  <si>
    <t>6701852001;35562114200</t>
  </si>
  <si>
    <t>Stylianou, A.;Vardaxoglou, J. C.</t>
  </si>
  <si>
    <t>Loughborough</t>
  </si>
  <si>
    <t>Loughborough University</t>
  </si>
  <si>
    <t>Stylianou A.</t>
  </si>
  <si>
    <t>Improved Convergence of Iterative Scheme for Analysing Arrays of Finite Size</t>
  </si>
  <si>
    <t>10.1049/el:19900420</t>
  </si>
  <si>
    <t>2-s2.0-0025434445</t>
  </si>
  <si>
    <t>['unavoidable singularities', 'two points', 'spatial domains', 'spatial domain', 'slow convergence', 'simple examples', 'reciprocal domain', 'point sources', 'periodic green', 'parameter study', 'optimum way', 'integral equation', 'function may', 'electromagnetic scattering', 'domain arise', 'dimensional array', 'current sheets', 'convergence problems']</t>
  </si>
  <si>
    <t>Electromagnetic scattering from periodic structures may be formulated in terms of an integral equation that has as its kernel a periodic Green's function. The periodic Green's function may be derived from two points of view: as a response to an array of line/point sources (spatial domain) or as a response to a series of current sheets (spectral domain). These responses are a Fourier transform pair and are slowly convergent summations. The convergence problems in each domain arise from unavoidable singularities in the reciprocal domain. A method is discussed to overcome the slow convergence by using the Poisson summation formula and summing in a combination of spectral and spatial domains. A parameter study is performed to determine an optimum way to weight the combination of domains. Simple examples of scattering from a one-dimensional array of strips and two-dimensional array of plates are used to illustrate the concepts. ¬© 1990 IEEE</t>
  </si>
  <si>
    <t>633-642</t>
  </si>
  <si>
    <t>7004295090;55197051100</t>
  </si>
  <si>
    <t>Jorgenson, Roy E.;Mittra, Raj</t>
  </si>
  <si>
    <t>Jorgenson R.</t>
  </si>
  <si>
    <t>Efficient Calculation of the Free-Space Periodic Green's Function</t>
  </si>
  <si>
    <t>10.1109/8.53491</t>
  </si>
  <si>
    <t>2-s2.0-0025434556</t>
  </si>
  <si>
    <t>['strong anomaly', 'specific calculations', 'source produces', 'previous results', 'numerical results', 'matched terminations', 'insulated conductor', 'induced current', 'finite length', 'borehole configuration', 'arbitrary terminations']</t>
  </si>
  <si>
    <t>Excitation of currents on an insulated conductor of finite length and with arbitrary terminations is studied for a magnetic dipole source. For matched terminations, the results agree closely with previous results for an infinitely long conductor, but other terminations produce end reflections that cause standing waves. Specific calculations are presented for a vertical magnetic dipole source, because this source produces the appropriate horizontal electric field and could be used in a borehole-to-borehole configuration. Numerical results for the induced current and secondary magnetic field indicate that long conductors produce a strong anomaly over a broad frequency range for any type of termination. ¬© 1990 Canadian Crown Copyright</t>
  </si>
  <si>
    <t>289-294</t>
  </si>
  <si>
    <t>Hill, David A.</t>
  </si>
  <si>
    <t>Hill D.</t>
  </si>
  <si>
    <t>Magnetic Dipole Excitation of an Insulated Conductor of Finite Length</t>
  </si>
  <si>
    <t>10.1109/36.54355</t>
  </si>
  <si>
    <t>2-s2.0-0025434564</t>
  </si>
  <si>
    <t>['sheath results', 'plausible explanation', 'plasma interacts', 'observed high', 'numerical estimates', 'low densities', 'including operating', 'forms near', 'faraday screen', 'dimensional model', 'cause sputtering', 'applied voltage', 'accelerate tons']</t>
  </si>
  <si>
    <t>When a plasma interacts with a material surface subject to an applied voltage, a sheath results. A one-dimensional model, specific to the magnetized ion sheath, is developed and applied to the radiofrequency (RF) sheath which forms near the Faraday screen of an ion cyclotron heating antenna. The RF sheath rectification of the applied voltage is shown to provide a large DC potential drop which can accelerate tons and cause sputtering. Numerical estimates of the high-Z impurity influx are compared with fast wave experiments, and it is concluded that the DC acceleration mechanism is a plausible explanation for the observed high-Z impurity release. Means of controlling the sputtering are examined, including operating with low densities at the Faraday screen. ¬© 1990 IOP Publishing Ltd.</t>
  </si>
  <si>
    <t>845-858</t>
  </si>
  <si>
    <t>60026358;60026358;60022195</t>
  </si>
  <si>
    <t>7004139188;7004011751;6701795620</t>
  </si>
  <si>
    <t>Myra, J. R.;D'Ippolito, D. A.;Gerver, M. J.</t>
  </si>
  <si>
    <t>Boulder;Cambridge</t>
  </si>
  <si>
    <t>Lodestar Research Corporation;Massachusetts Institute of Technology</t>
  </si>
  <si>
    <t>60026358;60022195</t>
  </si>
  <si>
    <t>Myra J.</t>
  </si>
  <si>
    <t>Faraday screen sheaths and impurity production during ion cyclotron heating</t>
  </si>
  <si>
    <t>10.1088/0029-5515/30/5/004</t>
  </si>
  <si>
    <t>2-s2.0-0025434638</t>
  </si>
  <si>
    <t>ECS 87001</t>
  </si>
  <si>
    <t>['recursively modify', 'pseudoinverse method', 'inverse matrices', 'heating patterns', 'existing subsets', 'control points']</t>
  </si>
  <si>
    <t>Computationally efficient incremental algorithms for application of the pseudoinverse method for ultrasound phased array field pattern synthesis are discussed and shown to significantly reduce computing effort when more control points should be added to existing subsets of points previously manipulated. Also these algorithms avoid calculation of inverse matrices, a time consuming job for microcomputers when the dimensions of the matrices are large. This technique can be used to recursively modify the heating patterns of a phased-array hyperthermia applicator in the clinic. ¬© 1990 IEEE</t>
  </si>
  <si>
    <t>274-277</t>
  </si>
  <si>
    <t>IEEE Transactions on Ultrasonics, Ferroelectrics, and Frequency Control</t>
  </si>
  <si>
    <t>60000745-60025778;60000745-60025778;60000745-60025778</t>
  </si>
  <si>
    <t>55862295500;7005935683;7103033158</t>
  </si>
  <si>
    <t>Wang, Hong;Ebbini, Emad;Cain, Charles A.</t>
  </si>
  <si>
    <t>Ann Arbor;Urbana</t>
  </si>
  <si>
    <t>University of Michigan, Ann Arbor;University of Illinois Urbana-Champaign</t>
  </si>
  <si>
    <t>60025778;60000745</t>
  </si>
  <si>
    <t>Wang H.</t>
  </si>
  <si>
    <t>Computationally Efficient Algorithms for Control of Ultrasound Phased-Array Hyperthermia Applicators Based on a Pseudoinverse Method</t>
  </si>
  <si>
    <t>10.1109/58.55318</t>
  </si>
  <si>
    <t>2-s2.0-0025434771</t>
  </si>
  <si>
    <t>['straight lines', 'special importance', 'rays travel', 'numerical calculations', 'mathematical statement', 'independent calculations', 'forthcoming paper', 'field equations', 'easily solved', 'cylinder functions', 'coordinate transformation', 'computational standpoint', 'certain kinds', 'anisotropic region', 'analysis presented', 'alternative representation']</t>
  </si>
  <si>
    <t>A coordinate transformation is introduced to map the anisotropic region into a fictitious isotropic region of infinite angular extent where the field equations can be easily solved. This results in an infinite series representation which is not convenient for numerical calculations. An alternative representation is found by introduction of an apparently new integral form for the product of two-cylinder functions. The new representation provides physical insight as to the nature of the solution, and is attractive from the computational standpoint. The results are analyzed, and a new corner reflector type effect is found for certain kinds of materials, which is in agreement with independent calculations. The analysis presented here will be of special importance for the derivation of a mathematical statement of a Huygen's principle for this type of material, which is the subject of a forthcoming paper. Numerical results validate the analysis presented earlier by the author, wherein it was found that in these kinds of materials the rays travel in equiangular spirals rather than in straight lines. ¬© 1990 IEEE</t>
  </si>
  <si>
    <t>616-624</t>
  </si>
  <si>
    <t>Monzon, J. Cesar</t>
  </si>
  <si>
    <t>Monzon J.</t>
  </si>
  <si>
    <t>Two-Dimensional Green's Functions for a Rotationally Invariant Anisotropic Medium</t>
  </si>
  <si>
    <t>10.1109/8.53489</t>
  </si>
  <si>
    <t>2-s2.0-0025434831</t>
  </si>
  <si>
    <t>['scan performance', 'results indicate', 'results clarify', 'plane scanned', 'numerically investigated', 'ideal probe', 'array environment', '1 bandwidth']</t>
  </si>
  <si>
    <t>The frequency and scan performance of E-plane scanned, ideal probe-excited, Broadband stacked strip element phased arrays are numerically investigated. Results indicate a 1.85:1 bandwidth over a 45¬∞ E-plane scan range. The results clarify the operative physical phenomena and lead to an iterative element synthesis in the array environment. ¬© 1990 IEEE</t>
  </si>
  <si>
    <t>770-773</t>
  </si>
  <si>
    <t>60017789;60108318;60108318;60108318</t>
  </si>
  <si>
    <t>6603129106;7003783128;7005831705;6602805535</t>
  </si>
  <si>
    <t>Stalzer, Henry J.;Lubin, Yan;Hessel, Alexander;Shmoys, Jerry</t>
  </si>
  <si>
    <t>New York;New York</t>
  </si>
  <si>
    <t>NYU Tandon School of Engineering;Manhattan College</t>
  </si>
  <si>
    <t>60108318;60017789</t>
  </si>
  <si>
    <t>Microstrip Stacked Strip Element Phased Arrays</t>
  </si>
  <si>
    <t>10.1109/8.53508</t>
  </si>
  <si>
    <t>2-s2.0-0025435016</t>
  </si>
  <si>
    <t>['two frequencies', 'transmitting system', 'theoretical result', 'talk parameters', 'simply related', 'scene prior', 'scattering matrix', 'relative phase', 'relative amplitude', 'receiving systems', 'receiving system', 'receive matrices', 'radar return', 'polarized components', 'polarization signatures', 'physical transmitter', 'paper describes', 'noticeable distortion', 'near range', 'natural targets', 'matrix describing', 'l band', 'jpl aircraft', 'inferred transmit', 'image may', 'even though', 'estimated cross', 'e .,', 'different types', 'cross talk', 'band system', 'azimuthal symmetry', 'accurately determined', 'absolute amplitude', '20 db', '10 db']</t>
  </si>
  <si>
    <t>This paper describes a technique that uses the radar return from natural targets and at least one trihedral corner reflector to calibrate compressed polarimetric radar data. In this paper we specifically address calibration for relative amplitude, relative phase, absolute amplitude, and system cross talk. The cross-talk calibration method is based on the theoretical result that for natural targets with azimuthal symmetry the co- and cross-polarized components of the scattering matrix are uncorrelated, and does not require any external calibration targets to be deployed before imaging. Since compressed data are used, one is forced to model the transmitting and receiving systems as reciprocal, i.e., that the matrix describing the transmitting system is the transpose of the matrix describing the receiving system. Even though the inferred transmit and receive matrices are not each simply related to the physical transmitter and receiver, the true Stokes matrix for each pixel in an image may be accurately determined by this approach. The method is illustrated by estimating the cross-talk parameters of the NASA/JPL aircraft for different types of terrain and for two frequencies. For the C-band system, the cross talk is less than -20 dB for all ranges in the images. The cross talk of the L-band system is a function of range, however, and may be as poor as -10 dB in the near range, leading to a noticeable distortion of the polarization signatures. When the estimated cross-talk parameters at L band are compared to those expected from the antenna patterns alone excellent agreement is found. Next, it is shown how this method can be used to calibrate radar images provided that at least one trihedral corner reflector is deployed in the scene prior to imaging. Finally, it is shown that polarization signatures of trihedral corner reflectors extracted from the calibrated polarimetry data agree excellently with the theoretical polarization signature of an ideal trihedral corner reflector. ¬© 1990 Canadian Crown Copyright</t>
  </si>
  <si>
    <t>337-348</t>
  </si>
  <si>
    <t>Van Zyl, Jakob J.</t>
  </si>
  <si>
    <t>Van Zyl J.</t>
  </si>
  <si>
    <t>Calibration of Polarimetric Radar Images Using Only Image Parameters and Trihedral Corner Reflector Responses</t>
  </si>
  <si>
    <t>10.1109/36.54360</t>
  </si>
  <si>
    <t>2-s2.0-0025435025</t>
  </si>
  <si>
    <t>['¬© 1990', 'rights reserved', 'performance characteristics', 'electrical engineers']</t>
  </si>
  <si>
    <t>Circuit theory and design | Networks and network theory | Transmission lines</t>
  </si>
  <si>
    <t>A new impedance transforming rat-race hybrid ring is realised by modifying an impedance transforming Wilkinson power divider.1 The performance characteristics have been computed for different impedance transformation ratios over a 100% bandwidth. ¬© 1990, The Institution of Electrical Engineers. All rights reserved.</t>
  </si>
  <si>
    <t>837-839</t>
  </si>
  <si>
    <t>60071577;60071577;60071577</t>
  </si>
  <si>
    <t>6602239508;7201427114;6506690958</t>
  </si>
  <si>
    <t>Mgombelo, H. R.;Ali, H. O.;Kissaka, M. M.</t>
  </si>
  <si>
    <t>Tanzania</t>
  </si>
  <si>
    <t>Dar Es Salaam</t>
  </si>
  <si>
    <t>University of Dar Es Salaam</t>
  </si>
  <si>
    <t>Mgombelo H.</t>
  </si>
  <si>
    <t>New Impedance Transforming Rat-Race Hybrid Ring</t>
  </si>
  <si>
    <t>10.1049/el:19900549</t>
  </si>
  <si>
    <t>2-s2.0-0025444741</t>
  </si>
  <si>
    <t>['virtually determined', 'truss geometry', 'tension truss', 'system design', 'surface accuracy', 'supporting structure', 'rights reserved', 'reflector surface', 'provides support', 'primary feature', 'parabolic surface', 'inc .,', 'geometric quantities', 'facet sizing', 'done directly', 'changing lengths', 'cable members', 'cable lattice', 'antenna surface', 'adaptive nature']</t>
  </si>
  <si>
    <t>The concept of the tension truss antenna is proposed. It is shown that a parabolic reflector surface can be formed by a three-dimensional integrated cable lattice system that can be called a tension truss. The tension truss antenna consists of a triangular-faceted cable truss, the rf reflector surface, and a supporting structure which provides support as well as pretension of the cable lattice. The primary feature of the antenna is that its shape is virtually determined by geometric quantities such as the lengths and arrangement of cable members. Because of this feature, the adjustment of antenna surface can be done directly by changing lengths of cable members which form the surface. This adaptive nature of the concept is favorable for controlling of a reflector surface in orbit. It is also easily deploy able and retractable, and varieties of facet sizing and arrangement are possible. Modeling of truss geometry, surface accuracy, analysis on formation of a parabolic surface, surface adjustment algorithm, and system design are investigated. ¬© 1990 American Institute of Aeronautics and Astronautics, Inc., All rights reserved.</t>
  </si>
  <si>
    <t>1098-1104</t>
  </si>
  <si>
    <t>60000809;60000809</t>
  </si>
  <si>
    <t>7403691800;7403267400</t>
  </si>
  <si>
    <t>Miura, Koryo;Miyazaki, Yasuyuki</t>
  </si>
  <si>
    <t>Sagamihara</t>
  </si>
  <si>
    <t>JAXA Institute of Space and Astronautical Science</t>
  </si>
  <si>
    <t>Miura K.</t>
  </si>
  <si>
    <t>Concept of the tension truss antenna</t>
  </si>
  <si>
    <t>10.2514/3.25172</t>
  </si>
  <si>
    <t>2-s2.0-0025444909</t>
  </si>
  <si>
    <t>['good agreement', 'gaussian beam', 'diffracting aperture', 'compact diplexers', '4 times', '3 mm', '230 ghz']</t>
  </si>
  <si>
    <t>Measurements of the effect of a diffracting aperture on a Gaussian beam at 230 GHz (Œª = 1.3 mm) are reported, and are in good agreement with theoretically calculated beam shapes. This is of importance in the design of compact diplexers. It is found that apertures ‚â• 2.4 times the 8.7 dB beam size (1/e field size, w0) should be used to ensure beams unmodified due to truncation.</t>
  </si>
  <si>
    <t>171-174</t>
  </si>
  <si>
    <t>Jun</t>
  </si>
  <si>
    <t>Ediss, G. A.</t>
  </si>
  <si>
    <t>Bonn</t>
  </si>
  <si>
    <t>Max Planck Institute for Radio Astronomy</t>
  </si>
  <si>
    <t>Ediss G.</t>
  </si>
  <si>
    <t>Diffraction of a Gaussian beam at an aperture</t>
  </si>
  <si>
    <t>10.1049/ip-h-2.1990.0033</t>
  </si>
  <si>
    <t>2-s2.0-0025445388</t>
  </si>
  <si>
    <t>['input admittances', 'input admittance', 'infinite extent', 'gap widths', 'feed gap', 'different radii', 'bessel series', 'basic sets', 'aperture fields']</t>
  </si>
  <si>
    <t>Expressions are derived for the input admittance and aperture electromagnetic fields in the feed gap of a solid insulated antenna of infinite extent. This is done by solving the boundary value problem where the fields are represented by Fourier series built up by superposition of basic sets of œÄ-independent cylindrical waves. Such waves are obtained from the solution of the Helmholtz equation governing the z-directed electric Hertzian potential. The axial aperture electric field in the gap is in the form of a Fourier-Bessel series and is used to find the input admittance. Results are plotted for the aperture fields and tabulated for the input admittances at different radii, insulating shell dielectric constants, and gap widths. ¬© 1990 IEEE</t>
  </si>
  <si>
    <t>922-928</t>
  </si>
  <si>
    <t>Saoudy, S. A.;Sinha, Bateshwar P.</t>
  </si>
  <si>
    <t>Saoudy S.</t>
  </si>
  <si>
    <t>Feed Gap Aperture Field and Input Admittance of an Infinitely Long Insulated Antenna</t>
  </si>
  <si>
    <t>10.1109/8.55591</t>
  </si>
  <si>
    <t>2-s2.0-0025445472</t>
  </si>
  <si>
    <t>['two 8', 'electroscience laboratory', 'dynamic range', 'compact range', 'clutter interference', 'calculated patterns', 'also described', '80 db', '11 ghz']</t>
  </si>
  <si>
    <t>The purpose of this paper is to demonstrate: 1) the excellent dynamic range that can be achieved with antenna pattern measurements in a compact range facility; and 2) the excellent validation achieved for the calculated patterns of two 8-ft diameter reflector antennas. These measurements were performed in the compact range facility at The Ohio State University (OSU) ElectroScience Laboratory. The compact range has a rolled edge modification to its reflector and uses a pulsed radar system to eliminate the clutter interference such that a dynamic range of more than 80 dB can be obtained. The measured far field patterns of two 8-ft reflector antennas, a prime focus fed and a Cassegrainian, at 11 GHz are compared with those calculated by OSU Reflector Antenna Code. The approach of computer code simulation is also described. ¬© 1990 IEEE</t>
  </si>
  <si>
    <t>889-895</t>
  </si>
  <si>
    <t>60003500;60003500;60003500</t>
  </si>
  <si>
    <t>8362621300;6603843146;23001929200</t>
  </si>
  <si>
    <t>Lee, Teh Hong;Rudduck, Roger C.;Lambert, Kevin M.</t>
  </si>
  <si>
    <t>Lee T.</t>
  </si>
  <si>
    <t>Pattern Measurements of Reflector Antennas in the Compact Range and Validation with Computer Code Simulation</t>
  </si>
  <si>
    <t>10.1109/8.55587</t>
  </si>
  <si>
    <t>2-s2.0-0025445525</t>
  </si>
  <si>
    <t>['¬© 1990', 'rights reserved', 'resonant resistance', 'resonant frequency', 'patch antenna', 'input impedance', 'electrical parameters', 'electrical engineers', 'cavity model', 'aided design']</t>
  </si>
  <si>
    <t>Antennas | Modelling</t>
  </si>
  <si>
    <t>A cavity model well suited for computed-aided design is presented. The patch antenna is described by geometrical and electrical parameters. Using a cavity model, input impedance as a function of frequency is then calculated with a fast computer program implemented on a PC. Resonant resistance and resonant frequency are deduced. ¬© 1990, The Institution of Electrical Engineers. All rights reserved.</t>
  </si>
  <si>
    <t>842-844</t>
  </si>
  <si>
    <t>60030553;60030553;60030553</t>
  </si>
  <si>
    <t>6602837855;7003723658;7202044329</t>
  </si>
  <si>
    <t>Thouroude, D.;Himdi, M.;Daniel, J. P.</t>
  </si>
  <si>
    <t>Rennes</t>
  </si>
  <si>
    <t>Universite de Rennes 1</t>
  </si>
  <si>
    <t>Thouroude D.</t>
  </si>
  <si>
    <t>CAD-Oriented Cavity Model for Rectangular Patches</t>
  </si>
  <si>
    <t>10.1049/el:19900552</t>
  </si>
  <si>
    <t>2-s2.0-0025445565</t>
  </si>
  <si>
    <t>['effective suppression', 'clutter suppression']</t>
  </si>
  <si>
    <t>In the modern radar systems, the development of phased array radar is conspicuous because of its flexibility and adaptability. In this paper a new clutter suppression approach for multifunction phased array radar, that is radar resource management for clutter suppression, which can realize more effective suppression of clutter is proposed. ¬© 1989 IEEE</t>
  </si>
  <si>
    <t>14-16</t>
  </si>
  <si>
    <t>Yamada, Yoshifumi</t>
  </si>
  <si>
    <t>Mitsubishi Electric Corporation</t>
  </si>
  <si>
    <t>Yamada Y.</t>
  </si>
  <si>
    <t>New Clutter Suppression Approach for Multifunction Radar‚ÄîRadar Resource Management for the Clutter Suppression</t>
  </si>
  <si>
    <t>10.1109/62.54637</t>
  </si>
  <si>
    <t>2-s2.0-0025445637</t>
  </si>
  <si>
    <t>['water pipes', 'urgently needed', 'underground objects', 'transmission cables', 'tokyo gas', 'paper reports', 'osaka gas', 'gas pipes', 'field tests', 'antenna units']</t>
  </si>
  <si>
    <t>Ground probing radars (GPR) are urgently needed to locate such underground objects as gas pipes, water pipes and transmission cables. Tokyo Gas and Osaka Gas have each developed two types of battery-powered, compact radar systems with CRT displays mounted on antenna units. This paper reports on the performance of these new radar systems and the results of their field tests. ¬© 1989 IEEE</t>
  </si>
  <si>
    <t>60032042;60021825</t>
  </si>
  <si>
    <t>7005886638;56141299500</t>
  </si>
  <si>
    <t>Kikuta, Takashi;Tanaka, Hiroaki</t>
  </si>
  <si>
    <t>Chuo-ku;Minato</t>
  </si>
  <si>
    <t>Osaka Gas Co., Ltd.;Tokyo Gas Co., Ltd.</t>
  </si>
  <si>
    <t>Kikuta T.</t>
  </si>
  <si>
    <t>Ground Probing Radar System</t>
  </si>
  <si>
    <t>10.1109/62.54640</t>
  </si>
  <si>
    <t>2-s2.0-0025445682</t>
  </si>
  <si>
    <t>['theories developed', 'previously developed', 'previous literature', 'obstacle surface', 'new set', 'go modes', 'generalized inagaki', 'complete sphere', 'characteristic modes']</t>
  </si>
  <si>
    <t>In this work a new set of modes which we call generalized characteristic (GO modes is described. Characteristic modes, previously developed, exhibit orthogonality properties over an obstacle surface as well as the complete sphere at infinity. The generalized characteristic modes described here also exhibit orthogonality properties over the obstacle surface, but rather than orthogonality over the sphere at infinity, they are orthogonal over any region of space, similarly to generalized Inagaki (GI) modes. Theories developed for antenna pattern synthesis and directivity optimization using generalized Inagaki modes can be applied in an entirely parallel fashion using generalized characteristic modes. Comparisons are made between generalized characteristic modes and generalized Inagaki modes through three examples introduced in the previous literature. ¬© 1990 IEEE</t>
  </si>
  <si>
    <t>862-868</t>
  </si>
  <si>
    <t>60003500;60003500;60014313</t>
  </si>
  <si>
    <t>56130837900;6507676919;7006061921</t>
  </si>
  <si>
    <t>Liu, Duixian;Garbacz, Robert J.;Pozar, David M.</t>
  </si>
  <si>
    <t>Amherst MA;Columbus</t>
  </si>
  <si>
    <t>University of Massachusetts Amherst;The Ohio State University</t>
  </si>
  <si>
    <t>60014313;60003500</t>
  </si>
  <si>
    <t>Liu D.</t>
  </si>
  <si>
    <t>Antenna Synthesis and Optimization Using Generalized Characteristic Modes</t>
  </si>
  <si>
    <t>10.1109/8.55583</t>
  </si>
  <si>
    <t>2-s2.0-0025445685</t>
  </si>
  <si>
    <t>['experimental results', 'essentially eliminates', 'dynamic beamsteering', 'directly converted', 'actual system']</t>
  </si>
  <si>
    <t>Microwave carrier generation along with the signal processing required for dynamic beamsteering of a high resolution phased array antenna with an arbitrary radiation pattern is accomplished using optical components. It is shown that a deformable mirror type spatial light modulator can establish a truly arbitrary continuous optical phasefront which is directly converted to spatial RF phase information by means of an optical heterodyne system. Experimental results which simulate the performance of the actual system are presented. A spatially integrated optical implementation is presented which provides mechanical stability and essentially eliminates the drift problems usually encountered in free space systems. ¬© 1990 IEEE</t>
  </si>
  <si>
    <t>444-446</t>
  </si>
  <si>
    <t>IEEE Photonics Technology Letters</t>
  </si>
  <si>
    <t>60017934;60027392;60030551</t>
  </si>
  <si>
    <t>6602606693;6701758561;7004729241</t>
  </si>
  <si>
    <t>Toughlian, Edward N.;Zmuda, Henry;Kornreich, Philipp</t>
  </si>
  <si>
    <t>Syracuse;Hoboken;Rome</t>
  </si>
  <si>
    <t>Syracuse University;Stevens Institute of Technology;Griffiss AFB</t>
  </si>
  <si>
    <t>60030551;60027392;60017934</t>
  </si>
  <si>
    <t>Toughlian E.</t>
  </si>
  <si>
    <t>A Deformable Mirror-Based Optical Beamforming System for Phased Array Antennas</t>
  </si>
  <si>
    <t>10.1109/68.56613</t>
  </si>
  <si>
    <t>2-s2.0-0025445799</t>
  </si>
  <si>
    <t>['wild rc', 'two scatterometers', 'targets proportional', 'scatterometer data', 'results show', 'repeatedly overflew', 'remote sensing', 'reflector array', 'polarized results', 'originally introduced', 'method followed', 'full calibration', 'field survey', 'fanbeam scatterometers', 'exact track', 'end calibration', 'complete range', 'ccrs cv', 'canada centre', 'band scatterometers', 'band scatterometer', 'associated analysis', 'aerial photographs', '5 db', '1 db']</t>
  </si>
  <si>
    <t>A series of experiments and associated analysis which were designed to lead to an end-to-end calibration of the Canada Centre for Remote Sensing (CCRS) fanbeam scatterometers are described. The method followed was originally introduced in 1984 by Yizhar et al. for the Ku-band scatterometer at one incidence angle. This work was extended to yield a full calibration for the Ku- and C-band scatterometers over the complete range of incidence angles accessible to the instruments. An array of 12 trihedral corner reflectors was deployed in a grassy field near Ottawa. The CCRS CV-580, equipped with two scatterometers, repeatedly overflew the array collecting radar replicas of the targets proportional to the unknown twodimensional antenna pattern. Data from inertial navigation systems and aerial photographs from a Wild RC-10 mapping camera were used to determine the exact track of the aircraft during the acquisition. This data, with a field survey, allowed the reduction of the scatterometer data from the reflector array to yield the unknown antenna pattern of the instruments. The crosspolarized antenna patterns were then deduced from the like-polarized results. The results show a consistency within 0.5 dB and overall calibration accuracy is estimated to be better than 1 dB. ¬© 1990 IEEE</t>
  </si>
  <si>
    <t>903-918</t>
  </si>
  <si>
    <t>60005603;60017592;;60005603</t>
  </si>
  <si>
    <t>7402932533;6506401974;7403389938;57209147778</t>
  </si>
  <si>
    <t>Hawkins, Robert K.;Farris-Manning, Peter J.;Gibson, John R.;Singh, Keshava P.</t>
  </si>
  <si>
    <t>Ottawa;Ottawa</t>
  </si>
  <si>
    <t>Carleton University;Canada Centre for Remote Sensing</t>
  </si>
  <si>
    <t>60017592;60005603</t>
  </si>
  <si>
    <t>Hawkins R.K.</t>
  </si>
  <si>
    <t>Calibration of the CCRS Airborne Scatterometers</t>
  </si>
  <si>
    <t>10.1109/8.55589</t>
  </si>
  <si>
    <t>2-s2.0-0025445804</t>
  </si>
  <si>
    <t>['wiley company', 'wave incident', 'television broadcasting', 'small computer', 'size reduction', 'reflection location', 'reflected wave', 'reception interference', 'receiving pattern', 'prototype system', 'practical system', 'measurement site', 'measurement point', 'measurement antenna', 'measurement accuracy', 'major factor', 'inc .,', 'ghost wave', 'ghost sources', 'ghost source', 'electromagnetic interference', 'direct wave', 'delay time', 'already developed']</t>
  </si>
  <si>
    <t>A practical system was developed which locates the origin of reception interference (the so‚Äêcalled ghost interference) by the reflection of a wave incident on a building which is a major factor for electromagnetic interference in television broadcasting. One of the authors has already developed a prototype system in which the location of the ghost source can be detected by measuring the delay time and the direction of arrival of the reflected wave (so‚Äêcalled ghost wave) with respect to the direct wave at the measurement point. In this method, the ghost wave is separated at each delay time while the measurement antenna is rotated and the receiving pattern of each ghost wave is obtained so that the location of the ghost source is detected. A system of locating the ghost sources was developed. In this system, a small computer is combined with the PDUR measurement system for measurement and analysis of the ghost wave. As a result, the portability is increased to be useful at the location of the electromagnetic interference by means of size reduction and reduced power consumption. From the examples of measurement of actual ghost interference and the direction‚Äêfinding accuracy at the measurement site, the measurement accuracy was studied for the reflection location of the ghost wave in the VHF and UHF broadcasting bands so that the serviceability of the system was confirmed. Copyright ¬© 1990 Wiley Periodicals, Inc., A Wiley Company</t>
  </si>
  <si>
    <t>109-117</t>
  </si>
  <si>
    <t>117575927;117575927</t>
  </si>
  <si>
    <t>55391886300;7404085293</t>
  </si>
  <si>
    <t>Miyazawa, Hiroshi;Itoh, Hironobu</t>
  </si>
  <si>
    <t>General Administration of Audience Services</t>
  </si>
  <si>
    <t>Miyazawa H.</t>
  </si>
  <si>
    <t>Development of a location system for tv ghost sources and its serviceability</t>
  </si>
  <si>
    <t>10.1002/ecja.4410730611</t>
  </si>
  <si>
    <t>2-s2.0-0025446084</t>
  </si>
  <si>
    <t>['x band', 'two possibilities', 'theoretical results', 'shown clearly', 'rigorous analysis', 'presented briefly', 'parasitic phenomenon', 'moment method', 'experimental measurements', 'antenna part']</t>
  </si>
  <si>
    <t>A rigorous analysis of the electromagnetically coupled microstrip dipole based on potential integral equations, Green's functions, and the moment method is presented briefly. The antenna-radiated field computation using the steepest descent technique is then detailed. The theoretical results are compared with experimental measurements in X band. By considering the feed as an antenna part, the excitation line parasitic radiation is shown clearly. Two possibilities to reduce this parasitic phenomenon are proposed. ¬© 1990 IEEE</t>
  </si>
  <si>
    <t>878-882</t>
  </si>
  <si>
    <t>60019894;;</t>
  </si>
  <si>
    <t>6602558390;22955400400;7004142829</t>
  </si>
  <si>
    <t>Lepeltier, Philippe M.;Citerne, Jacques;Floch, Jean Marie</t>
  </si>
  <si>
    <t>Toulouse</t>
  </si>
  <si>
    <t>Thales Alenia Space</t>
  </si>
  <si>
    <t>Lepeltier P.</t>
  </si>
  <si>
    <t>On the EMC Dipole Feed-Line Parasitic Radiation</t>
  </si>
  <si>
    <t>10.1109/8.55585</t>
  </si>
  <si>
    <t>2-s2.0-0025446632</t>
  </si>
  <si>
    <t>16-30</t>
  </si>
  <si>
    <t>7102576479;56246062600</t>
  </si>
  <si>
    <t>Volakis, John L.;Katehi, Linda P.B.</t>
  </si>
  <si>
    <t>Volakis J.L.</t>
  </si>
  <si>
    <t>Research In Computational Electromagnetics at the University of Michigan</t>
  </si>
  <si>
    <t>10.1109/74.80521</t>
  </si>
  <si>
    <t>2-s2.0-0025446633</t>
  </si>
  <si>
    <t>['simplified design', 'return loss', 'measured results', 'crosspolar levels', '34 db', '28 db']</t>
  </si>
  <si>
    <t>A simplified design for dual-band corrugated conical horns with low crosspolarization characteristics is discussed. Measured results of the bread-board horn show that crosspolar levels of better than -34 dB and return loss of better than 28 dB have been realized over the designed frequency bands. ¬© 1990 IEEE</t>
  </si>
  <si>
    <t>946-951</t>
  </si>
  <si>
    <t>Rao, K. Sudhakar</t>
  </si>
  <si>
    <t>Edmonton</t>
  </si>
  <si>
    <t>L-3 Communications SPAR Aerospace Limited</t>
  </si>
  <si>
    <t>Rao K.</t>
  </si>
  <si>
    <t>A Simple Dual-Band Corrugated Horn with Low Cross Polarization</t>
  </si>
  <si>
    <t>10.1109/8.55598</t>
  </si>
  <si>
    <t>2-s2.0-0025446689</t>
  </si>
  <si>
    <t>['œºm n', 'standard 3', 'stability performances', 'mhz signal', 'im3 intercept', 'capacitive source', 'capacitive antenna', 'analytically described', 'amplifier uses', '96 db', '75 pf', '2 %.', '18 vpp', '130 db']</t>
  </si>
  <si>
    <t>A low-noise, low-distortion AM wide-band CMOS amplifier is presented that matches a capacitive antenna. The amplifier uses a single-ended input stage to realize optimal noise matching with a capacitive source of 75 pF. The equivalent input noise voltage is as low as 0.7 ŒºVrmsrms within 2.5-kHz IF bandwidth. A differential symmetrical class-AB output stage is optimized to large-signal distortion performance. With 8-V single power supply the amplifier is capable of driving a 7-Vpp/l-MHz signal into a 400-Œ© load with a total harmonic distortion of 2%. A very high dynamic range of 130 dB has thus been achieved. An intermodulation-free dynamic range (IMFDR) up to 96 dB and an IM3 intercept of 18 Vpp have been measured. The amplifier is fabricated in a standard 3-Œºm n-well CMOS technology. Design details concerning noise, distortion, and stability performances are analytically described. ¬© 1990 IEEE</t>
  </si>
  <si>
    <t>833-840</t>
  </si>
  <si>
    <t>1558173X</t>
  </si>
  <si>
    <t>IEEE Journal of Solid-State Circuits</t>
  </si>
  <si>
    <t>60025063;60025063</t>
  </si>
  <si>
    <t>7202170388;7102399083</t>
  </si>
  <si>
    <t>Chang, Zhongyuan;Sansen, Willy M.C.</t>
  </si>
  <si>
    <t>Belgium</t>
  </si>
  <si>
    <t>3000 Leuven</t>
  </si>
  <si>
    <t>KU Leuven</t>
  </si>
  <si>
    <t>Chang Z.</t>
  </si>
  <si>
    <t>Low-Noise, Low-Distortion CMOS AM Wide-Band Amplifiers Matching a Capacitive Source</t>
  </si>
  <si>
    <t>10.1109/4.102682</t>
  </si>
  <si>
    <t>2-s2.0-0025446795</t>
  </si>
  <si>
    <t>['œ ∏.', '¬© 1990', 'wedgeshaped substrate', 'theoretical findings', 'small bandwidth', 'rights reserved', 'resonant frequency', 'rectangular antenna', 'present work', 'major drawback', 'major concern', 'ground plane', 'experimental observation', 'electrical engineers', 'dominant mode']</t>
  </si>
  <si>
    <t>Antennas | Microstr</t>
  </si>
  <si>
    <t>The small bandwidth of microstrip antennas still remains their major drawback and continues to be a major concern. One method used to improve the bandwidth is to make the patch on a wedgeshaped substrate. Only experimental observation on this has been reported. The present work is on a rectangular antenna, whose nonradiating edge is on a plane that intersects the ground plane with an angle, Œ∏. An expression has been derived for the resonant frequency in the dominant mode. The theoretical findings are supported by experimental observation. ¬© 1990, The Institution of Electrical Engineers. All rights reserved.</t>
  </si>
  <si>
    <t>912-913</t>
  </si>
  <si>
    <t>60071276;60071276</t>
  </si>
  <si>
    <t>7402648371;7006422314</t>
  </si>
  <si>
    <t>Mishra, R. K.;Pattnaik, S. S.</t>
  </si>
  <si>
    <t>Sambalpur</t>
  </si>
  <si>
    <t>VSS University of Technology</t>
  </si>
  <si>
    <t>Mishra R.</t>
  </si>
  <si>
    <t>Resonant frequency of wedge shaped microstrip antenna</t>
  </si>
  <si>
    <t>10.1049/el:19900596</t>
  </si>
  <si>
    <t>2-s2.0-0025446839</t>
  </si>
  <si>
    <t>['rolled edges', 'reflectors may', 'reflector size', 'procedure leads', 'prescribed method', 'method leads', 'also presented']</t>
  </si>
  <si>
    <t>A method to design blended rolled edges for arbitrary rim shaped compact range reflectors is presented. The reflectors may be center-fed or offset-fed. The method leads to rolled edges with minimal surface discontinuities. It is shown that the reflectors designed using the prescribed method can be defined analytically using simple expressions. A procedure to obtain optimum rolled edge parameters is also presented. The procedure leads to blended rolled edges that minimize the diffracted fields emanating from the junction between the paraboloid and the rolled edge surface while satisfying certain constraints regarding the reflector size and the minimum operating frequency of the system. ¬© 1990 IEEE</t>
  </si>
  <si>
    <t>853-861</t>
  </si>
  <si>
    <t>7102202358;6602922256;7004270570</t>
  </si>
  <si>
    <t>Gupta, Inder J.;Ericksen, Kurt P.;Burnside, Walter D.</t>
  </si>
  <si>
    <t>Gupta I.J.</t>
  </si>
  <si>
    <t>A Method to Design Blended Rolled Edges for Compact Range Reflectors</t>
  </si>
  <si>
    <t>10.1109/8.55582</t>
  </si>
  <si>
    <t>2-s2.0-0025446982</t>
  </si>
  <si>
    <t>['¬© 1990', 'use method', 'synthesised pattern', 'simple relation', 'rights reserved', 'resulting separation', 'obtain one', 'iteratively solved', 'interelement spacings', 'electrical engineers', 'desired one', 'deduced accordingly', 'best fit', 'array elements']</t>
  </si>
  <si>
    <t>Antenna arrays | Antennas | Pattern synthesis</t>
  </si>
  <si>
    <t>A simple and easy to use method for synthesising uniformlyexcited linear broadside arrays through element position control is proposed. A single equation must be iteratively solved to obtain one of the interelement spacings. The others are deduced accordingly to a simple relation. The resulting separation between the array elements is optimum in the sense that a best fit is obtained between the synthesised pattern and the desired one. ¬© 1990, The Institution of Electrical Engineers. All rights reserved.</t>
  </si>
  <si>
    <t>891-892</t>
  </si>
  <si>
    <t>Hassan, M. A.</t>
  </si>
  <si>
    <t>Saudi Arabia</t>
  </si>
  <si>
    <t>Riyadh</t>
  </si>
  <si>
    <t>King Saud University</t>
  </si>
  <si>
    <t>Hassan M.</t>
  </si>
  <si>
    <t>Simple-iterative method for pattern synthesis using nonuniformly spaced arrays</t>
  </si>
  <si>
    <t>10.1049/el:19900582</t>
  </si>
  <si>
    <t>2-s2.0-0025447031</t>
  </si>
  <si>
    <t>['studied systematically', 'simplified formulas', 'patterns suitable', 'ordinary microcomputers', 'numerical calculation', 'mathematical evaluations', 'main reflector', 'large reflector', 'integration across', 'integrals across', 'drastically reduced', 'computation time', 'computation labour', 'cassegrain antennas']</t>
  </si>
  <si>
    <t>The analysis and calculation of patterns of Cassegrain antennas are presented in detail. Usually in the calculation it is unavoidable to compute the integrals across the main reflector of the antenna. Thus for a large reflector the computation time is very long. Here this question is studied systematically. By means of a series of mathematical evaluations the integration across the main reflector of the antenna is transferred to the aperture of the feeder and therefore the computation labour is drastically reduced. Moreover, a series is given of simplified formulas of patterns suitable for numerical calculation by ordinary microcomputers. ¬© 1990 IEEE</t>
  </si>
  <si>
    <t>823-830</t>
  </si>
  <si>
    <t>60073446;60073446</t>
  </si>
  <si>
    <t>55864172200;54680394600</t>
  </si>
  <si>
    <t>Chen, Jingxiong;Xu, Yansheng</t>
  </si>
  <si>
    <t>Beijing Institute of Radio Measurement</t>
  </si>
  <si>
    <t>Chen J.</t>
  </si>
  <si>
    <t>Analysis and Calculation of Radiation Patterns of Cassegrain Antennas</t>
  </si>
  <si>
    <t>10.1109/8.55578</t>
  </si>
  <si>
    <t>2-s2.0-0025447060</t>
  </si>
  <si>
    <t>['wide bandwidth', 'required fidelity', 'receiving antenna', 'optimum design', 'new type', 'high fidelity', 'electromagnetic pulse', 'better understanding', 'approximate analysis', '14 ghz', '100 ps']</t>
  </si>
  <si>
    <t>In order to detect very short electromagnetic pulses under 100 ps in width, a receiving antenna with a wide bandwidth from 0 to 14 GHz is needed. The usual short dipoles or monopoles do not provide both the required fidelity (bandwidth) and sensitivity. A new type of electromagnetic pulse (EMP) sensor has been designed, analyzed, and tested. It is simple, inexpensive, and can detect the electromagnetic pulse with both high fidelity and sensitivity. An approximate analysis is given for better understanding and optimum design of the proposed EMP antenna. ¬© 1990 IEEE</t>
  </si>
  <si>
    <t>838-846</t>
  </si>
  <si>
    <t>60009982;60009982;60009982</t>
  </si>
  <si>
    <t>36347602500;35586046100;7404816148</t>
  </si>
  <si>
    <t>Shen, Hao Ming;King, Ronold W.P.;Wu, Tai T.</t>
  </si>
  <si>
    <t>Harvard University</t>
  </si>
  <si>
    <t>Shen H.M.</t>
  </si>
  <si>
    <t>New Sensors for Measuring Very Short Electromagnetic Pulses</t>
  </si>
  <si>
    <t>10.1109/8.55580</t>
  </si>
  <si>
    <t>2-s2.0-0025447061</t>
  </si>
  <si>
    <t>['unwanted modes', 'resonant frequency', 'measured data', 'input impedance', 'feed probe']</t>
  </si>
  <si>
    <t>Effects of feed probe and the ground plane size on the resonant frequency as well as the input impedance of a microstrip patch antenna are investigated. Measured data are provided for the first few modes, and the method for cancellation of the unwanted modes is proposed and examined. ¬© 1990 IEEE</t>
  </si>
  <si>
    <t>942-946</t>
  </si>
  <si>
    <t>56838195100;8092251400</t>
  </si>
  <si>
    <t>Antoszkiewicz, K.;Shafai, Lotfollah</t>
  </si>
  <si>
    <t>Antoszkiewicz K.</t>
  </si>
  <si>
    <t>Impedance Characteristics of Circular Microstrip Patches</t>
  </si>
  <si>
    <t>10.1109/8.55597</t>
  </si>
  <si>
    <t>2-s2.0-0025447062</t>
  </si>
  <si>
    <t>['transverse magnetic', 'scattering properties', 'resulting system', 'particular interest', 'paper deals', 'numerical examples', 'new technique', 'large apertures', 'finite element', 'electromagnetic characterisation', 'also incorporated']</t>
  </si>
  <si>
    <t>This paper deals with the electromagnetic characterisation of the transmission and scattering properties of an aperture in a thick conducting plane filled with an inhomogeneous composite material for transverse magnetic (TM) polarisation. Of particular interest in this analysis is the introduction of a new technique that combines the finite element and boundary integral methods. The conjugate gradient method and fast Fourier transform are also incorporated for the solution of the resulting system to allow the treatment of large apertures. Numerical examples are presented which demonstrate the validity, versatility and capability of the technique.</t>
  </si>
  <si>
    <t>153-159</t>
  </si>
  <si>
    <t>Jin, J. M.;Volakis, J. L.</t>
  </si>
  <si>
    <t>Jin J.M.</t>
  </si>
  <si>
    <t>TM scattering by an inhomogeneously filled aperture in a thick conducting plane</t>
  </si>
  <si>
    <t>10.1049/ip-h-2.1990.0030</t>
  </si>
  <si>
    <t>2-s2.0-0025447075</t>
  </si>
  <si>
    <t>['transmitter operation', 'temperature measurements', 'shuttle orbiter', 'measurement technique', 'made using', 'kw cw', 'experimental results', '5 ghz']</t>
  </si>
  <si>
    <t>Temperature measurements of a high-power microwave feedhorn window during transmitter operation at 365-kW CW and 8.5 GHz were made using an imaging infrared radiometer. The window under investigation was constructed of HTP-6, a high thermal performance material developed to shield the shuttle orbiter from the heat of reentry. The measurement technique is described and experimental results are presented. ¬© 1990 IEEE</t>
  </si>
  <si>
    <t>501-503</t>
  </si>
  <si>
    <t>60009037;60009037;60009037</t>
  </si>
  <si>
    <t>7103053272;57217550811;56717932800</t>
  </si>
  <si>
    <t>Hoppe, Daniel J.;Perez, Raul M.;Glazer, Stuart D.</t>
  </si>
  <si>
    <t>Hoppe D.J.</t>
  </si>
  <si>
    <t>Temperature Measurements of a High-Power Microwave Feedhorn Window</t>
  </si>
  <si>
    <t>10.1109/19.106280</t>
  </si>
  <si>
    <t>2-s2.0-0025447352</t>
  </si>
  <si>
    <t>['te21 excitations', 'spillover loss', 'spillover curves', 'reflector antenna', 'rectangular guides', 'monopulse application', 'also discussed']</t>
  </si>
  <si>
    <t>An important and frequently used parameter in the design of a feed for a reflector antenna is the spillover loss. A set of spillover curves is presented for several common feeds, namely circular waveguides with TE11 or TE21 excitations, rectangular guides for the monopulse application, etc. The difference between two common methods of normalizing the feed input power is also discussed. ¬© 1990 IEEE</t>
  </si>
  <si>
    <t>940-942</t>
  </si>
  <si>
    <t>7601396617;7202495702</t>
  </si>
  <si>
    <t>Lee, Shung Wu;Zimmerman, Martin L.</t>
  </si>
  <si>
    <t>Lee S.</t>
  </si>
  <si>
    <t>Reflector Spillover Loss of an Open-Ended Rectangular and Circular Waveguide Feed</t>
  </si>
  <si>
    <t>10.1109/8.55596</t>
  </si>
  <si>
    <t>2-s2.0-0025447370</t>
  </si>
  <si>
    <t>['wiley company', 'parasitic elements', 'microstrip array', 'inc .,', 'impedance characteristics', 'experimentally investigated']</t>
  </si>
  <si>
    <t>array | Microstrip | patch antenna</t>
  </si>
  <si>
    <t>A microstrip array at 18.4 GHz consisting of 16 √ó 16 rectangular electromagnetically coupled patch antennas operating in the high‚Äêgain region is experimentally investigated. The pattern and impedance characteristics of the array are compared with the case when the parasitic elements are removed. Copyright ¬© 1990 Wiley Periodicals, Inc., A Wiley Company</t>
  </si>
  <si>
    <t>199-200</t>
  </si>
  <si>
    <t>24522606100;7501501369</t>
  </si>
  <si>
    <t>Lee, R. Q.;Lee, K. F.</t>
  </si>
  <si>
    <t>Lee R.Q.</t>
  </si>
  <si>
    <t>A 16 √ó 16 microstrip array of electromagnetically coupled patches operating in the high‚Äêgain region</t>
  </si>
  <si>
    <t>10.1002/mop.4650030604</t>
  </si>
  <si>
    <t>2-s2.0-0025448129</t>
  </si>
  <si>
    <t>['total field', 'tangential field', 'stripline modes', 'space harmonics', 'soft strip', 'reduce size', 'propagation constant', 'principle exhibits', 'millimeter waves', 'loaded horns', 'loaded horn', 'interesting alternative', 'infinite series', 'hybrid factor', 'horn represents', 'horn may', 'horn dimensions', 'hard strip', 'floquet modes', 'electrical behavior', 'dielectric wall', 'dielectric boundary', 'corrugated horn', 'continuous across', 'cluster feeds', 'circular cylindrical', 'band applications', 'analyzed theoretically']</t>
  </si>
  <si>
    <t>Strip-loaded horns with transverse (soft) and longitudinal (hard) strips are analyzed theoretically. The method is based on a circular cylindrical and uniform waveguide model with a periodic strip structure. The field is represented by an infinite series of space harmonics (Floquet modes) in the air-filled central region and in the dielectrically filled wall region. The tangential field is forced to be continuous across the air-dielectric boundary. The propagation constant and the total field (including the hybrid factor) can be determined by solving the resulting matrix equations. The convergence of the solution has been accelerated by calculating the higher order terms analytically. It has been shown that the soft strip-loaded horn in principle exhibits the same electrical behavior as a corrugated horn. The horn represents an interesting alternative to the corrugated horn in wideband or dual-band applications, in particular for millimeter waves and for lightweight applications onboard satellites. The hard strip-loaded horn has potentially high gain and low cross polarization over a certain frequency range, dependent on the horn dimensions, thickness of the dielectric wall and on how strong the stripline modes are being excited. This horn may be used in cluster feeds to reduce spillover across the reflector, and in limited scan arrays to reduce size, weight, and complexity. ¬© 1990 IEEE</t>
  </si>
  <si>
    <t>783-793</t>
  </si>
  <si>
    <t>Lier, Erik</t>
  </si>
  <si>
    <t>Lier E.</t>
  </si>
  <si>
    <t>Analysis of Soft and Hard Strip-Loaded Horns Using a Circular Cylindrical Model</t>
  </si>
  <si>
    <t>10.1109/8.55573</t>
  </si>
  <si>
    <t>2-s2.0-0025448174</t>
  </si>
  <si>
    <t>45-48</t>
  </si>
  <si>
    <t>60023053;60023053</t>
  </si>
  <si>
    <t>7006474952;35389095700</t>
  </si>
  <si>
    <t>Kremer, D. P.;Newell, A. C.</t>
  </si>
  <si>
    <t>Kremer D.</t>
  </si>
  <si>
    <t>Alignment Fixture for Millimeter Waveguide</t>
  </si>
  <si>
    <t>10.1109/74.80527</t>
  </si>
  <si>
    <t>2-s2.0-0025448177</t>
  </si>
  <si>
    <t>['transmission equation', 'spacecraft nusat1', 'separate channels', 'receiving antennas', 'power level', 'polarization mismatch', 'methods originated', 'losses due', 'linearly polarized', 'large antenna', 'incident radiation', 'gain pattern', 'equations numerically', 'circularly polarized', 'actually computed']</t>
  </si>
  <si>
    <t>Two computational methods for obtaining the gain pattern of a large antenna using power levels recorded by a spacecraft are developed from the transmission equation. Nominally, the large antenna is linearly polarized while the spacecraft's receiving antennas are circularly polarized. Since the spacecraft has no attitude control system, the orientation of the receiving antennas is not known a priori nor is its orientation the same from orbit to orbit. The first method relies on an independent spacecraft attitude determination system to furnish the orientation of the receiving antennas. It combines this information with receiving antenna gain measurements to give the power level of the incident radiation. Losses due to polarization mismatch are taken into account, but polarization loss factors are not actually computed. The second method relates simultaneous measurements made by separate channels with separate receiving antennas. By solving a system of equations numerically, one can determine the direction of the incident radiation as well as its power level. This alleviates the need for an attitude determination system. These methods originated in the operations of the spacecraft NUSAT1 (Northern Utah Satellite). ¬© 1990 IEEE</t>
  </si>
  <si>
    <t>883-888</t>
  </si>
  <si>
    <t>Talaga, Paul</t>
  </si>
  <si>
    <t>Ogden</t>
  </si>
  <si>
    <t>Weber State University</t>
  </si>
  <si>
    <t>Talaga P.</t>
  </si>
  <si>
    <t>The Measurement of a Large Antenna Using a Spacecraft as a Receiver</t>
  </si>
  <si>
    <t>10.1109/8.55586</t>
  </si>
  <si>
    <t>2-s2.0-0025448226</t>
  </si>
  <si>
    <t>['various errors', 'resulting processors', 'new method', 'lower bounds', 'ideal cases', 'computer simulations', 'array response', 'also easily', 'allowable upper', 'actual scenario']</t>
  </si>
  <si>
    <t>A new method for the design of adaptive array processors based on semi-infinite quadratic optimisation techniques is presented. The method is to minimise array output power subject to linear functional inequality constraints. Various errors and mismatches between ideal cases and actual scenario are incorporated into the constraints, which set the allowable upper and lower bounds on the array response to the desired signal within the prescribed error ranges; thus, the resulting processors are robust. Computer simulations and comparisons with Frost's processors are given to show the performances. The new method can also easily be extended to the design of broadband array processors with errors and mismatches.</t>
  </si>
  <si>
    <t>177-182</t>
  </si>
  <si>
    <t>60005465;60005465</t>
  </si>
  <si>
    <t>57215619461;7402475079</t>
  </si>
  <si>
    <t>Liu, Z.;Gong, Y. H.</t>
  </si>
  <si>
    <t>Chengdu</t>
  </si>
  <si>
    <t>University of Electronic Science and Technology of China</t>
  </si>
  <si>
    <t>Liu Z.</t>
  </si>
  <si>
    <t>Semi-infinite quadratic optimisation method for the design of robust adaptive array processors</t>
  </si>
  <si>
    <t>10.1049/ip-f-2.1990.0026</t>
  </si>
  <si>
    <t>2-s2.0-0025448227</t>
  </si>
  <si>
    <t>['wave structure', 'transverse motion', 'theoretical investigation', 'reached 7', 'rdg ).', 'pulse duration', 'plasma formed', 'peak parameters', 'horn antenna', 'generator output', 'experiments aimed', 'experimental study', 'electronic efficiency', 'considerable importance', 'beam interaction', 'beam electrons', '9 gw', '8 mm', '7 us', '5 gw', '3 mm']</t>
  </si>
  <si>
    <t>Theoretical and experimental study has been made of the operation of a millimeter-wavelength-range sectional relativistic diffraction generator (RDG). Microwave power transported into the atmosphere with the peak parameters of 3.5 GW and 4.5 GW at the wavelengths of 6.5 to 6.8 mm and 9 to 11.3 mm, respectively, has been obtained. The power at the generator output, up to a horn antenna, has reached 7 and 9 GW for each of the regimes, respectively, the electronic efficiency being equal to approximately 30%. Plasma formed in a slow-wave structure of the RDG is established to be of considerable importance for radiation pulse duration limitation. Experiments aimed at increasing the pulse duration up to 0.7 us have been performed. Theoretical investigation of the beam interaction with a slow-wave structure field has shown that the generation frequency may be determined by the resonance features due to the transverse motion of beam electrons. ¬© 1990 IEEE</t>
  </si>
  <si>
    <t>518-524</t>
  </si>
  <si>
    <t>60069974;60069974;60069974;60069974;60069974;60069974</t>
  </si>
  <si>
    <t>7005721355;7006376914;7005068743;7103357955;56391791800;7202511764</t>
  </si>
  <si>
    <t>Bugaev, S. P.;Cherepenin, V. A.;Kanavets, V. I.;Koshelev, V. I.;Popov, V. A.;Vlasov, A. N.</t>
  </si>
  <si>
    <t>Russian Federation</t>
  </si>
  <si>
    <t>Tomsk</t>
  </si>
  <si>
    <t>Institute of High Current Electronics of Siberian Branch of the Russian Academy of Sciences</t>
  </si>
  <si>
    <t>Bugaev S.</t>
  </si>
  <si>
    <t>Investigation of a Millimeter-Wavelength-Range Relativistic Diffraction Generator</t>
  </si>
  <si>
    <t>10.1109/27.55923</t>
  </si>
  <si>
    <t>2-s2.0-0025448233</t>
  </si>
  <si>
    <t>['wiley company', 'thick substrates', 'studied using', 'simplified treatment', 'measured results', 'inc .,', 'agree well']</t>
  </si>
  <si>
    <t>Integral equations | method of moments | microstrip antennas</t>
  </si>
  <si>
    <t>Arbitrarily shaped coax‚Äêfed microstrip patch antennas on thick substrates are studied using a hybrid mixed‚Äêpotential integral equation approach, which incorporates a triangle‚Äêelement model of the patch and a simplified treatment of the probe‚Äêto‚Äêpatch junction. Computed input impedance data are shown to agree well with measured results. Copyright ¬© 1990 Wiley Periodicals, Inc., A Wiley Company</t>
  </si>
  <si>
    <t>200-203</t>
  </si>
  <si>
    <t>7202567207;7004961387</t>
  </si>
  <si>
    <t>Zheng, Dalian;Michalski, Krzysztof A.</t>
  </si>
  <si>
    <t>Zheng D.</t>
  </si>
  <si>
    <t>Analysis of arbitrarily shaped COAX‚ÄêFED microstrip antennas‚Äîa hybrid mixed‚Äêpotential integral equation approach</t>
  </si>
  <si>
    <t>10.1002/mop.4650030605</t>
  </si>
  <si>
    <t>2-s2.0-0025448286</t>
  </si>
  <si>
    <t>['systems needs', 'situ processing', 'material growth', 'electronic components', 'device fabrication']</t>
  </si>
  <si>
    <t>A review of the research on material growth, device fabrication, in-situ processing, state-of-the-art discrete optical and electronic components, optoelectronic integrated circuit (OEIC) transmitters and receivers, and systems needs for OEIC‚Äôs is presented. The promises and challenges facing OEIC‚Äôs are discussed. ¬© 1990 IEEE</t>
  </si>
  <si>
    <t>846-862</t>
  </si>
  <si>
    <t>Journal of Lightwave Technology</t>
  </si>
  <si>
    <t>60020304;60023456;60021378;60025778</t>
  </si>
  <si>
    <t>57209758638;7007152161;35596199400;7202370444</t>
  </si>
  <si>
    <t>Dagenais, Mario;Leheny, Robert F.;Temkin, Henryk;Bhattacharya, Pallab</t>
  </si>
  <si>
    <t>United States;United States;United States;United States</t>
  </si>
  <si>
    <t>Ann Arbor;Piscataway;Murray;College Park</t>
  </si>
  <si>
    <t>University of Michigan, Ann Arbor;Telcordia Technologies, Inc.;Nokia Bell Labs;University of Maryland, College Park</t>
  </si>
  <si>
    <t>60025778;60023456;60021378;60020304</t>
  </si>
  <si>
    <t>Dagenais M.</t>
  </si>
  <si>
    <t>Applications and Challenges of OEIC Technology: A Report on the 1989 Hilton Head Workshop</t>
  </si>
  <si>
    <t>10.1109/50.54501</t>
  </si>
  <si>
    <t>2-s2.0-0025448388</t>
  </si>
  <si>
    <t>['walled horn', 'new class', 'horn antennas', 'experiments show', 'elliptical beam', 'corrugated horns', 'beamshape horns']</t>
  </si>
  <si>
    <t>Horn antennas with an elliptical beam and low cross polarization are discussed. A new class of elliptical-beamshape horns has been investigated. The horns are based on the ‚Äúdielectric core‚Äù approach, using a dielectric core inside a smooth-walled horn. Horns with rectangular as well as elliptical cross sections have been studied. Experiments show that they have considerably larger crosspolar bandwidth than that obtained from corrugated horns with an elliptical beam. They are also potentially much cheaper to manufacture. ¬© 1990 IEEE</t>
  </si>
  <si>
    <t>800-805</t>
  </si>
  <si>
    <t>Broadband Elliptical-Beamshape Horns with Low Cross Polarization</t>
  </si>
  <si>
    <t>10.1109/8.55575</t>
  </si>
  <si>
    <t>2-s2.0-0025448409</t>
  </si>
  <si>
    <t>['vht ),', 'vector dual', 'theoretical results', 'singular nature', 'rigorous analysis', 'resonance frequencies', 'probe excitation', 'microstrip antennas', 'microstrip antenna', 'integral equations', 'good agreement', 'current distributions', 'current distribution', 'conductive patches', 'arl circular']</t>
  </si>
  <si>
    <t>A rigorous analysis of the natural resonance frequencies and input impedance characteristics of an annular-ring-loaded (ARL) circular-disk microstrip antenna is presented. Using vector Hankel transforms (VHT), the problem is formulated in terms of vector dual-integral equations. Galerkin's method is then used to solve the equations to obtain the resonance frequencies and the current distributions on the conductive patches arising from a probe excitation. Due to the singular nature of the current distribution, the singularity subtraction method has been used to accelerate the convergence of basis function expansions. Experiments for determining resonance frequencies and input impedance characteristics of an ARL circular-disk microstrip antenna with various substrate thicknesses have been made. The theoretical results are in good agreement with the experimental data even when the thickness of the substrate is 0.1 substrate wavelength. It is shown that this theory can be used to analyze some microstrip antennas with an electrically thick substrate, including mutual coupling between conductive patches or between the patch and the feed of a microstrip antenna. ¬© 1990 IEEE</t>
  </si>
  <si>
    <t>806-813</t>
  </si>
  <si>
    <t>55645491100;26643168800;7401934487</t>
  </si>
  <si>
    <t>Nie, Zaiping;Chew, Weng Cho;Lo, Yuen Tze</t>
  </si>
  <si>
    <t>Nie Z.</t>
  </si>
  <si>
    <t>Analysis of the Annular-Ring-Loaded Circular-Disk Microstrip Antenna</t>
  </si>
  <si>
    <t>10.1109/8.55576</t>
  </si>
  <si>
    <t>2-s2.0-0025448605</t>
  </si>
  <si>
    <t>['resolution performance', 'optimisation problem', 'norm method', 'estimation implies', 'computational complexity', 'also implies']</t>
  </si>
  <si>
    <t>It is desirable to reduce the computational complexity and improve the resolution of an estimator whenever possible. It is shown in the paper that, for a spatial spectrum estimator using either the linear predictive method or the minimum-norm method, the number of constraints can be reduced by one when the optimum weight vector is obtained using real vector notation. The reduction in the number of constraints in the estimation implies a reduction in computational complexity and a possibility of an increase in the degree of freedom in solving the optimisation problem. This also implies that the modified spectral estimate should be as good, if not better, than the original spectral estimate in terms of resolution performance.</t>
  </si>
  <si>
    <t>187-191</t>
  </si>
  <si>
    <t>Constraints for linear predictive and minimum-norm methods in bearing estimation</t>
  </si>
  <si>
    <t>10.1049/ip-f-2.1990.0028</t>
  </si>
  <si>
    <t>2-s2.0-0025448720</t>
  </si>
  <si>
    <t>['resonance appears', 'fed antenna', 'backscatter measurement', 'backscatter data']</t>
  </si>
  <si>
    <t>A method is presented for determining the gain of antennas from analysis of backscatter data of the antenna. This approach is different from those which have been presented in the past because it accounts for the presence of resonances which can occur in the antenna during a backscatter measurement. In particular, this type of resonance appears in the backscatter measurement of symmetric reflector antennas. The application of this technique is applied to determine the gain of a Ka-band Cassegrain antenna and an X-band prime focus-fed antenna. ¬© 1990 IEEE</t>
  </si>
  <si>
    <t>896-902</t>
  </si>
  <si>
    <t>23001929200;6603843146;8362621300</t>
  </si>
  <si>
    <t>Lambert, Kevin M.;Rudduck, Roger C.;Lee, Teh Hong</t>
  </si>
  <si>
    <t>Lambert K.</t>
  </si>
  <si>
    <t>A New Method for Obtaining Antenna Gain from Backscatter Measurements</t>
  </si>
  <si>
    <t>10.1109/8.55588</t>
  </si>
  <si>
    <t>2-s2.0-0025448866</t>
  </si>
  <si>
    <t>['soft constraint', 'simple computationally', 'priori knowledge', 'phase space', 'observed data', 'look direction', 'linear function', 'interference suppression', 'interference sources', 'interference power', 'interference directions', 'essentially independent', 'computer results', 'array size', 'array output', '11 ms']</t>
  </si>
  <si>
    <t>An adaptive technique utilizing phase-only in interference suppression for a planar phased array is presented. No a priori knowledge of the interference directions is assumed, and the observed data are at the array output only: a single receiver system. The sequential orthogonal search directions in the phase space are predetermined, and the algorithm is very simple computationally. Using the criterion of minimizing the interference power and a soft constraint in the look direction, for a 1369 element planar array and three interference sources, the required phase distribution is reached after approximately 2200 time samples, or 11 ms (sampling rate 200 kHz). The convergence time varies approximately as a linear function of the number of interference sources, and it is essentially independent of the array size. Some computer results are given. ¬© 1990 IEEE</t>
  </si>
  <si>
    <t>951-953</t>
  </si>
  <si>
    <t>Fong, Thomas S.</t>
  </si>
  <si>
    <t>Fong T.</t>
  </si>
  <si>
    <t>An Interference Nulling Algorithm for a Single Receiver Phased Array</t>
  </si>
  <si>
    <t>10.1109/8.55599</t>
  </si>
  <si>
    <t>2-s2.0-0025448868</t>
  </si>
  <si>
    <t>Findlay, John W.</t>
  </si>
  <si>
    <t>Findlay J.W.</t>
  </si>
  <si>
    <t>The Calibration Horn Antenna</t>
  </si>
  <si>
    <t>10.1109/74.80520</t>
  </si>
  <si>
    <t>2-s2.0-0025448871</t>
  </si>
  <si>
    <t>['uniformity factor', 'offset configurations', 'offset angle', 'feed pattern', 'feed location', 'edge diffraction', 'diffracted fields', 'aperture shape', 'aperture field', 'also studied', 'also considered']</t>
  </si>
  <si>
    <t>Compact ranges using dual parabolic cylindrical reflectors are investigated, and the dependence of the aperture field on the feed pattern and system geometrical parameters is studied. A uniformity factor is defined to indicate the aperture field uniformity and the significance of the diffracted fields is explored. Offset configurations are also considered and studied. It is shown that their feed location and orientation can be optimized to minimize the geometrical optics cross polarization. The effects of offset angle on the edge diffraction and aperture shape are also studied. ¬© 1990 IEEE</t>
  </si>
  <si>
    <t>814-822</t>
  </si>
  <si>
    <t>Sanad, Mohamed S.A.;Shafai, Lotfollah</t>
  </si>
  <si>
    <t>Sanad M.</t>
  </si>
  <si>
    <t>Dual Parabolic Cylindrical Reflectors Employed as a Compact Range</t>
  </si>
  <si>
    <t>10.1109/8.55577</t>
  </si>
  <si>
    <t>2-s2.0-0025449239</t>
  </si>
  <si>
    <t>['two values', 'theoretical study', 'surface waves', 'space wave', 'radiation efficiency', 'partially radiated', 'contour integral', 'complex plane', 'antenna dimensions']</t>
  </si>
  <si>
    <t>A theoretical study of the problem of excitation of surface waves in wraparound microstrip antennas is presented. The surface waves are obtained by using a contour integral in the complex plane. The surface wave energy loss in the antenna truncation region is partially radiated and interferes with the space wave. The radiation efficiency and the effect of the dielectric substrate truncation on the antenna radiation pattern are shown as functions of antenna dimensions and for two values of substrate dielectric constants. ¬© 1990 IEEE</t>
  </si>
  <si>
    <t>934-938</t>
  </si>
  <si>
    <t>60024989;60024989;60029570</t>
  </si>
  <si>
    <t>35617724800;57214022122;7004822283</t>
  </si>
  <si>
    <t>Soares, Antonio J.M.;Fonseca, S√©rgio B.A.;Giarola, Attilio J.</t>
  </si>
  <si>
    <t>Brazil;Brazil</t>
  </si>
  <si>
    <t>Campinas;Brasilia</t>
  </si>
  <si>
    <t>Universidade Estadual de Campinas;Universidade de Bras√≠lia</t>
  </si>
  <si>
    <t>60029570;60024989</t>
  </si>
  <si>
    <t>Soares A.J.M.</t>
  </si>
  <si>
    <t>Space Wave Radiation Efficiency of a Wraparound Antenna and the Effect of Surface Wave Radiation Due to the Dielectric Substrate Truncation</t>
  </si>
  <si>
    <t>10.1109/8.55594</t>
  </si>
  <si>
    <t>2-s2.0-0025449240</t>
  </si>
  <si>
    <t>['relative merits', 'radiation information', 'microstrip line', 'method developed', 'input impedance', 'experimental results', 'different structures', 'coaxial probe']</t>
  </si>
  <si>
    <t>A study of multilayer microstrip antennas by coaxial probe or microstrip line is presented. The method developed is applicable to structures with stacked or offset radiating elements of various shapes including rectangles, discs and triangles. Theoretical and experimental results of input impedance are given for the different structures. Radiation information is presented and the relative merits of different structures are discussed.</t>
  </si>
  <si>
    <t>163-170</t>
  </si>
  <si>
    <t>60110693;60110693;60110693</t>
  </si>
  <si>
    <t>16050119900;6504611070;7003385210</t>
  </si>
  <si>
    <t>Damiano, J. P.;Bennegueouche, J.;Papiernik, A.</t>
  </si>
  <si>
    <t>Nice</t>
  </si>
  <si>
    <t>Universit√© C√¥te d'Azur</t>
  </si>
  <si>
    <t>Damiano J.P.</t>
  </si>
  <si>
    <t>Study of multilayer microstrip antennas with radiating elements of various geometry</t>
  </si>
  <si>
    <t>10.1049/ip-h-2.1990.0032</t>
  </si>
  <si>
    <t>2-s2.0-0025449278</t>
  </si>
  <si>
    <t>['truncated pseudonoise', 'results found', 'radar system', 'promising also', 'optimization algorithm', 'new algorithm', 'matched filtering', 'concatenated codes', 'barker codes', 'authors suggest']</t>
  </si>
  <si>
    <t>Binary coding waveform sidelobe reduction after matched filtering is an active research topic both in radar system and, in some cases, spread spectrum communication applications. The authors suggest a new algorithm and present a rather general method, by which optimized sidelobe suppression filters for Barker codes can be obtained with the peak output sidelobe 2.62 dB lower than the results found in the literature (for 13 bit Barker code). This optimization algorithm is promising also for other binary coding waveforms, such as truncated pseudonoise (PN) sequences and concatenated codes. ¬© 1990 IEEE</t>
  </si>
  <si>
    <t>673-677</t>
  </si>
  <si>
    <t>60003970;60012954</t>
  </si>
  <si>
    <t>7102785426;6603909412</t>
  </si>
  <si>
    <t>Hua, Chen Xiao;Oksman, Juhani</t>
  </si>
  <si>
    <t>Finland;China</t>
  </si>
  <si>
    <t>Oulu;Hangzhou</t>
  </si>
  <si>
    <t>Oulun Yliopisto;Zhejiang University</t>
  </si>
  <si>
    <t>60012954;60003970</t>
  </si>
  <si>
    <t>Hua C.</t>
  </si>
  <si>
    <t>A New Algorithm To Optimize Barker Code Sidelobe Suppression Filters</t>
  </si>
  <si>
    <t>10.1109/7.55562</t>
  </si>
  <si>
    <t>2-s2.0-0025452307</t>
  </si>
  <si>
    <t>Office of Naval Research</t>
  </si>
  <si>
    <t>ONR</t>
  </si>
  <si>
    <t>['unique features', 'short ranges', 'preliminary results', 'phase stabilization', 'paper discusses', 'new hampshire', 'linearization circuitry', 'inexpensive dual', 'incidence angles', 'engineering laboratory', 'crrel experiments', 'crrel ),', '60 ¬∞', '11 ghz', '0 ¬∞']</t>
  </si>
  <si>
    <t>We developed an inexpensive dual-frequency FM radar for polarimetric scattering measurements. The system can collect polar imetric data at 5.9 and 11 GHz over incidence angles from 0¬∞to 60¬∞ with all four linear polarizations. It can be used for measurements at ranges from 3 to 30 m. The unique features of the system include dual-frequency offset parabolic antenna that can be focused for measurements at short ranges, phase stabilization and linearization circuitry, and an adaptive digital signal processor. This system has been and will be used for measurements over artificially grown sea ice at the U.S. Army Cold Regions Research and Engineering Laboratory (CRREL), in Hanover, New Hampshire. This paper discusses the design and construction of this system, with emphasis on the antenna, and presents the preliminary results from CRREL experiments. ¬© 1990 IEEE</t>
  </si>
  <si>
    <t>35513627000;6701559478;54790583100</t>
  </si>
  <si>
    <t>Gogineni, Sivaprasad;Hoover, Frederick A.;Bredow, Jonathan W.</t>
  </si>
  <si>
    <t>Gogineni S.</t>
  </si>
  <si>
    <t>High-Performance, Inexpensive Polarimelric Radar for in Situ Measurements</t>
  </si>
  <si>
    <t>10.1109/TGRS.1990.572916</t>
  </si>
  <si>
    <t>2-s2.0-0025453990</t>
  </si>
  <si>
    <t>['voice processing', 'truly astonishing', 'technological developments', 'satellite power', 'recent successes', 'radio telephone', 'private networks', 'position location', 'paging systems', 'paging services', 'one system', 'one radio', 'offers unique', 'noise receivers', 'market needs', 'market demands', 'make possible', 'latest developments', 'industrial societies', 'highly mobile', 'ground systems', 'given along', 'general advantages', 'cost microelectronics', 'cost characteristics', 'compelling advantages', 'cellular radio', 'antenna size']</t>
  </si>
  <si>
    <t>The recent successes of cellular radio and paging systems have been truly astonishing, reflecting the substantial mobile communications needs of modern, highly mobile, industrial societies. The latest developments in low-cost microelectronics, switching, and voice processing have fueled these technological developments. At the same time, increases in satellite power and antenna size and improvements in low-noise receivers now make possible the provision of mobile radio services by satellite, which offers unique and compelling advantages in the markets it can serve. Mobile satellite service offers voice, data, position location, and paging services, interconnection to the public switched telephone network, and the possibility of private networks. These will be provided by one radio, in one frequency band, by one system. The general advantages and potential operating characteristics of MSS are described, and distinctions are made between radio telephone, which is interconnected to the public switched telephone network, and private mobile radio systems. Performance and cost characteristics are given along with summaries of market needs and market demands. Both space and ground systems of the MSS are described. ¬© 1990 IEEE</t>
  </si>
  <si>
    <t>1107-1115</t>
  </si>
  <si>
    <t>Kiesling, John D.</t>
  </si>
  <si>
    <t>Kiesling J.</t>
  </si>
  <si>
    <t>Land Mobile Satellite Systems</t>
  </si>
  <si>
    <t>10.1109/5.56926</t>
  </si>
  <si>
    <t>2-s2.0-0025453993</t>
  </si>
  <si>
    <t>['technologies used', 'signal amplification', 'short tutorial', 'satellite antennas', 'possible new', 'many factors', 'identified along', 'future possibilities', 'emerging technologies', 'current state', 'continuing influence', 'conclusion summarizes', 'brief look', 'benchmark representing']</t>
  </si>
  <si>
    <t>Many factors, past and present, continue to influence the direction and rate of progress in civil communications satellite advancement. This paper addresses one of these factors, technology, both as an enabler and as a driver of new and improved communications satellites. A brief look at the beginnings and evolution of satellite communications clearly reveals the continuing influence of technology over the past 25 years. This is followed by an assessment of the current state of the art, which will serve as a benchmark representing how far we have come and as a basis for comparison for future possibilities. Here, a short tutorial on communications satellite basics is presented, followed by an assessment of technologies used for satellite antennas and signal amplification and routing. A discussion of future service requirements follows, and new and emerging technologies are identified along with possible new and improved communications capabilities that can result from them. The conclusion summarizes our outlook of the role of technology for future communication satellites. ¬© 1990 IEEE</t>
  </si>
  <si>
    <t>1190-1205</t>
  </si>
  <si>
    <t>60026717;60007742</t>
  </si>
  <si>
    <t>6701848556;7004465295</t>
  </si>
  <si>
    <t>Bagwell, James W.;Mahle, Christoph E.</t>
  </si>
  <si>
    <t>Cleveland;Clarksburg</t>
  </si>
  <si>
    <t>NASA Glenn Research Center;Comsat Laboratories</t>
  </si>
  <si>
    <t>Bagwell J.</t>
  </si>
  <si>
    <t>The Role of Technology in Influencing Future Civil Communications Satellites</t>
  </si>
  <si>
    <t>10.1109/5.56932</t>
  </si>
  <si>
    <t>2-s2.0-0025454054</t>
  </si>
  <si>
    <t>['user scenario', 'ultimately selected', 'systems interoperability', 'system configurations', 'still possible', 'stems mainly', 'several options', 'second generation', 'progressed enough', 'planned drss', 'phase c', 'phase bl', 'orbit infrastructure', 'operational mission', 'next century', 'nasa tracking', 'improved spacecraft', 'final decision', 'european decision', 'european autonomy', 'embark upon', 'drtss ))', 'discussed together', 'development phase', 'design may', 'current status', 'current design', 'briefly reviewing', 'advanced technology']</t>
  </si>
  <si>
    <t>The need for a European data relay system (DRS) stems mainly from the European decision to embark upon the development of the In-Orbit Infrastructure (IOI) requiring continuous communication capability between space and ground. At the same time, European autonomy, as well as integration and support to the other existing or planned DRSs, was sought. After briefly reviewing the users' requirements and the results of traffic scenario simulations needed to size the system, the current design of DRS (ground and space segment), as at the start of Phase Bl (July 1989), is presented in detail. This design may not be the one which will be ultimately selected for the Development Phase (Phase C/D). Several options are still possible, such as the use of an S-band multiple access array antenna. A final decision will only be taken in 1991 when the development of the Technology Mission Satellite will have progressed enough to assess the feasibility of incorporating some of its advanced technology in an operational mission, as is the DRS. The interrelationship with the other data relay systems (NASA tracking and data relay satellite system (TDRSS) and the Japanese data relay and tracking satellite system (DRTSS)) is discussed together with the current status of systems interoperability. Finally, the evolution of DRS into a second generation, foreseen for operation at the beginning of next century, is outlined in terms of user scenario, improved spacecraft and system configurations, and technology developments needed. ¬© 1990 IEEE</t>
  </si>
  <si>
    <t>1152-1164</t>
  </si>
  <si>
    <t>60029398;60029398;60031159</t>
  </si>
  <si>
    <t>6603550082;56866764000;7202325825</t>
  </si>
  <si>
    <t>Berretta, Giuliano;Agostini, Agostino De;Dickinson, Antony</t>
  </si>
  <si>
    <t>Netherlands;France</t>
  </si>
  <si>
    <t>Noordwijk aan Zee;Paris</t>
  </si>
  <si>
    <t>ESTEC - European Space Research and Technology Centre;European Space Agency - ESA</t>
  </si>
  <si>
    <t>60031159;60029398</t>
  </si>
  <si>
    <t>Berretta G.</t>
  </si>
  <si>
    <t>The European Data Relay System: Present Concept and Future Evolution</t>
  </si>
  <si>
    <t>10.1109/5.56929</t>
  </si>
  <si>
    <t>2-s2.0-0025454677</t>
  </si>
  <si>
    <t>NAS5-29385</t>
  </si>
  <si>
    <t>['water features', 'tested aboard', 'substantial reduction', 'stick antennas', 'sample point', 'radiometer measures', 'nasa p', 'major land', 'landsat image', 'june 1988', 'fourier transform', 'complex correlation', 'bright outlook', 'baseline produces', 'aircraft prototype']</t>
  </si>
  <si>
    <t>The Goddard Space Flight Center and the University of Massachusetts have been developing a synthetic aperture radiometer for microwave remote sensing of the earth. The radiometer measures the complex correlation of the voltage from pairs of antennas at many different baselines. Each baseline produces a sample point in the Fourier transform of the scene, and a map of the scene itself is obtained after all measurements have been made by inverting the transform. A substantial reduction can be obtained in this manner in the antenna collecting area required compared to a conventional imaging radiometer. An aircraft prototype to demonstrate this concept is being developed at L-band to measure soil moisture. The prototype is a hybrid which uses real aperture antennas to obtain resolution along-track (stick antennas) and employs aperture synthesis to obtain resolution acrosstrack. The prototype was flight-tested aboard the NASA P-3 in June 1988. During this flight a map was made of the Delmarva Peninsula south of NASA‚Äôs Wallops Flight Facility. This initial map shows the major land/water features and compares very favorably with a Landsat image of the area, suggesting a bright outlook for the development of this technique in the future. ¬© 1990 IEEE</t>
  </si>
  <si>
    <t>614-619</t>
  </si>
  <si>
    <t>60006337;60006337;60014313;60014313;60014313</t>
  </si>
  <si>
    <t>7005621665;7202198121;7103174511;7101802161;6603127587</t>
  </si>
  <si>
    <t>Le Vine, David M.;Kao, Michael;Tanner, Alan B.;Swift, Calvin T.;Griffis, Andrew</t>
  </si>
  <si>
    <t>Amherst MA;Greenbelt</t>
  </si>
  <si>
    <t>University of Massachusetts Amherst;NASA Goddard Space Flight Center</t>
  </si>
  <si>
    <t>60014313;60006337</t>
  </si>
  <si>
    <t>Le Vine D.</t>
  </si>
  <si>
    <t>Initial Results in the Development of a Synthetic Aperture Microwave Radiometer</t>
  </si>
  <si>
    <t>10.1109/TGRS.1990.572965</t>
  </si>
  <si>
    <t>2-s2.0-0025456070</t>
  </si>
  <si>
    <t>['wide range', 'sar ).', 'perhaps increased', 'minimum value', 'mapping geometry', 'height antenna', 'grazing angles', 'ghz sar', 'discrete heights', 'broadside mapping', 'azimuth resolution', 'ambiguity constraint', 'altitude orbit', '2142 km2']</t>
  </si>
  <si>
    <t>Broadside mapping with high area rates over a wide range of grazing angles is possible with a variable antenna area for a spaceborne Synthetic Aperture Radar (SAR). The rectangular antenna length is fixed by the azimuth resolution, and the antenna area must exceed a minimum value to avoid ambiguous responses in both range and Doppler. The minimum antenna height is established by the ambiguity constraint for each mapping geometry, and then perhaps increased in height to meet an SAR power limit. With a variable-height antenna, mapping area rates up to 2142 km2/s were computed for a 5.3-GHz SAR in an 800-km-altitude orbit. Hardware design issues are addressed, and an active-element phased array with discrete heights is suggested. ¬© 1990 IEEE</t>
  </si>
  <si>
    <t>609-613</t>
  </si>
  <si>
    <t>Tomiyasu, Kiyo</t>
  </si>
  <si>
    <t>Tomiyasu K.</t>
  </si>
  <si>
    <t>Performance of a Proposed Spaceborne Synthetic Aperture Radar with Variable Antenna Height</t>
  </si>
  <si>
    <t>10.1109/TGRS.1990.572964</t>
  </si>
  <si>
    <t>2-s2.0-0025456411</t>
  </si>
  <si>
    <t>['user requirements', 'terminal users', 'system capacity', 'support communications', 'substantial increase', 'shf frequencies', 'satellite communications', 'present systems', 'performance improvement', 'military systems', 'military communications', 'meet needs', 'mature state', 'large number', 'land mobiles', 'jamming environment', 'historical overview', 'grown rapidly', 'generation systems', 'emphasis placed', 'ehf systems', 'detailed description', 'current systems', 'capable satellites', 'architectural trends', 'alternative directions', '2000 era']</t>
  </si>
  <si>
    <t>Military communication via satellites has grown rapidly in the past 20 years. During this period, military systems have progressed through a family of increasingly more capable satellites and so have arrived at a very mature state. To start, a historical overview of military communications by satellites and a detailed description of current systems are provided. The capabilities of the present systems are reviewed in relation to user requirements and threats. It is concluded that use of satellite communications by a large number of small-terminal users (aircraft, ships, submarines, and land mobiles) still requires major technological innovations to meet needs for substantial increase in system capacity and performance improvement in a jamming environment. High-gain satellite antennas with many simultaneous spot beams and onboard signal processing are the two important areas of technology for alleviating the shortcomings of present systems. While it is possible to implement these features at UHF and SHF frequencies, the desire to support communications in a stressed environment strongly favors use of higher EHF frequencies. The next-generation systems of the 1990's are reviewed with emphasis placed on the discussion of EHF systems. As a conclusion, architectural trends are investigated for the post-2000 era. Alternative directions for future systems development, such as the use of highly proliferated satellite constellations, are explored. ¬© 1990 IEEE</t>
  </si>
  <si>
    <t>1176-1189</t>
  </si>
  <si>
    <t>Jain, Pravin C.</t>
  </si>
  <si>
    <t>Jain P.</t>
  </si>
  <si>
    <t>Architectural Trends in Military Satellite Communications Systems</t>
  </si>
  <si>
    <t>10.1109/5.56931</t>
  </si>
  <si>
    <t>2-s2.0-0025456420</t>
  </si>
  <si>
    <t>['¬© 1990', 'singularity arising', 'radiation pattern', 'numerical techniques', 'numerical results', 'numerical investigation', 'monopole structure', 'monopole attached', 'japan society', 'input impedance', 'electrical size', 'different positions', 'different orientations', 'different frequencies', 'current distribution', 'applied physics', 'also considered']</t>
  </si>
  <si>
    <t>Antennas | Disk | Electromagnetic radiation | Galerkin projective method | Monopole | Singularity treatment</t>
  </si>
  <si>
    <t>A numerical investigation is presented here to analyse an arbitrarily-oriented thin conducting wire antenna located anywhere near a circular metallic finite thin disk. An entire domain solution of Galerkin projective method is used. The approach deals also with a monopole attached to the disk and suggests a treatment specially devoted to the singularity arising in such a case. Numerical results are presented for the current distribution and radiation pattern. The input impedance is also considered, in the investigation, at different frequencies so that the effect of change of the electrical size of the disk-monopole structure is illustrated. The study is performed for different positions of the monopole with different orientations, and shows good agreement with previous published experimental and numerical techniques. ¬© 1990 The Japan Society of Applied Physics.</t>
  </si>
  <si>
    <t>1385-1393</t>
  </si>
  <si>
    <t>Japanese Journal of Applied Physics</t>
  </si>
  <si>
    <t>Hassan, Mohamed A.</t>
  </si>
  <si>
    <t>A projective analysis for the arbitrarily-located wire antenna above a circular finite disk</t>
  </si>
  <si>
    <t>10.1143/JJAP.29.1385</t>
  </si>
  <si>
    <t>2-s2.0-0025456553</t>
  </si>
  <si>
    <t>['significant increases', 'scarce mass', 'satellite antennas', 'reflector antennas', 'recent advances', 'primary candidates', 'power resources', 'past quarter', 'ongoing development', 'new technologies', 'multibeam antennas', 'feed arrays', 'existing systems', 'communications satellites', 'circuit antennas', 'caas mmic', 'board satellites']</t>
  </si>
  <si>
    <t>The development of multibeam antenna technology has led to significant increases in the capacity of communications satellites. Conventionally, reflector antennas have been the primary candidates for such systems, and their designs have matured to meet increasing requirements. Recent advances in printed-circuit antennas, and the advent of gallium arsenide monolithic microwave integrated circuits (CaAs MMIC) have enhanced the feasibility of using active phased arrays as multibeam antennas on-board satellites, and as alternatives to (or feeds to) reflectors. These technologies will improve operational flexibility, increase overall capacity, and make better use of scarce mass and power resources of the satellite. The evolution of satellite antennas over the past quarter of a century is presented. Five major areas of advances in communications satellite antenna technology are reviewed: single offset reflectors with feed arrays, shaped reflector systems, active phased arrays, phased-array-fed dual reflector systems, and lightweight feed elements. Examples are given of existing systems and of the ongoing development of new technologies. ¬© 1990 IEEE</t>
  </si>
  <si>
    <t>1214-1232</t>
  </si>
  <si>
    <t>60007742;60011688;60007742;60007742</t>
  </si>
  <si>
    <t>7007059212;7402311213;7003318356;7004239953</t>
  </si>
  <si>
    <t>Zaghloul, Amir I.;Hwang, Yeongminc;Sorbello, Robert M.;Assal, Fran√ßois T.</t>
  </si>
  <si>
    <t>Palo Alto;Clarksburg</t>
  </si>
  <si>
    <t>Space Systems Loral;Comsat Laboratories</t>
  </si>
  <si>
    <t>60011688;60007742</t>
  </si>
  <si>
    <t>Zaghloul A.I.</t>
  </si>
  <si>
    <t>Advances in Multibeam Communications Satellite Antennas</t>
  </si>
  <si>
    <t>10.1109/5.56934</t>
  </si>
  <si>
    <t>2-s2.0-0025456642</t>
  </si>
  <si>
    <t>['worldwide perspective', 'video services', 'technology concepts', 'successful orbiting', 'submarine cables', 'small satellites', 'satellite power', 'packet switching', 'onboard processing', 'onboard circuit', 'new systems', 'multiple beams', 'located anywhere', 'initially driven', 'dynamically hopped', 'directional antennas', '7964 ushered']</t>
  </si>
  <si>
    <t>The successful orbiting of INTELSAT-I in May of 7964 ushered in the satellite communication era. Growth was initially driven by a pent-up demand for transoceanic international trunk telephony communications of a magnitude and scope of connectivity far beyond that possible with the submarine cables. Small satellites, with wide area coverage antennas, transmitting feeble signals between large, expensive earth terminals located in quiet mountain valleys were the order of the day. In the seventies and eighties this picture gradually changed as the satellite communications payloads migrated to more directional antennas, multiple beams, higher power amplifiers and use of the higher frequency bands permitted significant reductions in earth terminal size and cost. As we approach 2000 AD, these directions will continue with even narrower beams, further increases in satellite power and the number of beams, introduction of onboard processing to regenerate digital signal transmissions, onboard circuit, and packet switching of the signals between the up and down beams, phased array narrow multibeam antennas that can be dynamically hopped if necessary and onboard processing to perform programmable bulk demultiplexing and demodulation of many uplink carriers. All of this is aimed at providing highly efficient satellite voice, data, and video services for fixed and mobile terminals using very small, low-cost earth terminals that can be located anywhere on earth to provide communications without the encumbrance of point to point terrestrial linkages. This paper addresses many of the new systems and technology concepts that can be expected from a worldwide perspective. ¬© 1990 IEEE</t>
  </si>
  <si>
    <t>1039-1056</t>
  </si>
  <si>
    <t>60007742;60007742;;60031159</t>
  </si>
  <si>
    <t>7005552392;56317558400;7004253836;6701596006</t>
  </si>
  <si>
    <t>Campanella, S. Joseph;Evans, John V.;Muratani, Takuro;Bartholom√©, Pierre</t>
  </si>
  <si>
    <t>Netherlands;United States</t>
  </si>
  <si>
    <t>Noordwijk aan Zee;Clarksburg</t>
  </si>
  <si>
    <t>ESTEC - European Space Research and Technology Centre;Comsat Laboratories</t>
  </si>
  <si>
    <t>60031159;60007742</t>
  </si>
  <si>
    <t>Campanella S.</t>
  </si>
  <si>
    <t>Satellite Communications Systems and Technology, Circa 2000</t>
  </si>
  <si>
    <t>10.1109/5.56921</t>
  </si>
  <si>
    <t>2-s2.0-0025457415</t>
  </si>
  <si>
    <t>CNR</t>
  </si>
  <si>
    <t>['¬© 1990', 'wind velocity', 'wind loading', 'time domain', 'structure interaction', 'step integration', 'sea level', 'recent research', 'paper tackles', 'paper presents', 'orthe stays', 'monte nerone', 'italia watershed', 'ice formations', 'guyed antennas', 'frequency domain', 'first part', 'direct step', 'direct measurements', 'appennine mountains']</t>
  </si>
  <si>
    <t>full-scale experiments | non-linear structures | simulation | structural dynamics | wind load | wind velocity</t>
  </si>
  <si>
    <t>The study of the response of wind-loaded flexible structures generates several problems, related to the collection of significant experimental data and the modelling of the random wind velocity field, fluid-structure interaction and actual structural behaviour. This paper presents some results of recent research on these problems. The first part of the paper tackles the modelling and simulation of wind velocity and presents the treatment of some direct measurements on the site of an important broadcasting antenna located on Monte Nerone (Appennine Mountains) on the Italia watershed, 1500 m above sea level. The second part deals with the problem of determining structural response under wind loading. Because of the impracticability of operating in the frequency domain in the presence of non-linearities, simulation and direct step-by-step integration in the time domain have been chosen. Two specific examples are presented, both pertaining to guyed antennas, for which non-linearities have been shown to be significant. The effects of ice formations on the mast and / orthe stays have also been investigated. ¬© 1990.</t>
  </si>
  <si>
    <t>161-179</t>
  </si>
  <si>
    <t>Structural Safety</t>
  </si>
  <si>
    <t>60032350;60021859;60021859</t>
  </si>
  <si>
    <t>7005978066;7003424627;7004546782</t>
  </si>
  <si>
    <t>Augusti, Giuliano;Borri, Claudio;Gusella, Vittorio</t>
  </si>
  <si>
    <t>Italy;Italy</t>
  </si>
  <si>
    <t>Rome;Florence</t>
  </si>
  <si>
    <t>Sapienza Universit√† di Roma;Universit√† degli Studi di Firenze</t>
  </si>
  <si>
    <t>60032350;60021859</t>
  </si>
  <si>
    <t>Augusti G.</t>
  </si>
  <si>
    <t>Simulation of wind loading and response of geometrically non-linear structures with particular reference to large antennas</t>
  </si>
  <si>
    <t>016747309090038Q</t>
  </si>
  <si>
    <t>10.1016/0167-4730(90)90038-Q</t>
  </si>
  <si>
    <t>2-s2.0-0025457554</t>
  </si>
  <si>
    <t>['power measurements', 'parallel method', 'matrix components', 'examined analytically', 'covariance matrix', 'array output', 'antenna weights', 'also described', 'accuracy requirements']</t>
  </si>
  <si>
    <t>A procedure to measure the covariance matrix of an antenna array directly from the array sum port is described. The procedure involves specifically chosen sets of antenna weights that will allow the matrix components to appear at the array output A parallel method to measure the covariance matrix is also described. Finally, the accuracy requirements of the power measurements are examined analytically and through simulation. ¬© 1990 IEEE</t>
  </si>
  <si>
    <t>669-673</t>
  </si>
  <si>
    <t>7004908028;6701744626</t>
  </si>
  <si>
    <t>Farina, David J.;Flam, Richard P.</t>
  </si>
  <si>
    <t>Farina D.</t>
  </si>
  <si>
    <t>Simplified Covariance Matrix Measurement In Adaptive Arrays</t>
  </si>
  <si>
    <t>10.1109/7.55561</t>
  </si>
  <si>
    <t>2-s2.0-0025457746</t>
  </si>
  <si>
    <t>['waveguide walls', 'presented based', 'nonzero thickness', 'mutual coupling', 'leading toward', 'individual slots', 'exterior surface', 'experimental data', 'discussed extensively', 'dielectric substrate', 'dielectric cover', 'considerably affect', 'available theoretical', 'analyzed carefully', 'accurate model']</t>
  </si>
  <si>
    <t>Various practical considerations are leading toward the use of protective dielectric slabs on the exterior surface of waveguide slot arrays. The presence of a dielectric substrate can alter the characteristics of the individual slots and considerably affect the mutual coupling. In order to analyze or design such an array, the performance of the elements has to be studied and analyzed carefully. In this paper, a method of analysis is presented based on previous work done by Elliott et al. on waveguide slots without the dielectric cover. Results are discussed extensively and are compared to other available theoretical and experimental data. Furthermore, a simple and accurate model is developed to account for the nonzero thickness of the waveguide walls. ¬© 1990 IEEE</t>
  </si>
  <si>
    <t>1039-1045</t>
  </si>
  <si>
    <t>Katehi, Pisti B.</t>
  </si>
  <si>
    <t>Katehi P.B.</t>
  </si>
  <si>
    <t>Dielectric-Covered Waveguide Longitudinal Slots with Finite Wall Thickness</t>
  </si>
  <si>
    <t>10.1109/8.55615</t>
  </si>
  <si>
    <t>2-s2.0-0025460810</t>
  </si>
  <si>
    <t>['wave analysis', 'resonant frequency', 'numerical results', 'isotropic substrates', 'immittance matrix', 'anisotropic overlay']</t>
  </si>
  <si>
    <t>A full-wave analysis for determining the resonant frequency of a rectangular microstrip patch on multiple uniaxial anisotropic layers with or without an anisotropic overlay is presented. Two independent methods are used to derive the immittance matrix for the patch, from which the resonant frequency is determined. Numerical results of the resonant frequency are given for several patch configurations. Changes in the resonant frequency of up to 58% are reported as nx/ny is changed from 1.0 (for isotropic substrates) to 2.0. ¬© 1990 IEEE</t>
  </si>
  <si>
    <t>973-981</t>
  </si>
  <si>
    <t>60033389;60032270;60023857</t>
  </si>
  <si>
    <t>55451980000;7402049297;7004474343</t>
  </si>
  <si>
    <t>Nelson, Robert M.;Rogers, David A.;D'Assun√ß√£o, Adaildo Gomes</t>
  </si>
  <si>
    <t>United States;United States;Brazil</t>
  </si>
  <si>
    <t>Moscow;Fargo;Natal</t>
  </si>
  <si>
    <t>University of Idaho;North Dakota State University;Universidade Federal do Rio Grande do Norte</t>
  </si>
  <si>
    <t>Nelson R.</t>
  </si>
  <si>
    <t>Resonant Frequency of a Rectangular Microstrip Patch on Several Uniaxial Substrates</t>
  </si>
  <si>
    <t>10.1109/8.55607</t>
  </si>
  <si>
    <t>2-s2.0-0025460930</t>
  </si>
  <si>
    <t>['wide range', 'select one', 'polygon changes', 'operating frequency', 'input impedance', 'desired properties', 'broadband property', 'antenna designers']</t>
  </si>
  <si>
    <t>Higher order regular polygonal loop antennas are analyzed. The input impedance of higher order regular polygonal loop antennas varies gradually when the operating frequency or the order of polygon changes. This behavior of input impedance provides a wide range of input impedance and many resonant points to antenna designers. The higher order regular polygonal loop antenna generally possesses higher directivity but poorer Broadband impedance property. As the operating frequency becomes higher, its directivity increases remarkably and the Broadband property becomes more prominent. To achieve the desired properties, one can select one of the many design data sets with a tradeoff between Broadband property and directivity. ¬© 1990 IEEE</t>
  </si>
  <si>
    <t>1114-1117</t>
  </si>
  <si>
    <t>7006036417;7601481286</t>
  </si>
  <si>
    <t>Choe, Wonha;Lee, Jay K.</t>
  </si>
  <si>
    <t>Choe W.</t>
  </si>
  <si>
    <t>Analysis of Higher Order Regular Polygonal Loop Antennas</t>
  </si>
  <si>
    <t>10.1109/8.55626</t>
  </si>
  <si>
    <t>2-s2.0-0025461004</t>
  </si>
  <si>
    <t>['secondary pattern', 'planar phase', 'pattern analysis', 'geometrical theory', 'field contributions', 'feed array', 'exact element', 'element approach', 'effective way', 'e .,', 'diffraction pattern', 'critical component', 'computation tremendously', 'approach simplifies']</t>
  </si>
  <si>
    <t>A nearfield Cassegrain reflector (NFCR) is an effective way to magnify a small phased array into a much larger aperture antenna for limited scan applications. Traditionally the pattern analysis of NFCR is based on a plane wave approach, i.e., the field from the feed array incident on the subreflector is approximated by a truncated collimated beam with planar phase and tapered amplitude distribution. This approach simplifies the computation tremendously, but fails to provide design information about the most critical component of the whole antenna system, namely, the feed array. With the help of today's computers, it is now feasible to calculate the pattern of a NFCR by a more exact element-by-element approach. We consider each element in the feed array individually and calculate its diffraction pattern from the subreflector by the geometrical theory of diffraction (GTD) (including uniform theories at the shadow boundaries). The field contributions from all elements are superimposed at the curved main reflector surface, and a physical optics integration is performed to obtain the secondary pattern. ¬© 1990 IEEE</t>
  </si>
  <si>
    <t>1010-1017</t>
  </si>
  <si>
    <t>60000745;60000745;60027550;</t>
  </si>
  <si>
    <t>7004288007;7601396617;7102110120;7202365940</t>
  </si>
  <si>
    <t>Houshmand, Bijan;Lee, Shung Wu;Rahmat-Samii, Yahya;Lam, Peter T.</t>
  </si>
  <si>
    <t>Los Angeles;Urbana</t>
  </si>
  <si>
    <t>University of California, Los Angeles;University of Illinois Urbana-Champaign</t>
  </si>
  <si>
    <t>60027550;60000745</t>
  </si>
  <si>
    <t>Houshmand B.</t>
  </si>
  <si>
    <t>Analysis of Near-Field Cassegrain Reflector: Plane Wave Versus Element-by-Element Approach</t>
  </si>
  <si>
    <t>10.1109/8.55612</t>
  </si>
  <si>
    <t>2-s2.0-0025461055</t>
  </si>
  <si>
    <t>['transfer functions', 'rapidly reconfiguring', 'processing requires', 'potential solution', 'performance results', 'parallel processing', 'optical domain', 'defining equations', 'control element', 'computer model', 'computational capability', 'communications usages', 'antenna size']</t>
  </si>
  <si>
    <t>Very large phased array antennas, particularly in radar and adaptive receive applications as opposed for communications usages, require large amounts of digital data processing for beamsteering, null-formation, imaging and signal correlation computations. Such processing requires a computational capability which, effectively, is proportional to the square of the antenna size, and can readily become one of the main design drivers. This processing bottleneck problem is addressed for large phased array antennas. An approach in terms of parallel processing is the optical domain is presented as a potential solution. The defining equations for a phased array antenna system are given, along with the transfer functions for an embedded optical spatial filter control element. Such a control element is shown to have the potential of rapidly reconfiguring a large phased array antenna without the speed penalties associated with conventional sequential addressing methods. A hypothetical phased array antenna, with optical spatial filter control elements, is simulated in a computer model and the performance results are presented. ¬© 1990 IEEE</t>
  </si>
  <si>
    <t>1054-1058</t>
  </si>
  <si>
    <t>60015623;60014662</t>
  </si>
  <si>
    <t>7004639076;24463325600</t>
  </si>
  <si>
    <t>Jespersen, Nils V.;Herczfeld, Peter R.</t>
  </si>
  <si>
    <t>Boston;Philadelphia</t>
  </si>
  <si>
    <t>General Electric Company;Drexel University</t>
  </si>
  <si>
    <t>Jespersen N.V.</t>
  </si>
  <si>
    <t>Optical Techniques for Reconfiguring Microwave Phased Arrays</t>
  </si>
  <si>
    <t>10.1109/8.55617</t>
  </si>
  <si>
    <t>2-s2.0-0025461057</t>
  </si>
  <si>
    <t>['single snapshot', 'simulation results', 'simulated annealing', 'optimization technique', 'ml estimator', 'maximum likelihood', 'diverse polarization', 'computed via']</t>
  </si>
  <si>
    <t>The maximum likelihood (ML) estimator of the angle-of-arrival (AOA) of sources having diverse polarization is derived and computed via the simulated annealing (SA) optimization technique. The ML estimator is applicable equally well to the case of coherent signals appearing, for example, in multipath propagation problems and to the case of a single snapshot. Simulation results that demonstrate the performance of the algorithm are included. ¬© 1990 IEEE</t>
  </si>
  <si>
    <t>1111-1114</t>
  </si>
  <si>
    <t>60026340;60026340</t>
  </si>
  <si>
    <t>6603428063;35569493400</t>
  </si>
  <si>
    <t>Ziskind, Ilan;Wax, Mati</t>
  </si>
  <si>
    <t>Haifa</t>
  </si>
  <si>
    <t>RAFAEL Armament Development Authority Ltd.</t>
  </si>
  <si>
    <t>Ziskind I.</t>
  </si>
  <si>
    <t>Communications: Maximum Likelihood Localization of Diversely Polarized Sources by Simulated Annealing</t>
  </si>
  <si>
    <t>10.1109/8.55625</t>
  </si>
  <si>
    <t>2-s2.0-0025461260</t>
  </si>
  <si>
    <t>['respectively ).', 'prolate spheroid', 'circular disk']</t>
  </si>
  <si>
    <t>The complex plane natural resonances for several perfectly conducting bodies of revolution (sphere, right circular cylinder, prolate spheroid, and circular disk) are calculated using electric, magnetic, and combined field integral equation formulations (EFIE, HFIE, and CFIE, respectively). These results are compared with some recently published values, and discrepancies are noted and discussed. ¬© 1990 IEEE</t>
  </si>
  <si>
    <t>1133-1136</t>
  </si>
  <si>
    <t>60011754;60011754</t>
  </si>
  <si>
    <t>6507412482;57218185325</t>
  </si>
  <si>
    <t>Vechinski, Scott R.;Shumpert, Thomas H.</t>
  </si>
  <si>
    <t>Auburn</t>
  </si>
  <si>
    <t>Auburn University</t>
  </si>
  <si>
    <t>Vechinski S.R.</t>
  </si>
  <si>
    <t>Natural Resonances of Conducting Bodies of Revolution</t>
  </si>
  <si>
    <t>10.1109/8.55632</t>
  </si>
  <si>
    <t>2-s2.0-0025461261</t>
  </si>
  <si>
    <t>['wiley company', 'waveguide working', 'various parameters', 'used widely', 'unified simulation', 'transition used', 'transition till', 'transition shape', 'transient analysis', 'time axis', 'thank mr', 'te10 mode', 'solid waveguide', 'since transition', 'simulation based', 'shown successively', 'propagation conditions', 'postal department', 'overall structure', 'microstrip line', 'ltd .,', 'inserted perpendicularly', 'inc .,', 'important discussions', 'hokkaido university', 'helpful guidance', 'frequency characteristics', 'due also', 'different types', 'different applications', 'complex structures', 'best way', 'based purely', 'authors wish', 'associate prof']</t>
  </si>
  <si>
    <t>The waveguide to microstrip line transition has been used widely in the microwave and millimeter wave bands for several radio communication systems. Since transition from solid waveguide to planar microstrip line is involved, the internal field distribution becomes complicated. Moreover, different types are required for different applications, thus the analysis of the transition is generally very difficult. The design of the transition till now has been based purely on the trial‚Äêand‚Äêerror method. For such complex structures, the best way to find the characteristics is via computer simulation. In this paper, the spatial network method, which is excellent for three‚Äêdimensional (3‚ÄêD) transient analysis, is applied to the transition and the possibility of unified simulation of the overall structure is demonstrated. The model of transition used for this analysis is such that microstrip line is inserted perpendicularly to the window as well as to the H‚Äêplane of the waveguide working in the TE10 mode. As a result of analysis, the dependence of frequency characteristics on various parameters of the transition shape and its relationship with the complex internal electromagnetic field is clarified. In particular, with the help of simulation of the Poynting power flow, the propagation conditions from the waveguide to microstrip line could be shown successively on the time axis. Thus, we have shown that the simulation based on this method can be used for efficient transition design. The authors wish to thank Mr. Shiomi, Communication Research Lab., of Postal Department, Mr. Kurihara, Fujitsu Research Lab., and Mr. Noguchi, Fujitsu Tohoku Digital Technology, Ltd., for their helpful guidance. Thanks are due also to Associate Prof. N. Yoshida of Hokkaido University for important discussions. Copyright ¬© 1990 Wiley Periodicals, Inc., A Wiley Company</t>
  </si>
  <si>
    <t>60007951;60007951;60007951;60007951</t>
  </si>
  <si>
    <t>7202551726;35614982400;7005451578;35613010000</t>
  </si>
  <si>
    <t>Tajima, Tatsuhiko;Koike, Shoichi;Okubo, Naofumi;Kawasaki, Yoshihiro</t>
  </si>
  <si>
    <t>Minato</t>
  </si>
  <si>
    <t>Fujitsu Ltd.</t>
  </si>
  <si>
    <t>Tajima T.</t>
  </si>
  <si>
    <t>Electromagnetic field analysis of waveguide‚Äêmicrostrip line transition by spatial network method</t>
  </si>
  <si>
    <t>10.1002/ecjb.4420730705</t>
  </si>
  <si>
    <t>2-s2.0-0025462122</t>
  </si>
  <si>
    <t>['wiley company', 'various objects', 'transient transmission', 'total sum', 'shown also', 'reception responses', 'radar imaging', 'paper studies', 'optical paths', 'inc .,', 'fundamental problems', 'free space', 'extremely accurate', 'electromagnetic wave', 'dipole antenna', 'conducting cylinder', 'computed results', 'circular cylinder', 'calculated rigorously', 'buried objects', 'buried object', 'analyzed theoretically', 'analyze theoretically']</t>
  </si>
  <si>
    <t>For full‚Äêfledged applications of radar imaging of buried objects by using electromagnetic waves, it is important to analyze theoretically and experimentally the fundamental problems such as the scattering of the electromagnetic wave by various objects and the electromagnetic wave propagation from the antenna above the ground into the ground. As the first step toward such a goal, this paper studies the transient electromagnetic fields scattered by an infinite perfectly conducting circular cylinder placed near a dipole antenna in free space. First, the transient electromagnetic fields are calculated rigorously for the case where one dipole antenna is placed in parallel to a conducting cylinder. Furthermore, geometrical optics approximation also is derived. From the computed results, it is shown that the transient scattered field can be interpreted as the total sum of the scattered fields corresponding to optical paths. It is shown also that the geometrical optics approximation is extremely accurate in the backscattering region important for the analysis of inverse scattering problems such as the detection of a buried object. Next, the transient transmission and reception responses are analyzed theoretically in the case where two dipole antennas are placed in parallel to the circular cylinder and its validity is confirmed by experiments. Copyright ¬© 1990 Wiley Periodicals, Inc., A Wiley Company</t>
  </si>
  <si>
    <t>60008435;60008435;60008435;60025555</t>
  </si>
  <si>
    <t>55628569712;7201851714;56779495700;35577361100</t>
  </si>
  <si>
    <t>Suzuki, Toshinori;Uno, Toru;Adachi, Saburo;Mashiko, Takunori</t>
  </si>
  <si>
    <t>Tokyo;Sendai</t>
  </si>
  <si>
    <t>Nippon Telegraph and Telephone Corporation;Tohoku University</t>
  </si>
  <si>
    <t>60025555;60008435</t>
  </si>
  <si>
    <t>Suzuki T.</t>
  </si>
  <si>
    <t>Transient electromagnetic fields due to dipole antennas located near an infinite perfectly conducting cylinder</t>
  </si>
  <si>
    <t>10.1002/ecjb.4420730708</t>
  </si>
  <si>
    <t>2-s2.0-0025462232</t>
  </si>
  <si>
    <t>['symmetric beams', 'plane waves', 'microwave devices', 'magnetic fields', 'low sidelobes', 'broader spectrum', 'apparent dual']</t>
  </si>
  <si>
    <t>An electric conducting surface coated with a thin, lossy magnetic layer has been observed both theoretically and experimentally to be equivalent to a surface that is conducting to both electric and magnetic fields of plane waves at near-grazing incidence angles. This ‚Äúdual conductivity‚Äù phenomenon has been utilized to design horn antennas for desired performance characteristics such as symmetric beams, low sidelobes, and low cross polarization. The effects of this surface are in many ways similar to those of the corrugated conducting surface. However, this coated surface appears to have a broader spectrum of applications in other antennas and microwave devices because of its apparent dual (electric and magnetic) conductivity. ¬© 1990 IEEE</t>
  </si>
  <si>
    <t>1069-1077</t>
  </si>
  <si>
    <t>60015099;60015099;60015099</t>
  </si>
  <si>
    <t>57203558701;7003971864;6603262594</t>
  </si>
  <si>
    <t>Wang, Johnson J.H.;Tripp, Victor K.;Tehan, John E.</t>
  </si>
  <si>
    <t>Wang J.</t>
  </si>
  <si>
    <t>The Magnetically Coated Conducting Surface as a Dual Conductor and Its Application to Antennas and Microwaves</t>
  </si>
  <si>
    <t>10.1109/8.55619</t>
  </si>
  <si>
    <t>2-s2.0-0025462471</t>
  </si>
  <si>
    <t>['single null', 'resistive taper', 'backscattering pattern']</t>
  </si>
  <si>
    <t>A method for finding a resistive taper that places multiple nulls in the bistatic scattering pattern or a single null in the backscattering pattern of a strip is presented. ¬© 1990 IEEE</t>
  </si>
  <si>
    <t>1117-1119</t>
  </si>
  <si>
    <t>60022225;60025778</t>
  </si>
  <si>
    <t>7102186231;7003973853</t>
  </si>
  <si>
    <t>Haupt, Randy L.;Liepa, Valdis V.</t>
  </si>
  <si>
    <t>Ann Arbor;Colorado Springs</t>
  </si>
  <si>
    <t>University of Michigan, Ann Arbor;United States Air Force Academy</t>
  </si>
  <si>
    <t>60025778;60022225</t>
  </si>
  <si>
    <t>Haupt R.</t>
  </si>
  <si>
    <t>Resistive Tapers that Place Nulls in the Scattering Patterns of Strips</t>
  </si>
  <si>
    <t>10.1109/8.55627</t>
  </si>
  <si>
    <t>2-s2.0-0025462639</t>
  </si>
  <si>
    <t>['vi ),', 'ton class', 'high accuracy', 'field experiment']</t>
  </si>
  <si>
    <t>In the 1990s multibeam satellite communications systems must be developed to achieve larger transmission capacity. To establish these systems, large onboard antennas with high pointing accuracy are needed. In order to satisfy the requirements for high accuracy, new onboard control systems are being closely studied around the world. In Japan, a field experiment of multibeam satellite communications is scheduled to be performed in conjunction with the sixth Japanese Engineering Test Satellite (ETS-VI), to be launched in 1992. ETS-VI is a two-ton class, three-axis stabilized geostationary satellite. The antenna pointing control systems on ETS-VI are now being designed. For this, the influence of dynamics on flexible structures must be considered. This paper describes significant system design parameters and relations between these values in the design of an onboard antenna pointing control system for ETS-VI.</t>
  </si>
  <si>
    <t>762-763</t>
  </si>
  <si>
    <t>Jul-Aug</t>
  </si>
  <si>
    <t>60025555;60025555;60025555</t>
  </si>
  <si>
    <t>7402364536;35589732000;6602269766</t>
  </si>
  <si>
    <t>Kawakami, Yoichi;Hojo, Hiroshi;Ueba, Masazumi</t>
  </si>
  <si>
    <t>Kawakami Y.</t>
  </si>
  <si>
    <t>Analysis of an onboard antenna pointing control system</t>
  </si>
  <si>
    <t>10.2514/3.25399</t>
  </si>
  <si>
    <t>2-s2.0-0025462843</t>
  </si>
  <si>
    <t>['spillover efficiency', 'several examples', 'secondary superposition', 'reflector surface', 'reflector gain', 'primary fields', 'power radiated', 'phase ).', 'one time', 'method allows', 'inherently efficient', 'fields reflected', 'far field', 'determined within', 'arbitrary position', 'approach presented', 'analyzing array', 'accurate calculation']</t>
  </si>
  <si>
    <t>The primary field superposition approach for analyzing array-fed reflector antennas is presented. In contrast to secondary pattern superposition where the fields reflected from the main reflector arising from each element are superimposed in the far field of the reflector, the approach presented here sums the primary fields at the reflector surface before the physical optics radiation integral is performed. The method allows each feed array element to have arbitrary position, orientation, pattern and excitation (magnitude and phase). In addition, it is inherently efficient because evaluation of only one time-consuming radiation integral is required, rather than one per feed element as in secondary superposition. The method allows for accurate calculation of the power radiated from the feed, permitting the reflector gain and spillover efficiency to be determined within the context of a single computer program. The accuracies and characteristics of this method are demonstrated with several examples. ¬© 1990 IEEE</t>
  </si>
  <si>
    <t>994-1000</t>
  </si>
  <si>
    <t>57216442603;7006247497</t>
  </si>
  <si>
    <t>Stewart, Scot H.;Stutzman, Warren L.</t>
  </si>
  <si>
    <t>Stewart S.H.</t>
  </si>
  <si>
    <t>Analysis of Reflector Antenna Systems with Arbitrary Feed Arrays Using Primary Field Superposition</t>
  </si>
  <si>
    <t>10.1109/8.55610</t>
  </si>
  <si>
    <t>2-s2.0-0025463344</t>
  </si>
  <si>
    <t>['substrates composed', 'spectral domain', 'provided graphs', 'patch dimension', 'optimal position', 'obtained thereafter', 'material parameters', 'integral equation', 'graphical guidelines', 'formulated using', 'design data']</t>
  </si>
  <si>
    <t>Graphical guidelines for design of electromagnetically coupled square and circular microstrip antennas are given. Substrates composed of two different dielectric layers are considered. The analysis is extended to electrically thick substrates. Given the required resonant frequency and the bandwidth, material parameters are selected. Patch dimension and the optimal position of the feedline are obtained thereafter from the provided graphs. The design data were computed by applying the method of moments in the spectral domain to solve the integral equation for the currents on the patch and portion of the microstrip feed line. The integral equation was formulated using the appropriate dyadic Green function for the grounded multilayered slab. ¬© 1990 IEEE</t>
  </si>
  <si>
    <t>1136-1140</t>
  </si>
  <si>
    <t>60007798;60029445</t>
  </si>
  <si>
    <t>6602853946;8083786100</t>
  </si>
  <si>
    <t>Splitt, Georg;Davidovitz, Marat</t>
  </si>
  <si>
    <t>United States;Germany</t>
  </si>
  <si>
    <t>Minneapolis;¬†Cologne</t>
  </si>
  <si>
    <t>University of Minnesota Twin Cities;Deutsches Zentrum fur Luft- Und Raumfahrt</t>
  </si>
  <si>
    <t>60029445;60007798</t>
  </si>
  <si>
    <t>Splitt G.</t>
  </si>
  <si>
    <t>Guidelines for Design of Electromagnetically Coupled Microstrip Patch Antennas on Two-Layer Substrates</t>
  </si>
  <si>
    <t>10.1109/8.55633</t>
  </si>
  <si>
    <t>2-s2.0-0025463345</t>
  </si>
  <si>
    <t>['¬© 1989', 'ttdc coefficient', 'ttdc ),', 'thermal expansion', 'thermal distortion', 'thermal conductivity', 'strength requirements', 'satisfy stiffness', 'rights reserved', 'representative example', 'necessarily quasi', 'design approach', 'analysis introduces', 'american institute', 'allows designers']</t>
  </si>
  <si>
    <t>The thermal distortion of graphite-reinforced aluminum space structures is evaluated and compared to the performance of graphite/epoxy. Both the coefficient of thermal expansion (CTE) and the thermal conductivity of the material (ft) are considered in predicting the final distortion experienced in a typical hostile space environment. The analysis introduces the concept of the total thermal distortion coefficient (TTDC), which enables the optimization of laminate ply configuration for minimum thermal distortion. Using TTDC parameters, parametric design curves for optimized laminate configurations were generated that were not necessarily quasi-isotropic for minimum thermal distortion performance. Graphite/aluminum metal matrix laminates showed minimum TTDC values to be constant with stacking angle (¬± Œ∏), which allows designers to satisfy stiffness or strength requirements with no thermal distortion penalty. A design approach is presented that uses the TTDC coefficient to optimize material mechanical properties with minimum thermal distortion. Finally, a representative example of a large (15 √ó 1.5 m) slotted waveguide planar array synthetic aperture radar (SAR) antenna, similar to that baselined for the Canadian RADARSAT remote sensing satellite, was chosen to illustrate the application of the design approach. ¬© 1989 by D. G. Zimcik. ¬© The American Institute of Aeronautics and Astronautics, Inc. All Rights Reserved.</t>
  </si>
  <si>
    <t>Journal of Spacecraft and Rockets</t>
  </si>
  <si>
    <t>60007248;117807954</t>
  </si>
  <si>
    <t>7003762909;6505874439</t>
  </si>
  <si>
    <t>Zimcik, D. G.;Koike, B. M.</t>
  </si>
  <si>
    <t>Canada;Brazil</t>
  </si>
  <si>
    <t>Longueuil;Sao Paulo</t>
  </si>
  <si>
    <t>Canadian Space Agency;Composite Tecnologia</t>
  </si>
  <si>
    <t>Zimcik D.</t>
  </si>
  <si>
    <t>Thermal distortion behavior of graphite reinforced aluminum space structures</t>
  </si>
  <si>
    <t>10.2514/3.26154</t>
  </si>
  <si>
    <t>2-s2.0-0025463477</t>
  </si>
  <si>
    <t>DAAL03-89-C-0001</t>
  </si>
  <si>
    <t>['wave analysis', 'pass filter', 'microstrip antennas', 'input impedance', 'good agreement', 'fdtd results', 'efficient tool', 'domain results', 'direct three', 'dimensional finite', 'difference time']</t>
  </si>
  <si>
    <t>A direct three-dimensional finite-difference time-domain (FDTD) method is applied to the full-wave analysis of various microstrip structures. The method is shown to be an efficient tool for modeling complicated microstrip circuit components as well as microstrip antennas. From the time-domain results, the input impedance of a line-fed rectangular patch antenna and the frequency-dependent scattering parameters of a low-pass filter and a branch line coupler are calculated. These circuits are fabricated and the measurements are compared with the FDTD results and shown to be in good agreement. ¬© 1990 IEEE</t>
  </si>
  <si>
    <t>849-857</t>
  </si>
  <si>
    <t>60022195;60022195;60024592;60022195</t>
  </si>
  <si>
    <t>36950853800;7403094093;6603799862;7202290923</t>
  </si>
  <si>
    <t>Sheen, David M.;Ali, Sami M.;Abouzahra, Mohamed D.;Kong, Jin Au</t>
  </si>
  <si>
    <t>Lexington;Cambridge</t>
  </si>
  <si>
    <t>Lincoln Laboratory;Massachusetts Institute of Technology</t>
  </si>
  <si>
    <t>60024592;60022195</t>
  </si>
  <si>
    <t>Sheen D.</t>
  </si>
  <si>
    <t>Application of the Three-Dimensional Finite-Difference Time-Domain Method to the Analysis of Planar Microstrip Circuits</t>
  </si>
  <si>
    <t>10.1109/22.55775</t>
  </si>
  <si>
    <t>2-s2.0-0025464148</t>
  </si>
  <si>
    <t>['¬© 1990', 'rights reserved', 'numerical results', 'mutual impedances', 'microstrip antennas', 'method solution', 'method proved', 'graphical form', 'domain method', 'computational effective']</t>
  </si>
  <si>
    <t>In the moment-method solution for microstrip antennas, mutual impedances between basis functions must be calculated. A space-domain method for the calculation of mutual impedances is introduced. The method proved to be accurate and computational effective. Numerical results are presented in graphical form. ¬© 1990, Walter de Gruyter. All rights reserved.</t>
  </si>
  <si>
    <t>191-197</t>
  </si>
  <si>
    <t>60011226;60011226</t>
  </si>
  <si>
    <t>56101592100;7005087662</t>
  </si>
  <si>
    <t>Liu, Zhongrong;Vlcek, Anton</t>
  </si>
  <si>
    <t>Darmstadt</t>
  </si>
  <si>
    <t>Technische Universit√§t Darmstadt</t>
  </si>
  <si>
    <t>Mutual Impedance Computation with High Computational Efficiency and Accuracy</t>
  </si>
  <si>
    <t>10.1515/FREQ.1990.44.7-8.191</t>
  </si>
  <si>
    <t>2-s2.0-0025464275</t>
  </si>
  <si>
    <t>['wiley company', 'surface current', 'scattering characteristics', 'rectangular box', 'rectangular body', 'radiation pattern', 'present method', 'portable telephone', 'input admittance', 'inc .,', 'experimental results', 'continuity condition', 'conducting box', 'buildings must', 'antenna attached', 'analysis technique']</t>
  </si>
  <si>
    <t>Solution of the problem of scattering from a rectangular conducting box is important in the cases where the scattering characteristics from buildings must be estimated and where an antenna attached to a portable telephone is designed. Especially, a magnetic source antenna that can be built in a portable telephone has recently been proposed so that the importance of the analysis of antennas placed near a conducting box has increased. However, to date, no analytical results sufficiently valid for these antennas have been available. In this paper, an analysis technique for the antenna system near a three‚Äêdimensional conducting box is developed. It describes the procedure to derive the impedance matrix using the Fourier series expansion and Galerkin's method as well as the method to introduce the continuity condition of the surface current on each side of the rectangular body. As an example, the present method is applied to a slot antenna located on a surface of a rectangular box and the input admittance and the radiation pattern are analyzed. Through comparison with the experimental results, the validity of the present method is confirmed. Copyright ¬© 1990 Wiley Periodicals, Inc., A Wiley Company</t>
  </si>
  <si>
    <t>81-87</t>
  </si>
  <si>
    <t>60008435;60008435;60008435</t>
  </si>
  <si>
    <t>55443977100;35598806700;56779495700</t>
  </si>
  <si>
    <t>Fujino, Yoshiyuki;Sawaya, Kunio;Adachi, Saburo</t>
  </si>
  <si>
    <t>Tohoku University</t>
  </si>
  <si>
    <t>Fujino Y.</t>
  </si>
  <si>
    <t>Analysis of slot antennas on a rectangular conducting box by using the fourier series expansion and galerkin's method</t>
  </si>
  <si>
    <t>10.1002/ecjb.4420730709</t>
  </si>
  <si>
    <t>2-s2.0-0025464333</t>
  </si>
  <si>
    <t>['reflector axis', 'main beam', 'large feed', 'large angles', 'fan beam', 'calculated results', 'beam shape', 'beam plane', 'array offset']</t>
  </si>
  <si>
    <t>Paraboloidal reflector antennas are capable of generating fanbeam patterns when fed by small linear arrays. In the broad-beam plane of the fan beam with a large feed-array offset, the main beam can be scanned to large angles, e.g., 20¬∞ from the reflector axis, without serious distortion of the beam shape. The background, as well as experimental and calculated results, are presented. ¬© 1990 IEEE</t>
  </si>
  <si>
    <t>1046-1053</t>
  </si>
  <si>
    <t>60009037;60027550</t>
  </si>
  <si>
    <t>7408102852;7102110120</t>
  </si>
  <si>
    <t>Huang, John;Rahmat-Samii, Yahya</t>
  </si>
  <si>
    <t>Huang J.</t>
  </si>
  <si>
    <t>Fan Beam Generated by a Linear-Array Fed Parabolic Reflector</t>
  </si>
  <si>
    <t>10.1109/8.55616</t>
  </si>
  <si>
    <t>2-s2.0-0025464669</t>
  </si>
  <si>
    <t>['two algorithms', 'structured method', 'structured estimate', 'structure reflects', 'standard method', 'standard form', 'spatial averaging', 'signal sensitivity', 'receiver outputs', 'lms algorithm', 'less sensitive', 'gradient required', 'gradient estimated', 'array output']</t>
  </si>
  <si>
    <t>Structured gradient algorithm uses a structured estimate of the array correlation matrix (ACM) to estimate the gradient required for the constrained least mean square (LMS) algorithm. This structure reflects the structure of the exact array correlation matrix for an equispaced linear array and is obtained by spatial averaging of the elements of the noisy correlation matrix. In its standard form the LMS algorithm does not exploit the structure of the array correlation matrix. The gradient is estimated by multiplying the array output with the receiver outputs. An analysis is presented of the two algorithms to show that the covariance of the gradient estimated by the structured method is less sensitive to the look direction signal than that estimated by the standard method and studies the effect of the number of elements on the signal sensitivity of the two algorithms. ¬© 1990 IEEE</t>
  </si>
  <si>
    <t>1078-1083</t>
  </si>
  <si>
    <t>60012708-60026708</t>
  </si>
  <si>
    <t>Godara, Lal C.</t>
  </si>
  <si>
    <t>Australia;United States</t>
  </si>
  <si>
    <t>Canberra;Palo Alto</t>
  </si>
  <si>
    <t>University of New South Wales at Australian Defence Force Academy;Stanford University</t>
  </si>
  <si>
    <t>60026708;60012708</t>
  </si>
  <si>
    <t>Performance Analysis of Structured Gradient Algorithm</t>
  </si>
  <si>
    <t>10.1109/8.55620</t>
  </si>
  <si>
    <t>2-s2.0-0025464720</t>
  </si>
  <si>
    <t>['wave equation', 'traveling wave', 'single feed', 'radiation patterns', 'radiation characteristics', 'patch including', 'found theoretically', 'equivalent circuit', 'center fed']</t>
  </si>
  <si>
    <t>Radiation characteristics of a long rectangular patch antenna excited by a single feed are investigated. The equivalent circuit of the patch including the feed line section is developed. It is found theoretically that a single feed long rectangular patch supports a leaky traveling wave along the length of the patch. The complex propagation constant of the traveling wave is estimated by solving the wave equation with impedance boundary conditions. Radiation patterns of the antenna are obtained by using the principle of equivalence. Various radiation characteristics of center fed and end fed long patch antennas are presented. ¬© 1990 IEEE</t>
  </si>
  <si>
    <t>987-993</t>
  </si>
  <si>
    <t>Bhattacharyya A.K.</t>
  </si>
  <si>
    <t>Long Rectangular Patch Antenna with a Single Feed</t>
  </si>
  <si>
    <t>10.1109/8.55609</t>
  </si>
  <si>
    <t>2-s2.0-0025464789</t>
  </si>
  <si>
    <t>['tm11 mode', 'thin cylindrical', 'input impedance', 'graphical results', 'fed patch', 'cavity model']</t>
  </si>
  <si>
    <t>An analysis of a thin cylindrical-circular microstrip patch antenna is presented. Based on the cavity model, formulas are obtained for the far-zone electric field and the input impedance of a coax-fed patch. Numerical and graphical results are given to illustrate the effects of curvature on the characteristics of the TM11 mode. ¬© 1990 IEEE</t>
  </si>
  <si>
    <t>1119-1123</t>
  </si>
  <si>
    <t>60002798;60021624</t>
  </si>
  <si>
    <t>55510527400;7501501369</t>
  </si>
  <si>
    <t>Luk, Kwai Man;Lee, Kai Fong</t>
  </si>
  <si>
    <t>United States;Hong Kong</t>
  </si>
  <si>
    <t>Toledo;Hong Kong</t>
  </si>
  <si>
    <t>The University of Toledo;Chinese University of Hong Kong</t>
  </si>
  <si>
    <t>60021624;60002798</t>
  </si>
  <si>
    <t>Luk K.M.</t>
  </si>
  <si>
    <t>Characteristics of the Cylindrical-Circular Patch Antenna</t>
  </si>
  <si>
    <t>10.1109/8.55628</t>
  </si>
  <si>
    <t>2-s2.0-0025464823</t>
  </si>
  <si>
    <t>['theoretically analyzed', 'receiving antenna', 'numerical results', 'loop radius', 'equivalent circuit', 'distributed resistance']</t>
  </si>
  <si>
    <t>The impedance-loaded loop antenna is theoretically analyzed, in steady state using the Fourier series expansion technique. An expression is derived for the receiving transfer function or sensitivity. An equivalent circuit for the receiving antenna is presented. Numerical results are provided to illustrate the dependence of sensitivity on frequency, loop radius, distributed resistance and incident wave direction. The time-domain receiving response of a resistively loaded loop antenna for Gaussian and differentiated-Gaussian incident wave pulses is calculated and the numerical results are discussed. ¬© 1990 IEEE</t>
  </si>
  <si>
    <t>1123-1126</t>
  </si>
  <si>
    <t>60028897;60028897</t>
  </si>
  <si>
    <t>35586058800;56803516700</t>
  </si>
  <si>
    <t>Esselle, Karu P.;Stuchly, Stanislaw S.</t>
  </si>
  <si>
    <t>Ottawa</t>
  </si>
  <si>
    <t>University of Ottawa</t>
  </si>
  <si>
    <t>Esselle K.P.</t>
  </si>
  <si>
    <t>Resistively Loaded Loop as a Pulse-Receiving Antenna</t>
  </si>
  <si>
    <t>10.1109/8.55629</t>
  </si>
  <si>
    <t>2-s2.0-0025464824</t>
  </si>
  <si>
    <t>['transverse dependence', 'numerical algorithm', 'new approach', 'integration variables', 'integration involving', 'formulation employs', 'cartesian instead', 'basis functions']</t>
  </si>
  <si>
    <t>A numerical algorithm for the moment method solution of printed circuit antenna problems is developed. The formulation employs a spectral domain approach; however, the integration variables are in the Cartesian instead of the polar coordinate system. This numerical scheme separates the integration involving the longitudinal and the transverse dependence of the basis functions. This aspect may reduce the computation effort drastically. The new approach is found to be very efficient and easy to use, and is suitable for a variety of basis functions including mixed type basis function sets. ¬© 1990 IEEE</t>
  </si>
  <si>
    <t>1127-1130</t>
  </si>
  <si>
    <t>7406565241;7005104430;7004064046</t>
  </si>
  <si>
    <t>Yang, Hung Yu;Nakatani, Akifumi;Casta√±eda, Jesse A.</t>
  </si>
  <si>
    <t>Yang H.</t>
  </si>
  <si>
    <t>Efficient Evaluation of Spectral Integrals in the Moment Method Solution of Microstrip Antennas and Circuits</t>
  </si>
  <si>
    <t>10.1109/8.55630</t>
  </si>
  <si>
    <t>2-s2.0-0025464825</t>
  </si>
  <si>
    <t>['varied cases', 'thus allowing', 'technique considers', 'novel method', 'input impedance', 'induced currents', 'continuity conditions', 'computational validations']</t>
  </si>
  <si>
    <t>A novel method for computing the input impedance and induced currents on cylindrical antenna structures is investigated. This technique considers the antenna when placed between two parallel ground planes, thus allowing the use of cylindrical harmonic Fourier expansions to represent the fields. Enforcement of boundary and continuity conditions on the tangential field components results in solutions for the discrete spectral coefficients of these expansions. Convergence is discussed and computational validations are presented for varied cases. ¬© 1990 IEEE</t>
  </si>
  <si>
    <t>1130-1133</t>
  </si>
  <si>
    <t>60033012;60033012;</t>
  </si>
  <si>
    <t>7403025506;7103107636;7003541666</t>
  </si>
  <si>
    <t>Morgan, Michael A.;Hurley, Robert C.;Schwering, Felix K.</t>
  </si>
  <si>
    <t>Morgan M.</t>
  </si>
  <si>
    <t>Computation of Monopole Antenna Currents Using Cylindrical Harmonics</t>
  </si>
  <si>
    <t>10.1109/8.55631</t>
  </si>
  <si>
    <t>2-s2.0-0025464942</t>
  </si>
  <si>
    <t>['zone radiation', 'two antennas', 'transient near', 'time domain', 'straightforward application', 'radiation process', 'image plane', 'frequency domain', 'excellent agreement', 'difference time', 'cylindrical monopole', 'conical monopole', 'computed results', 'antennas corresponds']</t>
  </si>
  <si>
    <t>Two antennas are considered, a cylindrical monopole and a conical monopole. Both are driven through an image plane from a coaxial transmission line. Each of these antennas corresponds to a well-posed theoretical electromagnetic boundary value problem and a realizable experimental model. These antennas are analyzed by a straightforward application of the finite-difference time-domain (FDTD) method. The computed results for these antennas, for both the time domain and the frequency domain, are shown to be in excellent agreement with accurate experimental measurements. The graphical displays presented for the transient near-zone and far-zone radiation from these antennas provide physical insight into the radiation process. ¬© 1990 IEEE</t>
  </si>
  <si>
    <t>1059-1068</t>
  </si>
  <si>
    <t>60021032;60021032;60021032</t>
  </si>
  <si>
    <t>7201842082;7406739047;7403053802</t>
  </si>
  <si>
    <t>Maloney, James G.;Smith, Glenn S.;Scott, Waymond R.</t>
  </si>
  <si>
    <t>Maloney J.</t>
  </si>
  <si>
    <t>Accurate Computation of the Radiation from Simple Antennas Using the Finite-Difference Time-Domain Method</t>
  </si>
  <si>
    <t>10.1109/8.55618</t>
  </si>
  <si>
    <t>2-s2.0-0025465122</t>
  </si>
  <si>
    <t>['wiley company', 'two methods', 'techniques proposed', 'inc .,', 'attractive features']</t>
  </si>
  <si>
    <t>impedance matching | Microwave circuits and systems | tapered antennas | transmission lines</t>
  </si>
  <si>
    <t>A near‚Äêoptimum impedance transition with one discontinuity consisting of a combination of the techniques proposed by Hecken and Klopfenstein is described. The aim is to utilize the attractive features of the two methods and to combine them in an alternative impedance matching technique that might be used in the design of wideband antenna elements with low return loss. Copyright ¬© 1990 Wiley Periodicals, Inc., A Wiley Company</t>
  </si>
  <si>
    <t>249-256</t>
  </si>
  <si>
    <t>7102043788;35565202000</t>
  </si>
  <si>
    <t>Coetzee, Jacob C.;Malherbe, Johannes A.G.</t>
  </si>
  <si>
    <t>Coetzee J.</t>
  </si>
  <si>
    <t>A hybrid near‚Äêoptimum impedance transition with one discontinuity</t>
  </si>
  <si>
    <t>10.1002/mop.4650030708</t>
  </si>
  <si>
    <t>2-s2.0-0025465236</t>
  </si>
  <si>
    <t>['wiley company', 'typically designed', 'scan range', 'inc .,', 'dualreflector antennas', 'antenna size', '8 ¬∞,', '6 db']</t>
  </si>
  <si>
    <t>ciuster feed | Reflector antenna | wide‚Äêangle scan</t>
  </si>
  <si>
    <t>Conventional reflector antennas are typically designed for up to ¬±20 beamwidths scan. In this paper, we try to stretch this scan range to some ¬± 300 beamwidths by varying various parameters of single‚Äê and dualreflector antennas. It is found that a symmetrical parabolic reflector with f/D = 2 and a single circular waveguide feed has the minimum scan loss (only 0.6 dB at Œ∏0 = 8¬∞, or a 114 beamwidth scan). Reduction of antenna size by means of focal length folding (Cassegrain) of cluster feed implementation is discussed. Copyright ¬© 1990 Wiley Periodicals, Inc., A Wiley Company</t>
  </si>
  <si>
    <t>233-235</t>
  </si>
  <si>
    <t>60000745;60000745;60000745;60027550;60005304</t>
  </si>
  <si>
    <t>7202495702;7601396617;7004288007;6505950276;7006577375</t>
  </si>
  <si>
    <t>Zimmerman, M.;Lee, S. W.;Houshmand, B.;Rahmat‚ÄêSamil, Y.;Acosta, R.</t>
  </si>
  <si>
    <t>Los Angeles;Waltham;Urbana</t>
  </si>
  <si>
    <t>University of California, Los Angeles;Raytheon;University of Illinois Urbana-Champaign</t>
  </si>
  <si>
    <t>60027550;60005304;60000745</t>
  </si>
  <si>
    <t>Zimmerman M.</t>
  </si>
  <si>
    <t>A comparison of reflector antenna designs for wide‚Äêangle scanning</t>
  </si>
  <si>
    <t>10.1002/mop.4650030703</t>
  </si>
  <si>
    <t>2-s2.0-0025465267</t>
  </si>
  <si>
    <t>['wiley company', 'typical bwfs', 'transmission loss', 'reasonable since', 'phase shifter', 'inc .,', 'early 1989', 'diffraction analysis', 'associated computations', '1 ],']</t>
  </si>
  <si>
    <t>antenna feed | high power system | phase shifter | Reflector antenna</t>
  </si>
  <si>
    <t>A diffraction analysis and associated computations of the transmission loss of a typical BWFS (beam‚Äêwaveguide feed system) used to excite an HPM (high power microwave) DRA (dual‚Äêreflector antenna) are reported and show that the use of a BWFS as a phase shifter, as proposed by Hansen and Palaith in early 1989 [1], is reasonable since this phase‚Äêshift action increases this loss by an acceptably low amount. Copyright ¬© 1990 Wiley Periodicals, Inc., A Wiley Company</t>
  </si>
  <si>
    <t>263-268</t>
  </si>
  <si>
    <t>Knop, C. M.</t>
  </si>
  <si>
    <t>Joliet</t>
  </si>
  <si>
    <t>Andrew Corporation</t>
  </si>
  <si>
    <t>Knop C.</t>
  </si>
  <si>
    <t>A note on the use of a beam‚Äêwaveguide feed system as a phase shifter for high power microwave dual‚Äêreflector antennas</t>
  </si>
  <si>
    <t>10.1002/mop.4650030711</t>
  </si>
  <si>
    <t>2-s2.0-0025465268</t>
  </si>
  <si>
    <t>['œ ≤,', '¬© 1990', 'results given', 'new data', 'maximum bandwidth', 'latest results', 'calibration procedure']</t>
  </si>
  <si>
    <t>Progress and latest results on the development of a niobium gravitational radiation antenna are reported. An improved vibration isolation system has been installed and is currently under test. The previously developed transducer self-calibration procedure is summarized. We show that the power dependent microwave cavity Q limits the maximum achievable antenna-transducer coupling factor, Œ≤, and thus the maximum bandwidth of the antenna, B. The self-calibration procedure is combined with new data for the performance of the reentrant cavity transducer to determine the maximum Œ≤ and B which can be achieved. Results given here show maximum values of Œ≤ Œ∫ 0.04 and B Œ∫ 15 Hz. ¬© 1990.</t>
  </si>
  <si>
    <t>PART 1</t>
  </si>
  <si>
    <t>Physica B: Physics of Condensed Matter</t>
  </si>
  <si>
    <t>60031806;60031806;60031806;60031806;60031806;60031806</t>
  </si>
  <si>
    <t>8682074600;7005135152;22974326500;57198970387;35377760800;7201627826</t>
  </si>
  <si>
    <t>Linthorne, N. P.;Veitch, P. J.;Blair, D. G.;Turner, P. J.;Tobar, M. E.;Mann, A. G.</t>
  </si>
  <si>
    <t>Perth</t>
  </si>
  <si>
    <t>The University of Western Australia</t>
  </si>
  <si>
    <t>Linthorne N.</t>
  </si>
  <si>
    <t>Niobium gravitational radiation antenna with superconducting parametric transducer</t>
  </si>
  <si>
    <t>S0921-4526(90)80854-C</t>
  </si>
  <si>
    <t>10.1016/S0921-4526(90)80854-C</t>
  </si>
  <si>
    <t>2-s2.0-0025467091</t>
  </si>
  <si>
    <t>['vissible region', 'useful range', 'smooth sphere', 'propagation factor', 'efficient method', 'diffraction around', 'airy function', 'accurate computation']</t>
  </si>
  <si>
    <t>An efficient method is presented for the accurate computation of the Airy function. This method is applied to the calculation of the propagation factor for diffraction around a smooth sphere. These calculations give accurate results well into the vissible region, even for high altitude antennas, extending the useful range of the SKKE propagation model. ¬© 1990 IEEE</t>
  </si>
  <si>
    <t>1249-1252</t>
  </si>
  <si>
    <t>60024592;60024592</t>
  </si>
  <si>
    <t>57123135600;6507755351</t>
  </si>
  <si>
    <t>Shatz, Michael P.;Polychronopoulos, George H.</t>
  </si>
  <si>
    <t>Lexington</t>
  </si>
  <si>
    <t>Lincoln Laboratory</t>
  </si>
  <si>
    <t>Shatz M.P.</t>
  </si>
  <si>
    <t>An Algorithm for the Evaluation of Radar Propagation in the Spherical Earth Diffraction Region</t>
  </si>
  <si>
    <t>10.1109/8.56962</t>
  </si>
  <si>
    <t>2-s2.0-0025468355</t>
  </si>
  <si>
    <t>['transient currents', 'substrate parameters', 'relative importance', 'new approach', 'mixed analysis', 'microstrip antennas', 'harmonic parameters', 'fourier transform', 'far field', 'asymptotic expressions']</t>
  </si>
  <si>
    <t>A new approach to microstrip antennas is developed, based on a mixed analysis: transient-frequency. The solution of transient integral equations by the method of moments allows one to compute the transient currents on the antenna. The Fourier transform of these transient currents used in asymptotic expressions for the far field of a Hertz dipole leads directly to harmonic parameters of radiation. The relative importance of spherical space waves and cylindrical surface waves and their behavior in terms of substrate parameters and frequency are discussed for some cases. ¬© 1990 IEEE</t>
  </si>
  <si>
    <t>1166-1175</t>
  </si>
  <si>
    <t>60008447;60008447;60008447;60008447</t>
  </si>
  <si>
    <t>57194394366;6701324111;7004363654;7006402070</t>
  </si>
  <si>
    <t>Herault, Joel;Moini, Rouzbeh;Reineix, Alain;Jecko, Bernard</t>
  </si>
  <si>
    <t>Limoges</t>
  </si>
  <si>
    <t>Universite de Limoges</t>
  </si>
  <si>
    <t>Herault J.</t>
  </si>
  <si>
    <t>A New Approach to Microstrip Antennas Using a Mixed Analysis: Transient-Frequency</t>
  </si>
  <si>
    <t>10.1109/8.56952</t>
  </si>
  <si>
    <t>2-s2.0-0025468428</t>
  </si>
  <si>
    <t>Natural Sciences and Engineering Research Council of Canada</t>
  </si>
  <si>
    <t>A-1731</t>
  </si>
  <si>
    <t>NSERC</t>
  </si>
  <si>
    <t>['substantial gains', 'several antennas', 'rayleigh fading', 'mobile terminals', 'makes use', 'dynamic behavior', 'data transmission', 'channel models', 'bound channel', 'base station', 'also improved']</t>
  </si>
  <si>
    <t>The problem of data transmission in a mobile packet radio system with one central base station and a number of mobile terminals is addressed. A method which makes use of multiple directional antennas and receivers at the base station to improve the efficiency of transmission on the in-bound channel (from the terminals to the base station) is proposed. A number of channel models are considered, including flat terrestrial propagation loss, Rayleigh fading and noise. A finite population Markov model is used to obtain the throughput of a multi-antenna and multireceiver slotted ALOHA system. Numerical results indicate that substantial gains are possible with the use of several antennas and receivers. The dynamic behavior of the system is also improved. ¬© 1990 IEEE</t>
  </si>
  <si>
    <t>218-226</t>
  </si>
  <si>
    <t>60010365;60010365</t>
  </si>
  <si>
    <t>7401968617;7402612617</t>
  </si>
  <si>
    <t>Lau, Chiew T.;Leung, Cyril</t>
  </si>
  <si>
    <t>Lau C.T.</t>
  </si>
  <si>
    <t>A Slotted ALOHA Packet Radio System with Multiple Antennas and Receivers</t>
  </si>
  <si>
    <t>10.1109/25.131003</t>
  </si>
  <si>
    <t>2-s2.0-0025468486</t>
  </si>
  <si>
    <t>['uniform h', 'thin slots', 'port admittances', 'plane excitation', 'phase scanned', 'infinite extent', 'finite extent', 'example case']</t>
  </si>
  <si>
    <t>The mutual admittance matrix is computed for a planar phased array of thin slots with assumed single mode cosinusoidal aperture electric field. The array is of infinite extent in the E-plane and of finite extent in the H-plane. The H-plane excitation is arbitrary and the array is phase scanned in the E-plane. Resultant active row-port admittances and H-plane aperture distribution is in agreement with large strictly finite array calculations and with a Floquet mode infinite array model, for the example case of uniform H-plane excitation. ¬© 1990 IEEE</t>
  </si>
  <si>
    <t>1186-1191</t>
  </si>
  <si>
    <t>Scharstein, Robert W.</t>
  </si>
  <si>
    <t>Tuscaloosa</t>
  </si>
  <si>
    <t>The University of Alabama</t>
  </si>
  <si>
    <t>Scharstein R.</t>
  </si>
  <si>
    <t>Mutual Coupling in a Slotted Phased Array, Infinite in E-Plane and Finite in H-Plane</t>
  </si>
  <si>
    <t>10.1109/8.56954</t>
  </si>
  <si>
    <t>2-s2.0-0025468513</t>
  </si>
  <si>
    <t>['¬© 1990', 'undesirable effects', 'surface distortions', 'right reserved', 'results demonstrate', 'reflector antenna', 'reducing gain', 'numerical simulations', 'ground antennas', 'focal plane', 'experimental study', 'beam deterioration', 'angle scanned']</t>
  </si>
  <si>
    <t>Thermal and gravitational effects typically result in reflector antenna surface distortions. These distortions degrade antenna performance, primarily by reducing gain and introducing high sidelobe levels. Properly excited array feeds are capable of overcoming the effects of both surface distortions and wide-angle scanned-beam deterioration. This article describes algorithm development steps and presents the outcome of numerical simulations. In particular, results of an experimental study are detailed. These results demonstrate how effectively a properly-excited array feed, in the focal plane of the reflector antenna, can compensate for the undesirable effects of slowly-varying surface distortions. The application of the array-compensation concept could prove useful for future, large, space and ground antennas. ¬© 1990, IEEE. All Right Reserved.</t>
  </si>
  <si>
    <t>20-26</t>
  </si>
  <si>
    <t>Rahmat-Samii, Yahya</t>
  </si>
  <si>
    <t>Rahmat-Samii Y.</t>
  </si>
  <si>
    <t>Array Feeds for Reflector Surface Distortion Compensation: Concepts and Implementation</t>
  </si>
  <si>
    <t>10.1109/74.80554</t>
  </si>
  <si>
    <t>2-s2.0-0025468515</t>
  </si>
  <si>
    <t>['transit close', 'thereby increasing', 'theoretical models', 'shield material', 'ponderomotive force', 'periodic structure', 'particle transport', 'icrf heating', 'fluid model', 'fields act', 'faraday shield', 'enhanced transport', 'edge plasma', 'e1 induced', 'antenna interaction']</t>
  </si>
  <si>
    <t>Theoretical models are presented to explain the edge plasma-antenna interaction that occurs during ICRF heating. The periodic structure of the Faraday shield is found to result in strong ponderomotive force in the vicinity of the antenna. A fluid model, which incorporates the ponderomotive force, predicts an increase in particle transport to the Faraday shield. Kinetic modelling shows that the strong antenna near-fields act to increase the energy of deuterons that strike the shield, thereby increasing the sputtering of shield material. In addition, kinetic modelling shows that E1 induced between adjacent shield elements acts to heat edge electrons that transit close to the antenna. The predictions of the models are shown to be consistent with measurements of enhanced transport on PLT. ¬© 1990 IOP Publishing Ltd.</t>
  </si>
  <si>
    <t>1399-1415</t>
  </si>
  <si>
    <t>60025209;60018020;60024266</t>
  </si>
  <si>
    <t>6602713706;7004002507;7005521707</t>
  </si>
  <si>
    <t>Lehrman, I. S.;Colestock, P. L.;Jaeger, E. F.</t>
  </si>
  <si>
    <t>Los Angeles;Oak Ridge;Princeton</t>
  </si>
  <si>
    <t>Northrop Grumman corporation;Oak Ridge National Laboratory;Princeton Plasma Physics Laboratory</t>
  </si>
  <si>
    <t>60025209;60024266;60018020</t>
  </si>
  <si>
    <t>Lehrman I.</t>
  </si>
  <si>
    <t>Edge modelling of ICRF heated plasmas on PLT</t>
  </si>
  <si>
    <t>10.1088/0029-5515/30/8/001</t>
  </si>
  <si>
    <t>2-s2.0-0025468560</t>
  </si>
  <si>
    <t>['¬© 1990', 'rights reserved', 'resonant frequencies', 'radiation patterns', 'numerical analysis', 'experimental data', 'electrical engineers']</t>
  </si>
  <si>
    <t>A theoretical and numerical analysis of the resonant frequencies and radiation patterns of the dual-frequency stacked circular disc microstrip antenna is presented. Results are compared with the experimental data of Long and Walton. ¬© 1990, The Institution of Electrical Engineers. All rights reserved.</t>
  </si>
  <si>
    <t>1467-1469</t>
  </si>
  <si>
    <t>60029306;60021624</t>
  </si>
  <si>
    <t>7402099663;7501501369</t>
  </si>
  <si>
    <t>Fan, Z.;Lee, K. F.</t>
  </si>
  <si>
    <t>Wuhan;Toledo</t>
  </si>
  <si>
    <t>Wuhan University;The University of Toledo</t>
  </si>
  <si>
    <t>Fan Z.</t>
  </si>
  <si>
    <t>Hankel Transform Domain Analysis of Dual-Frequency Stacked Circular Disc Microstrip Antenna</t>
  </si>
  <si>
    <t>10.1049/el:19900941</t>
  </si>
  <si>
    <t>2-s2.0-0025468691</t>
  </si>
  <si>
    <t>['sufficiently high', 'similar effect', 'sheath thickness', 'plasma system', 'plasma structure', 'periodic modulation', 'observed excitation', 'numerical analysis', 'nonlinear response', 'nonlinear effect', 'measuring circuit', 'linear circuit', 'input signal', 'free plasma', 'current waveform']</t>
  </si>
  <si>
    <t>The nonlinear response of a cylindrical monopole antenna immersed in a steady-state collisionless magnetic-field-free plasma and driven by a single-frequency RF source is investigated. The thickness of the ion sheath surrounding the antenna is controlled by a dc bias applied to the latter. It is found that at frequencies of the driving signal close to twice the frequency of a sheath wave resonance, the 1/2-sub-harmonic is excited, provided that the input power level is sufficiently high. The dependence of this process on the sheath thickness and on the electron plasma density is studied in the vicinity of several sheath wave resonances. This nonlinear effect is interpreted as a parametric excitation due to the periodic modulation of the sheath thickness and hence of its capacitance by the applied RF signal. A similar effect can be obtained by replacing the antenna-sheath-plasma structure in the measuring circuit by a variable capacitance diode. A numerical analysis is carried out of the differential equation describing the current waveform in a microwave network modeling the antenna-sheath-plasma system. It confirms the fact that a periodically modulated capacitance embedded in a linear circuit is responsible for the observed excitation of the half-frequency of the input signal. ¬© 1990 IEEE</t>
  </si>
  <si>
    <t>717-724</t>
  </si>
  <si>
    <t>60019141;60019141</t>
  </si>
  <si>
    <t>7003864008;7006073745</t>
  </si>
  <si>
    <t>Linh, Ngo Phong;Nachman, Manfred</t>
  </si>
  <si>
    <t>Polytechnique Montr√©al</t>
  </si>
  <si>
    <t>Linh N.</t>
  </si>
  <si>
    <t>Excitation of the Half-Frequency of the Input Signal in the Response of an Antenna Immersed in a Plasma</t>
  </si>
  <si>
    <t>10.1109/27.57526</t>
  </si>
  <si>
    <t>2-s2.0-0025469363</t>
  </si>
  <si>
    <t>['within 1mm', 'spatial location', 'risetime method', 'ray photons', 'orbiting observatory', 'locate 0', 'individual x', 'energy information', '4kev photons', '25 %.']</t>
  </si>
  <si>
    <t>The HEAO-B Imaging Proportional Counter is an X-ray imaging instrument designed for use in an orbiting observatory. It measures the spatial location and energy of individual X-ray photons by the risetime method and pulse height analysis respectively. The IPC can locate 0.1 to 4keV photons to within 1mm, and provides five bits of energy information. The IPC also includes an inflight calibration source and a gas control system that maintains the counter gas density constant to an accuracy of 0.25%. ¬© 1990 IEEE</t>
  </si>
  <si>
    <t>1302-1306</t>
  </si>
  <si>
    <t>57218185325;7005985707;7201527985</t>
  </si>
  <si>
    <t>Shumpert, Thomas H.;Riggs, Lloyd S.;Lindsey, John M.</t>
  </si>
  <si>
    <t>Shumpert T.H.</t>
  </si>
  <si>
    <t>Singularity Expansion Method Analysis of Regular Polygonal Loops</t>
  </si>
  <si>
    <t>10.1109/8.56972</t>
  </si>
  <si>
    <t>2-s2.0-0025469431</t>
  </si>
  <si>
    <t>['¬© 1990', 'theoretical results', 'rights reserved', 'radiation patterns', 'radiation admittance', 'particular case', 'large bandwidth', 'good agreement', 'electrical engineers', 'circular shape']</t>
  </si>
  <si>
    <t>Conduction and Polarisation current distributions | Microstrip | Patch | Patterns | Radiation</t>
  </si>
  <si>
    <t>The radiation admittance of arbitrarily shaped symmetrical patch antennas has yet to be expressed. 1 A quasi TEM two coupled transmission lines is now used to determine the conduction and polarisation current distributions and the radiation patterns of arbitrary-shape symmetrical patches coupled with a director and acting in a large bandwidth. In the particular case of the circular shape, the theoretical results are in good agreement with the experiments. ¬© 1990, The Institution of Electrical Engineers. All rights reserved.</t>
  </si>
  <si>
    <t>1539-1540</t>
  </si>
  <si>
    <t>60030553;60030553;60068739</t>
  </si>
  <si>
    <t>7006052449;6506203255;6507419116</t>
  </si>
  <si>
    <t>Dubost, G.;Desclos, S.;Zerguerras, A.</t>
  </si>
  <si>
    <t>Algeria;France</t>
  </si>
  <si>
    <t>Algiers;Rennes</t>
  </si>
  <si>
    <t>Ecole Nationale Polytechnique Alger;Universite de Rennes 1</t>
  </si>
  <si>
    <t>60068739;60030553</t>
  </si>
  <si>
    <t>Dubost G.</t>
  </si>
  <si>
    <t>Radiation of Arbitrary Symmetrical Patch Antenna Coupled with a Director</t>
  </si>
  <si>
    <t>10.1049/el:19900988</t>
  </si>
  <si>
    <t>2-s2.0-0025469532</t>
  </si>
  <si>
    <t>['wall loss', 'type integro', 'slot walls', 'slot voltage', 'simple estimate', 'necessarily infinite', 'nearly constant', 'modified hallen', 'local region', 'intuitive manner', 'included locally', 'good conductors', 'gasket dimensions', 'finite conductivity', 'examples involving', 'electromagnetic penetration', 'electrical parameters', 'differential equation', 'conducting plane', 'also reduce']</t>
  </si>
  <si>
    <t>The problem of electromagnetic penetration of a narrow slot aperture in a thick conducting plane is considered when the conductivity of the plane (and slot walls) is large but not necessarily infinite and when somewhat lossy gaskets are placed in the slot. The problem is partitioned into a ‚Äúlocal‚Äù region, where transmission line theory is used to describe the antenna modes along the slot, and a ‚Äúnonlocal‚Äù region, where a filament-type integral representation is used. The result is a modified Hallen-type integro-differential equation for the slot voltage (or magnetic current). Slot and gasket dimensions in addition to the electrical parameters of the conducting plane and gasket are restricted so that gasket and wall loss effects only need to be included locally. Furthermore, we require the slot voltage to be nearly constant over the local region, which can be checked by means of a simple estimate of the variation of the voltage with depth or can be guaranteed by further restrictions on the parameters. The local transmission line theory allows the effects of wall loss and gaskets to be included in a simple and intuitive manner. Examples involving a rectangular slot aperture are given. The finite conductivity of the conducting plane, even for good conductors, reduces the penetration when realistic slot dimensions are used. Gaskets, even with relatively small loss tangents, also reduce the penetration when realistic slot dimensions are used. ¬© 1990 IEEE</t>
  </si>
  <si>
    <t>185-196</t>
  </si>
  <si>
    <t>60007843;60007843</t>
  </si>
  <si>
    <t>7003397779;7410237435</t>
  </si>
  <si>
    <t>Warne, Larry K.;Chen, Kenneth C.</t>
  </si>
  <si>
    <t>Albuquerque</t>
  </si>
  <si>
    <t>Sandia National Laboratories, New Mexico</t>
  </si>
  <si>
    <t>Warne L.K.</t>
  </si>
  <si>
    <t>Slot Apertures Having Depth and Losses Described By Local Transmission Line Theory</t>
  </si>
  <si>
    <t>10.1109/15.57112</t>
  </si>
  <si>
    <t>2-s2.0-0025469748</t>
  </si>
  <si>
    <t>['¬© 1990', 'two kinds', 'rights reserved', 'mmic operating', 'grating lobes', 'electrical engineers', 'effectively prevented', 'cpw mic', 'antenna arrays', '5 ghz']</t>
  </si>
  <si>
    <t>Antenna arrays | Coplanar transmission lines | MIC | Millimeter wave antennas | MMIC</t>
  </si>
  <si>
    <t>Two kinds of new broadside coplanar waveguide (CPW) antenna arrays are proposed and their performances are confirmed by experiments at a frequency of about 37.5 GHz. They have completely printed structures and can be used in CPW MIC/MMIC operating up to millimetre wave frequencies. The array element spacings are appropriate and grating lobes are effectively prevented. ¬© 1990, The Institution of Electrical Engineers. All rights reserved.</t>
  </si>
  <si>
    <t>1464-1465</t>
  </si>
  <si>
    <t>60005244;60005244</t>
  </si>
  <si>
    <t>7406502748;7409424720</t>
  </si>
  <si>
    <t>Yang, X. H.;Zhang, W. X.</t>
  </si>
  <si>
    <t>Nanjing</t>
  </si>
  <si>
    <t>Southeast University</t>
  </si>
  <si>
    <t>Yang X.H.</t>
  </si>
  <si>
    <t>Coplanar Waveguide Antenna Arrays for MIC/MMIC at Millimetre Wave Frequencies</t>
  </si>
  <si>
    <t>10.1049/el:19900939</t>
  </si>
  <si>
    <t>2-s2.0-0025470246</t>
  </si>
  <si>
    <t>['source region', 'singular parts', 'rectangular patch', 'previous paper', 'magnetic fields', 'linear distributions', 'field components', 'electromagnetic field', 'electric current', 'current distributions', 'analytical expressions']</t>
  </si>
  <si>
    <t>Exact analytical expressions for the magnetic vector potential and the electric and magnetic fields of a rectangular patch of uniform and linear distributions of electric current in an unbounded homogeneous medium have been given in a previous paper. In this paper, these expressions are utilized to investigate the nature of the electromagnetic field of such current distributions in the source region. Specifically, the singular parts and points of singularity of the various functions involved in the analytical expressions as well as those of the field components of both current distributions are obtained and tabulated. ¬© 1990 IEEE</t>
  </si>
  <si>
    <t>1244-1248</t>
  </si>
  <si>
    <t>60010491;60010491</t>
  </si>
  <si>
    <t>7003471772;6701487674</t>
  </si>
  <si>
    <t>Mahadevan, Karthikeyan;Auda, Hesham A.</t>
  </si>
  <si>
    <t>University</t>
  </si>
  <si>
    <t>University of Mississippi</t>
  </si>
  <si>
    <t>Mahadevan K.</t>
  </si>
  <si>
    <t>On the Electromagnetic Field of a Rectangular Patch of Uniform and Linear Distributions of Current in the Source Region</t>
  </si>
  <si>
    <t>10.1109/8.56961</t>
  </si>
  <si>
    <t>2-s2.0-0025470351</t>
  </si>
  <si>
    <t>['recessed antenna', 'probable absence', 'power supplies', 'potentially attractive', 'potential ability', 'particular case', 'operational limits', 'mode coupling', 'large tokamak', 'large machine', 'current profile', 'antenna loading', 'also presented', 'act selectively']</t>
  </si>
  <si>
    <t>A number of features of Alfv√©n wave heating make it potentially attractive for use in large tokamak reactors. Among them are the availability and relatively low cost of the power supplies, the potential ability to act selectively on the current profile, and the probable absence of operational limits in size, fields or density. The physics of Alfv√©n wave heating in a large tokamak is assessed. Present theoretical understanding of mode coupling and antenna loading is extrapolated to a large machine. The problem of a recessed antenna is analysed. Calculations of loading and a discussion of various heating scenarios for the particular case of NET are also presented. ¬© 1990 IOP Publishing Ltd.</t>
  </si>
  <si>
    <t>1433-1450</t>
  </si>
  <si>
    <t>60028186;60028186;60028186;60028186;60028186</t>
  </si>
  <si>
    <t>22991143800;7003823426;22967785700;7201547264;7004037457</t>
  </si>
  <si>
    <t>Borg, G. G.;Appert, K.;Knight, A. J.;Lister, J. B.;Vaclavik, J.</t>
  </si>
  <si>
    <t>Borg G.</t>
  </si>
  <si>
    <t>Alfv√©n wave heating in a tokamak reactor</t>
  </si>
  <si>
    <t>10.1088/0029-5515/30/8/004</t>
  </si>
  <si>
    <t>2-s2.0-0025470640</t>
  </si>
  <si>
    <t>['scanned feeds', 'reflector system', 'gregorian antennas', 'equivalent paraboloid', 'diffraction effects']</t>
  </si>
  <si>
    <t>The equivalent paraboloid is derived for classical offset Cassegrain and Gregorian antennas. The important practical case of systems with circular exit apertures is discussed in detail, and a condition for a symmetric equivalent paraboloid is derived. For such systems, diffraction effects are investigated using tapered and scanned feeds to illuminate the equivalent paraboloid and the two-reflector system. ¬© 1990 IEEE</t>
  </si>
  <si>
    <t>1141-1149</t>
  </si>
  <si>
    <t>60029311;60029311;60027550;60001247</t>
  </si>
  <si>
    <t>7005574913;36884351500;7102110120;7102001903</t>
  </si>
  <si>
    <t>Rusch, Willard V.T.;Prata, Aluizio;Rahmat-Samii, Yahya;Shore, Robert A.</t>
  </si>
  <si>
    <t>Los Angeles;Los Angeles;</t>
  </si>
  <si>
    <t>University of Southern California;University of California, Los Angeles;Hanscom AFB</t>
  </si>
  <si>
    <t>60029311;60027550;60001247</t>
  </si>
  <si>
    <t>Rusch W.V.T.</t>
  </si>
  <si>
    <t>Derivation and Application of the Equivalent Paraboloid for Classical Offset Cassegrain and Gregorian Antennas</t>
  </si>
  <si>
    <t>10.1109/8.56949</t>
  </si>
  <si>
    <t>2-s2.0-0025470945</t>
  </si>
  <si>
    <t>['¬© 1990', 'rights reserved', 'reciprocity theorem', 'equivalent principle', 'electrical engineers', 'comment solution']</t>
  </si>
  <si>
    <t>Finite element method | Microstrip antennas | Microstrip discontinuities</t>
  </si>
  <si>
    <t>A full wave finite element method is presented for the analysis of slot-coupled irregular shape microstrip antennas. The approach is a combination of the equivalent principle and the reciprocity theorem, and uses the spectral domain Green's functions in a comment solution for the unknown finite element currents. Results for the rectangular patch antenna are compared with measurements. ¬© 1990, The Institution of Electrical Engineers. All rights reserved.</t>
  </si>
  <si>
    <t>1465-1467</t>
  </si>
  <si>
    <t>60014264;60014264</t>
  </si>
  <si>
    <t>7402713229;35589308200</t>
  </si>
  <si>
    <t>Pan, S. G.;Wolff, I.</t>
  </si>
  <si>
    <t>Duisburg</t>
  </si>
  <si>
    <t>Universit√§t Duisburg-Essen</t>
  </si>
  <si>
    <t>Pan S.</t>
  </si>
  <si>
    <t>Full Wave Finite Element Analysis of Slot-Coupled Microstrip Antennas</t>
  </si>
  <si>
    <t>10.1049/el:19900940</t>
  </si>
  <si>
    <t>2-s2.0-0025471345</t>
  </si>
  <si>
    <t>['¬© 1990', 'temperature superconductors', 'right reserved', 'passive microwave', 'new materials', 'new high', 'frequency characteristics', 'fluid model', 'empirical expression', 'basic physics']</t>
  </si>
  <si>
    <t>In this paper we will present an overview of some of the basic physics of superconductivity, and we will relate these properties to the new high-temperature superconductors. The high-frequency characteristics of these new materials will be examined, and the two-fluid model will be introduced to derive an empirical expression for the conductivity of superconductors. Several issues concerning the application of high-temperature superconductors in passive microwave and millimeter-wave antenna systems will be addressed. ¬© 1990, IEEE. All Right Reserved.</t>
  </si>
  <si>
    <t>57218985569;7402507033</t>
  </si>
  <si>
    <t>Williams, Jeffery T.;Long, Stuart A.</t>
  </si>
  <si>
    <t>Williams J.T.</t>
  </si>
  <si>
    <t>High Temperature Superconductors and Their Application in Passive Antenna Systems</t>
  </si>
  <si>
    <t>10.1109/74.80552</t>
  </si>
  <si>
    <t>2-s2.0-0025471363</t>
  </si>
  <si>
    <t>['variable parameters', 'suburban areas', 'sight path', 'rotation angle', 'means differed', 'incident fields', 'horizontal polarizations', 'direct line', 'base station', '7 db', '12 db']</t>
  </si>
  <si>
    <t>Signals in the vertical and horizontal polarizations at the base station have been measured by transmitting from a principally vertically polarized mobile. There was no direct line-of-sight path between the mobile and base. The envelopes were uncorrelated and the means differed by 7 dB and 12 dB when the mobile was in urban and suburban areas, respectively. The discussion of the results includes theoretical curves showing the relationship between the envelope correlation coefficient and the mean levels difference of Rayleigh distributed signals in orthogonal linear polarizations at the base station. The variable parameters are the rotation angle of the base station antenna and the cross polar discrimination of the incident fields. ¬© 1990 IEEE</t>
  </si>
  <si>
    <t>177-186</t>
  </si>
  <si>
    <t>Vaughan, Rodney G.</t>
  </si>
  <si>
    <t>New Zealand Department of Scientific and Industrial Research</t>
  </si>
  <si>
    <t>Vaughan R.G.</t>
  </si>
  <si>
    <t>Polarization Diversity in Mobile Communications</t>
  </si>
  <si>
    <t>10.1109/25.130998</t>
  </si>
  <si>
    <t>2-s2.0-0025471370</t>
  </si>
  <si>
    <t>['results obtained', 'excellent agreement', 'electromagnetic beams', 'describe accurately']</t>
  </si>
  <si>
    <t>The power of Gaussian beam mode analysis to describe accurately the propagation of electromagnetic beams and the location of a horn antenna phase-center is illustrated. By way of example, the case of a compensated pyramidal horn fitted with fins to produce a less abruptly tapered E-plane field distribution is discussed and the results obtained are compared with those from an alternative method published in the literature. Excellent agreement is found. ¬© 1990 IEEE</t>
  </si>
  <si>
    <t>1306-1310</t>
  </si>
  <si>
    <t>55587645400;7005970572</t>
  </si>
  <si>
    <t>Murphy, John A.;Padman, Rachael</t>
  </si>
  <si>
    <t>Murphy J.A.</t>
  </si>
  <si>
    <t>Phase Centers of Horn Antennas Using Gaussian Beam Mode Analysis</t>
  </si>
  <si>
    <t>10.1109/8.56973</t>
  </si>
  <si>
    <t>2-s2.0-0025471556</t>
  </si>
  <si>
    <t>['input impedance', 'ground plane', 'fed counterparts', 'excellent agreement', 'electric field', 'circular polarization', 'cavity modes', 'cavity model']</t>
  </si>
  <si>
    <t>A simple theory based on the cavity model is developed to analyze microstrip antennas excited by a slot in the ground plane. By using an equivalent magnetic current source at the feed, the electric field under the patch is obtained in terms of a set of cavity modes. In particular, the loci of the slot feed location for achieving the circular polarization and the input impedance are computed and found to be in excellent agreement with the experimentally measured results. Simple but surprisingly accurate formulas for slot-fed circularly polarized microstrip antennas are derived and compared with those for probe-fed counterparts. ¬© 1990 IEEE</t>
  </si>
  <si>
    <t>1224-1230</t>
  </si>
  <si>
    <t>7003949001;7202515804;7401934487</t>
  </si>
  <si>
    <t>Aksun, M. Irsadi;Chuang, Shun Lien;Lo, Yuen Tze</t>
  </si>
  <si>
    <t>Aksun M.I.</t>
  </si>
  <si>
    <t>On Slot-Coupled Microstrip Antennas and Their Applications to CP Operation‚ÄîTheory and Experiment</t>
  </si>
  <si>
    <t>10.1109/8.56958</t>
  </si>
  <si>
    <t>2-s2.0-0025471766</t>
  </si>
  <si>
    <t>['two steps', 'systolic array', 'second step', 'schmidt processor', 'regular structure', 'radiation pattern', 'procedure involved', 'placed ahead', 'local communication', 'implemented effectively', 'howells processor', 'howells array', 'first step', 'feedback loop', 'conventional applebaum', 'architecture consists']</t>
  </si>
  <si>
    <t>A systolic array architecture for the Applebaum-Howells array is derived. A problem to be solved is to eliminate the global signal feedback loop in the conventional Applebaum-Howells array processor. The procedure involved in deriving the architecture consists of two steps: orthogonalization of the input element signals and elimination of the feedback loop. In the first step, the input element signals are orthogonalized with regard to each other by using the Gram-Schmidt processor, placed ahead of the Applebaum-Howells processor. It has been shown, in the second step, that the orthogonality in the Gram-Schmidt processor output signals can remove the global signal feedback loop and that the Applebaum-Howells array can be implemented effectively by using the systolic array with regular structure and local communication. Simulation results also show that the proposed processor features desirable characteristics for the radiation pattern with the low sidelobe level common to the Applebaum-Howells array. ¬© 1990 IEEE</t>
  </si>
  <si>
    <t>1310-1313</t>
  </si>
  <si>
    <t>7402452132;7201640352;7005899861</t>
  </si>
  <si>
    <t>Ueno, Motoharu;Kawabata, K.;Morooka, Tasuku</t>
  </si>
  <si>
    <t>Ueno M.</t>
  </si>
  <si>
    <t>A Systolic Array Architecture for the Applebaum-Howells Array</t>
  </si>
  <si>
    <t>10.1109/8.56974</t>
  </si>
  <si>
    <t>2-s2.0-0025472079</t>
  </si>
  <si>
    <t>['performance goal', 'illustrated theoretically', 'archimedean spirals', 'acceptable sidelobes']</t>
  </si>
  <si>
    <t>Principles for wide bandwidth antenna arrays are presented. The performance is illustrated theoretically and experimentally with an eight element planar array of Archimedean spirals. The performance goal of a clean main beam and acceptable sidelobes over at least two octaves was achieved.</t>
  </si>
  <si>
    <t>238-240</t>
  </si>
  <si>
    <t>Aug</t>
  </si>
  <si>
    <t>60000854;60000854</t>
  </si>
  <si>
    <t>6601912931;7006247497</t>
  </si>
  <si>
    <t>Shively, D. G.;Stutzman, W. L.</t>
  </si>
  <si>
    <t>Hampton</t>
  </si>
  <si>
    <t>NASA Langley Research Center</t>
  </si>
  <si>
    <t>Shively D.</t>
  </si>
  <si>
    <t>Wideband arrays with variable element sizes</t>
  </si>
  <si>
    <t>10.1049/ip-h-2.1990.0047</t>
  </si>
  <si>
    <t>2-s2.0-0025472104</t>
  </si>
  <si>
    <t>['wiley company', 'optimization routine', 'minimax algorithm', 'measured data', 'inc .,', 'excellent agreement', 'analysis employs']</t>
  </si>
  <si>
    <t>antenna feed | minimax optimization | Mode matching</t>
  </si>
  <si>
    <t>Hybrid‚Äêmode feeds exhibit good axisymmetric copolar radiation patterns and low cross polarization. Practical design often relies on an empirical cut‚Äêand‚Äêtry approach and is therefore time consuming and costly. A new computer‚Äêaided design, based on an optimization routine, is proposed and presented in this paper. The analysis employs the mode matching technique at approximated step junctions, and the optimization procedure uses the minimax algorithm. Validation of this approach is supported by the excellent agreement between computed and measured data. Copyright ¬© 1990 Wiley Periodicals, Inc., A Wiley Company</t>
  </si>
  <si>
    <t>286-290</t>
  </si>
  <si>
    <t>60013506;60013506;60013506</t>
  </si>
  <si>
    <t>57197503326;56283160400;7406883509</t>
  </si>
  <si>
    <t>Gupta, G. S.;Nguyen, D. N.;Huang, C. C.</t>
  </si>
  <si>
    <t>Gupta G.</t>
  </si>
  <si>
    <t>Analysis and optimization of high‚Äêperformance antenna feed</t>
  </si>
  <si>
    <t>10.1002/mop.4650030806</t>
  </si>
  <si>
    <t>2-s2.0-0025472107</t>
  </si>
  <si>
    <t>['¬© 1990', 'rights reserved', 'results obtained', 'reaction integral', 'numerical results', 'helical antenna', 'good agreement', 'electrical engineers', 'dielectric coating']</t>
  </si>
  <si>
    <t>The Hallen-type integral equation for an arbitrary wire antenna with dielectric coating is formulated. The numerical results for a dipole and a helical antenna are found to be in very good agreement with the results obtained from the reaction integral. ¬© 1990, The Institution of Electrical Engineers. All rights reserved.</t>
  </si>
  <si>
    <t>1412-1413</t>
  </si>
  <si>
    <t>60030526;60030526</t>
  </si>
  <si>
    <t>57220533028;55633340100</t>
  </si>
  <si>
    <t>Yamauchi, J.;Nakano, H.</t>
  </si>
  <si>
    <t>Yamauchi J.</t>
  </si>
  <si>
    <t>Hallen-Type Integral Equation to a System Composed of Wires with Dielectric Coating</t>
  </si>
  <si>
    <t>10.1049/el:19900907</t>
  </si>
  <si>
    <t>2-s2.0-0025472174</t>
  </si>
  <si>
    <t>['¬© 1990', 'rights reserved', 'receive bands', 'electrical engineers', 'duplex mode']</t>
  </si>
  <si>
    <t>The design of a microstrip patch antenna module intended for use in the SHF military satcom band as a building-block for a variety of two dimensional array antennas is described. The module can operate in duplex mode in dual orthogonal circularly polarised transmit/receive bands. ¬© 1990, The Institution of Electrical Engineers. All rights reserved.</t>
  </si>
  <si>
    <t>1433-1434</t>
  </si>
  <si>
    <t>60082877;118848289</t>
  </si>
  <si>
    <t>57196514101;55740317900</t>
  </si>
  <si>
    <t>Owens, R. P.;Smith, A. C.</t>
  </si>
  <si>
    <t>London;</t>
  </si>
  <si>
    <t>Electric and Musical Industries Limited;RSRE Satellite Communications Centre</t>
  </si>
  <si>
    <t>Owens R.</t>
  </si>
  <si>
    <t>Low-Profile Dual Band, Dual Polarised Array Antenna Module</t>
  </si>
  <si>
    <t>10.1049/el:19900919</t>
  </si>
  <si>
    <t>2-s2.0-0025472189</t>
  </si>
  <si>
    <t>['energy coupled', 'coupling bounds', 'circular aperture', 'aperture subjected']</t>
  </si>
  <si>
    <t>A bound on the energy coupled to a load by means of an antenna or aperture subjected to a step function EMP is given by the polarizabilities of the antenna or aperture. Examples of coupling bounds for a slender electric dipole antenna, a circular aperture, and a narrow slot aperture having depth are given. ¬© 1990 IEEE</t>
  </si>
  <si>
    <t>Warne L.</t>
  </si>
  <si>
    <t>A Bound on EMP Coupling</t>
  </si>
  <si>
    <t>10.1109/15.57115</t>
  </si>
  <si>
    <t>2-s2.0-0025472314</t>
  </si>
  <si>
    <t>['uniform high', 'results compute', 'relative importance', 'physical optics', 'infinite cones', 'important within', 'fully illuminated', 'finite limits', 'finite flat', 'fields diffracted', 'expressions useful', 'compare well', 'based upon', 'base interaction', 'backed cone']</t>
  </si>
  <si>
    <t>A uniform high-frequency asymptotic solution, based upon the physical optics (PO) approximation, is obtained in the format of the uniform geometrical theory of diffraction (UTD) to describe the fields diffracted by the tip of a semi-infinite, perfectly cor lucting cone when it is fully illuminated by an electromagnetic plane wa. The solution is expressed in terms of an integral, over finite limits, wh can be integrated numerically without difficulty. The results compute from the uniform asymptotic PO solution compare well with previously published results given for narrow angle semi-infinite cones. In addition, they compare well with measurement and with an independent moment method (MM) solution for the scattering by a finite flat-backed cone in which several higher order wave interactions are found to be significant; one such is an interaction between the tip and the base of the cone. The present work provides the expressions useful for calculating this tip-base interaction and to confirm its relative importance. These expressions also provide tip diffraction effects which are important within the forward paraxial zone for the radiation by antennas on cones. ¬© 1990 IEEE</t>
  </si>
  <si>
    <t>1150-1160</t>
  </si>
  <si>
    <t>60001247;60003500;</t>
  </si>
  <si>
    <t>7103149851;35579308700;55926567200</t>
  </si>
  <si>
    <t>Trott, Keith D.;Pathak, Prabhakar H.;Molinet, Frederic A.</t>
  </si>
  <si>
    <t>Columbus;</t>
  </si>
  <si>
    <t>The Ohio State University;Hanscom AFB</t>
  </si>
  <si>
    <t>60003500;60001247</t>
  </si>
  <si>
    <t>Trott K.D.</t>
  </si>
  <si>
    <t>A UTD Type Analysis of the Plane Wave Scattering by a Fully Illuminated Perfectly Conducting Cone</t>
  </si>
  <si>
    <t>10.1109/8.56950</t>
  </si>
  <si>
    <t>2-s2.0-0025472530</t>
  </si>
  <si>
    <t>['tight tolerance', 'spurious radiation', 'resonant frequencies', 'positioning errors', 'phase accuracies', 'mutual coupling', 'microstrip arrays', 'feed network', 'factors affecting', 'experimental 16', 'errors due', 'diffraction effects', 'also discussed']</t>
  </si>
  <si>
    <t>The factors affecting the realizable sidelobe performance of microstrip arrays are discussed and quantified. These include excitation amplitude and phase accuracies, mutual coupling, diffraction effects, positioning errors, and errors due to imperfect element matching and feed network isolation. Also, it is shown that low-sidelobe microstrip arrays require a very tight tolerance on the resonant frequencies of the elements, and the elimination of spurious radiation from the feed network. Cross-pol and surface wave effects are also discussed. An experimental 16-element microstrip array prototype incorporated these considerations into its design, and achieved a 35 dB relative sidelobe level. ¬© 1990 IEEE</t>
  </si>
  <si>
    <t>1176-1185</t>
  </si>
  <si>
    <t>7006061921;7102639866</t>
  </si>
  <si>
    <t>Pozar, David M.;Kaufman, Barry</t>
  </si>
  <si>
    <t>Design Considerations for Low Sidelobe Microstrip Arrays</t>
  </si>
  <si>
    <t>10.1109/8.56953</t>
  </si>
  <si>
    <t>2-s2.0-0025472558</t>
  </si>
  <si>
    <t>['wave power', 'wave modes', 'various surface', 'surface waves', 'orthogonal along', 'numerical results', 'multilayered structure', 'longitudinal direction', 'important role', 'impedance characteristics', 'electromagnetic source']</t>
  </si>
  <si>
    <t>Characteristics of space and surface-wave fields produced by an electromagnetic source in a multilayered structure are explored. Using the integral transformation technique it is shown that the space and surface-wave modes are orthogonal along the longitudinal direction with respect to an appropriate weighting function. It is demonstrated that these properties, together with reciprocity, can be utilized to determine the amplitudes of various surface-wave modes produced by an arbitrarily shaped source. Numerical results for the space and surface-wave power for a circular patch antenna are presented. The study may find application for millimeter-wave printed antennas where the surface waves will play an important role in determining the radiation and impedance characteristics. ¬© 1990 IEEE</t>
  </si>
  <si>
    <t>1231-1238</t>
  </si>
  <si>
    <t>Characteristics of Space and Surface Waves in a Multilayered Structure</t>
  </si>
  <si>
    <t>10.1109/8.56959</t>
  </si>
  <si>
    <t>2-s2.0-0025472559</t>
  </si>
  <si>
    <t>['transmission lines', 'support structures', 'radiation efficiency', 'metallic components', 'low values', 'loss tangent', 'least 10', 'hts material', 'dipole length', 'dielectric materials', 'dielectric losses', 'analysis shows', '1 wavelength']</t>
  </si>
  <si>
    <t>An electrically small wire dipole antenna with a shunted stub matching network has been analyzed to determine the improvement in radiation efficiency that can be achieved by making the metallic components from high temperature superconducting (HTS) material. The analysis shows that significantly higher radiation efficiencies can be obtained with HTS material only if the dielectric losses are kept at very low values. A loss tangent of less than 10-4 is necessary for any dielectric materials in the transmission lines and support structures for the antenna; a loss tangent of at least 10-5 is desirable, particularly if the dipole length is 0.1 wavelength or less. ¬© 1990 IEEE</t>
  </si>
  <si>
    <t>1313-1316</t>
  </si>
  <si>
    <t>7004504343;56838419100</t>
  </si>
  <si>
    <t>Dinger, Robert J.;White, David J.</t>
  </si>
  <si>
    <t>Dinger R.J.</t>
  </si>
  <si>
    <t>Theoretical Increase in Radiation Efficiency of a Small Dipole Antenna Made with a High Temperature Superconductor</t>
  </si>
  <si>
    <t>10.1109/8.56975</t>
  </si>
  <si>
    <t>2-s2.0-0025472560</t>
  </si>
  <si>
    <t>['waveguide centerline', 'successful approach', 'skewed directions', 'secondary beams', 'methods considered', 'large low', 'exactly collinear', 'electronic scan', 'demonstration model', 'closely spaced']</t>
  </si>
  <si>
    <t>A novel linear array radiating element for use in a large low-sidelobe, planar slot array electronically scanned in azimuth is described. The planar array consists of many vertical resonant linear array elements; i.e., single ridge waveguides with broadwall shunt slots, closely spaced to avoid array grating lobes when the array is scanned in azimuth. Traditional linear broadwall slot arrays require alternating slot displacement from the waveguide centerline, which generates undesirable secondary beams in skewed directions during electronic scan. To eliminate the secondary beams, a design has been devised in which all slots are exactly collinear and lie on the waveguide centerline. The methods considered to achieve the required waveguide asymmetry, the design procedure used in the successful approach, and the experimental results obtained with a demonstration model are presented. ¬© 1990 IEEE</t>
  </si>
  <si>
    <t>1161-1165</t>
  </si>
  <si>
    <t>;;60085693</t>
  </si>
  <si>
    <t>24794313500;6603479277;6506252994</t>
  </si>
  <si>
    <t>Green, Julius;Shnitkin, Harold;Bertalan, Paul J.</t>
  </si>
  <si>
    <t>Sensis Corporation</t>
  </si>
  <si>
    <t>Green J.</t>
  </si>
  <si>
    <t>Asymmetric Ridge Waveguide Radiating Element for a Scanned Planar Array</t>
  </si>
  <si>
    <t>10.1109/8.56951</t>
  </si>
  <si>
    <t>2-s2.0-0025472612</t>
  </si>
  <si>
    <t>['¬© 1990', 'verifiable accuracy', 'right reserved', 'past research', 'oriented age', 'numerical methods', 'making discoveries', 'essential tool', 'electromagnetics research', 'electromagnetic phenomena', 'current role', 'computer solutions', 'computed results', 'complex phenomena', 'also concluded']</t>
  </si>
  <si>
    <t>The role of analysis in electromagnetics research in a computer-oriented age is examined. From a consideration of the results which analysis has produced in past research and its current role, it is concluded that analysis will remain an essential tool for making discoveries of electromagnetic phenomena, for providing physical insight into complex phenomena, and for the development of robust problem formulations and numerical methods, so that computed results with verifiable accuracy can be achieved. It is also concluded that more attention to verifying the accuracy of numerical results obtained from computer solutions is needed. ¬© 1990, IEEE. All Right Reserved.</t>
  </si>
  <si>
    <t>Collin, Robert E.</t>
  </si>
  <si>
    <t>Cleveland</t>
  </si>
  <si>
    <t>Case Western Reserve University</t>
  </si>
  <si>
    <t>Collin R.</t>
  </si>
  <si>
    <t>The Role of Analysis in an Age of Computers: View From the Analytical Side</t>
  </si>
  <si>
    <t>10.1109/74.80555</t>
  </si>
  <si>
    <t>2-s2.0-0025472774</t>
  </si>
  <si>
    <t>['nonzero width', 'input admittance', 'infinite extension', 'good agreement', 'function representing', 'free space', 'dielectric constants', 'dielectric coating', 'considered equal', 'analytic expressions']</t>
  </si>
  <si>
    <t>A Weiner-Hopf type analysis is employed to solve the problem of a dielectric coated dipole antenna in free space. Analytic expressions are derived for the input admittance and the current distribution along a center-fed antenna excited across a gap of nonzero width. Such expressions are represented in terms of a function representing the aperture gap field, which is considered equal to that at the gap of a similar solid insulated antenna with infinite extension. Results are in very good agreement with reported experimental results at different outer radii and dielectric constants of the dielectric coating for different antenna length. The numerical work involves only the determination of certain integrals using standard integration routines. ¬© 1990 IEEE</t>
  </si>
  <si>
    <t>1253-1258</t>
  </si>
  <si>
    <t>7202820407;6701492696</t>
  </si>
  <si>
    <t>Sinha, Bateshwar P.;Saoudy, S. A.</t>
  </si>
  <si>
    <t>Sinha B.P.</t>
  </si>
  <si>
    <t>Rigorous Analysis of Finite Length Insulated Antenna in Air</t>
  </si>
  <si>
    <t>10.1109/8.56963</t>
  </si>
  <si>
    <t>2-s2.0-0025473030</t>
  </si>
  <si>
    <t>['two layers', 'significant effects', 'relatively high', 'relative sizes', 'gain region', 'fed patches', 'experimental results', '3 œª', '15 œª']</t>
  </si>
  <si>
    <t>Experimental results are presented on the characteristics of two-layer electromagnetically coupled rectangular patch antennas. In addition to the relatively large bandwidth region which occurs when the separation between the two layers is less than 0.15 Œª, a relatively high-gain region is found when the separation exceeds 0.3 Œª. The relative sizes of the parasitic and fed patches are found to have significant effects on the resonant input resistance and bandwidth. ¬© 1990 IEEE</t>
  </si>
  <si>
    <t>1298-1302</t>
  </si>
  <si>
    <t>Lee, Richard Q.;Lee, Kai Fong</t>
  </si>
  <si>
    <t>Experimental Study of the Two-Layer Electromagnetically Coupled Rectangular Patch Antenna</t>
  </si>
  <si>
    <t>10.1109/8.56971</t>
  </si>
  <si>
    <t>2-s2.0-0025473032</t>
  </si>
  <si>
    <t>['vertical polarization', 'te20 modes', 'symmetry plane', 'suffer changes', 'small percentages', 'reflector surface', 'radiating currents', 'quite low', 'quite high', 'orthogonal components', 'linear polarization', 'length ratio', 'horizontal polarizations', 'horizontal polarization', 'farther beams', 'different beams', 'depolarization contents', 'circular polarization', '4 ghz']</t>
  </si>
  <si>
    <t>The depolarization contents of the radiating currents on the surface of a multibeam offset parabola are minimized, for different beams, using multimode pyramidal horn feeds. Small percentages of the TE11 and TE20 modes are used, respectively, for vertical and horizontal polarizations, in combination with the fundamental TE10 mode. The mixture ratio increases for feeds with higher pointing angles to the reflector surface. Additionally, the beams which are away from the symmetry plane, suffer changes in the polarization bearing angles, which increase for farther beams. Far radiated fields are computed from the depolarization minimized reflector currents, using both the orthogonal components of the linear polarization, for a 3M offset reflector, with a diameter-to-focal-length ratio of unity, at 4 GHz. Minimized depolarization levels of around ‚Äî40 dB are found for vertical polarization, and of around ‚Äî34 dB for horizontal polarization. The linearly and circularly polarized diagonal horn feeds yield symmetric pencil beams. Their depolarization, however, is quite high and difficult to control for linear polarization. For circular polarization, to the contrary, the depolarization is quite low. ¬© 1990 IEEE</t>
  </si>
  <si>
    <t>1213-1223</t>
  </si>
  <si>
    <t>Afifi, Mostafa S.</t>
  </si>
  <si>
    <t>Afifi M.S.</t>
  </si>
  <si>
    <t>Radiation and Depolarization of Multibeam Offset Reflectors Fed by Multimode Pyramidal Horns</t>
  </si>
  <si>
    <t>10.1109/8.56957</t>
  </si>
  <si>
    <t>2-s2.0-0025473036</t>
  </si>
  <si>
    <t>['tenth percentile', 'system performance', 'spatial distributions', 'percentage tolerances', 'paper reports', 'mature system', 'major consideration', 'later stages', 'interference problems', 'highly sensitive', 'channel interference', 'cell sites', 'cell radius']</t>
  </si>
  <si>
    <t>A major consideration in the design of cellular mobile radio systems is co-channel interference. This paper reports on the results of an extensive computer simulation study of the co-channel interference caused by imprecise antenna locations. Using the tenth percentile of the S/I distribution of the mature system as a criterion, interference problems are investigated for various percentage tolerances (which determine tolerance circles around ideal locations) and spatial distributions (which determine actual antenna location inside the tolerance circles). A major result shows that system performance is highly sensitive to large percentage tolerances in later stages of cell-splitting. Analyzing the results, a method was developed to predict the performance of a general mature system with any number of cell sites, any cell radius, any set of percentage tolerances, and any set of spatial distributions. ¬© 1990 IEEE</t>
  </si>
  <si>
    <t>213-217</t>
  </si>
  <si>
    <t>Hashemi, Homayoun</t>
  </si>
  <si>
    <t>Iran</t>
  </si>
  <si>
    <t>Tehran</t>
  </si>
  <si>
    <t>Sharif University of Technology</t>
  </si>
  <si>
    <t>Hashemi H.</t>
  </si>
  <si>
    <t>A Study of Performance Degradation of Small-Cell Radio Systems Caused by Improper Antenna Positioning</t>
  </si>
  <si>
    <t>10.1109/25.131002</t>
  </si>
  <si>
    <t>2-s2.0-0025473046</t>
  </si>
  <si>
    <t>['two monolithic', 'room temperature', 'nonlinear elements', 'noise temperature', 'mixer structure', 'double side', 'crossbar type', '90 ghz', '5 db', '4 ghz']</t>
  </si>
  <si>
    <t>The design and optimisation of a rugged 94 GHz balanced mixer is described. The mixer is of the crossbar type and incorporates novel millimetre wave integrated circuitry. Two monolithic, balanced Schottky diodes are used as the nonlinear elements. The diodes, together with the associated antenna coupling structure, are fabricated using planar processing techniques. Broad band operation is possible, with a double side-band conversion loss of 6.5 dB and a noise temperature of less than 1000 K measured at 90 GHz with a 4 GHz IF at room temperature. The mixer structure is analysed using scale modelling techniques which indicate how this performance can be improved.</t>
  </si>
  <si>
    <t>235-237</t>
  </si>
  <si>
    <t>60030480;60030480;60030480</t>
  </si>
  <si>
    <t>7403356726;7004279952;7005704469</t>
  </si>
  <si>
    <t>Wells, J. A.;Cronin, N. J.;Reece, P. H.</t>
  </si>
  <si>
    <t>Wells J.</t>
  </si>
  <si>
    <t>Rugged 94 GHz crossbar balanced mixer</t>
  </si>
  <si>
    <t>10.1049/ip-h-2.1990.0046</t>
  </si>
  <si>
    <t>2-s2.0-0025473057</t>
  </si>
  <si>
    <t>NAG-1-</t>
  </si>
  <si>
    <t>['vibration modes', 'two techniques', 'two sets', 'two approaches', 'standard conjugate', 'space structures', 'rights reserved', 'radiometer antenna', 'modal expansion', 'inc .,', 'improving efficiency', 'efficient analysis', 'distortion shapes', 'article addresses', 'approximate analysis', 'adjoint technique']</t>
  </si>
  <si>
    <t>The article addresses the problem of efficient analysis of the statistics of initial and corrected shape distortions in space structures. Two approaches for improving efficiency are considered. One is an adjoint technique for calculating distortion shapes; the second is a modal expansion of distortion shapes in terms of pseudo-vibration modes. The two techniques are applied to the problem of optimizing actuator locations on a 55 m radiometer antenna. The adjoint analysis technique is used with a discrete-variable optimization method. The modal approximation technique is coupled with a standard conjugate-gradient continuous optimization method. The agreement between the two sets of results is good, validating both the approximate analysis and optimally of the results. ¬© 1990 American Institute of Aeronautics and Astronautics, Inc., All rights reserved.</t>
  </si>
  <si>
    <t>1504-1508</t>
  </si>
  <si>
    <t>7003507805;7102367440</t>
  </si>
  <si>
    <t>Burdisso, Ricardo A.;Haftka, Raphael T.</t>
  </si>
  <si>
    <t>Burdisso R.</t>
  </si>
  <si>
    <t>Statistical analysis of static shape control in space structures</t>
  </si>
  <si>
    <t>10.2514/3.25245</t>
  </si>
  <si>
    <t>2-s2.0-0025474309</t>
  </si>
  <si>
    <t>['two feeds', 'single substrate', 'simple exchange', 'polarization switch', 'fss converter', 'control circuit', 'circular polarizations']</t>
  </si>
  <si>
    <t>Small and light weight converters were developed. Both coverters are realized on a single substrate. The FSS converter is with a control circuit of the polarization switch while the DBS converter could receive the signal of both circular polarizations by the simple exchange of two feeds. ¬© 1990 IEEE</t>
  </si>
  <si>
    <t>419-423</t>
  </si>
  <si>
    <t>IEEE Transactions on Consumer Electronics</t>
  </si>
  <si>
    <t>;115568013;;</t>
  </si>
  <si>
    <t>36723520800;7102364086;56837709100;7801429317</t>
  </si>
  <si>
    <t>Fujimoto, M.;Grimm, J. P.;Guo, C. H.;Haquet, G.</t>
  </si>
  <si>
    <t>Villingen</t>
  </si>
  <si>
    <t>Fujimoto M.</t>
  </si>
  <si>
    <t>Small and light weight DBS and FSS converters</t>
  </si>
  <si>
    <t>10.1109/30.103154</t>
  </si>
  <si>
    <t>2-s2.0-0025474705</t>
  </si>
  <si>
    <t>['¬© 1990', 'significantly faster', 'paper presents', 'output power', 'one zero', 'new algorithm', 'lms algorithm', 'latter algorithm', 'convergence behaviour', 'complexity required', 'complex zeroes', 'almost independent']</t>
  </si>
  <si>
    <t>adaptive algorithms | adaptive arrays | Array processing</t>
  </si>
  <si>
    <t>This paper presents and investigates a simple and fast zero tracking algorithm for adaptive array processing. With this algorithm, the complex zeroes of the array directional pattern are repetitively updated one at a time by using the LMS algorithm to minimize the output power. Since only one zero is adjusted at any instant, the complexity required to implement the new algorithm is almost the same as that of using the LMS algorithm directly. However, unlike the latter algorithm, the convergence behaviour of the new algorithm is significantly faster and is almost independent of the external noise environment. ¬© 1990.</t>
  </si>
  <si>
    <t>315-323</t>
  </si>
  <si>
    <t>60017161;60017161;60003196;60003196</t>
  </si>
  <si>
    <t>7202596473;6508227560;6701717388;57215480995</t>
  </si>
  <si>
    <t>Ko, C. C.;Thum, K. L.;Ser, W.;Quek, T. S.</t>
  </si>
  <si>
    <t>Ko C.C.</t>
  </si>
  <si>
    <t>A simple fast adaptive zero tracking algorithm</t>
  </si>
  <si>
    <t>016516849090136M</t>
  </si>
  <si>
    <t>10.1016/0165-1684(90)90136-M</t>
  </si>
  <si>
    <t>2-s2.0-0025474712</t>
  </si>
  <si>
    <t>['wiley company', 'wide beamwidth', 'verified also', 'theoretical values', 'satellite meet', 'paper presents', 'input impedance', 'inc .,', 'dielectric losses']</t>
  </si>
  <si>
    <t>Mobile telecommunication systems by satellite meet the requirement of antenna radiation pattern of wide beamwidth. The wide beamwidth of the circular microstrip disk antenna is obtained by high dielectric constant substrate. However, the dielectric losses and difficulty in manufacturing are problems for high dielectric constant materials. Wide beamwidth is obtained also using the antenna with an electrically small magnetic current loop. This paper presents the ring cavity antenna without dielectric materials. It also has electrically small magnetic current loop. Antenna characteristics calculated by the cavity model showed that the ring cavity antenna has wide beamwidth. Theoretical values are verified also by the measured radiation pattern and the input impedance. Copyright ¬© 1990 Wiley Periodicals, Inc., A Wiley Company</t>
  </si>
  <si>
    <t>108-114</t>
  </si>
  <si>
    <t>60018279;60031126</t>
  </si>
  <si>
    <t>7402657600;7201747933</t>
  </si>
  <si>
    <t>Arai, Hiroyuki;Goto, Naohisa</t>
  </si>
  <si>
    <t>Tokyo;Yokohama</t>
  </si>
  <si>
    <t>Tokyo Institute of Technology;Yokohama National University</t>
  </si>
  <si>
    <t>60031126;60018279</t>
  </si>
  <si>
    <t>Arai H.</t>
  </si>
  <si>
    <t>A ring cavity antenna of wide beamwidth</t>
  </si>
  <si>
    <t>10.1002/ecja.4410730811</t>
  </si>
  <si>
    <t>2-s2.0-0025476007</t>
  </si>
  <si>
    <t>['worse depolarization', 'work describes', 'smaller size', 'simpler structures', 'received signals', 'radiation phase', 'radiation performance', 'radiating elements', 'phase pattern', 'phase excitation', 'phase deviations', 'novel concept', 'monopulse mode', 'location finding', 'horn radiators', 'generated using', 'discrete excitation', 'detailed analyses', 'depolarization effects', 'boresight direction', 'attainable gain', 'array elements', 'accurate processing']</t>
  </si>
  <si>
    <t>Direction finding | Location finding | Monopulse operation | Satellite navigation aids</t>
  </si>
  <si>
    <t>This work describes the radiation performance of a novel concept for direction and location finding, using stationary satellite beacons. The received signals are processed with a monopulse four‚Äêelement array. The monopulse mode is generated using the phase excitation of the radiating elements. For accurate processing the radiation phase should correspond with the bearing angle around the boresight direction. Phase deviations, however, occur in this phase pattern owing to the discrete excitation of the elements. Therefore, detailed analyses are presented for this phase pattern, its attainable gain and the depolarization effects, in order to select the kind of array elements, and their spacings, which minimize the phase pattern deviations. The dipoles and the slots, as array elements, yield better phase performance, smaller size and simpler structures than horn radiators, at the expense of worse depolarization. Copyright ¬© 1990 John Wiley &amp; Sons, Ltd.</t>
  </si>
  <si>
    <t>369-377</t>
  </si>
  <si>
    <t>September/October 1990</t>
  </si>
  <si>
    <t>Afifi M.</t>
  </si>
  <si>
    <t>Radiation analysis and errors associated with the monopulse operation of a satellite direction finder</t>
  </si>
  <si>
    <t>10.1002/sat.4600080506</t>
  </si>
  <si>
    <t>2-s2.0-0025481986</t>
  </si>
  <si>
    <t>['resonant frequency', 'francis ltd', 'analytical form']</t>
  </si>
  <si>
    <t>The resonant frequency of a planar elliptical microstrip patch radiator is obtained in analytical form. The formula is modified by using techniques previously used for triangular patch radiators, so producing greater accuracy. ¬© 1990 Taylor &amp; Francis Ltd.</t>
  </si>
  <si>
    <t>385-388</t>
  </si>
  <si>
    <t>60009615;60029284;60009615</t>
  </si>
  <si>
    <t>56161729600;7202403109;7006472847</t>
  </si>
  <si>
    <t>Singh, Ranjit;De, Asok;Yadava, R. S.</t>
  </si>
  <si>
    <t>New Delhi;New Delhi</t>
  </si>
  <si>
    <t>University of Delhi;National Physical Laboratory India</t>
  </si>
  <si>
    <t>60029284;60009615</t>
  </si>
  <si>
    <t>Singh R.</t>
  </si>
  <si>
    <t>Resonant frequency of elliptical microstrip patch radiator</t>
  </si>
  <si>
    <t>10.1080/00207219008920324</t>
  </si>
  <si>
    <t>2-s2.0-0025482343</t>
  </si>
  <si>
    <t>['¬© 1990', 'transducer sensitivities', 'port elements', 'physical parameter', 'output ports', 'modeling procedure', 'model introduced', 'mechanically independent', 'location since', 'like conventions', 'infinitesimal two', 'infinite number', 'finite number', 'elements occurs', 'discrete intervals', 'directly yields', 'directional behavior', 'demonstrated using', 'connected two', 'acoustic antenna', 'accurately predict']</t>
  </si>
  <si>
    <t>The process of modeling transducers generally involves the use of a finite number of discrete lumped elements connected using circuit-like conventions. However, such models are difficult to use for transducers which implicitly depend upon variation of a physical parameter with location since they view the transducer as existing only at points or discrete intervals in space. In this article a general modeling procedure is developed which views a transducer as a spatially distributed device. The model introduced here uses the theory of connected two-ports to determine the overall transfer matrix and scattering matrix representations. This directly yields the transducer sensitivities and efficiencies. The model is limited to transducers which may be thought of as being comprised of an infinite number of infinitesimal two-port elements, each of which is mechanically independent of the others. Coupling between the elements occurs through the input and output ports. The modeling procedure is demonstrated using an acoustic antenna, and shown to accurately predict the directional behavior. ¬© 1990 by ASME.</t>
  </si>
  <si>
    <t>372-380</t>
  </si>
  <si>
    <t>Journal of Dynamic Systems, Measurement and Control, Transactions of the ASME</t>
  </si>
  <si>
    <t>Busch-Wishniac, Ilene J.</t>
  </si>
  <si>
    <t>Busch-Wishniac I.</t>
  </si>
  <si>
    <t>Spatially distributed transducers: Part I‚Äîcoupled two-port models</t>
  </si>
  <si>
    <t>10.1115/1.2896154</t>
  </si>
  <si>
    <t>2-s2.0-0025482451</t>
  </si>
  <si>
    <t>['¬© 1990', 'typically comprised', 'transmission line', 'transducers must', 'transducer models', 'system element', 'physical parameters', 'one type', 'one location', 'one element', 'models use', 'mechanical coupling', 'include interaction', 'general case', 'finite number', 'every location', 'continuous nature', 'applications discussed']</t>
  </si>
  <si>
    <t>Transducer models are typically comprised of a finite number of discrete lumped elements connected using circuit conventions. Such models are inappropriate for transducers which explicitly depend upon the continuous nature of one or more system element. These transducers must be modeled as spatially distributed devices.In this article we present a class of models which is useful for spatially distributed transducers in which the response at one location is coupled to that at other locations.The models use a transmission line to describe the mechanical coupling between locations on the transducer, but have been augmented to include interaction with the environment and sources everywhere along the line. If only one element is used at every location to represent the interaction of the transducer and the environment, and only one type of source is present, then there are only four general models which need to be considered. These models are analyzed for the general case of spatially varying sources and physical parameters. It is shown that it is possible to prescribe up to four response characteristics of the transducer if the physical parameters are permitted to vary with space. Examples of spatially distributed transducers are presented and applications discussed. ¬© 1990 by ASME.</t>
  </si>
  <si>
    <t>381-390</t>
  </si>
  <si>
    <t>Busch-Wishniac I.J.</t>
  </si>
  <si>
    <t>Spatially distributed transducers: Part II‚Äîaugmented transmission line models</t>
  </si>
  <si>
    <t>10.1115/1.2896155</t>
  </si>
  <si>
    <t>2-s2.0-0025482582</t>
  </si>
  <si>
    <t>['wiley company', 'retrofitting cones', 'particular interest', 'inc .,', 'impedance match', 'cassegrain antenna', 'axial ratio']</t>
  </si>
  <si>
    <t>impedance matching | Reflector antennas</t>
  </si>
  <si>
    <t>Retrofitting cones to the vertex of a subreflector in a Cassegrain antenna is shown to give worthwhile improvements in impedance match with little or no decrease in efficiency. This is of particular interest for improving the axial ratio of existing dual circularly polarized antennas. Copyright ¬© 1990 Wiley Periodicals, Inc., A Wiley Company</t>
  </si>
  <si>
    <t>310-313</t>
  </si>
  <si>
    <t>Corkish, Richard</t>
  </si>
  <si>
    <t>Corkish R.</t>
  </si>
  <si>
    <t>The use of conical tips to improve the impedance matching of cassegrain subreflectors</t>
  </si>
  <si>
    <t>10.1002/mop.4650030905</t>
  </si>
  <si>
    <t>2-s2.0-0025483544</t>
  </si>
  <si>
    <t>['transformer feedback', 'part 1', 'noise figure', 'noise amplifiers', 'high gain', 'francis ltd', 'experimental investigations', 'ensuring stability', 'dynamic range', 'design principles', 'design features', 'broadband amplifiers']</t>
  </si>
  <si>
    <t>The results are described of experimental investigations and the development of broadband amplifiers with transformer feedback, the theory of which has been given in Part 1. The amplifiers have a gain of 6 to 30dB, a noise figure of 1¬∑5 to 2, a bandpass of 1 to 250MHz and a dynamic range of 85 to 104dB, The consideration of cascading is presented, ensuring stability and other design features. Design principles are given for low-noise amplifiers with high gain and wide dynamic range. ¬© 1990 Taylor &amp; Francis Ltd.</t>
  </si>
  <si>
    <t>345-357</t>
  </si>
  <si>
    <t>60068504;60068504;60068504</t>
  </si>
  <si>
    <t>6602712774;6701500093;55386607400</t>
  </si>
  <si>
    <t>Abranin, E. P.;Bruck, Yu M.;Konovalenko, A. A.</t>
  </si>
  <si>
    <t>Ukraine</t>
  </si>
  <si>
    <t>Kharkiv</t>
  </si>
  <si>
    <t>Institute of Radio Astronomy National Academy of Sciences of Ukraine</t>
  </si>
  <si>
    <t>Abranin E.</t>
  </si>
  <si>
    <t>Highly linear broadband amplifiers with lossless feedback Part 2: Experience of development</t>
  </si>
  <si>
    <t>10.1080/00207219008920320</t>
  </si>
  <si>
    <t>2-s2.0-0025484105</t>
  </si>
  <si>
    <t>BASF</t>
  </si>
  <si>
    <t>106 03 072</t>
  </si>
  <si>
    <t>['¬© 1990', 'three years', 'standard medium', 'several tests', 'selenium deficiency', 'second antennae', 'reduced viability', 'reduced growth', 'parent daphnid', 'one tenth', 'medium m4', 'matrix water', 'high numbers', 'high mortality', 'fourfold increase', 'exchanger cartridges', 'daphnids cultured', 'daphnia magna', 'culture media', 'animals cultured', '140 progeny']</t>
  </si>
  <si>
    <t>culture medium | Daphnia magna | selenium deficiency | standardization | toxicity testing</t>
  </si>
  <si>
    <t>The suitability of various synthetic media for the culture of Daphnia magna was tested. Daphnids cultured in a standard medium for toxicity testing proposed by ISO showed low reproduction, reduced growth, high numbers of undeveloped parthenogenetic eggs and high mortality of neonates and adults. As a feature, animals cultured in the ISO medium lost parts of their second antennae. It could be shown that this was caused by selenium deficiency. The addition of selenium to the ISO medium clearly improved the quality of this medium. However, results of several tests were more variable than when a medium with a complex trace element composition (medium M4) was used. Medium M4 has allowed continuous culture of daphnids for three years up to now without any signs of reduced viability or reproduction. A mean reproduction rate of about 140 progeny/parent daphnid was calculated from 19 non simultaneous experiments. Neither a fourfold increase nor a reduction to one tenth of the trace element concentration of M4 had any effect on reproduction, growth or survival of daphnids. It was shown in this study that ion-exchanger cartridges can leach detrimental substances into the matrix water. Therefore, only ultrapure matrix waters should be used for the preparation of culture media. ¬© 1990.</t>
  </si>
  <si>
    <t>1157-1167</t>
  </si>
  <si>
    <t>Water Research</t>
  </si>
  <si>
    <t>60016908;60007616</t>
  </si>
  <si>
    <t>7801344921;8965582800</t>
  </si>
  <si>
    <t>Elendt, B. P.;Bias, W. R.</t>
  </si>
  <si>
    <t>Heidelberg;Ludwigshafen</t>
  </si>
  <si>
    <t>Universit√§t Heidelberg;BASF SE</t>
  </si>
  <si>
    <t>Elendt B.</t>
  </si>
  <si>
    <t>Trace nutrient deficiency in Daphnia magna cultured in standard medium for toxicity testing. Effects of the optimization of culture conditions on life history parameters of D. magna</t>
  </si>
  <si>
    <t>004313549090180E</t>
  </si>
  <si>
    <t>10.1016/0043-1354(90)90180-E</t>
  </si>
  <si>
    <t>2-s2.0-0025484934</t>
  </si>
  <si>
    <t>['wiley company', 'transition function', 'total field', 'shadow boundaries', 'physical optics', 'inflected surface', 'inc .,', 'edge shadow', 'diffracted field', 'converging wave', 'compared favorably']</t>
  </si>
  <si>
    <t>Diffraction | geometrical optics | inflected surface | physical optics | scattering</t>
  </si>
  <si>
    <t>The conventional Kouyoumjian transition function cannot be used to evaluate the diffracted field for a converging wave because its argument is imaginary, and the total field is not continuous at reflection and shadow boundaries. In order to find the diffracted field near the edge shadow of the inflected surface, Rusch's proposed edge‚Äêdiffraction transition function for a converging wave is used. The argument of this transition function is real and produces a continuous total field at the boundaries. The diffracted field is then added to the geometrical optics field and compared favorably with physical optics. Copyright ¬© 1990 Wiley Periodicals, Inc., A Wiley Company</t>
  </si>
  <si>
    <t>327-333</t>
  </si>
  <si>
    <t>60026914;60029311</t>
  </si>
  <si>
    <t>7003556018;7005574913</t>
  </si>
  <si>
    <t>Rahnavard, M. H.;Rusch, W. V.T.</t>
  </si>
  <si>
    <t>United States;Iran</t>
  </si>
  <si>
    <t>Los Angeles;Shiraz</t>
  </si>
  <si>
    <t>University of Southern California;Shiraz University</t>
  </si>
  <si>
    <t>60029311;60026914</t>
  </si>
  <si>
    <t>Rahnavard M.</t>
  </si>
  <si>
    <t>Total field evaluation near the edge shadow of an idealized inflected surface</t>
  </si>
  <si>
    <t>10.1002/mop.4650030909</t>
  </si>
  <si>
    <t>2-s2.0-0025485228</t>
  </si>
  <si>
    <t>['transmitter emits', 'transmitted reference', 'system could', 'particular case', 'novel technique', 'low probability', 'like signal', 'illumination signal', 'developed results', 'broadband gaussian', 'also useful', 'also suggested']</t>
  </si>
  <si>
    <t>A novel technique is suggested for performing altimetric functions (and possibly very low resolution imaging radar) without the transmission of a signal. The benefit of such a system could be to an invasive aerospace platform that needs to remain totally electronically silent. The concept uses naturally occurring galactic noise as the illumination signal. A rapid and low cost processor is also suggested. The developed results are also useful for a particular case of low probability of intercept (LPI) radar. This is the case in which the transmitter emits a broadband Gaussian-like signal and the receivers cannot locally generate the transmitted reference. ¬© 1990 IEEE</t>
  </si>
  <si>
    <t>732-736</t>
  </si>
  <si>
    <t>60021211;60015404</t>
  </si>
  <si>
    <t>7101717660;7403195062</t>
  </si>
  <si>
    <t>Hershey, John E.;Schroeder, James E.</t>
  </si>
  <si>
    <t>Niskayuna;Denver</t>
  </si>
  <si>
    <t>GE Global Research;University of Denver</t>
  </si>
  <si>
    <t>Hershey J.</t>
  </si>
  <si>
    <t>Bistatic Radar Without Transmitted Signal-Covert Altimetry Concept</t>
  </si>
  <si>
    <t>10.1109/7.102708</t>
  </si>
  <si>
    <t>2-s2.0-0025488453</t>
  </si>
  <si>
    <t>ECE-8552518</t>
  </si>
  <si>
    <t>['yields estimates', 'stochastic model', 'significant impact', 'significant fraction', 'signal structure', 'signal amplitudes', 'prior knowledge', 'one beamwidth', 'noise levels', 'multiple narrow', 'limit points', 'likelihood estimators', 'likelihood estimation', 'initial estimates', 'initial conditions', 'global maximum', 'deterministic model', 'band signals', 'angular separation', 'algorithm convergence']</t>
  </si>
  <si>
    <t>We have derived generalized expectation-maximization (EM) algorithms for the maximum-likelihood estimation of the directions of arrival of multiple narrow-band signals in noise. Both deterministic and stochastic signal models are considered. The algorithm for the deterministic model yields estimates of the signal amplitudes, while for the stochastic model it yields estimates of the powers of the signals. Both algorithms have the properties that their limit points are stable and satisfy the necessary maximizer conditions for maximum-likelihood estimators. It is shown via simulation that the maximum-likelihood method allows for the resolution of the directions of arrival of signals at angular separation and noise levels for which other high resolution methods will not work. Algorithm convergence does depend on initial conditions; however, convergence to a global maximum has been observed in simulation when the initial estimates are within a significant fraction of one beamwidth (componentwise) of this maximum. Simulations also show that the incorporation of prior knowledge on signal structure under the deterministic model has a significant impact on the angle estimator performance. ¬© 1990 IEEE</t>
  </si>
  <si>
    <t>1560-1577</t>
  </si>
  <si>
    <t>60010261;60010261</t>
  </si>
  <si>
    <t>35425199300;7007074378</t>
  </si>
  <si>
    <t>Miller, Michael I.;Fuhrmann, Daniel R.</t>
  </si>
  <si>
    <t>Miller M.</t>
  </si>
  <si>
    <t>Maximum-Likelihood Narrow-Band Direction Finding and the EM Algorithm</t>
  </si>
  <si>
    <t>10.1109/29.60075</t>
  </si>
  <si>
    <t>2-s2.0-0025488579</t>
  </si>
  <si>
    <t>['¬© 1990', 'significant result', 'rights reserved', 'reference distance', 'microcellular sites', 'generally less', 'electrical engineers', '900 mhz', '10 db', '1 km']</t>
  </si>
  <si>
    <t>CDMA | Cellular radio systems | Personal communications | Radiowave propagation</t>
  </si>
  <si>
    <t>Typical and worst case channel path loss, RMS delay spreads, and excess delay spreads (10 dB down) at 900 MHz in four European cities using typical cellular and microcellular antenna locations are presented. It is shown that a change in reference distance from 1 km to 100 m can change the perceived propagation power law exponent from 30 to 2-7, where free space propagation is assumed from the transmitter to the reference distance. This is a significant result, since the path loss directly affects the frequency reuse efficiency in CDMA spread spectrum systems. Measured data show that for microcellular sites, RMS delay spreads are less than 2¬µzs, with excess delay spreads (lOdB) less than 6¬µs. At typical cellular locations with high base antennas, RMS delay spreads are generally less than 8¬µs and excess delay spreads (10dB) are less than 16¬µis. Worst case measurements resulted in a RMS delay spread of 19-6¬µiS and an excess delay spread of 51-3¬µS. ¬© 1990, The Institution of Electrical Engineers. All rights reserved.</t>
  </si>
  <si>
    <t>1713-1715</t>
  </si>
  <si>
    <t>60027090;60027090;114135174</t>
  </si>
  <si>
    <t>7005280056;7006091503;55496947000</t>
  </si>
  <si>
    <t>Seidel, S. Y.;Rappaport, T. S.;Singh, R.</t>
  </si>
  <si>
    <t>Blacksburg;Washington</t>
  </si>
  <si>
    <t>Virginia Polytechnic Institute and State University;LCC, Inc.</t>
  </si>
  <si>
    <t>60027090;114135174</t>
  </si>
  <si>
    <t>Seidel S.</t>
  </si>
  <si>
    <t>Path Loss and Multipath Delay Statistics in Four European Cities for 900MHz Cellular and Microcellular Communications</t>
  </si>
  <si>
    <t>10.1049/el:19901094</t>
  </si>
  <si>
    <t>2-s2.0-0025488586</t>
  </si>
  <si>
    <t>['processing gain', 'null directions', 'maximum value', 'interference sources', 'interference immunity', 'former varies', 'extremely small', 'corresponding expressions', 'certain conditions', 'array geometry', 'angular locations', 'always associated', 'adaptive narrow']</t>
  </si>
  <si>
    <t>In this correspondence, the dependence of processing gain and interference immunity of adaptive narrow-band linear beam-formers on angular locations of single, double, and L interference sources is investigated. Corresponding expressions of these figures of merit are derived. It is found that different angular locations may correspond to the same processing gain and interference immunity. The former varies from unity to a maximum value which under certain conditions is independent of both the array geometry and the number of interference sources. The null directions of the quiescent beam correspond to unity processing gain and 100% interference immunity. However, there are always other directions where the processing gain is unity but the interference immunity is extremely small. Finally, the maximum processing gain is always associated with 50% immunity. ¬© 1990 IEEE</t>
  </si>
  <si>
    <t>1633-1637</t>
  </si>
  <si>
    <t>Ayadi, M. H.E.</t>
  </si>
  <si>
    <t>Egypt</t>
  </si>
  <si>
    <t>Cairo</t>
  </si>
  <si>
    <t>Military Technical College, Cairo</t>
  </si>
  <si>
    <t>Ayadi M.</t>
  </si>
  <si>
    <t>Dependence of Processing Gain and Interference Immunity of Adaptive Narrow-Band Beam-Formers on Angular Locations of Interference Sources</t>
  </si>
  <si>
    <t>10.1109/29.60080</t>
  </si>
  <si>
    <t>2-s2.0-0025488665</t>
  </si>
  <si>
    <t>['¬© 1990', 'thus allows', 'target position', 'suppress interference', 'rights reserved', 'electrical engineers', 'difference signals', 'difference patterns']</t>
  </si>
  <si>
    <t>Antennas arra</t>
  </si>
  <si>
    <t>Nulls can be steered in both sum and difference patterns of a monopulse planar array using amplitude only control to suppress interference. This method of null steering maintains a simple mathematical relationship between the sum and difference signals and the target position. It thus allows a fast and accurate angle estimation. ¬© 1990, The Institution of Electrical Engineers. All rights reserved.</t>
  </si>
  <si>
    <t>1700-1701</t>
  </si>
  <si>
    <t>Lo, K. W.</t>
  </si>
  <si>
    <t>Hong Kong</t>
  </si>
  <si>
    <t>Kowloon</t>
  </si>
  <si>
    <t>Hong Kong Polytechnic University</t>
  </si>
  <si>
    <t>Lo K.</t>
  </si>
  <si>
    <t>Null Steering in Monopulse Planar Array using Amplitude Only Control</t>
  </si>
  <si>
    <t>10.1049/el:19901086</t>
  </si>
  <si>
    <t>2-s2.0-0025488670</t>
  </si>
  <si>
    <t>['wiley company', 'sharp beam', 'outermost radius', 'odd zones', 'microwave antennas', 'metal foil', 'inc .,', 'gain variation', 'fundamental analysis', 'focusing effect', 'backfire helix', 'antenna syctem', 'analyzed using', 'absolute gain', '9 deg', '4 wavelengths', '2 db']</t>
  </si>
  <si>
    <t>This paper discusses applications of the Fresnel zone‚Äêplate (FZP) made of metal foil to microwave antennas. First, the focusing effect and the far‚Äêfield pattern for the FZP are analyzed using the Kirchhoff‚ÄêHuygens diffraction integral. It is found that a phase‚Äêreversing FZP, in which the phase of either its even or odd zones is inverted, has a sharp beam with a low sidelobe level. On the basis of the fundamental analysis, an antenna syctem in which a reflector‚Äêtype FZP fed by a backfire helix is proposed as an application of the phase‚Äêreversing FZP. It is pointed out that a sharp circularly polarized beam with a half‚Äêpower beam‚Äêwidth of 9 deg is obtained when the outermost radius of the FZP is about 4 wavelengths. Next, the gain variation by the change in the ground plate radius of the axial‚Äêmodel helical antenna is explained by the Fresnel zone principle, and an axial‚Äêmode helical antenna with a zoned ground plate is proposed. An absolute gain of 12.2 dB is realized by a two‚Äêturn short helix with a zoned ground plate. Copyright ¬© 1990 Wiley Periodicals, Inc., A Wiley Company</t>
  </si>
  <si>
    <t>107-113</t>
  </si>
  <si>
    <t>56405174700;7102603580;57191020192;55633340100</t>
  </si>
  <si>
    <t>Yamauchi, Junji;Honma, Shin'Ichi;Honmas, Teruaki;Nakano, Hisamatsu</t>
  </si>
  <si>
    <t>Focusing properties of fresnel zone‚Äêplate and its application to a helix radiating a circularly polarized wave</t>
  </si>
  <si>
    <t>10.1002/ecja.4410730911</t>
  </si>
  <si>
    <t>2-s2.0-0025488676</t>
  </si>
  <si>
    <t>['uncorrelated far', 'suitable preprocessor', 'resolution threshold', 'reduced substantially', 'omnidirectional sensors', 'numerous authors', 'noise subspace', 'noise ratio', 'known plane', 'improved performance', 'field emitters', 'facilitate application', 'enhanced resolution', 'diverse scenarios', 'beamspace version', 'beamspace music', 'beamforming preprocessor', 'arbitrary array', 'appropriate beamformer']</t>
  </si>
  <si>
    <t>Numerous authors have advocated the use of a beamforming preprocessor to facilitate application of high-resolution directionfinding algorithms. The benefits cited include reduced computation, improved performance in environments that include spatially colored noise, and enhanced resolution. Performance benefits typically have been demonstrated via specific examples. The purpose of this paper is to provide an analysis of a beamspace version of the MUSIC algorithm applicable to two closely spaced emitters in diverse scenarios. Specifically, the analysis is applicable to uncorrelated far-field emitters of any relative power level, confined to a known plane, and observed by an arbitrary array of omnidirectional sensors. Major results include: 1) derivation of an expression for the threshold array signal-to-noise ratio at which beamspace MUSIC is able to resolve the emitters; 2) identification of the preprocessor that minimizes the resolution threshold; 3) demonstration that the resolution threshold is proportional to the dimension of the noise subspace; therefore the threshold can be reduced substantially by utilizing an appropriate beamformer to reduce the dimension of the noise subspace; 4) demonstration that MUSIC in conjunction with a suitable preprocessor can provide a resolution threshold lower than conventional (sensorspace) MinNorm. ¬© 1990 IEEE</t>
  </si>
  <si>
    <t>1545-1559</t>
  </si>
  <si>
    <t>7501483008;6602549394</t>
  </si>
  <si>
    <t>Lee, Harry B.;Wengrovitz, Michael S.</t>
  </si>
  <si>
    <t>Lee H.</t>
  </si>
  <si>
    <t>Resolution Threshold of Beamspace MUSIC For Two Closely Spaced Emitters</t>
  </si>
  <si>
    <t>10.1109/29.60074</t>
  </si>
  <si>
    <t>2-s2.0-0025489011</t>
  </si>
  <si>
    <t>['¬© 1990', 'rights reserved', 'poincare sphere', 'hence provides', 'electrical engineers', 'dcschamps parameters', 'biased solution']</t>
  </si>
  <si>
    <t>Matrix algebra</t>
  </si>
  <si>
    <t>The covariance matrix optimisation method is considered in detail. It is shown that it provides a biased solution to the polarimetric optimisation problem. The method does not constrain the transmit/receive antenna vectors to be unitary and hence provides a polarisation dependent weighting to the Poincare sphere. A simple geometrical interpretation of the distortion in terms of the Dcschamps parameters is provided. ¬© 1990, The Institution of Electrical Engineers. All rights reserved.</t>
  </si>
  <si>
    <t>1670-1671</t>
  </si>
  <si>
    <t>Cloude, S. R.</t>
  </si>
  <si>
    <t>York</t>
  </si>
  <si>
    <t>University of York</t>
  </si>
  <si>
    <t>Cloude S.</t>
  </si>
  <si>
    <t>Polarimetric Optimisation Based on the Target Covariance Matrix</t>
  </si>
  <si>
    <t>10.1049/el:19901069</t>
  </si>
  <si>
    <t>2-s2.0-0025489163</t>
  </si>
  <si>
    <t>['¬© 1990', 'rights reserved', 'pointing errors', 'extra pair', 'electrical engineers', 'array polynomial']</t>
  </si>
  <si>
    <t>Adaptive systems and control | Antenna</t>
  </si>
  <si>
    <t>The effect of pointing errors on the performance of the directional constrained adaptive array using symmetric amplitude control can be reduced by correcting the zeros of the array polynomial. The effect can be further reduced by adding an extra pair of zeros to the array polynomial. Examples are given to illustrate the effectiveness of these methods. ¬© 1990, The Institution of Electrical Engineers. All rights reserved.</t>
  </si>
  <si>
    <t>1646-1647</t>
  </si>
  <si>
    <t>Reducing the effect of pointing errors on the performance of an adaptive array</t>
  </si>
  <si>
    <t>10.1049/el:19901054</t>
  </si>
  <si>
    <t>2-s2.0-0025489164</t>
  </si>
  <si>
    <t>['unique environment', 'truss structure', 'space station', 'space administration', 'serviced using', 'propulsion systems', 'pressurized modules', 'perform experiments', 'national aeronautics', 'mobile platform', 'late 1990s', 'laboratory modules', 'laboratory module', 'japanese partners', 'interconnecting nodes', 'habitation module', 'external equipment', 'equipment mounted', 'dissipating radiators', 'contain payloads', 'communications antennas', 'astronomic observations']</t>
  </si>
  <si>
    <t>The National Aeronautics and Space Administration (NASA) plans to design, build, launch, and then assemble in orbit a manned space station in the period from the middle to the late 1990s. The Space Station Freedom will have pressurized modules, solar power generators, heat-dissipating radiators, propulsion systems, communications antennas, and other equipment mounted on a large truss structure. The pressurized modules will include a U.S. laboratory module, a habitation module, interconnecting nodes, and two other laboratory modules designed and built by European and Japanese partners. The laboratory modules will contain payloads that will be used to perform experiments in the unique environment of space. Payloads will also be attached to the truss structure of the space station for earth and astronomic observations. External equipment will be serviced using a mobile platform to transport a Canadian-built robotic arm around the truss structure. ¬© 1990 IEEE</t>
  </si>
  <si>
    <t>22-28</t>
  </si>
  <si>
    <t>IEEE Network</t>
  </si>
  <si>
    <t>7410120420;57197635849;56303062200</t>
  </si>
  <si>
    <t>Smith, Joseph F.;Willett, Daniel;Paul, Sunil</t>
  </si>
  <si>
    <t>Smith J.</t>
  </si>
  <si>
    <t>Overview of the Space Station Communications Networks</t>
  </si>
  <si>
    <t>10.1109/65.59306</t>
  </si>
  <si>
    <t>2-s2.0-0025489318</t>
  </si>
  <si>
    <t>['wide range', 'target detection', 'system parameter', 'strong interference', 'special importance', 'spatial covariance', 'sometimes complicated', 'sidelobe interference', 'sidelobe canceler', 'received interference', 'range gate', 'radar detection', 'radar application', 'new algorithm', 'fixed threshold', 'canceling technique', 'based upon', 'antenna pattern', 'algorithm provides', 'alarm probability']</t>
  </si>
  <si>
    <t>Signal or target detection is sometimes complicated by the presence of strong interference. When this interference occurs mainly in the sidelobes of the antenna pattern, a solution to this problem is realized through a sidelobe canceler (SLC) implementation. In addition, a system parameter of special importance in radar is the false-alarm probability. Therefore, an interference-canceling technique for radar application should maintain the false alarm probability constant over a wide range of incident interference power. With the requirements of sidelobe interference cancellation and constant false alarm rate (CFAR) a new algorithm for radar detection in the presence of sidelobe interference is developed from the generalized likelihood ratio test of Neyman‚ÄìPearson. In this development, the received interference is modeled as a nonstationary, but slowly varying Gaussian random process. Cancellation of this sidelobe interference is based upon a ‚Äúsynchronous‚Äù estimate of the spatial covariance of the interference for the range gate being tested. This algorithm provides a fixed false alarm rate and a fixed threshold which depend only upon the parameters of the algorithm. ¬© 1990 IEEE</t>
  </si>
  <si>
    <t>792-803</t>
  </si>
  <si>
    <t>;60029311</t>
  </si>
  <si>
    <t>6506707617;7102915755</t>
  </si>
  <si>
    <t>Hendon, Elke J.;Reed, Irving S.</t>
  </si>
  <si>
    <t>University of Southern California</t>
  </si>
  <si>
    <t>Hendon E.</t>
  </si>
  <si>
    <t>A New Cfar Sidelobe Canceler Algorithm for Radar</t>
  </si>
  <si>
    <t>10.1109/7.102714</t>
  </si>
  <si>
    <t>2-s2.0-0025489356</t>
  </si>
  <si>
    <t>['panel element', 'notch patterns', 'high versatility', 'deep nulls']</t>
  </si>
  <si>
    <t>The CBR (cavity backed radiator) panel element has been proven to have high versatility and predictability in multiplexed FM antenna array radiation patterns. In this paper special customized patterns with deep nulls (notch patterns) are discussed. ¬© 1990 IEEE</t>
  </si>
  <si>
    <t>226-230</t>
  </si>
  <si>
    <t>Pantsios, Fred A.</t>
  </si>
  <si>
    <t>Pantsios F.</t>
  </si>
  <si>
    <t>Customized pattern applications of the FM CBR antenna</t>
  </si>
  <si>
    <t>10.1109/11.59849</t>
  </si>
  <si>
    <t>2-s2.0-0025489586</t>
  </si>
  <si>
    <t>['vertical component', 'useful properties', 'tv broadcasting', 'pol patterns', 'negligible changes', 'full cp', 'forementioned elements', 'directional pattern', 'cp broadcasting', 'azimuthal h', 'adjacent slots']</t>
  </si>
  <si>
    <t>A pair of bent monopole elements attached to the mast and excited by a slot, have been found to have very useful properties for cylindrical slot array antennas employed in TV broadcasting. By inserting these elements, the inherent slot pattern can be controlled and, in addition, a vertical component can be obtained for CP broadcasting. A variety of azimuthal H-pol and V-pol patterns have been achieved, showing great versatility, including more directional pattern of the ‚Äúcosœï‚Äù type for higher gain per element and less mutual coupling between adjacent slots. In the case of full CP, good axial ratio in the overall radiation pattern has also been accomplished. Finally, negligible changes in the slot array bandwidth were observed by introducing these forementioned elements. ¬© 1990 IEEE</t>
  </si>
  <si>
    <t>219-225</t>
  </si>
  <si>
    <t>Pantsios F.A.</t>
  </si>
  <si>
    <t>New elements that provide pattern versatility in COAX and wavestar antennas</t>
  </si>
  <si>
    <t>10.1109/11.59848</t>
  </si>
  <si>
    <t>2-s2.0-0025489587</t>
  </si>
  <si>
    <t>['unusual resonances', 'symmetrical components', 'special attention', 'single element', 'number requires', 'individual elements', 'high degree', 'element array', 'distant elements', 'correctly proportioned', 'circular array', 'analytical determination']</t>
  </si>
  <si>
    <t>The circular array of parallel nonstaggered elements has unusual resonances when correctly proportioned. The analytical determination of its properties in their dependence on the radius, length, and spacing of the individual elements as well as on their number requires a high degree of accuracy. The solution of the coupled integral equations with the method of symmetrical components is reexamined with special attention to the problem of coupling among closely spaced and more distant elements. The accuracy of the new general formula is verified for the four-element array and the single element. ¬© 1990 IEEE</t>
  </si>
  <si>
    <t>1462-1472</t>
  </si>
  <si>
    <t>King R.W.P.</t>
  </si>
  <si>
    <t>The Large Circular Array with One Element Driven</t>
  </si>
  <si>
    <t>10.1109/8.57000</t>
  </si>
  <si>
    <t>2-s2.0-0025490788</t>
  </si>
  <si>
    <t>['techniques allow', 'radiation characteristics', 'mode matching', 'metal strips', 'matching technique']</t>
  </si>
  <si>
    <t>Two techniques based on a mode expansion formulation are applied to the analysis of a grounded dielectric slab periodically loaded with metal strips. When the thickness of the metal strips is considered in the formulation, mode matching is employed. When the thickness is assumed to be zero, some numerical errors arise using mode matching, and the point-matching technique is used. Both techniques allow the fields to be obtained in any region, and the radiation characteristics of the structure. The numerical results obtained in both cases are within good accuracy, and they agree with each other when the thickness of the metal strips is small. ¬© 1990 IEEE</t>
  </si>
  <si>
    <t>1405-1412</t>
  </si>
  <si>
    <t>Encinar, Jose A.</t>
  </si>
  <si>
    <t>Universidad Polit√©cnica de Madrid</t>
  </si>
  <si>
    <t>Encinar J.A.</t>
  </si>
  <si>
    <t>Mode-Matching and Point-Matching Techniques Applied to the Analysis of Metal-Strip-Loaded Dielectric Antennas</t>
  </si>
  <si>
    <t>10.1109/8.56992</t>
  </si>
  <si>
    <t>2-s2.0-0025490789</t>
  </si>
  <si>
    <t>['transition region', 'theory describes', 'standard function', 'p represents', 'new edge', 'multireflector antennas', 'main emphasis', 'lateral extent', 'go boundary', 'geometrical optics', 'field near', 'field around', 'diffraction theory', 'diffraction point', 'constructed solely']</t>
  </si>
  <si>
    <t>A new edge-diffraction theory for multireflector antennas is presented. It is based on the uniform geometrical theory of diffraction (UTD) and other wellknown asymptotic techniques, but is simplified and extended to cover edge diffraction in the presence of several reflector surfaces. The main emphasis of the theory is placed on the transition region around the boundary of the geometrical optics (GO) field. The theory describes the field near the GO boundary in terms of a standard function and a wavelength-dependent parameter p, where p represents the lateral extent of the transition region. Thereby, the field around the GO boundary can be constructed solely from knowledge of the single parameter p. Formulas are presented for tracing p along the GO boundary from a diffraction point at a certain edge via possible other reflectors. Existing diffraction theories do not allow such tracing of transition region fields via several reflectors. ¬© 1990 IEEE</t>
  </si>
  <si>
    <t>1350-1358</t>
  </si>
  <si>
    <t>60013141;</t>
  </si>
  <si>
    <t>7101988263;7005862984</t>
  </si>
  <si>
    <t>Kildal, Per Simon;Stamnes, Jakob J.</t>
  </si>
  <si>
    <t>Norway</t>
  </si>
  <si>
    <t>Trondheim</t>
  </si>
  <si>
    <t>Norges Teknisk-Naturvitenskapelige Universitet</t>
  </si>
  <si>
    <t>Kildal P.S.</t>
  </si>
  <si>
    <t>Asymptotic Transition Region Theory for Edge Diffraction, Part I: Tracing Transition Regions Via Reflectors</t>
  </si>
  <si>
    <t>10.1109/8.56984</t>
  </si>
  <si>
    <t>2-s2.0-0025490970</t>
  </si>
  <si>
    <t>['useful tool', 'spatial resolution', 'satellite data', 'resolution features', 'interpolation process', 'gilhert theory', 'detailed analysis', 'creating images']</t>
  </si>
  <si>
    <t>A Technique to interpolate imaging microwave radiometer data is presented as an application of the Backus-Gilhert theory. The interpolation process is optimal in the sense that it attempts to preserve the spatial resolution of the antenna gain function associated with the sampled radiometer data. The technique is applied to the Special Sensor Microwave/Imager (SSM/I) satellite data, and is found to enhance the high-resolution features of the imagery. The technique is expected to be a useful tool in creating images for detailed analysis. ¬© 1990 IEEE</t>
  </si>
  <si>
    <t>800-810</t>
  </si>
  <si>
    <t>Poe, Gene A.</t>
  </si>
  <si>
    <t>Poe G.</t>
  </si>
  <si>
    <t>Optimum Interolation of Imaging Microwave Radiometer Data</t>
  </si>
  <si>
    <t>10.1109/36.58966</t>
  </si>
  <si>
    <t>2-s2.0-0025491297</t>
  </si>
  <si>
    <t>['tip body', 'space vehicle', 'simulation results', 'performed using', 'francis group', 'elastic motion', 'elastic deflections', 'axis manoeuvres', 'axis control', 'attitude error', 'attitude controller']</t>
  </si>
  <si>
    <t>A control system design is presented for large angle rotational manoeuvres of a spacecraft-beam-tip body (an antenna or a reflector) configuration. Although this approach is applicable to three-axis manoeuvres, for simplicity only single-axis control is treated here. It is assumed that an unknown but bounded disturbance torque acts on the spacecraft. A sliding mode attitude control law is derived for slewing of the space vehicle. This slewing control law requires only the attitude error and its derivative for feedback. It does not need any information on the elastic motion of the system. For the damping of the elastic motion, a stabilizer is seperately designed based on the asymptotically decoupled system describing the elastic deflections in two orthogonal planes. Simulation results are presented to show that precise large rotational manoeuvres can be performed using an attitude controller and elastic mode stabilizer in spite of the uncertainty in the system. ¬© 1990 Taylor &amp; Francis Group, LLC.</t>
  </si>
  <si>
    <t>1755-1771</t>
  </si>
  <si>
    <t>International Journal of Systems Science</t>
  </si>
  <si>
    <t>60031892;60031892</t>
  </si>
  <si>
    <t>7005889505;55939297200</t>
  </si>
  <si>
    <t>Iyer, Ashok;Singh, Sahjendra N.</t>
  </si>
  <si>
    <t>Las Vegas</t>
  </si>
  <si>
    <t>University of Nevada, Las Vegas</t>
  </si>
  <si>
    <t>Iyer A.</t>
  </si>
  <si>
    <t>Sliding mode of control of flexible spacecraft under disturbance torque</t>
  </si>
  <si>
    <t>10.1080/00207729008910496</t>
  </si>
  <si>
    <t>2-s2.0-0025491341</t>
  </si>
  <si>
    <t>['¬© 1990', 'rights reserved', 'polar performance', 'good cross', 'electrical engineers']</t>
  </si>
  <si>
    <t>Angle diversity | Dual feed | Reflector antenna</t>
  </si>
  <si>
    <t>A corrugated interleaved dual feed for application in a dual offset reflector antenna with angle diversity capability has been designed and investigated. The two scanned beams of the antenna show low sidelobe levels and good cross-polar performance. ¬© 1990, The Institution of Electrical Engineers. All rights reserved.</t>
  </si>
  <si>
    <t>1679-1680</t>
  </si>
  <si>
    <t>60072501;60072501;60072501;60072501</t>
  </si>
  <si>
    <t>6604098401;7101932815;57196920628;6603842614</t>
  </si>
  <si>
    <t>Dombek, K. P.;Hombach, V.;Scheffer, H.;Thielen, H.</t>
  </si>
  <si>
    <t>Forschungsinstitut der Deutschen Bundespost</t>
  </si>
  <si>
    <t>Dombek K.</t>
  </si>
  <si>
    <t>Corrugated Dual Feed for Offset Reflector Antennas</t>
  </si>
  <si>
    <t>10.1049/el:19901074</t>
  </si>
  <si>
    <t>2-s2.0-0025491502</t>
  </si>
  <si>
    <t>['quadratic constraint', 'performance achievable', 'numerical results', 'new technique', 'eigenvector constraints', 'computational complexity']</t>
  </si>
  <si>
    <t>A new technique is presented for synthesizing an antenna array pattern with prescribed broad nulls. The array pattern synthesis problem is formulated as a least-square null constrained optimization problem. Numerical techniques based on the matrix factorization method are developed for reducing the computational complexity of determining the optimal weight vector. Subsequently, a set of eigenvector constraints are used to approximate the effect of the quadratic constraint. Numerical results are presented to illustrate the performance achievable. ¬© 1990 IEEE</t>
  </si>
  <si>
    <t>1496-1498</t>
  </si>
  <si>
    <t>Er, Meng Hwa</t>
  </si>
  <si>
    <t>Communications: Linear Antenna Array Pattern Synthesis with Prescribed Broad Nulls</t>
  </si>
  <si>
    <t>10.1109/8.57004</t>
  </si>
  <si>
    <t>2-s2.0-0025491770</t>
  </si>
  <si>
    <t>['solution allows', 'series solution', 'ray tracing', 'rapid evaluation', 'practical application', 'polynomial nature', 'numerical solution', 'given source', 'field points', 'dimensional surfaces', 'date required', 'concave three', 'closed form', 'analytical solution']</t>
  </si>
  <si>
    <t>Determination of geometric optical specular points on reflectors for given source and field points has to date required the iterative, numerical solution of the set of partial differential equations resulting from application of Fermat's principle of stationary optical path length. No analytical solution has been reported for this problem. This constitutes a computational ‚Äúbottleneck‚Äù in the practical application of ray tracing. A series solution to the specular point determination problem is presented for concave three-dimensional surfaces. The coefficients of the series can be found in closed form. The polynomial nature of the solution allows for the rapid evaluation of points. The series solution is derived for application to the aperture plane integration method of reflector antenna analysis and synthesis. Examples of utilization of the solution in these problems are given. ¬© 1990 IEEE</t>
  </si>
  <si>
    <t>1507-1512</t>
  </si>
  <si>
    <t>60002494;60002494</t>
  </si>
  <si>
    <t>6506261522;6701902518</t>
  </si>
  <si>
    <t>Pokuls, Ralph;Pavlasek, T. J.F.</t>
  </si>
  <si>
    <t>Universit√© McGill</t>
  </si>
  <si>
    <t>Pokuls R.</t>
  </si>
  <si>
    <t>A Note on Specular Point Determination for Collimating Reflector Antennas</t>
  </si>
  <si>
    <t>10.1109/8.57007</t>
  </si>
  <si>
    <t>2-s2.0-0025491826</t>
  </si>
  <si>
    <t>['wiley company', 'rigid structure', 'quite excellent', 'patch antenna', 'paper consists', 'nrd guide', 'low loss', 'inserted transversely', 'inc .,', 'higher frequencies', 'fabrication difficulty', 'dielectric waveguide', 'dielectric strip', 'balanced mixer']</t>
  </si>
  <si>
    <t>The nonradiative dielectric waveguide (NRD guide) which has low loss and no radiation at the bends and discontinuities is suitable for millimeter‚Äêwave integrated circuits. In this paper, the NRD guide circuit components using beam‚Äêlead diodes are studied in the 35‚ÄêGHz range. The diode mount proposed in this paper consists of a patch antenna and an RF choke etched together on a thin Teflon substrate. A beam‚Äêlead diode is mounted on this structure and the substrate is inserted transversely in the dielectric waveguide. Since this mount has a compact and rigid structure and can be fabricated only by etching, no fabrication difficulty is expected at higher frequencies. A simple matching technique, which uses a thin high‚Äêpermittivity sheet and an air gap provided in the dielectric strip, is developed. The performance of a Schottky‚Äêbarrier diode detector, a balanced mixer, and a PIN diode pulse modulator were found to be quite excellent. Copyright ¬© 1990 Wiley Periodicals, Inc., A Wiley Company</t>
  </si>
  <si>
    <t>35-41</t>
  </si>
  <si>
    <t>60008435;60008435</t>
  </si>
  <si>
    <t>7005760397;7202091831</t>
  </si>
  <si>
    <t>Kuroki, Futoshi;Yoneyama, Tsukasa</t>
  </si>
  <si>
    <t>Kuroki F.</t>
  </si>
  <si>
    <t>Nonradiative dielectric waveguide circuit components using beam‚Äêlead diodes</t>
  </si>
  <si>
    <t>10.1002/ecjb.4420730905</t>
  </si>
  <si>
    <t>2-s2.0-0025492010</t>
  </si>
  <si>
    <t>['time imagery', 'tal set', 'systematically stepped', 'subsequent analysis', 'signifcant departures', 'relative gain', 'pixels across', 'northern ontario', 'necessarily uniform', 'measurements generates', 'imaged area', 'good potential', 'forested region', 'essentially fxed', 'dynamic range', 'discrete bands', 'data set', 'correspon ding', 'cent er', 'c ombining', 'average basis', 'angular range', 'acquisition parameters', '50 ¬∞', '30 db']</t>
  </si>
  <si>
    <t>Data from a forested region of Northern Ontario are analyzed to yield an estimate of the antenna elevation pattern for the CCRS airborne SAN, The method is similar to that applied to SIR-B by Moore et aI, [1] and relies on the imaged area being uniform on an average basis but not necessarily uniform on pixel scale basis. The extended ‚Äúuniform‚Äù area was imaged as a series of short fight segments in which the antenna depression angle was systematically stepped, keeping all other acquisition parameters of the aircraf and SAN. essentially fxed. Subsequent analysis of the real-time imagery was then performed, dividing average image powers for discrete bands of pixels across the swath to yield the relative gain of the antenn a correspon ding to the antenn a angles for the cent er of th ese bands. C ombining the to tal set of these measurements generates the entire elevation pattern. Results are given for the C-band, HH-pattern over an angular range of ~ 50¬∞ and dynamic range of over 30 dB and compared to antenna range measurements taken before installation, Agreement is reasonable but there are signifcant departures as well, The spread in the results from the frst coarse analysis of the data set is about ¬± I dB, which might be improved through more str i ngent data control. It is concluded that this method has good potential for airborne SAR‚Äôs with dynamic antenna pointing capability. ¬© 1990 IEEE</t>
  </si>
  <si>
    <t>896-905</t>
  </si>
  <si>
    <t>Hawkins, Robert K.</t>
  </si>
  <si>
    <t>Canada Centre for Remote Sensing</t>
  </si>
  <si>
    <t>Hawkins R.</t>
  </si>
  <si>
    <t>Deterination of Antenna Elevation Patter For Airbore SAR Using the Rough Target Approach</t>
  </si>
  <si>
    <t>10.1109/36.58979</t>
  </si>
  <si>
    <t>2-s2.0-0025492026</t>
  </si>
  <si>
    <t>['spillover integrals', 'secondary aperture', 'radiation field', 'numerical evaluations', 'line feeds', 'diffraction limitations', 'corresponding reduction', 'companion paper', 'arecibo observatory', 'aperture field', 'aperture efficiency', 'also calculated']</t>
  </si>
  <si>
    <t>The diffraction limitations of line feeds for spherical reflector antennas are analyzed by means of an asymptotic transition region theory (TRT), presented in a companion paper. It is shown that diffraction from the ends of the line feed causes a broad 6 dB deep central dip in the aperture field of the reflector. The corresponding reduction in aperture efficiency and increase in spillover are also calculated by means of the TRT. The accuracy of the theory is checked by numerical evaluations of the array sum expression for the radiation field and of the secondary aperture-field and spillover integrals. The results are applicable to the line feeds of the spherical reflector antenna of the Arecibo Observatory. ¬© 1990 IEEE</t>
  </si>
  <si>
    <t>1366-1373</t>
  </si>
  <si>
    <t>Kildal, Per Simon</t>
  </si>
  <si>
    <t>Kildal P.</t>
  </si>
  <si>
    <t>Diffraction Analysis of Line Feeds for Spherical Reflectors</t>
  </si>
  <si>
    <t>10.1109/8.56987</t>
  </si>
  <si>
    <t>2-s2.0-0025492106</t>
  </si>
  <si>
    <t>['two orders', 'simultaneously reduce', 'several 102', 'rights reserved', 'member forces', 'markedly reduce', 'joint exchanges', 'inc .,']</t>
  </si>
  <si>
    <t>Inaccuracies in the length of members or diameters of joints of large truss reflector backup structures may result in unacceptably large surface distortions and member forces. However, it may be possible to measure these length or diameter errors accurately. The present work suggests that a member and joint placement strategy can markedly reduce the distortions and internal member forces. To demonstrate the potential of this approach, a member and joint exchange algorithm developed herein is applied to several 102-member and 660-member truss reflector structures. It is shown that member and joint exchanges can simultaneously reduce the root-mean-square surface error and the rms member forces by two orders of magnitude. ¬© 1990 American Institute of Aeronautics and Astronautics, Inc., All rights reserved.</t>
  </si>
  <si>
    <t>1655-1662</t>
  </si>
  <si>
    <t>60000854;60027090</t>
  </si>
  <si>
    <t>7202789108;7102367440</t>
  </si>
  <si>
    <t>Greene, William H.;Haftka, Raphael T.</t>
  </si>
  <si>
    <t>Blacksburg;Hampton</t>
  </si>
  <si>
    <t>Virginia Polytechnic Institute and State University;NASA Langley Research Center</t>
  </si>
  <si>
    <t>60027090;60000854</t>
  </si>
  <si>
    <t>Greene W.</t>
  </si>
  <si>
    <t>Reducing distortion and internal forces in truss structures by member exchanges</t>
  </si>
  <si>
    <t>10.2514/3.25265</t>
  </si>
  <si>
    <t>2-s2.0-0025492197</t>
  </si>
  <si>
    <t>['source currents', 'radiating source', 'principle plane', 'planar array', 'new technique', 'known nearfield', 'fields radiated', 'field patterns', 'excitation currents', 'exact solution', 'aperture type', 'also used']</t>
  </si>
  <si>
    <t>A new technique of synthesis or reconstruction of the excitation currents of a planar array or aperture type of antenna from the known nearfield (NF) patterns of the radiating source is presented. This technique makes use of an exact solution to the fields radiated by the aperture antenna without disregarding the source currents. Typical numerical computations have been carried out to validate the analytical technique developed. Sensitivity and stability of the numerical computations performed have been studied. The available iterative bandlimited signal extrapolation technique is employed to reconstruct the aperture excitation currents if only the farfield (FF) patterns of the radiating source are known. Far-field patterns of aperture antennas measured in the laboratory were also used to reconstruct the aperture electric field distribution in the principle plane. ¬© 1990 IEEE</t>
  </si>
  <si>
    <t>1326-1332</t>
  </si>
  <si>
    <t>60025757;60025757</t>
  </si>
  <si>
    <t>7006389495;7401972862</t>
  </si>
  <si>
    <t>Narasimhan, M. S.;Kumar, B. Preetham</t>
  </si>
  <si>
    <t>Chennai</t>
  </si>
  <si>
    <t>Indian Institute of Technology Madras</t>
  </si>
  <si>
    <t>Narasimhan M.</t>
  </si>
  <si>
    <t>A Technique of Synthesizing the Excitation Currents of Planar Arrays or Apertures</t>
  </si>
  <si>
    <t>10.1109/8.56982</t>
  </si>
  <si>
    <t>2-s2.0-0025493156</t>
  </si>
  <si>
    <t>['singular part', 'paper describes', 'numerical modelling', 'many years', 'kernel function', 'integral equation', 'first kind', 'antenna problem', 'alternative formulation']</t>
  </si>
  <si>
    <t>Hallen's integral equation has been used as the basis for the formulation of cylindrical antenna theories for many years. Being a Fredholm integral equation of the first kind, its solution is mathematically an ill‚Äêposed problem. The stability of the numerical methods based on this integral equation is dependent on the singularity and the non‚Äêsmoothness of the kernel function. For electrically thick cylindrical antennas, the dominance of the singular part of the kernel (logarithmic) is weakened and the kernel function becomes relatively smooth. This observation implies possible deteriorations of the stability of the numerical methods based on Hallen's integral equation. This paper describes the development of an alternative formulation for the electrically thick cylindrical antennas based on the singular integral equation of the first kind with a Cauchy‚Äêtype kernel which eliminates the potential instability problem. A numerical method based on this formulation of the antenna problem has been implemented and case studies show that it is very stable and efficient for the numerical modelling of electrically thick cylindrical antennas. Copyright ¬© 1990 John Wiley &amp; Sons, Ltd</t>
  </si>
  <si>
    <t>195-206</t>
  </si>
  <si>
    <t>International Journal of Numerical Modelling: Electronic Networks, Devices and Fields</t>
  </si>
  <si>
    <t>Tan, Soon Hie</t>
  </si>
  <si>
    <t>Tan S.</t>
  </si>
  <si>
    <t>Modelling of electrically thick cylindrical antennas</t>
  </si>
  <si>
    <t>10.1002/jnm.1660030304</t>
  </si>
  <si>
    <t>2-s2.0-0025493207</t>
  </si>
  <si>
    <t>['zonal component', 'westward maximum', 'tidal components', 'summer observations', 'semidiurnal variation', 'semidiurnal tide', 'scott base', 'polar mesopause', 'minimum values', 'mean wind', 'increasing turbulence', 'enhanced turbulence', 'decreasing values', 'december 1983', 'copyright 1990', '78 ¬∞', '5 occur', '1983 ),']</t>
  </si>
  <si>
    <t>Measurements from the MF spaced antenna mode radar at Scott Base (78¬∞S, 167¬∞E) include an estimate of the autocorrelation time scale (T0.5) of the scatterers, corrected for advection by the mean wind. Summer observations (December 1983) show a semidiurnal variation of T0.5. At heights of 87‚Äì95 km the minimum values of T0.5 occur when the zonal component of the semidiurnal tide is at its westward maximum. If it is assumed that decreasing values of T0.5 are associated with increasing turbulence, then these results are consistent with those of Balsley et al. (1983), who proposed that enhanced turbulence is generated in summer by low‚Äêfrequency gravity waves and tidal components above the polar mesopause. Copyright 1990 by the American Geophysical Union.</t>
  </si>
  <si>
    <t>997-1003</t>
  </si>
  <si>
    <t>September-October 1990</t>
  </si>
  <si>
    <t>7201612937;57206383300</t>
  </si>
  <si>
    <t>Fraser, G. J.;Khan, Usman</t>
  </si>
  <si>
    <t>Fraser G.</t>
  </si>
  <si>
    <t>Semidiurnal variations in the time scale of irregularities near the Antarctic summer mesopause</t>
  </si>
  <si>
    <t>10.1029/RS025i005p00997</t>
  </si>
  <si>
    <t>2-s2.0-0025493246</t>
  </si>
  <si>
    <t>['œºm silicon', 'waveguide sections', 'various f', 'theoretical pattern', 'superconducting tunnel', 'resistive losses', 'remote sensing', 'rectangularwaveguide sections', 'radio astronomy', 'processing electronics', 'plasma diagnostics', 'oxynitride membrane', 'millimeter wavelengths', 'junction receivers', 'including spillover', 'horn structure', 'frequency connections', 'detailed breakdown', 'coupling efficiency', 'boundary conditions']</t>
  </si>
  <si>
    <t>A monolithic twodimensional horn imaging array has been fabricated for millimeter wavelengths. In this configuration, a dipole is suspended in an etched pyramidal cavity on a l-Œºm silicon-oxynitride membrane. This approach leaves room for low-frequency connections and processing electronics. The theoretical pattern is calculated by approximating the horn structure by a cascade of rectangularwaveguide sections. The boundary conditions are matched at each of the waveguide sections, and at the aperture of the horn. Patterns at 93 and 242 GHz agree well with theory. Horn aperture efficiencies of 44 ¬± 4%, including mismatch and resistive losses, have been measured. A detailed breakdown of the losses is presented in the paper. The coupling efficiency to various f-number imaging systems is investigated, and a coupling efficiency of 24% for an f\0.7 imaging system, including spillover, taper, mismatch and resistive losses, has been measured. Possible application areas include imaging arrays for remote sensing, plasma diagnostics, radiometry and superconducting tunnel-junction receivers for radio astronomy. ¬© 1990 IEEE</t>
  </si>
  <si>
    <t>1473-1482</t>
  </si>
  <si>
    <t>60031581;60031581;60031581;60031581;60031581</t>
  </si>
  <si>
    <t>7006384021;7004693666;35262006400;7004250981;7102803490</t>
  </si>
  <si>
    <t>Rebeiz, Gabriel M.;Kasilingam, Dayalan P.;Guo, Yong;Stimson, Philip A.;Rutledge, David B.</t>
  </si>
  <si>
    <t>Rebeiz G.</t>
  </si>
  <si>
    <t>Monolithic Millimeter-Wave Two-Dimensional Horn Imaging Arrays</t>
  </si>
  <si>
    <t>10.1109/8.57001</t>
  </si>
  <si>
    <t>2-s2.0-0025493811</t>
  </si>
  <si>
    <t>['œå defined', 'two kinds', 'reflector surfaces', 'reflector feed', 'proposed dual', 'losses caused', 'line feeds', 'edge diffraction', 'companion paper', 'asymptotic formulas', 'arecibo observatory', 'antenna efficiency']</t>
  </si>
  <si>
    <t>Asymptotic formulas are presented that can be used to calculate diffraction losses in a multireflector antenna without having to integrate rapidly varying fields over the reflector surfaces and the aperture. Two kinds of losses caused by edge diffraction are considered: the reduction in antenna efficiency and the increase in spillover. The asymptotic formulas are obtained from the standard transition region field introduced in Part I of the paper, and are expressed in terms at the œÅ defined there. In a companion paper the theory is applied to the line feeds for the spherical reflector antenna of the Arecibo observatory, and it has also been applied to a proposed dual-reflector feed for the same antenna. ¬© 1990 IEEE</t>
  </si>
  <si>
    <t>1359-1365</t>
  </si>
  <si>
    <t>Asymptotic Transition Region Theory for Edge Diffraction, Part II: Calculation of Diffraction Losses in Multireflector Antennas</t>
  </si>
  <si>
    <t>10.1109/8.56986</t>
  </si>
  <si>
    <t>2-s2.0-0025493812</t>
  </si>
  <si>
    <t>['significantly affected', 'signal sources', 'receive line', 'receive antennas', 'paper discusses', 'opposite phase', 'interfering signal', 'experimental data', 'equal amplitude', 'desired signal', 'cancellation process', 'calculated results', 'auxiliary antenna', 'antennas relative', 'antenna spacing', 'also considered']</t>
  </si>
  <si>
    <t>It is possible to remove an interfering signal from a receiver by injecting a sample of the interference in equal amplitude but opposite phase into the receive line. In the case of a remotely located source of interference, an auxiliary antenna is used to obtain the interfering signal sample. When the angle of arrival of an interfering signal relative to the desired signal is small, or when other system requirements dictate omnidirectional antennas, the desired signal strength can be significantly affected by the cancellation process. The desired signal can either be enhanced or reduced in amplitude depending upon the spacing between the auxiliary and receive antennas. This paper discusses the effect of antenna spacing on the desired signal and provides quantitative guidelines for such spacing. Placement of antennas relative to the direction of the signal sources is also considered. Experimental data are presented to verify the calculated results. ¬© 1990 IEEE</t>
  </si>
  <si>
    <t>203-206</t>
  </si>
  <si>
    <t>Talwar, Ashok K.</t>
  </si>
  <si>
    <t>Westlake Village</t>
  </si>
  <si>
    <t>American Nucleonics Corporation</t>
  </si>
  <si>
    <t>Talwar A.K.</t>
  </si>
  <si>
    <t>Antenna spacing considerations in an interference canceller</t>
  </si>
  <si>
    <t>10.1109/11.59846</t>
  </si>
  <si>
    <t>2-s2.0-0025494205</t>
  </si>
  <si>
    <t>['wiley company', 'wide bandwidth', 'v dipole', 'uniform characteristics', 'quarter wavelength', 'present theory', 'present antenna', 'operating principle', 'open stubs', 'input impedance', 'input admittance', 'included angle', 'inc .,', 'half wavelength', 'characterized numerically', 'center frequency', 'broadband nature', 'basic structure', '8 db', '5 ms', '30 ¬∞.', '10 db']</t>
  </si>
  <si>
    <t>A V dipole antenna with multiple stub loading is proposed as a traveling wave antenna with a wide bandwidth in both the gain and input impedance. It is considered that the present antenna is essentially a tapered transmission line loaded with open stubs. Then the operating principle is studied by reducing the structure to an equivalent nonuniform transmission line. It is found from the relationship between the equivalent distributed parameters and the stub that the dipole‚Äêtype stub array with its stub length reduced gradually from a half wavelength to a quarter wavelength is a basic structure for the broadband nature by the decaying traveling wave. Based on this concept, an actual stub‚Äêloaded V dipole antenna was characterized numerically. It is demonstrated that uniform characteristics of an input admittance of 5 mS, a gain of 8 dB and a front‚Äêto‚Äêback ratio of 10 dB are obtained over ¬±30 percent around the center frequency in the case of a V dipole with an included angle of 30¬∞. This antenna was fabricated and the validity of the present theory was confirmed because the theoretical and experimental results agreed well. Copyright ¬© 1990 Wiley Periodicals, Inc., A Wiley Company</t>
  </si>
  <si>
    <t>97-106</t>
  </si>
  <si>
    <t>60018429;60018429;60018429</t>
  </si>
  <si>
    <t>56036522400;36887188100;7003674455</t>
  </si>
  <si>
    <t>Nakamura, Takashi;Fushimi, Hideki;Yokokawa, Senji</t>
  </si>
  <si>
    <t>Gifu</t>
  </si>
  <si>
    <t>Gifu University</t>
  </si>
  <si>
    <t>Nakamura T.</t>
  </si>
  <si>
    <t>V dipole antenna with multiple stub loading</t>
  </si>
  <si>
    <t>10.1002/ecja.4410730910</t>
  </si>
  <si>
    <t>2-s2.0-0025494239</t>
  </si>
  <si>
    <t>['starting vector', 'preliminary synthesis', 'performance depends', 'nonlinear algorithm', 'initial iterate', 'excitation vector', 'dimensional polynomials', 'desired pattern']</t>
  </si>
  <si>
    <t>Power pattern synthesis of shaped beams requires a nonlinear algorithm to obtain the excitation vector for a desired pattern. Many of these algorithms are iterative in nature, and their performance depends on the initial iterate. Algorithms that find only a starting vector are preliminary synthesis methods. A method of preliminary synthesis that utilizes a product of two-dimensional polynomials is proposed. ¬© 1990 IEEE</t>
  </si>
  <si>
    <t>1504-1507</t>
  </si>
  <si>
    <t>60015720;60102562</t>
  </si>
  <si>
    <t>7103311439;7004484815</t>
  </si>
  <si>
    <t>Richie, James E.;Kritikos, Haralambos N.</t>
  </si>
  <si>
    <t>Philadelphia;Milwaukee</t>
  </si>
  <si>
    <t>School of Engineering and Applied Science;Marquette University</t>
  </si>
  <si>
    <t>60102562;60015720</t>
  </si>
  <si>
    <t>Richie J.E.</t>
  </si>
  <si>
    <t>Preliminary Shaped Beam Synthesis Using the Product Function</t>
  </si>
  <si>
    <t>10.1109/8.57006</t>
  </si>
  <si>
    <t>2-s2.0-0025494414</t>
  </si>
  <si>
    <t>['vector potential', 'special interest', 'sin kh', 'several components', 'nonstaggered arrays', 'new formulas', 'large arrays', 'interactions among', 'four distributions', 'exact results', 'electric fields', 'cos kz', 'cos kh']</t>
  </si>
  <si>
    <t>The vector potential and electric field generated by the current in a center-driven or parasitic dipole antenna that extends from z ‚Äî -h to z = h are investigated for each of the several components of the current. These include sin k(h - |z|), sin k |z| - sin kh, cos kz - cos kh, and cos kz/2 -cos kh/2. Of special interest are the interactions among the variously spaced elements in parallel, nonstaggered arrays. These depend on the mutual vector potentials. It is shown that at a radial distance p ~h and in the range -h z h, the vector potentials due to all four components become alike and have an approximately planewave form. Simple approximate formulas for the electric fields and vector potentials generated by each of the four distributions are derived and compared with the exact results. The application of the new formulas to large arrays is discussed. ¬© 1990 IEEE</t>
  </si>
  <si>
    <t>1456-1461</t>
  </si>
  <si>
    <t>Electric Fields and Vector Potentials of Thin Cylindrical Antennas</t>
  </si>
  <si>
    <t>10.1109/8.56999</t>
  </si>
  <si>
    <t>2-s2.0-0025494415</t>
  </si>
  <si>
    <t>['well known', 'space wavelength', 'printed dipoles', 'poorly convergent', 'mutual coupling', 'mm formulation', 'mm analysis', 'microstrip green', 'latter calculation', 'lateral separation', 'large parameter', 'field points', 'feed lines', 'dielectric interface', 'asymptotic development']</t>
  </si>
  <si>
    <t>A relatively simple closed-form asymptotic representation for the single layer microstrip dyadic surface Green's function is developed. The large parameter in this asymptotic development is proportional to the lateral separation between the source and field points along the air-dielectric interface. This asymptotic solution remains surprisingly accurate even for very small (a few tenths of a free-space wavelength) lateral separation of the source and field points. Thus, the use of the present asymptotic approximation of the Green's function can lead to a very efficient moment method (MM) solution for the currents on an array of microstrip antenna patches and feed lines. On the other hand, it is well known that the conventional Sommerfeld integral representation of the microstrip surface Green's function is very poorly convergent when used in the MM formulation. Numerical results based on the efficient MM analysis which employs the present closed form asymptotic approximation to the microstrip surface Green's function are given for the mutual coupling between a pair of printed dipoles on a single layer grounded dielectric slab. The accuracy of the latter calculation is confirmed by comparison with numerical results based on a MM analysis which employs an exact integral representation for the microstrip Green's function. ¬© 1990 IEEE</t>
  </si>
  <si>
    <t>1374-1383</t>
  </si>
  <si>
    <t>6603705367;35579308700;7202222050</t>
  </si>
  <si>
    <t>Barkeshli, Sina;Pathak, Prabhakar H.;Marin, Miguel</t>
  </si>
  <si>
    <t>An Asymptotic Closed-Form Microstrip Surface Green's Function for the Efficient Moment Method Analysis of Mutual Coupling in Microstrip Antennas</t>
  </si>
  <si>
    <t>10.1109/8.56988</t>
  </si>
  <si>
    <t>2-s2.0-0025494416</t>
  </si>
  <si>
    <t>['two classes', 'static instability', 'signal power', 'shear instability', 'scales comparable', 'satisfy taylor', 'radars even', 'probably due', 'primary wave', 'phase velocity', 'parametric instability', 'one class', 'observational results', 'many properties', 'layered structure', 'instability modes', 'frequent occurrence', 'frequency close', 'explained consistently', 'doppler shift', 'copyright 1990']</t>
  </si>
  <si>
    <t>In the presence of a monochromatic finite‚Äêamplitude internal gravity wave, many properties of tropospheric and mesospheric radar observations can be explained consistently in terms of parametric instability. At small primary wave amplitudes, the fastest growing instability modes can be divided into two classes. In one class, the instability modes have scales comparable to that of the primary wave leading to a broadening of the wave number spectrum. The second class consists of small‚Äêscale instability modes with a continuous wave number spectrum so that the primary wave can be ‚Äúseen‚Äù by radars even in the absence of conventional instability mechanisms such as shear or static instability. The small‚Äêscale instability modes generated by long‚Äêperiod primary waves propagate almost vertically and form extended layers moving with the phase velocity of the primary wave. Thus, in accordance with observational results, the signal power of backscattered radar signals is strongest at near vertical antenna beam directions and shows a layered structure. The small‚Äêscale instability modes further satisfy Taylor's frozen turbulence field hypothesis so that the Doppler shift of scattered radar signals yields the space and time dependent fluid velocity of the primary wave. At sufficiently large primary wave amplitudes, there is in particular an isolated fast growing instability mode which has a frequency close to the mean V√§is√§l√§‚ÄêBrunt frequency and is probably due to shear instability. It may give rise to a cascade of successive instability modes that can explain organized substructures in layers of enhanced tropospheric UHF radar returns and the frequent occurrence of short‚Äêperiod evanescent waves in mesospheric VHF radar observations which cannot be attributed to Kelvin‚ÄêHelmholtz instability of the mean shear flow. Copyright 1990 by the American Geophysical Union.</t>
  </si>
  <si>
    <t>983-995</t>
  </si>
  <si>
    <t>Klostermeyer, J.</t>
  </si>
  <si>
    <t>Klostermeyer J.</t>
  </si>
  <si>
    <t>On the role of parametric instability of internal gravity waves in atmospheric radar observations</t>
  </si>
  <si>
    <t>10.1029/RS025i005p00983</t>
  </si>
  <si>
    <t>2-s2.0-0025494499</t>
  </si>
  <si>
    <t>['seriously affect', 'rms heights', 'polarization signatures', 'pisgah crater', 'pedestal heights', 'paper describes', 'mojave desert', 'impact estimates', 'data acquired']</t>
  </si>
  <si>
    <t>This paper describes a technique for registering polarimetric SAR data to other ‚Ä¶ aircraft and spacebore data sets. Resampling is done on the full Stokes matrix, allowing full polarization synthesis on the coregistered data set. Analysis of data acquired over Pisgah Crater in the Mojave Desert, CA, as part of the Mojave Field Experiment show that the resampling does not seriously affect the pedestal heights of polarization signatures or impact estimates of rms heights for smooth to moderately rough surfaces. ¬© 1990 IEEE</t>
  </si>
  <si>
    <t>932-939</t>
  </si>
  <si>
    <t>7601572175;7103099518;6701642795</t>
  </si>
  <si>
    <t>Evans, Diane L.;Van Zyl, Jakob J.;Burnette, Charles F.</t>
  </si>
  <si>
    <t>Evans D.L.</t>
  </si>
  <si>
    <t>Incororation of Polarimetric Radar Images Into Multisensor Data Sets</t>
  </si>
  <si>
    <t>10.1109/36.58982</t>
  </si>
  <si>
    <t>2-s2.0-0025494665</t>
  </si>
  <si>
    <t>['vary along', 'scanning properties', 'scanned beam', 'reflector surface', 'reflector antenna', 'principle considered', 'point feed', 'lattice geometry', 'grating geometry', 'diffracted field', 'demonstrated theoretically', 'antenna system', 'antenna concept', '5 ghz']</t>
  </si>
  <si>
    <t>A new planar grating-reflector antenna with frequency-scanning properties is presented. The antenna system is composed of a point feed and a planar reflector consisting of a frequency-scanned reflection grating. The principle considered is to select the grating geometry such that the first higher order diffracted wave propagates and serves as the frequency-scanned beam. A focus feed position for the diffracted field is obtained by allowing the lattice geometry to vary along the reflector surface. Methods for analyzing and designing the new antenna configuration are presented. The antenna concept is demonstrated theoretically and experimentally by the design, evaluation, and test of an experimental antenna operating over the frequency band 9.5-10.5 GHz. ¬© 1990 IEEE</t>
  </si>
  <si>
    <t>1491-1495</t>
  </si>
  <si>
    <t>Johansson, F. Stefan</t>
  </si>
  <si>
    <t>Chalmers University of Technology</t>
  </si>
  <si>
    <t>Johansson F.S.</t>
  </si>
  <si>
    <t>A New Planar Grating-Reflector Antenna</t>
  </si>
  <si>
    <t>10.1109/8.57003</t>
  </si>
  <si>
    <t>2-s2.0-0025495037</t>
  </si>
  <si>
    <t>['substrate thickness', 'numerical technique', 'numerical results', 'material layers', 'input impedance', 'ground plane', 'experimental results', 'current distribution', 'coaxial aperture', 'antennas considered', 'also included']</t>
  </si>
  <si>
    <t>An efficient numerical approach to model antennas including a microstrip element radiating in the presence of material layers is developed. The class of antennas considered here is fed through the ground plane by a coax transmission line. The reaction integral equation is formulated by treating the coaxial aperture as part of the antenna. The substrate thickness can be arbitrary; therefore, this numerical technique is suitable for high frequency applications. The effects of the substrate are also included in the analysis. Numerical results are obtained for the current distribution and input impedance. The algorithm is validated with experimental results. ¬© 1990 IEEE</t>
  </si>
  <si>
    <t>1399-1404</t>
  </si>
  <si>
    <t>;60027550</t>
  </si>
  <si>
    <t>7401898783;7004468161</t>
  </si>
  <si>
    <t>Chi, Chuan Li;Alexopoulos, Nic√≥laos G.</t>
  </si>
  <si>
    <t>Chi C.</t>
  </si>
  <si>
    <t>An Efficient Numerical Approach for Modeling Microstrip-Type Antennas</t>
  </si>
  <si>
    <t>10.1109/8.56991</t>
  </si>
  <si>
    <t>2-s2.0-0025495083</t>
  </si>
  <si>
    <t>['savart law', 'qualitative description', 'qualitative agreement', 'plasma density', 'lh heating', 'antenna location', '2 torsatrons']</t>
  </si>
  <si>
    <t>Numerical ray tracing analysis of slow mode lower hybrid (LH) waves is used to obtain a qualitative description of LH heating in = 2 torsatrons. The dependences of LH wave propagation and absorption on the plasma density and temperature, the frequency, the parallel wave number spectrum, and the antenna location are determined. The results obtained using a single harmonic model torsatron magnetic field are in qualitative agreement with those obtained for a more realistic field calculated using the Biot-Savart law. ¬© 1990 IOP Publishing Ltd.</t>
  </si>
  <si>
    <t>2039-2047</t>
  </si>
  <si>
    <t>60008794;60008794;60024266-60073774;60024266</t>
  </si>
  <si>
    <t>6602523577;7005804434;6602357390;7006526034</t>
  </si>
  <si>
    <t>Grekov, D. L.;D'Yakov, V. E.;Goldfinger, R. C.;Batchelor, D. B.</t>
  </si>
  <si>
    <t>United States;United States;Ukraine</t>
  </si>
  <si>
    <t>Oak Ridge;Oak Ridge;Kharkiv</t>
  </si>
  <si>
    <t>Martin Marietta Energy Systems Inc;Oak Ridge National Laboratory;National Science Center Kharkov Institute of Physics and Technology</t>
  </si>
  <si>
    <t>60073774;60024266;60008794</t>
  </si>
  <si>
    <t>Grekov D.L.</t>
  </si>
  <si>
    <t>Ray tracing studies of lower hybrid plasma heating in an = 2 torsatron</t>
  </si>
  <si>
    <t>10.1088/0029-5515/30/10/006</t>
  </si>
  <si>
    <t>2-s2.0-0025497905</t>
  </si>
  <si>
    <t>['whole network', 'superposition technique', 'step current', 'software divides', 'software characterization', 'radiation patterns', 'program include', 'polar components', 'hertz dipoles', 'francis ltd', 'finite number', 'far fields', 'different parameters', 'dielectric constant', 'arbitrary elements', 'analytic form']</t>
  </si>
  <si>
    <t>The Green‚Äôs function approach has often been used to compute the far fields from single arbitrary radiating microstrip elements. The approach is here extended to the determination, in analytic form, of the far fields from a network of arbitrary elements. A software characterization of the far electromagnetic field radiated by a network of plane microstrip antennas based on this extension has been realized. An antenna can be made up of one or more patches, with different parameters (dielectric constant and thickness, length and width of patch, gap between patches, operating work frequency). The software divides each patch into a finite number of Hertz dipoles, each assumed to be excited by a unit-step current. The electromagnetic field radiated by such a dipole yields Green's functions. Then, applying a superposition technique, the radiation patterns of the whole network are obtained in terms of co-polar and cross-polar components. Examples of radiation patterns of networks determined using the program include: a single rectangular patch; two rectangular patches in the x-direction; two rectangular patches in the y-direction; two diagonally oriented rectangular patches; and four rectangular patches. ¬© 1990 Taylor &amp; Francis Ltd.</t>
  </si>
  <si>
    <t>563-573</t>
  </si>
  <si>
    <t>60070928;60070928</t>
  </si>
  <si>
    <t>55920867000;6504264363</t>
  </si>
  <si>
    <t>Tonye, E.;Ngaku, J.</t>
  </si>
  <si>
    <t>Cameroon</t>
  </si>
  <si>
    <t>Yaounde</t>
  </si>
  <si>
    <t>Universit√© de Yaound√© I</t>
  </si>
  <si>
    <t>Tonye E.</t>
  </si>
  <si>
    <t>Green‚Äôs function based digital technique applied to the analysis of an antenna consisting of a network of microstrip patches</t>
  </si>
  <si>
    <t>10.1080/00207219008920340</t>
  </si>
  <si>
    <t>2-s2.0-0025499463</t>
  </si>
  <si>
    <t>['¬© 1990', 'wave solutions', 'rights reserved', 'microstrip dipoles', 'measured data', 'equivalent impedance', 'electrical engineers', 'dielectric substrate', 'approximate treatment']</t>
  </si>
  <si>
    <t>Approximate analysis | Effective dielectric constant | EMC dipoles | Microstrip | Moment method</t>
  </si>
  <si>
    <t>A new dynamic analysis model for analysing electromagnetically coupled (EMC) microstrip dipoles is proposed. The formulation is based on an approximate treatment of the dielectric substrate. Calculations of the equivalent impedance of two different EMC dipole configurations are compared with measured data and full-wave solutions. The agreement is very good. ¬© 1990, The Institution of Electrical Engineers. All rights reserved.</t>
  </si>
  <si>
    <t>1901-1903</t>
  </si>
  <si>
    <t>60008107;60008107;60008107</t>
  </si>
  <si>
    <t>7003938202;6603101773;7006355696</t>
  </si>
  <si>
    <t>Kominami, M.;Yakuwa, N.;Kusaka, H.</t>
  </si>
  <si>
    <t>Sakai</t>
  </si>
  <si>
    <t>Osaka Prefecture University</t>
  </si>
  <si>
    <t>Kominami M.</t>
  </si>
  <si>
    <t>Approximate Analysis of Electromagnetically Coupled Microstrip Dipoles</t>
  </si>
  <si>
    <t>10.1049/el:19901224</t>
  </si>
  <si>
    <t>2-s2.0-0025502824</t>
  </si>
  <si>
    <t>['¬© 1990', 'several techniques', 'rights reserved', 'optical fibre', 'electrical engineers', 'ceramic carrier', 'aperture coupling']</t>
  </si>
  <si>
    <t>Antennas | Fibre optics | Microstrip</t>
  </si>
  <si>
    <t>Several techniques for feeding microstrip antennas with RFmodulated lightwave signals using an optical fibre are presented. A photodiode on a ceramic carrier and the appropriate impedance matching circuitry are integrated on the same substrate as the patch antenna element. Configurations using patch antennas with both direct microstrip line feeds and aperture coupling are considered. Experiments with three different configurations demonstrate these techniques. ¬© 1990, The Institution of Electrical Engineers. All rights reserved.</t>
  </si>
  <si>
    <t>1889-1891</t>
  </si>
  <si>
    <t>60014313;60014313;60014313</t>
  </si>
  <si>
    <t>7006061921;57211924426;7801336843</t>
  </si>
  <si>
    <t>Pozar, D. M.;Jackson, R. W.;Svitak, A.</t>
  </si>
  <si>
    <t>Microstrip Antennas with Integrated Fibre Optic Feeds</t>
  </si>
  <si>
    <t>10.1049/el:19901216</t>
  </si>
  <si>
    <t>2-s2.0-0025502825</t>
  </si>
  <si>
    <t>['¬© 1990', 'quadratic constraints', 'quadratic constraint', 'paper presents', 'original problem', 'linear constraint', 'constraint systems', 'constraint system', 'computation load', 'ccmp method']</t>
  </si>
  <si>
    <t>antenna array processing | Robust beamforming</t>
  </si>
  <si>
    <t>This paper presents an alternative constraint system for implementing the quadratically constrained broadband beamformers. The resulting system involves a linear equality constraint and a quadratic inequality constraint. It offers some savings in the computation load as compared to the original problem in the sense that the quadratic constraint will be used as and when necessary. The relationship that the new constraint system has to other constraint systems is explored. It is shown that the constraint system with linear constraint is equivalent to the CCMP method and the constraint system with linear and quadratic constraints is equivalent to the improved CCMP method. The alternative formulation provides several insights into the CCMP method and the improved CCMP method. ¬© 1990.</t>
  </si>
  <si>
    <t>117-127</t>
  </si>
  <si>
    <t>An alternative implementation of quadratically constrained broadband beamformers</t>
  </si>
  <si>
    <t>016516849090045Z</t>
  </si>
  <si>
    <t>10.1016/0165-1684(90)90045-Z</t>
  </si>
  <si>
    <t>2-s2.0-0025502895</t>
  </si>
  <si>
    <t>['spectrum diversity', 'significant improvement', 'postdetection equal', 'keyed signaling', 'jammed multipath', 'gain combining', 'fading channels', 'fading channel', 'case pulse', 'also considered']</t>
  </si>
  <si>
    <t>The effectiveness of antenna and spread-spectrum diversity is evaluated for direct-sequence differential phase-shift-keyed signaling over a worst-case pulse-jammed multipath-fading channel. Two diversity combining techniques are proposed. One uses predetection selective combining followed by postdetection equal-gain combining, and the other uses only postdetection equal-gain combining. The use of coding with hard and soft decision decoding is also considered. It is shown that the proposed diversity techniques can provide a significant improvement in the performance of coded antijam systems operating over jammed multipath-fading channels.</t>
  </si>
  <si>
    <t>1823-1834</t>
  </si>
  <si>
    <t>Oct</t>
  </si>
  <si>
    <t>7201741949;7007142135;7201882721</t>
  </si>
  <si>
    <t>Chang, Ihn Kiel;Stuber, Gordon L.;Bush, Aubrey M.</t>
  </si>
  <si>
    <t>Chang I.K.</t>
  </si>
  <si>
    <t>Performance of diversity combining techniques for DS/DPSK signaling over a pulsed jammed multipath-fading channel</t>
  </si>
  <si>
    <t>10.1109/26.61453</t>
  </si>
  <si>
    <t>2-s2.0-0025502948</t>
  </si>
  <si>
    <t>['¬© 1990', 'tunable aperture', 'sidelobe control', 'rights reserved', 'phase constant', 'open end', 'modified configuration', 'hand dielectric', 'electrical engineers', 'easy design', 'easily achieved', 'dielectric slab', 'appropriately chosen', 'aperture instead', 'almost independent', 'air interface']</t>
  </si>
  <si>
    <t>Antennas | Complex | Leaky wave antennas | propagation constant</t>
  </si>
  <si>
    <t>A modified configuration of the NRD leaky wave antenna is presented. A tunable aperture is introduced at the radiating open end. The taper in the antenna amplitude distribution (required for sidelobe control) is easily achieved by changing the height of the aperture instead of positioning the dielectric slab. This results in the easy design of such an antenna and the reduction of the requirement on the flexibility of the dielectric slab. Numerical results show that when the height of the aperture is appropriately chosen, the phase constant is almost independent of the distance between the right-hand dielectric-to-air interface and the open end. ¬© 1990, The Institution of Electrical Engineers. All rights reserved.</t>
  </si>
  <si>
    <t>1887-1889</t>
  </si>
  <si>
    <t>Rong, A. S.</t>
  </si>
  <si>
    <t>Rong A.S.</t>
  </si>
  <si>
    <t>Attractive Behaviours of NRD Leaky Wave Antenna with Tuning Aperture</t>
  </si>
  <si>
    <t>10.1049/el:19901213</t>
  </si>
  <si>
    <t>2-s2.0-0025502998</t>
  </si>
  <si>
    <t>['unique estimate', 'source density', 'solved analytically', 'scheme provides', 'required discrimination', 'radar antenna', 'near 1', 'inverse problem', 'high resolution', 'ground topography', 'equation corresponding', 'described relative', 'conventional narrow', 'collected data', 'certain latitude', 'band sar', 'aircraft motions', 'airborne radar']</t>
  </si>
  <si>
    <t>As opposed to conventional narrow-band SAR, a theory of diffraction-limited SAR imagery is developed. Data are assumed to be collected by an airborne radar, operating at relatively low frequencies, covering a relative bandwidth approaching unity (a practical choice would be a bandwidth span 10-100 MHz). The radar antenna is required to be omnidirectional, so as to allow a very large relative Doppler bandwidth as well. In this paper, the inverse problem of reconstructing the ground topography on the basis of collected data is set up and solved analytically. The solution incorporates compensation for antenna effects‚Äîan interferometric antenna configuration provides the required discrimination between left and right hand side returns. The inversion process leads to a twodimensional Poisson equation for the ground surface angular height function, the source density of the equation corresponding to the conventional SAR ground reflectivity. Because the shape of the ground is described relative to the aircraft, there will be a certain latitude in this description, relating to aircraft motions, which will not affect radar data. Except for this, the scheme provides a unique estimate of the ground topography at a very high resolution (near 1 m for 90 MHz bandwidth). ¬© 1990 IEEE</t>
  </si>
  <si>
    <t>1517-1522</t>
  </si>
  <si>
    <t>Hellsten, Hans</t>
  </si>
  <si>
    <t>Stockholm</t>
  </si>
  <si>
    <t>Totalforsvarets forskningsinstitut</t>
  </si>
  <si>
    <t>Hellsten H.</t>
  </si>
  <si>
    <t>Inverse Scattering Analysis of Diffraction Limited SAR</t>
  </si>
  <si>
    <t>10.1109/8.59762</t>
  </si>
  <si>
    <t>2-s2.0-0025503029</t>
  </si>
  <si>
    <t>['toto ),', 'time statistics', 'source structure', 'sensor system', 'random process', 'programmed sequence', 'principally controlled', 'obtained using', 'measurement system', 'initial deployment', 'information applies', 'generic problem', 'frequency range', 'data unique', 'data base', 'article discusses', '4000 hz']</t>
  </si>
  <si>
    <t>This article discusses the results of the initial deployment of a wideband (40 to 4000 Hz) vertical acoustic antenna system in The Tongue of the Ocean (TOTO), The Bahamas. The instrumentation system consisted of seven octavely nested four-wavelength linear apertures covering the above frequency range, and a VCR-based subsurface recording system that carried out a programmed sequence of recordings. The objective of the measurement system is the development of a data base of directional spectra obtained in an acoustically isolated area where the ambient is principally controlled by the local (observable) sea surface conditions. The purpose of the data base is the identification of a model of the space-time statistics of the acoustic ambient caused by sea surface sound. Despite the limited acoustic aperture of the sensor system, quite adequate spatial resolution of the directional spectral estimates were obtained using a physically based parametric model of the random process. While there were aspects of the data unique to the location, the bulk of the information applies to the more-generic problem of characterizing the directional spectra resulting from a sea surface sound-source structure. ¬© 1990 IEEE</t>
  </si>
  <si>
    <t>299-310</t>
  </si>
  <si>
    <t>IEEE Journal of Oceanic Engineering</t>
  </si>
  <si>
    <t>100600649;100600649</t>
  </si>
  <si>
    <t>55708296200;6507518375</t>
  </si>
  <si>
    <t>Kennedy, Robert M.;Goodnow, Teri V.</t>
  </si>
  <si>
    <t>West Palm Beach</t>
  </si>
  <si>
    <t>Naval Underwater Systems Center</t>
  </si>
  <si>
    <t>Kennedy R.</t>
  </si>
  <si>
    <t>Measuring the Vertical Directional Spectra Caused by Sea Surface Sound</t>
  </si>
  <si>
    <t>10.1109/48.103525</t>
  </si>
  <si>
    <t>2-s2.0-0025503033</t>
  </si>
  <si>
    <t>['¬© 1990', 'two types', 'rights reserved', 'polarisation characteristics', 'polarisation behaviour', 'loaded spiral', 'electrical engineers']</t>
  </si>
  <si>
    <t>Antennas | Circular polarisation | Microwave antennas</t>
  </si>
  <si>
    <t>Two types of antennas are investigated: a diode-loaded helix antenna and a diode-loaded spiral. The changes in the polarisation behaviour are compared with conventional helix antennas and spirals by using the polarisation characteristics. Fairly good agreement is found between calculated and measured polarisation characteristics. ¬© 1990, The Institution of Electrical Engineers. All rights reserved.</t>
  </si>
  <si>
    <t>1918-1919</t>
  </si>
  <si>
    <t>6602265580;7801349038</t>
  </si>
  <si>
    <t>M√ñNICH, G.;Littmann, B.</t>
  </si>
  <si>
    <t>M√ñNICH G.</t>
  </si>
  <si>
    <t>Helical Antenna and Spiral Antenna with Fast Switch Selection of the Polarisation Sense</t>
  </si>
  <si>
    <t>10.1049/el:19901235</t>
  </si>
  <si>
    <t>2-s2.0-0025503087</t>
  </si>
  <si>
    <t>['¬© 1990', 'system implemented', 'rights reserved', 'presented together', 'optical equivalent', 'experimental results', 'electrical engineers']</t>
  </si>
  <si>
    <t>Microwave antennas</t>
  </si>
  <si>
    <t>A new beam forming technique for use in optically controlled phased arrays is presented. The system, which is the optical equivalent of the microwave Huggins phase shifter, uses two optical fibre networks to produce a beam having independently specified frequency and aperture phase slope. The theory of the system is presented together with experimental results for a system implemented at the L-band. ¬© 1990, The Institution of Electrical Engineers. All rights reserved.</t>
  </si>
  <si>
    <t>1853-1855</t>
  </si>
  <si>
    <t>60022148;60022148;60022148</t>
  </si>
  <si>
    <t>7202211079;6506813565;7004751445</t>
  </si>
  <si>
    <t>Benjamin, R.;Zaglanikis, C. D.;Seeds, A. J.</t>
  </si>
  <si>
    <t>Benjamin R.</t>
  </si>
  <si>
    <t>Optical Beam Former For Phased Arrays With Independent Control Of Radiated Frequency And Phase</t>
  </si>
  <si>
    <t>10.1049/el:19901192</t>
  </si>
  <si>
    <t>2-s2.0-0025503202</t>
  </si>
  <si>
    <t>['sidelobe canceller', 'satellite signals', 'reflector antenna', 'receive signals', 'multiple feeds', 'individual amplifier', 'experimental system', 'earth station', 'auxiliary channel']</t>
  </si>
  <si>
    <t>Performance of an experimental adaptive antenna array system is evaluated using television receive only (TVRO) satellite signals. The experimental system is a sidelobe canceller with two auxiliary channels. Modified feedback loops are used to enhance the suppression of weak interfering signals. The modified feedback loops use two spatially separated antennas each with an individual amplifier for each auxiliary channel. Thus, the experimental system uses five antenna elements. Instead of using five separate antennas, a reflector antenna with multiple feeds is used to receive signals from various TVRO satellites. The details of the earth station are given in this paper. It is shown that the experimental system can null up to two signals originating from interfering TVRO satellites while receiving the signals from a desired TVRO satellite. ¬© 1990 IEEE</t>
  </si>
  <si>
    <t>1701-1709</t>
  </si>
  <si>
    <t>57197631892;7102202358;24541951100</t>
  </si>
  <si>
    <t>Steadman, Karl N.;Gupta, Inder J.;Walton, Eric K.</t>
  </si>
  <si>
    <t>Steadman K.</t>
  </si>
  <si>
    <t>Performance of a Modified Feedback Loop Adaptive Array with TVRO Satellite Signals</t>
  </si>
  <si>
    <t>10.1109/8.59785</t>
  </si>
  <si>
    <t>2-s2.0-0025503350</t>
  </si>
  <si>
    <t>['simple method', 'radiation properties', 'far field']</t>
  </si>
  <si>
    <t>The radiation properties of a circular microstrip antenna are compared with those of an equivalent square microstrip antenna. On the basis of this comparison, a simple method of computation of the far field of a circular microstrip antenna is suggested. ¬© 1990 IEEE</t>
  </si>
  <si>
    <t>1710-1711</t>
  </si>
  <si>
    <t>60020825;60020825;60020825;60020825</t>
  </si>
  <si>
    <t>7102557021;6506384529;6701556104;56366712800</t>
  </si>
  <si>
    <t>Bhattacharjee, A. K.;Bhadra Chaudhuri, S. R.;Poddar, D. R.;Chowdhury, S. K.</t>
  </si>
  <si>
    <t>Jadavpur University</t>
  </si>
  <si>
    <t>Bhattacharjee A.</t>
  </si>
  <si>
    <t>Communications: Equivalence of Radiation Properties of Square and Circular Microstrip Patch Antennas</t>
  </si>
  <si>
    <t>10.1109/8.59786</t>
  </si>
  <si>
    <t>2-s2.0-0025503442</t>
  </si>
  <si>
    <t>['synthesis technique', 'synthesis problem', 'several years', 'reflector surfaces', 'reflector feed', 'reflector antenna', 'radiation field', 'proposed dual', 'parabolic expansions', 'new technique', 'local bi', 'g .,', 'found clearly', 'exact solution', 'elliptical apertures', 'advantageous compared']</t>
  </si>
  <si>
    <t>A new technique is presented to synthesize reflector surfaces that transform a known input rayfield (e.g., the radiation field of a feed) to a desired output rayfield (e.g., an aperture distribution). The synthesis problem is reduced to solving linear equations by local bi-parabolic expansions of the reflector surfaces. This is advantageous compared to existing techniques based on solving nonlinear differential equations, as the solution is easier to control. Thereby, the condition to obtain low cross polarization can readily be included, and the requirements for an exact solution to exist can be found clearly. The latter has been the subject of discussion in the literature for several years. The synthesis technique is applied to a shaped offset dual-reflector antenna and to the proposed dual-reflector feed of the spherical reflector antenna in Arecibo. In both these cases both circular and elliptical apertures are considered. ¬© 1990 IEEE</t>
  </si>
  <si>
    <t>1587-1599</t>
  </si>
  <si>
    <t>Synthesis of Multireflector Antennas by Kinematic and Dynamic Ray Tracing</t>
  </si>
  <si>
    <t>10.1109/8.59772</t>
  </si>
  <si>
    <t>2-s2.0-0025503444</t>
  </si>
  <si>
    <t>['synthesis technique', 'suitable pattern', 'steering vector', 'specified criterion', 'sidelobe region', 'proper direction', 'pattern synthesis', 'numerical technique', 'main beam', 'large number', 'interfering signals', 'interference powers', 'given set', 'given elements', 'given direction', 'different elements', 'array elements', 'array coefficients', 'arbitrary set', 'algorithm iterates', 'algorithm finds', 'adaptive array']</t>
  </si>
  <si>
    <t>A numerical technique for pattern synthesis in arrays is presented. For a given set of elements, this technique allows one to find a set of array coefficients that steer the main beam in a given direction and yield sidelobes meeting a specified criterion, if such a set of array coefficients exists. If the pattern specifications cannot be met with the given elements, the algorithm finds the best attainable pattern. The advantage of this technique is that it can be used with an arbitrary set of array elements. Different elements in the array can have different element patterns, and the array can have arbitrary nonuniform spacing between elements. The synthesis technique is based on adaptive array theory. The given array elements are assumed to be used as the elements of an adaptive array. The main beam is pointed in the proper direction by choosing the steering vector for that direction. The sidelobes are controlled by introducing a large number of interfering signals at many angles throughout the sidelobe region. The algorithm iterates on the interference powers until a suitable pattern is obtained. ¬© 1990 IEEE</t>
  </si>
  <si>
    <t>1666-1676</t>
  </si>
  <si>
    <t>60003500;60003500</t>
  </si>
  <si>
    <t>6508364939;35611381200</t>
  </si>
  <si>
    <t>Olen, Carl A.;Compton, R. T.</t>
  </si>
  <si>
    <t>Olen C.A.</t>
  </si>
  <si>
    <t>A Numerical Pattern Synthesis Algorithm for Arrays</t>
  </si>
  <si>
    <t>10.1109/8.59781</t>
  </si>
  <si>
    <t>2-s2.0-0025503544</t>
  </si>
  <si>
    <t>['wiley company', 'stack spacing', 'stab method', 'sharp beam', 'radiation characteristics', 'optimum value', 'maximum gain', 'inc .,', 'impedance loss', 'high gain', 'dipole array', 'design procedure', 'design data', 'confirmed experimentally', 'broadside direction', 'broadband antennas', 'broadband antenna', 'analyzed numerically', 'actual gain', '60 œª', '4 db', '30 degrees', '270 mhz', '11 db']</t>
  </si>
  <si>
    <t>A broadband multiple element Yagi‚ÄêUda two‚Äêstacked circular loop antenna is proposed in which two circular loop antennas with a high gain and a broadband are stacked in the broadside direction. In the two‚Äêstacked structure, circular dual‚Äêloop antennas are used in which the loops are connected with a parallel twin wire only for projector and are fed at the center. The antennas are analyzed numerically by setting equivalent antennas consisting of the loops and the parallel twin wire. Detailed design data for each parameter are obtained. The effect of the stack spacing of the loops on the radiation characteristics is significant. An optimum value is obtained at Dij = 0.45 ‚Äì 0.60 Œª. It is shown that the impedance loss can be compensated by the stab method. Also, an example of the design of a high gain antenna based on the design data is presented. The validity of the design procedure is confirmed experimentally. With an eight‚Äêelement array, a sharp beam is obtained with an H‚Äêplane half‚Äêpower angle of about 30 degrees. The maximum actual gain is 11 dB, and the 3‚ÄêdB bandwidth is about 270 MHz. This high gain and broadband antenna is an improvement of the actual gain by more than 4 dB in comparison with a dipole array with the same dimensions. At present, this antenna is in the class of broadband antennas with the maximum gain. Copyright ¬© 1990 Wiley Periodicals, Inc., A Wiley Company</t>
  </si>
  <si>
    <t>102-112</t>
  </si>
  <si>
    <t>60000886;60000886</t>
  </si>
  <si>
    <t>6506660035;57217837814</t>
  </si>
  <si>
    <t>Korekado, Toshikazu;Okuno, Kiyoshi</t>
  </si>
  <si>
    <t>Neyagawa</t>
  </si>
  <si>
    <t>Osaka Electro-Communication University</t>
  </si>
  <si>
    <t>Korekado T.</t>
  </si>
  <si>
    <t>Design of two‚Äêstacked circular loop yagi‚Äêuda array antenna</t>
  </si>
  <si>
    <t>10.1002/ecja.4410731010</t>
  </si>
  <si>
    <t>2-s2.0-0025503609</t>
  </si>
  <si>
    <t>['window functions', 'window function', 'new class', 'closed form']</t>
  </si>
  <si>
    <t>Recently, a new class of window functions has been proposed. It is shown that this window function is complementary to the Chebyshev window function. The impulse response coefficients are expressed in closed form. ¬© 1990 IEEE</t>
  </si>
  <si>
    <t>1323-1324</t>
  </si>
  <si>
    <t>IEEE Transactions on Circuits and Systems</t>
  </si>
  <si>
    <t>60013323;60000765</t>
  </si>
  <si>
    <t>7006053099;56260407300</t>
  </si>
  <si>
    <t>Vlcek, M.;Unbehauen, R.</t>
  </si>
  <si>
    <t>Czech Republic;Germany</t>
  </si>
  <si>
    <t>Prague;Erlangen</t>
  </si>
  <si>
    <t>Czech Technical University in Prague;Friedrich-Alexander-Universit√§t Erlangen-N√ºrnberg</t>
  </si>
  <si>
    <t>Vlcek M.</t>
  </si>
  <si>
    <t>Note to the Window Function with Nearly Minimum Sidelobe Energy</t>
  </si>
  <si>
    <t>10.1109/31.103232</t>
  </si>
  <si>
    <t>2-s2.0-0025503673</t>
  </si>
  <si>
    <t>['synthesis procedure', 'rippled response', 'lobelike characteristic', 'lobe heights', 'generalizes klopfenstein', 'generalization replaces', 'controlled height', 'chebyshev design']</t>
  </si>
  <si>
    <t>A synthesis procedure is presented which generalizes Klopfenstein's Dolph-Chebyshev design of a tapered transmission line to give a response with all lobe heights in the passband individually specified. A further generalization replaces the lobelike characteristic with a rippled response of controlled height. Physically realizable tapers result for both generalizations. ¬© 1990 IEEE</t>
  </si>
  <si>
    <t>1415-1420</t>
  </si>
  <si>
    <t>7005429479;57220065537</t>
  </si>
  <si>
    <t>Mahon, John P.;Elliott, Robert S.</t>
  </si>
  <si>
    <t>Mahon J.P.</t>
  </si>
  <si>
    <t>Tapered Transmission Lines with a Controlled Ripple Response</t>
  </si>
  <si>
    <t>10.1109/22.58679</t>
  </si>
  <si>
    <t>2-s2.0-0025505040</t>
  </si>
  <si>
    <t>['subarrays rather', 'sll performance', 'single elements', 'orthogonality condition', 'number necessary', 'main channel', 'jammers present', 'good cancellation', 'freedom exceeds', 'element reuse', 'conventional slc', 'auxiliary signals']</t>
  </si>
  <si>
    <t>The performance of adaptive sidelobe canceller (SLC) arrays that use the same elements for both the main channel and auxiliary signals is studied. The SLC with element reuse is different from the conventional SLC because the thermal noise components of the main channel and auxiliary signals may be correlated. This noise correlation may cause serious sidelobe level degradation when the number of degrees of freedom exceeds the number necessary to cancel the jammers present. It is shown how this degradation can be eliminated by forming each auxiliary from subarrays rather than single elements such that an orthogonality condition is satisfied. We show that good cancellation and SLL performance can be obtained by using small subarrays with directive auxiliary patterns satisfying the orthogonality condition. ¬© 1990 IEEE</t>
  </si>
  <si>
    <t>1684-1693</t>
  </si>
  <si>
    <t>16141609500;35611381200</t>
  </si>
  <si>
    <t>Ward, James;Compton, R. T.</t>
  </si>
  <si>
    <t>Ward J.</t>
  </si>
  <si>
    <t>Sidelobe Level Performance of Adaptive Sidelobe Canceller Arrays with Element Reuse</t>
  </si>
  <si>
    <t>10.1109/8.59783</t>
  </si>
  <si>
    <t>2-s2.0-0025505318</t>
  </si>
  <si>
    <t>['wire theory', 'wire structures', 'wire line', 'uniradius thin', 'transmissionline theory', 'radius ratio', 'multiradius thin', 'multiradius junctions', 'multiradius bridge', 'moment method', 'method features', 'length ratio', 'including multiwire', 'electromagnetic analysis', 'electrically thin', 'current reformulation', 'consistent inclusion', 'coaxial cable', 'cable sections', 'bent two']</t>
  </si>
  <si>
    <t>An implementation of the moment method for electromagnetic analysis of multiradius thin-wire structures, including multiwire, multiradius junctions is presented. It is entitled the multiradius bridge-current (MBC) moment method. It is an extension of the authors‚Äô uniradius bridge-current reformulation of Richmond's uniradius thin-wire theory. The method features an exactly symmetric mutual impedance matrix ensuring reciprocity between sources, it is unconstrained with respect to both the length ratio and the radius ratio of adjoining segments provided that the wires are electrically thin, and it permits the self-consistent inclusion of coaxial-cable sections in the configuration under analysis. The method is validated through comparison with transmissionline theory for a two-wire line and a coaxial cable, and through comparison with measurements on a sleeve monopole antenna and a log-periodic dipole antenna. Finally, the MBC moment method program is shown to surpass the Numerical Electromagnetics Code (NEC) in terms of reciprocity and convergence for both an AM broadcast tower detuning stub problem and a bent two-wire transmissionline problem. ¬© 1990 IEEE</t>
  </si>
  <si>
    <t>1636-1644</t>
  </si>
  <si>
    <t>60016849;60016849</t>
  </si>
  <si>
    <t>6602307518;7003913442</t>
  </si>
  <si>
    <t>Tilston, Mark A.;Balmain, Keith G.</t>
  </si>
  <si>
    <t>Toronto</t>
  </si>
  <si>
    <t>University of Toronto</t>
  </si>
  <si>
    <t>Tilston M.A.</t>
  </si>
  <si>
    <t>A Multiradius, Reciprocal Implementation of the Thin-Wire Moment Method</t>
  </si>
  <si>
    <t>10.1109/8.59778</t>
  </si>
  <si>
    <t>2-s2.0-0025505319</t>
  </si>
  <si>
    <t>['radiation properties', 'phase performance', 'phase imbalances', 'frequency operation', 'antenna length', 'antenna amplitude', 'analytic model']</t>
  </si>
  <si>
    <t>An analytic model for computing the radiation properties of the quadrifilar helix volute antenna is discussed and various design considerations for Global Positioning System (GPS) applications are presented. The efects which modifying the antenna length and diameter has upon the antenna amplitude and phase performance are presented and the use of the antenna for dual-frequency operation is discussed. The efects of phase imbalances are presented and compared with measured pattern anomalies. ¬© 1990 IEEE</t>
  </si>
  <si>
    <t>1545-1550</t>
  </si>
  <si>
    <t>60016983;60016983</t>
  </si>
  <si>
    <t>7004680083;36882000000</t>
  </si>
  <si>
    <t>Tranquilla, James M.;Best, Steven R.</t>
  </si>
  <si>
    <t>Fredericton</t>
  </si>
  <si>
    <t>University of New Brunswick</t>
  </si>
  <si>
    <t>Tranquilla J.</t>
  </si>
  <si>
    <t>A Study of the Quadriflar Helix Antenna for Global Positioning System (GPS) Applications</t>
  </si>
  <si>
    <t>10.1109/8.59766</t>
  </si>
  <si>
    <t>2-s2.0-0025505320</t>
  </si>
  <si>
    <t>['¬© 1990', 'simplest ways', 'rights reserved', 'rectangular grid', 'polar nearfield', 'polar near', 'polar grid', 'method turns', 'major step', 'interpolation method', 'hankel transform', 'electrical engineers', 'efficient plane', 'computation required']</t>
  </si>
  <si>
    <t>Antennas | Transforms</t>
  </si>
  <si>
    <t>A major step in the computation required to transform a plane-polar near-field into the far-field is the Hankel transform. One of the simplest ways to circumvent numerical Hankel transform evaluations is the interpolation method which converts the polar grid to a rectangular grid. This method turns out to be the most efficient plane-polar nearfield to far-field transformation method. ¬© 1990, The Institution of Electrical Engineers. All rights reserved.</t>
  </si>
  <si>
    <t>1886-1887</t>
  </si>
  <si>
    <t>101958292;60025063;60025063;118847419</t>
  </si>
  <si>
    <t>6701321570;7401501734;7003998197;57194927208</t>
  </si>
  <si>
    <t>Van Lil, E.;Cao, C.;Van De Capelle, A.;Vant Klooster, K.</t>
  </si>
  <si>
    <t>Belgium;Belgium;Belgium</t>
  </si>
  <si>
    <t>3000 Leuven;;Heverlee</t>
  </si>
  <si>
    <t>KU Leuven;Antenna Section;National Fund of Scientific Research</t>
  </si>
  <si>
    <t>60025063;118847419;101958292</t>
  </si>
  <si>
    <t>Van Lil E.</t>
  </si>
  <si>
    <t>Plane-Polar Near-Field to Far-Field Transformation with the Near-Field Interpolation Method</t>
  </si>
  <si>
    <t>10.1049/el:19901212</t>
  </si>
  <si>
    <t>2-s2.0-0025505401</t>
  </si>
  <si>
    <t>['theoretical interpretation', 'parasitic technique', 'microstrip antenna', 'large bandwidth', 'impedance loci', 'impedance bandwidth', 'eight times', 'developed using']</t>
  </si>
  <si>
    <t>A microstrip antenna with large bandwidth is developed using a parasitic technique. Compared to the available wideband antennas, the proposed antenna structure is very compact and gives a less distorted radiation pattern with frequency. An impedance bandwidth, eight times that of a conventional patch antenna of the same size, is achieved. The concept of coupled microstrip line model is extended for theoretical interpretation of the impedance loci. ¬© 1990 IEEE</t>
  </si>
  <si>
    <t>1581-1586</t>
  </si>
  <si>
    <t>60031544;60031544;60031544</t>
  </si>
  <si>
    <t>7004362848;57218539158;56259735900</t>
  </si>
  <si>
    <t>Aanandan, C. K.;Mohanan, P.;Nair, K. G.</t>
  </si>
  <si>
    <t>Kochi</t>
  </si>
  <si>
    <t>Cochin University of Science and Technology</t>
  </si>
  <si>
    <t>Aanandan C.K.</t>
  </si>
  <si>
    <t>Broadband Gap Coupled Microstrip Antenna</t>
  </si>
  <si>
    <t>10.1109/8.59771</t>
  </si>
  <si>
    <t>2-s2.0-0025505791</t>
  </si>
  <si>
    <t>['single scan', 'simulated approximation', 'reflector antenna', 'noise requirements', 'modest signal', 'millimetre wavelengths', 'measurement conditions', 'experimental results', 'domain management', 'assess convergence', 'aperture phase', 'aperture amplitude', 'algorithm stagnation', 'accelerated convergence']</t>
  </si>
  <si>
    <t>An iterative algorithm incorporating aperture-domain management and an appropriate measurement strategy are employed to recover the aperture phase of a reflector antenna from a single scan of the radiated field amplitude and a simulated approximation of the aperture amplitude. Simulated and experimental results are presented which validate this reflector antenna metrology technique at millimetre wavelengths. Accelerated convergence is obtained and a new sensitive error metric is introduced to assess convergence to the solution. Measurement conditions are identified for modest signal-to-noise requirements and the prevention of algorithm stagnation.</t>
  </si>
  <si>
    <t>276-284</t>
  </si>
  <si>
    <t>60001881;60001881;60001881</t>
  </si>
  <si>
    <t>7202404090;6603451186;7403369332</t>
  </si>
  <si>
    <t>McCormack, J. E.;Junkin, G.;Anderson, A. P.</t>
  </si>
  <si>
    <t>McCormack J.</t>
  </si>
  <si>
    <t>Microwave metrology of reflector antennas from a single amplitude</t>
  </si>
  <si>
    <t>10.1049/ip-h-2.1990.0053</t>
  </si>
  <si>
    <t>2-s2.0-0025506026</t>
  </si>
  <si>
    <t>['terminal resistance', 'receiving characteristics', 'pulse response', 'obtained using', 'nonreflecting dipole', 'domain responses', 'distributed resistance', 'dipoles terminated', 'boresite direction', 'analyzed using', 'also considered']</t>
  </si>
  <si>
    <t>The pulse-receiving characteristics of resistively loaded dipoles are analyzed using a time-domain numerical technique. The Wu-King (WK) nonreflecting dipole and several other dipoles with higher and lower distributed resistances are considered. The time-domain responses of these dipoles to Gaussian electromagnetic pulses, incident in boresite direction, are calculated. Frequency-domain receiving transfer functions are obtained using the fast Fourier transform (FFT) technique. Dipoles terminated with high resistance loads are also considered. The effect of the distributed resistance and terminal resistance on the pulse response and bandwidth is discussed. ¬© 1990 IEEE</t>
  </si>
  <si>
    <t>1677-1683</t>
  </si>
  <si>
    <t>Esselle K.</t>
  </si>
  <si>
    <t>Pulse-Receiving Characteristics of Resistively Loaded Dipole Antennas</t>
  </si>
  <si>
    <t>10.1109/8.59782</t>
  </si>
  <si>
    <t>2-s2.0-0025506106</t>
  </si>
  <si>
    <t>['via reflection', 'traced along', 'trace rays', 'reflector surfaces', 'reflector feed', 'ray paths', 'output aperture', 'last reflector', 'go ).', 'feed point', 'convenient subefficiencies', 'computer code', 'arecibo observatory', 'aperture efficiency']</t>
  </si>
  <si>
    <t>A technique is described to trace rays and fields via several numerically specified reflectors by using geometrical optics (GO). The ray paths are determined by launching individual rays from the feed point and following them via reflection from all the reflector surfaces to the output aperture of the last reflector. This procedure is referred to as kinematic ray tracing. Thereafter, the amplitude, phase and polarization of the E-field is traced along the ray paths to the aperture; this is referred to as dynamic ray tracing. Finally, the aperture-field is integrated to find the aperture efficiency which is factorized into convenient subefficiencies. The technique has been implemented in a computer code that has been used to analyze the proposed new shaped offset dual-reflector feed for the spherical reflector antenna at the Arecibo Observatory. ¬© 1990 IEEE</t>
  </si>
  <si>
    <t>1600-1606</t>
  </si>
  <si>
    <t>Analysis of Numerically Specified Multireflector Antennas by Kinematic and Dynamic Ray Tracing</t>
  </si>
  <si>
    <t>10.1109/8.59773</t>
  </si>
  <si>
    <t>2-s2.0-0025506107</t>
  </si>
  <si>
    <t>['¬© 1990', 'rights reserved', 'electrical engineers', 'domain method', 'difference time']</t>
  </si>
  <si>
    <t>Dipole antennas | Finite-difference time-domain</t>
  </si>
  <si>
    <t>The computation of thin wire dipole radiation patterns using the finite-difference time-domain method is discussed. ¬© 1990, The Institution of Electrical Engineers. All rights reserved.</t>
  </si>
  <si>
    <t>1891-1892</t>
  </si>
  <si>
    <t>6603320181;7004219095</t>
  </si>
  <si>
    <t>Boonzaaier, J. J.;Pistorius, C. W.I.</t>
  </si>
  <si>
    <t>Boonzaaier J.</t>
  </si>
  <si>
    <t>Thin Wire Dipoles-A Finite-Difference Time-Domain Approach</t>
  </si>
  <si>
    <t>10.1049/el:19901217</t>
  </si>
  <si>
    <t>2-s2.0-0025507062</t>
  </si>
  <si>
    <t>['¬© 1990', 'rights reserved', 'resonant frequency', 'ferrite substrate', 'exact formula', 'electrical engineers']</t>
  </si>
  <si>
    <t>Elliptical | Ferrite | Microstrip antenna | Resonant frequency</t>
  </si>
  <si>
    <t>A formula for the resonant frequency of an elliptical microstrip antenna on ferrite substrate is developed. Using an integrating averaging procedure the formula is modified to give the exact formula for the resonant frequency of the ferrite based microstrip antenna. The experimental result reveals the accuracy of the formula. ¬© 1990, The Institution of Electrical Engineers. All rights reserved.</t>
  </si>
  <si>
    <t>1906-1907</t>
  </si>
  <si>
    <t>60071276;60071276;60071276</t>
  </si>
  <si>
    <t>7006422314;7402648371;8356522700</t>
  </si>
  <si>
    <t>Pattnaik, S. S.;Mishra, R. K.;Das, N.</t>
  </si>
  <si>
    <t>Pattnaik S.</t>
  </si>
  <si>
    <t>Elliptical Microstrip Antenna on Ferrite Substrate</t>
  </si>
  <si>
    <t>10.1049/el:19901227</t>
  </si>
  <si>
    <t>2-s2.0-0025507213</t>
  </si>
  <si>
    <t>['second algorithm', 'required gradient', 'one algorithm', 'make use', 'line array', 'equispaced elements', 'available samples', 'array weights']</t>
  </si>
  <si>
    <t>The constrained least mean square (LMS) algorithm as applied to array beamforming requires an estimate of the gradient to update the array weights. There are a number of schemes to estimate the required gradient. These gradient estimation methods do not utilize the array samples available previous to the current iteration cycle. In this paper two adaptive algorithms are proposed and studied which make use of all the available samples to estimate the required gradient. One algorithm, referred to as the recursive LMS algorithm, is applicable for an array of arbitrary geometry whereas the second algorithm, referred to as the improved LMS algorithm, is useful for a line array of equispaced elements. ¬© 1990 IEEE</t>
  </si>
  <si>
    <t>1631-1635</t>
  </si>
  <si>
    <t>Palo Alto</t>
  </si>
  <si>
    <t>Stanford University</t>
  </si>
  <si>
    <t>Godara L.</t>
  </si>
  <si>
    <t>Improved LMS Algorithm for Adaptive Beamforming</t>
  </si>
  <si>
    <t>10.1109/8.59777</t>
  </si>
  <si>
    <t>2-s2.0-0025507535</t>
  </si>
  <si>
    <t>['tripole loops', 'tripole loop', 'tm incidence', 'three percent', 'simple tripoles', 'presented graphically', 'performance indicator', 'percentage drifts', 'little drift', 'lattice angles', 'element separations', 'element configurations', 'certain states', '0 ¬∞']</t>
  </si>
  <si>
    <t>Results of a study of the influence of the lattice and element configurations on the performance of frequency selective surfaces consisting of arrays of simple tripoles and tripole loops are summarised. The performance indicator is the stability of the main reflection band centre frequency during the alteration of the state of incidence of plane EM waves. Most of the results, presented graphically in terms of the percentage drifts as functions of lattice angles or element separations, refer to incidence from 0¬∞ to 45¬∞, although some data are given for 80¬∞ incidence. Some lattices produce equal drifts for TE and TM incidence and some give very little drift at all for certain states of incidence. The simple tripole tends to give less stability than the tripole loop for which drifts of two or three percent are typical.</t>
  </si>
  <si>
    <t>60010818;60010818;60010818;60010818</t>
  </si>
  <si>
    <t>36789243500;57042632300;7201840709;56020461500</t>
  </si>
  <si>
    <t>Au, P. W.B.;Musa, L. S.;Parker, E. A.;Langley, R. J.</t>
  </si>
  <si>
    <t>Canterbury</t>
  </si>
  <si>
    <t>University of Kent</t>
  </si>
  <si>
    <t>Au P.</t>
  </si>
  <si>
    <t>Parametric study of tripole and tripole loop arrays as frequency selective surfaces</t>
  </si>
  <si>
    <t>10.1049/ip-h-2.1990.0051</t>
  </si>
  <si>
    <t>2-s2.0-0025507799</t>
  </si>
  <si>
    <t>['standard types', 'reflector system', 'paraboloid reflectors', 'paper deals', 'normal levels', 'multibeam systems', 'good agreement', 'focal plane', 'feed antennas', 'experimental results', 'exhibit higher', 'enables prediction', 'element gain', 'diagonal planes', 'crosspolarized radiation', 'aperture efficiency']</t>
  </si>
  <si>
    <t>This paper deals with a class of feed antennas and feed antenna arrays, used in the focal plane of paraboloid reflectors, which exhibit higher than normal levels of crosspolarized radiation in the diagonal planes. A model is presented which enables prediction of element gain, and aperture efficiency of the feed / reflector system, in good agreement with experimental results. Tapered slot antenna (TSA) elements are used as an example of an element of this type. It is shown that TSA arrays used in multibeam systems with small beam spacings are competitive in terms of aperture efficiency with other, more standard types of arrays, which incorporate waveguide type elements. ¬© 1990 IEEE</t>
  </si>
  <si>
    <t>1559-1564</t>
  </si>
  <si>
    <t>57006932700;7003389714</t>
  </si>
  <si>
    <t>Kim, Young Sik;Yngvesson, K. Sigfrid</t>
  </si>
  <si>
    <t>Characterization of Tapered Slot Antenna Feeds and Feed Arrays</t>
  </si>
  <si>
    <t>10.1109/8.59768</t>
  </si>
  <si>
    <t>2-s2.0-0025508046</t>
  </si>
  <si>
    <t>['¬© 1990', 'simulation results', 'rights reserved', 'results show', 'presented together', 'improvements offered', 'electrical engineers', 'effective alternative', 'differential msk', 'channel equalisation']</t>
  </si>
  <si>
    <t>Antennas | Diversity | Time delay spread</t>
  </si>
  <si>
    <t>Simulation results for differential MSK in both flat and selective fading environments are presented together with the improvements offered by two and three branch antenna diversity. The results show that for short range communication systems diversity may be considered, up to a point, as an effective alternative to channel equalisation. ¬© 1990, The Institution of Electrical Engineers. All rights reserved.</t>
  </si>
  <si>
    <t>1868-1869</t>
  </si>
  <si>
    <t>60020650;60020650</t>
  </si>
  <si>
    <t>7007161122;55138271800</t>
  </si>
  <si>
    <t>Nix, A. R.;Mcgeehan, J. P.</t>
  </si>
  <si>
    <t>Nix A.R.</t>
  </si>
  <si>
    <t>Modelling And Simulation Of Frequency Selective Fading Using Switched Antenna Diversity</t>
  </si>
  <si>
    <t>10.1049/el:19901201</t>
  </si>
  <si>
    <t>2-s2.0-0025508265</t>
  </si>
  <si>
    <t>['wide range', 'topic area', 'significant field', 'several technologies', 'rf beamforming', 'radio frequency', 'objective lenses', 'narrow beams', 'many applications', 'limited number', 'information presented', 'increasing need', 'growing complexity', 'good capability', 'fundamental relationship', 'critical assessment', 'comparative performance', 'classify types', 'butler matrices', 'beamformer performance', 'art review', 'also indicates', 'active elements', '), digital']</t>
  </si>
  <si>
    <t>The growing complexity of communication and surveillance systems means that there is an increasing need for antennas with multiple beam capability. Several technologies such as radio frequency (RF), intermediate frequency (IF), digital and optical are available to meet this need but RF beamforming has the advantage of simplicity and a good capability for many applications. This state of the art review of RF beamforming methods for multiple beam antennas aims to introduce the topic and to collate and classify types, giving a critical assessment of comparative performance. The fundamental relationship between the number of active control elements and the number of beams is taken as a measure of beamformer performance and this also indicates that, for a limited number of active elements, high gain antennas with narrow beams will have limited scan range whilst low gain systems have a wide angle capability. This deduction is reinforced by the practical results collected at the end of the review. The beamformer types covered include lens based beamformers such as the Ruze, Rotman, R-KR and nonuniform refractive index types together with objective lenses with separate feed arrays. Reflector based multiple beam antennas based on zero, one or two Fourier transform properties are followed by circuit types including the Blass and Butler matrices. The wide range of information presented is clarified by a summary section giving an indication of comparative performance levels. The very diversity of RF beamformer types and performance are seen to attest the importance of the topic area for current and future antenna systems and point the way to further innovation and development in this very significant field.</t>
  </si>
  <si>
    <t>293-303</t>
  </si>
  <si>
    <t>60009658;60009658</t>
  </si>
  <si>
    <t>57213425197;56636089400</t>
  </si>
  <si>
    <t>Hall, P. S.;Vetterlein, S. J.</t>
  </si>
  <si>
    <t>Hall P.</t>
  </si>
  <si>
    <t>Review of radio frequency beamforming techniques for scanned and multiple beam antennas</t>
  </si>
  <si>
    <t>10.1049/ip-h-2.1990.0055</t>
  </si>
  <si>
    <t>2-s2.0-0025508361</t>
  </si>
  <si>
    <t>['turn results', 'simple time', 'severe jamming', 'proposed algorithm', 'output power', 'optimal position', 'lms algorithm', 'line filter', 'last stage', 'individually tracked', 'independently steered', 'filter parameters', 'fast algorithm', 'davies beamformer', 'cyclical manner', 'controlling filters', 'continuous tracking', 'broadband null', 'broadband jammers', 'broadband jammer', 'beam former', 'associated set', 'adaptively updated']</t>
  </si>
  <si>
    <t>A fast algorithm for broadband power inversion adaptive arrays is investigated. Essentially, in this algorithm, each broadband jammer is individually tracked by steering a broadband null formed from the use of a set of tapped delay line filters in a Davies beamformer. To steer a particular broadband null to its optimal position, the algorithm first swaps the associated set of null-controlling filters into the last stage of the beam former, and then employs the LMS algorithm with a simple time-invariant decorrelation preprocessor to adjust the filter parameters to minimise the output power for a number of iterations. Performing this procedure for each null in turn results in continuous tracking of all the broadband jammers in a cyclical manner. Although the algorithm requires implementation of the broadband tapped delay-line Davies beamformer, only one tapped delay-line filter is being adaptively updated at any instant. Thus, when the number of elements is small, the overall implementation complexity of the proposed algorithm is comparable to that of using the LMS algorithm directly. However, since each broadband null is independently steered, the proposed algorithm has a much faster convergence behaviour, particularly under situations of severe jamming.</t>
  </si>
  <si>
    <t>377-383</t>
  </si>
  <si>
    <t>Ko, C. C.</t>
  </si>
  <si>
    <t>National University of Singapore</t>
  </si>
  <si>
    <t>Fast null-steering algorithm for broadband power inversion array</t>
  </si>
  <si>
    <t>10.1049/ip-f-2.1990.0056</t>
  </si>
  <si>
    <t>2-s2.0-0025508813</t>
  </si>
  <si>
    <t>['¬© 1990', 'rights reserved', 'radio channels', 'nearly independent', 'local topography', 'generally independent', 'electrical engineers', 'antenna height', '3 ghz']</t>
  </si>
  <si>
    <t>Indoor radio systems | Personal communications | Radio-wave propagation</t>
  </si>
  <si>
    <t>Measured impulse response estimates of radio channels have been used to determine time delay spread and path loss characteristics inside four buildings using different antenna heights at 1-3 GHz and 4 0 GHz. RMS delay spread values were found to be dependent on building and local topography, but generally independent of frequency and antenna height. Path loss values were found to be nearly independent of frequency. ¬© 1990, The Institution of Electrical Engineers. All rights reserved.</t>
  </si>
  <si>
    <t>1800-1802</t>
  </si>
  <si>
    <t>6505830821;7006091503</t>
  </si>
  <si>
    <t>Hawbaker, D. A.;Rappaport, T. S.</t>
  </si>
  <si>
    <t>Hawbaker D.</t>
  </si>
  <si>
    <t>INDOOR WIDEBAND RADIOWAVE PROPAGATION MEASUREMENTS AT 1 3GHz AND 4-OGHz</t>
  </si>
  <si>
    <t>10.1049/el:19901153</t>
  </si>
  <si>
    <t>2-s2.0-0025508821</t>
  </si>
  <si>
    <t>['solved numerically', 'slot coupling', 'sectral region', 'radial waveguide', 'measured effects', 'integral equations', 'circular aperture']</t>
  </si>
  <si>
    <t>A radial line slot antenna (RLSA) is a nonresonant multimode waveguide slotted array. The slot coupling to the radial waveguide in this antenna is analysed. A parallel plate waveguide with a periodic boundary condition is used to simulate a sectral region of the circular aperture in a RLSA. A set of integral equations for the fields in the slot is derived, based on the field equivalence theorem, and is solved numerically by Galerkin's method. Theoretical results effectively express the measured effects of the various antenna design parameters on the slot coupling.</t>
  </si>
  <si>
    <t>249-254</t>
  </si>
  <si>
    <t>60031126;60031126;60031126</t>
  </si>
  <si>
    <t>7006899159;35495699200;7201747933</t>
  </si>
  <si>
    <t>Hirokawa, J.;Ando, M.;Goto, N.</t>
  </si>
  <si>
    <t>Tokyo Institute of Technology</t>
  </si>
  <si>
    <t>Hirokawa J.</t>
  </si>
  <si>
    <t>Analysis of slot coupling in a radial line slot antenna for DBS reception</t>
  </si>
  <si>
    <t>10.1049/ip-h-2.1990.0049</t>
  </si>
  <si>
    <t>2-s2.0-0025508924</t>
  </si>
  <si>
    <t>['well known', 'surfaces must', 'surface zero', 'soft boundary', 'soft boundaries', 'recent paper', 'ray fields', 'present paper', 'made artificially', 'hard surfaces', 'hard boundary', 'geometrical optics', 'g .,', 'dielectric material', 'corresponding surfaces', 'conducting surface', 'circularly polarized']</t>
  </si>
  <si>
    <t>Soft and hard surface boundaries are well known from acoustics. In a recent paper, corresponding surfaces have been defined for dually polarized electromagnetic waves. These surfaces must be made artificially, e.g., by loading a conducting surface with corrugations. A transversely corrugated surface as used in corrugated horn antennas represents for instance a soft boundary. A hard boundary is available by using longitudinal corrugations filled with dielectric material. In the present paper the concept of such soft and hard surfaces is treated in more detail, considering different geometries. It is shown that both the hard and soft boundaries have the advantage of a polarization-independent reflection coefficient for geometrical optics (GO) ray fields so that a circularly polarized wave is circularly polarized in the same sense after reflection. The hard boundary can be used to obtain strong radiation fields along a surface for any polarization, whereas the soft boundary makes the fields radiated along the surface zero. ¬© 1990 IEEE</t>
  </si>
  <si>
    <t>1537-1544</t>
  </si>
  <si>
    <t>Artificially Soft and Hard Surfaces in Electromagnetics</t>
  </si>
  <si>
    <t>10.1109/8.59765</t>
  </si>
  <si>
    <t>2-s2.0-0025508938</t>
  </si>
  <si>
    <t>['successful creation', 'several experiments', 'real time', 'progressive phase', 'possible elf', 'linear array', 'ionospheric conditions', 'interelement spacing', 'including varying', 'hipas facility', 'elf array', 'copyright 1990']</t>
  </si>
  <si>
    <t>The feasibility of using the High‚ÄêPower Auroral Simulation (HIPAS) facility for the creation of a linear array of ionospheric Hertzian dipole sources is investigated and presented as a possible ELF/VLF communication system, as well as an ionospheric diagnostic technique. Linear ELF arrays consisting of at least two elements can theoretically be used to monitor, in real time, the ionospheric conditions in the vicinity of the HIPAS facility. This provides a means of studying irregularities due to turbulence or wave structures within the D region. Several experiments have been proposed for far‚Äêfield confirmation of ELF beam steering within the Earth‚Äêionosphere waveguide, including varying the progressive phase and interelement spacing of an ELF array in a precise temporal sequence. The successful creation of two‚Äêelement ELF ionospheric arrays using HIPAS is reported. Copyright 1990 by the American Geophysical Union.</t>
  </si>
  <si>
    <t>1397-1406</t>
  </si>
  <si>
    <t>November-December 1990</t>
  </si>
  <si>
    <t>55925714300;36936167500;7005220941</t>
  </si>
  <si>
    <t>Werner, D. H.;Albert, A. M.;Ferraro, A. J.</t>
  </si>
  <si>
    <t>Werner D.</t>
  </si>
  <si>
    <t>Implementation of an ELF array of ionospheric dipoles using the high‚Äêpower auroral simulation facility</t>
  </si>
  <si>
    <t>10.1029/RS025i006p01397</t>
  </si>
  <si>
    <t>2-s2.0-0025509581</t>
  </si>
  <si>
    <t>['x mode', 'platteville heater', 'personal computer', 'operated throughout', 'heater consists', 'copyright 1990', 'controls power', 'circular pattern', 'beam steering', '85 mhz', '84 mw', '5 dbi', '40 km', '4 db', '25 miles']</t>
  </si>
  <si>
    <t>UCLA's radio frequency ionospheric heater, 25 miles (40 km) east of Fairbanks, Alaska, is described. The heater consists of eight crossed dipole antennas arranged in a circular pattern to give a gain of 18.4 dB over isotropic at 2.85 MHz (Àú 2nd electron cyclotron harmonic). At 1.2 MW total radiated power the array has a calculated equivalent radiating power of 84 MW. Each antenna is driven by a 150‚ÄêKW transmitter, originally from the Platteville heater. The eight transmitter antennas are managed by a personal computer which controls power, modulation, and beam steering. Methods of tuning the antennas, to achieve either right (O mode) or left (X mode) circular polarized radiated beams, are described. The heater is powered by two 1500‚Äêhorsepower diesel electric generators. It can be operated throughout the year over ‚àí30¬∞C to 40¬∞C ambient temperature extremes. Future improvements include the construction of an even larger 840 √ó 840 m (24 √ó 24 antenna) array with a gain of 37.5 dBi. Copyright 1990 by the American Geophysical Union.</t>
  </si>
  <si>
    <t>1269-1282</t>
  </si>
  <si>
    <t>16237673600;7402035094;7006237915;57215210817;7003462546;7006827980;55886707200;6602727143;6603728371;7402527693;7003875321</t>
  </si>
  <si>
    <t>Wong, A. Y.;Carroll, J.;Dickman, R.;Harrison, W.;Huhn, W.;Lum, B.;McCarrick, M.;Santoru, J.;Schock, C.;Wong, G.;Wuerker, R. F.</t>
  </si>
  <si>
    <t>Wong A.Y.</t>
  </si>
  <si>
    <t>High‚Äêpower radiating facility at the HIPAS Observatory</t>
  </si>
  <si>
    <t>10.1029/RS025i006p01269</t>
  </si>
  <si>
    <t>2-s2.0-0025510244</t>
  </si>
  <si>
    <t>['¬© 1990', 'several elements', 'rights reserved', 'practical performance', 'microstrip feedline', 'ground plane', 'electrical engineers', 'coupling aperture', 'antenna structure', '16 ghz']</t>
  </si>
  <si>
    <t>Dielectric resonators | Microwave antennas</t>
  </si>
  <si>
    <t>A practical antenna configuration for use at microwave and millimetre wave frequencies is investigated. It consists of a circular cylindrical dielectric resonator fed by a microstrip feedline through a coupling aperture in the ground plane between them. Several elements, with different physical parameters, operating between 14 and 16 GHz were constructed and tested. Experimental results confirm the effective and practical performance of the antenna structure. ¬© 1990, The Institution of Electrical Engineers. All rights reserved.</t>
  </si>
  <si>
    <t>2015-2016</t>
  </si>
  <si>
    <t>60026338;60026338;60010491;60018714;60018714</t>
  </si>
  <si>
    <t>57194911980;35566584200;7004922524;57027512900;7004481899</t>
  </si>
  <si>
    <t>Martin, J. T.H.St;Antar, Y. M.M.;Kishk, A. A.;Ittipiboon, A.;Cuhaci, M.</t>
  </si>
  <si>
    <t>Canada;Canada;United States</t>
  </si>
  <si>
    <t>Kingston;Ottawa;University</t>
  </si>
  <si>
    <t>Royal Military College of Canada;Communications Research Centre;University of Mississippi</t>
  </si>
  <si>
    <t>60026338;60018714;60010491</t>
  </si>
  <si>
    <t>Martin J.</t>
  </si>
  <si>
    <t>Dielectric resonator antenna using aperture coupling</t>
  </si>
  <si>
    <t>10.1049/el:19901302</t>
  </si>
  <si>
    <t>2-s2.0-0025510553</t>
  </si>
  <si>
    <t>['¬© 1990', 'strip conductor', 'rights reserved', 'return loss', 'opposite sides', 'microstrip line', 'microstrip feed', 'metallic post', 'ground plane', 'frequency range', 'feeding network', 'electrical engineers', 'direct coplanar', 'coupler uses', 'coplanar waveguide', '10 db']</t>
  </si>
  <si>
    <t>A method to couple microwave power from a coplanar waveguide to a microstrip line on opposite sides of a ground plane is demonstrated. The coupler uses a metallic post which passes through an aperture on the ground plane connecting the strip conductor of the coplanar waveguide to the microstrip line. The measured insertion loss and return loss are about ldB and 10 dB, respectively, across the frequency range of 0045-6-5GHz. To demonstrate potential applications of the coupler as a feeding network for a microstrip patch array, measured radiation patterns of two rectangular patch antennas with a direct coplanar-waveguide/microstrip feed and with a proximity coupled coplanar-waveguide/microstrip feed are presented. ¬© 1990, The Institution of Electrical Engineers. All rights reserved.</t>
  </si>
  <si>
    <t>1998-2000</t>
  </si>
  <si>
    <t>60016296;60016296</t>
  </si>
  <si>
    <t>57194911059;57194906793</t>
  </si>
  <si>
    <t>Imons, R. N.;Ee, R. Q.</t>
  </si>
  <si>
    <t>Imons R.</t>
  </si>
  <si>
    <t>Coplanar-Waveguide/Microstrip Probe Coupler and Applications to Antennas</t>
  </si>
  <si>
    <t>10.1049/el:19901292</t>
  </si>
  <si>
    <t>2-s2.0-0025511095</t>
  </si>
  <si>
    <t>['wind direction', 'three antennas', 'pss ),', 'nonorthogonal baselines', 'mu radar', 'including pss', 'directions parallel', 'copyright 1990', 'convenient advantage', 'arbitrary position', 'antennas may']</t>
  </si>
  <si>
    <t>This paper derives useful expressions for the synthesized beam statistics using poststatistic steering (PSS), when three antennas are used in a spatial interferometer configuration for two‚Äêdimensional steering. These antennas may have arbitrary position and can have nonorthogonal baselines. The use of three (noncollinear) antennas allows altitude dependent two‚Äêdimensional steering. This technique is verified using spatial interferometer data obtained in October 1989 using the MU radar, including PSS in directions parallel and perpendicular to the wind direction, which is a very convenient advantage of the technique. Copyright 1990 by the American Geophysical Union.</t>
  </si>
  <si>
    <t>1105-1110</t>
  </si>
  <si>
    <t>;;;;</t>
  </si>
  <si>
    <t>57203466193;36884983500;55398698300;35433785500;35425453600</t>
  </si>
  <si>
    <t>Palmer, Robert D.;Woodman, Ronald F.;Fukao, Shoichiro;Tsuda, Toshitaka;Kato, Susumu</t>
  </si>
  <si>
    <t>Palmer R.D.</t>
  </si>
  <si>
    <t>Three‚Äêantenna poststatistic steering using the MU radar</t>
  </si>
  <si>
    <t>10.1029/RS025i006p01105</t>
  </si>
  <si>
    <t>2-s2.0-0025511233</t>
  </si>
  <si>
    <t>['œâ œâci', 'waves generated', 'time characteristics', 'te 1', 'surface intersected', 'rf fields', 'plasma production', 'peripheral plasma', 'parametric instability', 'oscillations lies', 'energy source', 'e lf', 'density gradient', '3 torsatron']</t>
  </si>
  <si>
    <t>The authors identify intensive low frequency (œâ œâci) fluctuations of density (√±/n 0.1) and potential (e LF/Te 1) in the peripheral plasma of the URAGAN-3 torsatron during plasma production and heating by RF fields with a frequency œâ0 ‚àº œâci. Given their space-time characteristics, these fluctuations would normally be attributed to the development of natural drift oscillations on the density gradient; however, the energy source which maintains the abnormally high level of these oscillations lies in the waves generated by the antenna. It has been demonstrated that the low frequency oscillations occur as a result of parametric instability of these waves. Low frequency fluctuations may give rise to appreciable ion heating in the peripheral plasma (Ti 100 eV), and also help set up an ion flux onto the surface intersected by the divertor magnetic flux. ¬© 1990 IOP Publishing Ltd.</t>
  </si>
  <si>
    <t>2223-2233</t>
  </si>
  <si>
    <t>60011313;60011313;60011313;60011313;60011313;60011313;60011313;60011313;60011313;60011313;60011313</t>
  </si>
  <si>
    <t>6601970421;7102129803;7006059827;6603396290;55572699500;6603051631;6602083515;8971113000;9041432500;6603285734;7003758505</t>
  </si>
  <si>
    <t>Chechkin, V. V.;Grigor'eva, L. I.;Nazarov, N. I.;Pinos, I. B.;Plyusnin, V. V.;Shtan', A. F.;Solodovchenko, S. I.;Stepanov, K. N.;Taran, V. S.;Vojtsenya, V. S.;Voloshko, A. Yu</t>
  </si>
  <si>
    <t>Kiev</t>
  </si>
  <si>
    <t>National Academy of Sciences in Ukraine</t>
  </si>
  <si>
    <t>Chechkin V.</t>
  </si>
  <si>
    <t>Low frequency fluctuations of density and potential in the peripheral plasma during ion cyclotron heating in the URAGAN-3 torsatron</t>
  </si>
  <si>
    <t>10.1088/0029-5515/30/11/002</t>
  </si>
  <si>
    <t>2-s2.0-0025511695</t>
  </si>
  <si>
    <t>['time sequences', 'tested using', 'synthetic image', 'source models', 'quantitatively described', 'phase error', 'noisy data', 'new technique', 'main features', 'large array', 'kalman filter', 'information content', 'highly correlated', 'data processing', 'copyright 1990', 'another application']</t>
  </si>
  <si>
    <t>A new technique is discussed and developed for correcting atmospherically induced errors in phase data collected by radio astronomy interferometers and synthetic aperture antenna arrays. The main features of this technique are modeling and filtering the information content of the complex visibility data in time sequences. Because the atmospheric phase variations are highly correlated in time, they can be described by stochastic time series models. In conjunction with other radio astronomy data processing algorithms, a time series modeling and parameter estimation technique is developed to obtain noise models and source models from observed phase data. These models can be in the form of stochastic difference equations, autocorrelation, power spectral density, and a state space format ready for further data processing. Once the models are in a state space format, the Kalman filter is used for optimally extracting source information from the noisy data. The synthetic image is then improved by reducing the phase error. The quality of the corrected phase data is quantitatively described by the error covariance matrix of the Kalman filter. One useful application of this technique is for reducing atmospherically induced phase errors of small synthesis arrays that have too few antennas to apply self‚Äêcalibration. Another application of this technique is for improving the performance of large synthesis arrays when the standard calibration methods are insufficient for correcting very noisy phase data. This technique has been tested using the very large array (VLA) (operated by the National Radio Astronomy Observatory) and the Hat Creek millimeter interferometer. Copyright 1990 by the American Geophysical Union.</t>
  </si>
  <si>
    <t>1145-1158</t>
  </si>
  <si>
    <t>57198813519;7004112492;7202420103</t>
  </si>
  <si>
    <t>Zheng, Yi;Basart, John P.;Koh, Yong‚Äêseon ‚Äês</t>
  </si>
  <si>
    <t>Zheng Y.</t>
  </si>
  <si>
    <t>Correcting atmospheric‚Äêinduced phase errors of a synthetic aperture antenna array by time series modeling and Kalman filtering</t>
  </si>
  <si>
    <t>10.1029/RS025i006p01145</t>
  </si>
  <si>
    <t>2-s2.0-0025511855</t>
  </si>
  <si>
    <t>['‚ àº0', 'waveform output', 'wave amplitude', 'successful generation', 'spread pattern', 'ionosonde measurements', 'hipas site', 'frequency range', 'elf waves', 'elf rate', 'elf frequency', 'digitized waveform', 'digital postprocessing', 'depend strongly', 'copyright 1990', 'continuously digitizing', 'closely related', 'alternately phased', '2 mv']</t>
  </si>
  <si>
    <t>We report the successful generation and detection of ELF waves in the frequency range of 6‚Äì76 Hz by polar electrojet modification using the High‚ÄêPower Auroral Stimulation (HIPAS) HF Heater Facility near Fairbanks, Alaska. Magnetic field amplitudes of ‚àº1 pT and vertical electric field amplitudes of ‚àº0.2 mV have been observed at a receiving site 35 km from the HIPAS site. The wave amplitude does not depend strongly on the ELF frequency, however, the amplitude is closely related to the level of electrojet activity inferred from magnetometer chain data and from ionosonde measurements. The 1‚ÄêMW HF heater is modulated at low ELF frequencies using an ‚Äúarray dephasing‚Äù technique where the eight‚Äêelement antenna array is alternately phased for peak vertical gain and dephased for a spread pattern at the ELF rate. This method can be employed at any modulation frequency without concern for transmitter power supply resonances. Measurements of the wave amplitude are made by conventional analog lock‚Äêin techniques and by continuously digitizing the waveform output of the wideband magnetic search coils and the electric field detector. With the digitized waveform, digital postprocessing can be used to extract the low‚Äêlevel coherent signal from the Schumann resonance noise background using a software lock‚Äêin routine. Copyright 1990 by the American Geophysical Union.</t>
  </si>
  <si>
    <t>1291-1298</t>
  </si>
  <si>
    <t>55886707200;6701389652;16237673600;7003875321;55222248200</t>
  </si>
  <si>
    <t>McCarrick, M. J.;Sentman, D. D.;Wong, A. Y.;Wuerker, R. F.;Chouinard, B.</t>
  </si>
  <si>
    <t>McCarrick M.</t>
  </si>
  <si>
    <t>Excitation of ELF waves in the Schumann resonance range by modulated HF heating of the polar electrojet</t>
  </si>
  <si>
    <t>10.1029/RS025i006p01291</t>
  </si>
  <si>
    <t>2-s2.0-0025511882</t>
  </si>
  <si>
    <t>['specific interest', 'receiver tuning', 'radio signals', 'preset schedule', 'paper describes', 'heating transmitters', 'experimental data', 'emissions produced', 'copyright 1990', 'automatic control', 'also made', '8 khz']</t>
  </si>
  <si>
    <t>This paper describes a diagnostic system developed for the study of radio signals at frequencies below 8 kHz. Of specific interest are emissions produced by high‚Äêfrequency heating of the ionosphere which modulates natural ionospheric current systems. Dual receivers allow independent reception on orthogonal loop antennas, and microcomputer systems provide real‚Äêtime data acquisition and processing of all experimental data. Provisions are also made for automatic control of modulating frequency applied to the heating transmitters; operating frequencies may be changed on a preset schedule in tandem with receiver tuning. Copyright 1990 by the American Geophysical Union.</t>
  </si>
  <si>
    <t>1369-1373</t>
  </si>
  <si>
    <t>57212685836;7201800929;16421012500;7005220941</t>
  </si>
  <si>
    <t>Baker, M. R.;Collins, T. W.;Lee, H. S.;Ferraro, A. J.</t>
  </si>
  <si>
    <t>Baker M.</t>
  </si>
  <si>
    <t>A diagnostic system for the study of extremely long wavelength emission produced by ionospheric modification</t>
  </si>
  <si>
    <t>10.1029/RS025i006p01369</t>
  </si>
  <si>
    <t>2-s2.0-0025512209</t>
  </si>
  <si>
    <t>['spaced antenna', 'smallest antenna', 'receiving antennas', 'radar equation', 'practical grounds', 'physical area', 'one antenna', 'much larger', 'monostatic radar', 'information content', 'horizontal variations', 'factors affecting', 'errors introduced', 'equivalent area', 'dbs method', 'copyright 1990', 'close transmitting', 'bistatic radar', 'backscattered power', '50 mhz']</t>
  </si>
  <si>
    <t>The Doppler beam‚Äêswinging (DBS) and the spaced antenna (SA) techniques for radar wind measurement are compared on theoretical and practical grounds. It is shown that the information content is similar for both techniques and that errors introduced by horizontal variations of the vertical wind field affect both equivalently. A radar equation for a bistatic radar with close transmitting and receiving antennas is derived, and it is shown that the backscattered power is proportional to an equivalent area. The equivalent area is equal to the antennas' physical area for a monostatic radar and is twice the area of the smallest antenna in the limit of one antenna being much larger than the other. Other factors affecting the techniques' sensitivity and accuracy are discussed. VHF radars operating at about 50 MHz should give similar sensitivity using both techniques, but for UHF wind profilers the DBS method is preferable. Copyright 1990 by the American Geophysical Union.</t>
  </si>
  <si>
    <t>1111-1119</t>
  </si>
  <si>
    <t>May, Peter T.</t>
  </si>
  <si>
    <t>May P.</t>
  </si>
  <si>
    <t>Spaced antenna versus Doppler radars: A comparison of techniques revisited</t>
  </si>
  <si>
    <t>10.1029/RS025i006p01111</t>
  </si>
  <si>
    <t>2-s2.0-0025512326</t>
  </si>
  <si>
    <t>['sharp null', 'matching network', 'manufacture cost', 'loop antenna', 'hundred meters', 'extremely simple']</t>
  </si>
  <si>
    <t>A compact and precision direction finding antenna is designed by combining a monopole and a loop antenna. A cardioid radiation pattern is achieved and, in particular, a sharp null is obtained. The antenna is very useful for tracking and locating the target when the operator is within a couple of hundred meters of the target. The construction of this antenna is extremely simple and there is no need for a matching network. As a result the manufacture cost is very low. ¬© 1990 IEEE</t>
  </si>
  <si>
    <t>918-921</t>
  </si>
  <si>
    <t>60019000;60033154</t>
  </si>
  <si>
    <t>6602106310;7005375558</t>
  </si>
  <si>
    <t>Le-Ngoc, Son;Le-Ngoc, Tho</t>
  </si>
  <si>
    <t>Montreal;St John's</t>
  </si>
  <si>
    <t>Concordia University;Memorial University of Newfoundland</t>
  </si>
  <si>
    <t>60033154;60019000</t>
  </si>
  <si>
    <t>Le-Ngoc S.</t>
  </si>
  <si>
    <t>Precision direction finding antennas</t>
  </si>
  <si>
    <t>10.1109/30.61574</t>
  </si>
  <si>
    <t>2-s2.0-0025512618</t>
  </si>
  <si>
    <t>['using phasing', 'using modulation', 'substantial modification', 'scaling laws', 'pederson conductivity', 'maximum tilt', 'kinetic calculations', 'ionospheric conductivity', 'induced resulting', 'hf waves', 'elf power', 'electron runaway', 'e region', 'copyright 1990', 'cooling rate', 'area spanned', 'antenna beam', '35 ¬∞,']</t>
  </si>
  <si>
    <t>The scaling laws that control the efficiency of converting ground‚Äêbased HF power to ELF power by using modulation of the polar electrojet current is discussed. The analysis is based on kinetic calculations of the modification of the ionospheric conductivity by HF waves in conjunction with the experimental results reported from the Tromso Max Planck and the Alaska high power auroral simulation (HIPAS) facilities. It is shown that the efficiency can be increased by more than a factor of 104 by (1) using phasing to sweep the antenna beam over an area spanned by a maximum tilt of 35¬∞, on a time scale faster than the cooling rate at the heating altitude (&lt;100 Œºs) and (2) localization of the heating at the E region (90‚Äì100 km) where electron runaway can be induced resulting in substantial modification of the Pederson conductivity. Copyright 1990 by the American Geophysical Union.</t>
  </si>
  <si>
    <t>1311-1320</t>
  </si>
  <si>
    <t>7102261205;7407037410;7003605104;7003789502</t>
  </si>
  <si>
    <t>Papadopoulos, K.;Chang, C. L.;Vitello, P.;Drobot, A.</t>
  </si>
  <si>
    <t>Papadopoulos K.</t>
  </si>
  <si>
    <t>On the efficiency of ionospheric ELF generation</t>
  </si>
  <si>
    <t>10.1029/RS025i006p01311</t>
  </si>
  <si>
    <t>2-s2.0-0025513055</t>
  </si>
  <si>
    <t>['∆ í0e', 'strongly attenuated', 'steady value', 'steady change', 'sharp change', 'second experiment', 'return signal', 'received signal', 'probing signal', 'primarily affected', 'preheating value', 'power density', 'observed using', 'observed changes', 'nonblanketing enhancement', 'mode polarization', 'likely explanation', 'irregular character', 'heating followed', 'heater shutdown', 'heater frequency', 'frequency deviated', 'frequencies closest', 'f layer', 'enhanced attenuation', 'e layer', 'doppler return', 'copyright 1990', 'also observed', 'also noted', '85 mhz', '5 mhz', '2 mw', '1 mw']</t>
  </si>
  <si>
    <t>Perturbations of the bottomside auroral ionosphere caused by a high‚Äêpower HF heater have been observed using a bistatically configured ionospheric channel probe. The heater transmitter power and antenna directivity resulted in a power density of the order of 1 mw/m2 at E layer heights and 0.2 mw/m2 at F layer heights. O mode polarization was used for heating at a frequency of 2.85 MHz. Effects were observed at both E and F layer heights. The F layer effects consisted of enhanced attenuation, modified group delay at frequencies above and below the heater frequency, and a change in the character of the received signal from that of a time stable specular return to a time variable irregular return. All of these effects were most pronounced at frequencies closest to the heater frequency and diminished as the frequency deviated from the heater frequency. The formation of a localized heated cavity in the F layer is thought to be responsible for the observed changes in F layer signal group delay. Some form of parametric decay instability is thought to be responsible for the irregular character of the return signal during heating and for the enhanced attenuation which primarily affected the O mode of the probing signal. Heating induced Doppler effects were also noted in a second experiment. In particular, the main Doppler component exhibited a sharp change with the onset of heating followed by a steady change in Doppler from an initially large positive value to a large negative value at the time of heater shutdown. After heater shutdown the Doppler frequency relaxed to a steady value which differed from its preheating value. The spread of the Doppler return was also observed to broaden during heating which is consistent with the irregular character of the return during heating. The E layer return consisted of normal E layer echoes at frequencies below 2.5 MHz and of weak slant sporadic E echoes at and above 2.5 MHz. The slant sporadic E echoes were strongly attenuated during heating. An additional E layer effect involving what appears to be a localized, nonblanketing enhancement of ∆í0E was observed during heating. The most likely explanation for the enhanced attenuation of the slant sporadic E is E layer heating caused by energetic electron precipitation from the heated F layer. The enhanced ∆í0E could also be attributed to high‚Äêenergy electron precipitation from the F layer but direct ohmic heating of the E layer is an equally plausible explanation. Copyright 1990 by the American Geophysical Union.</t>
  </si>
  <si>
    <t>1407-1422</t>
  </si>
  <si>
    <t>7402733127;35510193900;7005062461;16237673600;55886707200</t>
  </si>
  <si>
    <t>Wagner, L. S.;Goldstein, J. A.;Lind, R. W.;Wong, A. Y.;McCarrick, M. J.</t>
  </si>
  <si>
    <t>Wagner L.</t>
  </si>
  <si>
    <t>Channel probe observations of the auroral ionosphere during high‚Äêpower auroral stimulation heating experiments</t>
  </si>
  <si>
    <t>10.1029/RS025i006p01407</t>
  </si>
  <si>
    <t>2-s2.0-0025513330</t>
  </si>
  <si>
    <t>['simpler geometries', 'possible solution', 'others given', 'numerical results', 'general form', 'exact solution', 'dyadic green']</t>
  </si>
  <si>
    <t>The exact solution for the electromagnetic field diffracted by a perfectly conducting slotted elliptic cone is determined. The solution is presented in the form of a dyadic Green's function, which is the most general form of a possible solution. Some numerical results are presented and compared with others given in the past, for simpler geometries. ¬© 1990 IEEE</t>
  </si>
  <si>
    <t>1894-1898</t>
  </si>
  <si>
    <t>60030988;60015331</t>
  </si>
  <si>
    <t>22995779600;7005683394</t>
  </si>
  <si>
    <t>Vafiadis, E.;Sahalos, J. N.</t>
  </si>
  <si>
    <t>Greece;Greece</t>
  </si>
  <si>
    <t>Komotini;Thessaloniki</t>
  </si>
  <si>
    <t>Democritus University of Thrace;Aristotle University of Thessaloniki</t>
  </si>
  <si>
    <t>Vafiadis E.</t>
  </si>
  <si>
    <t>The Electromagnetic Field of a Slotted Elliptic Cone</t>
  </si>
  <si>
    <t>10.1109/8.102758</t>
  </si>
  <si>
    <t>2-s2.0-0025516621</t>
  </si>
  <si>
    <t>['technique consists', 'subtraction technique', 'subsequent subtraction', 'original pattern', 'obtained assuming', 'microstrip patch', 'experimental results', 'excellent agreement', 'ended waveguide']</t>
  </si>
  <si>
    <t>A new antenna pattern measurement technique is presented to eliminate the effects of the finite ground plane and anechoic chamber wall reflections, which significantly perturb antenna pattern measurements. This technique consists of the measurement of the edge diffracted fields and their subsequent subtraction from the original pattern. A simple theoretical model is developed to introduce the subtraction technique, and comparisons are made which show the excellent agreement between theoretical (obtained assuming an infinite ground plane) and ‚Äúcorrected‚Äù experimental antenna patterns. Experimental results are given for open-ended waveguide, microstrip patch, and monopole antennas mounted on different size circular and square ground planes. Time gating techniques are illustrated as well. ¬© 1990 IEEE</t>
  </si>
  <si>
    <t>1815-1822</t>
  </si>
  <si>
    <t>60005837;60025522;60005837</t>
  </si>
  <si>
    <t>57218985569;7004377085;7402507033</t>
  </si>
  <si>
    <t>Williams, Jeffery T.;Delgado, Heriberto J.;Long, Stuart A.</t>
  </si>
  <si>
    <t>Melbourne;Houston</t>
  </si>
  <si>
    <t>Harris Corporation;University of Houston</t>
  </si>
  <si>
    <t>60025522;60005837</t>
  </si>
  <si>
    <t>An Antenna Pattern Measurement Technique for Eliminating the Fields Scattered from the Edges of a Finite Ground Plane</t>
  </si>
  <si>
    <t>10.1109/8.102744</t>
  </si>
  <si>
    <t>2-s2.0-0025516796</t>
  </si>
  <si>
    <t>['single computation', 'scanning multiple', 'results based', 'relatively small', 'reflector surface', 'pws integrand', 'pws integral', 'pws approach', 'present approach', 'plane parallel', 'physical theory', 'may therefore', 'independent approaches', 'incident wave', 'important feature', 'given direction', 'fully illuminated', 'focal region', 'focal plane', 'field distribution', 'electrically large', 'efficient approach', 'dominant contribution']</t>
  </si>
  <si>
    <t>An efficient approach is described for calculating the field distribution in the focal region of an electrically large, symmetric or offset parabolic reflector antenna with an arbitrary rim contour, when the concave reflector surface is fully illuminated by an obliquely incident arbitrary electromagnetic plane wave. This solution is useful for synthesizing feed arrays in scanning multiple and contour beam reflector antennas via reciprocity. The dominant contribution to the focal region fields is found by transforming the physical optics integral over the reflector surface into a plane wave spectral (PWS) integral. An important feature of the present approach is that the spectrum (or the PWS integrand) is obtained in closed form containing relatively simple functions upon dividing the reflector surface into just a few sections that yield rectangular projected apertures. Next, the PWS integral is evaluated rapidly via the fast Fourier transform (FFT) algorithm to furnish, in only a single computation, the field every place in the focal plane (or any plane parallel to it) within the focal region for a given direction of the incident wave. While the correction to the physical optics field can be found via Ufimtsev's physical theory of diffraction, this correction is relatively small in the focal region and may therefore be neglected. Numerical results based on this PWS approach are presented, and their accuracy is established by comparison with results based on other independent approaches. ¬© 1990 IEEE</t>
  </si>
  <si>
    <t>1746-1756</t>
  </si>
  <si>
    <t>60018337;60003500</t>
  </si>
  <si>
    <t>6602747160;35579308700</t>
  </si>
  <si>
    <t>Nagamune, Akio;Pathak, Prabhakar H.</t>
  </si>
  <si>
    <t>Japan;United States</t>
  </si>
  <si>
    <t>Tokyo;Columbus</t>
  </si>
  <si>
    <t>JFE Steel Corporation;The Ohio State University</t>
  </si>
  <si>
    <t>Nagamune A.</t>
  </si>
  <si>
    <t>An Efficient Plane Wave Spectral Analysis to Predict the Focal Region Fields of Parabolic Reflector Antennas for Small and Wide Angle Scanning</t>
  </si>
  <si>
    <t>10.1109/8.102735</t>
  </si>
  <si>
    <t>2-s2.0-0025516797</t>
  </si>
  <si>
    <t>['weight vector', 'smi method', 'reference signal', 'received signal', 'performance measure', 'griffiths array', 'desired signal', 'correlation matrix', 'computed based', 'arrival angle', 'also presented']</t>
  </si>
  <si>
    <t>The sample matrix inversion (SMI) method is applied in the constrained least mean square (LMS) array of the Griffiths array. The mean square error (MSE) performance measure of the SMI method in both arrays is presented. The total output power (TOP) performance of the SMI method in the constrained LMS array is also presented. In using the SMI method to obtain the MSE and the TOP of the constrained LMS array, the adaptive weight vector is computed based on the estimate of the received signal correlation matrix and the knowledge of the arrival angle of the desired signal. The weight vector of the Griffiths array is also computed based on the estimate of the correlation matrix and the knowledge of the cross correlation vector between the reference signal and the received signal. ¬© 1990 IEEE</t>
  </si>
  <si>
    <t>1878-1882</t>
  </si>
  <si>
    <t>Lin S.</t>
  </si>
  <si>
    <t>The Performance of the SMI Method in the Constrained LMS Array and the Griffiths Array</t>
  </si>
  <si>
    <t>10.1109/8.102762</t>
  </si>
  <si>
    <t>2-s2.0-0025516857</t>
  </si>
  <si>
    <t>['similar manner', 'relatively easy', 'numerically solved', 'interior region', 'integral equation', 'image method', 'halfspace admittance', 'general 3', 'exterior region', 'determined separately', 'conducting surface', 'conducting plane', 'arbitrary shape', 'arbitrary aperture']</t>
  </si>
  <si>
    <t>The general 3-D aperture coupling problem is formulated in terms of an integral equation for the equivalent magnetic current in the aperture, which is numerically solved by the method of moments. The aperture is characterized by two aperture admittance matrices, one for the exterior region and the other for the interior region. These two admittance matrices are determined separately but in a similar manner if the pseudo-image method is used. Numerically workable expressions are developed for the two aperture admittance matrices by decomposing each of them into a halfspace admittance matrix and a supplementary admittance matrix. The halfspace admittance is relatively easy to compute and has been investigated in the literature. The supplementary admittance matrix is expressed in terms of the generalized impedance matrix of the completed conducting surface (aperture closed). Thus, by combining the existing numerical codes for an arbitrarily shaped scatterer and for an arbitrary aperture in a conducting plane, we obtain a code especially designed for an arbitrary aperture in a conducting surface of arbitrary shape. ¬© 1990 IEEE</t>
  </si>
  <si>
    <t>1805-1814</t>
  </si>
  <si>
    <t>57221130178;7201653432;7003887991</t>
  </si>
  <si>
    <t>Wang, Taoyun;Harrington, Roger F.;Mautz, Joseph R.</t>
  </si>
  <si>
    <t>Wang T.</t>
  </si>
  <si>
    <t>Electromagnetic Scattering from and Transmission Through Arbitrary Apertures in Conducting Bodies</t>
  </si>
  <si>
    <t>10.1109/8.102743</t>
  </si>
  <si>
    <t>2-s2.0-0025516859</t>
  </si>
  <si>
    <t>['u ),', 'u ))', 'smooth transitions', 'sf passband', 'linear aperture', 'high sidelobes', 'current weightings']</t>
  </si>
  <si>
    <t>A multiplicative (crosscorrelation) receiving antenna system with a linear aperture can have a power pattern P0(u) (the so-called principal solution power pattern) whose spatial frequency transfer function (SFTF) is uniform over the entire SF bandwidth. A modified principal solution system which retains the uniform SFTF except for smooth transitions at the ends of the SF passband is described. The transitions are due to a change in the original pattern P0(u), which suffers from high sidelobes to a Taylor synthesis pattern PT(u) = P0(u)PE(u), where PE(u) is a slowly varying envelope pattern. All of the slowly varying envelope sidelobes of PT(u) are set at the same appropriate low level, e.g., ‚Äî30 dB. The aperture weighting distributions are free of singularities (unlike those for P0(u)) and can be sampled to provide the current weightings for a linear multiplicative array. ¬© 1990 IEEE</t>
  </si>
  <si>
    <t>1848-1851</t>
  </si>
  <si>
    <t>60031828;60014171</t>
  </si>
  <si>
    <t>7402196541;7005164716</t>
  </si>
  <si>
    <t>Qian, Jizeng;Macphie, Robert H.</t>
  </si>
  <si>
    <t>Hamilton;Waterloo</t>
  </si>
  <si>
    <t>McMaster University;University of Waterloo</t>
  </si>
  <si>
    <t>Qian J.</t>
  </si>
  <si>
    <t>A Taylor Synthesis for Principal Solution Patterns of Multiplicative Antenna Systems</t>
  </si>
  <si>
    <t>10.1109/8.102749</t>
  </si>
  <si>
    <t>2-s2.0-0025516906</t>
  </si>
  <si>
    <t>['study deals', 'spherical antennas', 'small angle', 'biconical antenna', 'also includes']</t>
  </si>
  <si>
    <t>The biconical antenna fed across a wide feed gap is studied as a boundary value problem using modal analysis. The study deals with finite length antennas. It also includes the consideration of two limiting cases of biconical antenna, i.e., wide angle (spherical antennas) and very small angle (thin wire antennas). Expressions for the input as well as apparent terminal admittances are derived and corresponding values compared with available literature data for vanishingly small feed gap widths (delta function generator). ¬© 1990 IEEE</t>
  </si>
  <si>
    <t>1784-1790</t>
  </si>
  <si>
    <t>6701492696;7103051886</t>
  </si>
  <si>
    <t>Saoudy, S. A.;Hamid, M.</t>
  </si>
  <si>
    <t>Input Admittance of a Biconical Antenna with Wide Feed Gap</t>
  </si>
  <si>
    <t>10.1109/8.102740</t>
  </si>
  <si>
    <t>2-s2.0-0025516907</t>
  </si>
  <si>
    <t>['well suited', 'numerical results', 'new model', 'input impedance', 'inductive reactance', 'ground plane', 'fringing field', 'experimental ones', 'cavity model', 'c circuit', 'aided design']</t>
  </si>
  <si>
    <t>A new model is presented for calculating the input impedance of a probe-fed circular antenna with and without air gaps between the substrate and the ground plane. It is based on the cavity model, the dynamic permittivity constant (to take into account the influence of the fringing field at the edge of radiating element), and the resonant parallel R -L -C circuit with an inductive reactance. Numerical results are compared with experimental ones. This model is well suited for computer-aided design. ¬© 1990 IEEE</t>
  </si>
  <si>
    <t>1882-1885</t>
  </si>
  <si>
    <t>7102796864;16050119900;7003385210</t>
  </si>
  <si>
    <t>Abboud, F.;Damiano, J. P.;Papiernik, A.</t>
  </si>
  <si>
    <t>Abboud F.</t>
  </si>
  <si>
    <t>A New Model for Calculating the Input Impedance of Coax-Fed Circular Microstrip Antennas with and Without Air Gaps</t>
  </si>
  <si>
    <t>10.1109/8.102754</t>
  </si>
  <si>
    <t>2-s2.0-0025516949</t>
  </si>
  <si>
    <t>['sources lie', 'reasonable success', 'rao bounds', 'radar engineers', 'mainbeam presents', 'interference sources', 'interference enters', 'extensively investigated', 'difficult problem', 'difference beams', 'considerable interest', 'compare favorably', 'antenna array']</t>
  </si>
  <si>
    <t>A problem of considerable interest to radar engineers is to reduce the external interference sources impinging on an antenna array. The case where interference enters the sidelobes has been extensively investigated and reasonable success has been achieved. However, the case where the sources lie in the mainbeam presents a much more difficult problem which is addressed here. In this paper we investigate the monopulse angular errors obtained by incorporating adaptive sum and difference beams in which the interference sources have been cancelled. These results are shown to compare favorably with the minimum error Cramer-Rao bounds that have been derived. ¬© 1990 IEEE</t>
  </si>
  <si>
    <t>19-25</t>
  </si>
  <si>
    <t>60027271;60027271</t>
  </si>
  <si>
    <t>7402777632;7003458353</t>
  </si>
  <si>
    <t>Lin, Feng Ling C.;Kretschmer, Frank F.</t>
  </si>
  <si>
    <t>Lin F.L.C.</t>
  </si>
  <si>
    <t>Angle Measurement in the Presence of Mainbeam Interference</t>
  </si>
  <si>
    <t>10.1109/62.63159</t>
  </si>
  <si>
    <t>2-s2.0-0025516951</t>
  </si>
  <si>
    <t>['wiley company', 'present method', 'inc .,', 'ground plane', 'formulated using', 'dielectric substrate']</t>
  </si>
  <si>
    <t>Hankel domain analysis | Microstrip antenna</t>
  </si>
  <si>
    <t>The circular disk microstrip antenna with an airgap between the dielectric substrate and the ground plane is formulated using the spectral domain method. The complex resonant frequencies of the structure is determined using Galerkin's procedure. Some available experimental data are compared with the present method. Copyright ¬© 1990 Wiley Periodicals, Inc., A Wiley Company</t>
  </si>
  <si>
    <t>391-393</t>
  </si>
  <si>
    <t>60002798;60002798</t>
  </si>
  <si>
    <t>55650871700;55510527400</t>
  </si>
  <si>
    <t>Tam, W. Y.;Luk, K. M.</t>
  </si>
  <si>
    <t>Chinese University of Hong Kong</t>
  </si>
  <si>
    <t>Tam W.</t>
  </si>
  <si>
    <t>Spectral domain analysis of microstrip antennas with an airgap</t>
  </si>
  <si>
    <t>10.1002/mop.4650031108</t>
  </si>
  <si>
    <t>2-s2.0-0025516959</t>
  </si>
  <si>
    <t>['wide bandwidth', 'station antennas', 'radio telescopes', 'particularly suited', 'noise applications', 'low spillover', 'horn suitable']</t>
  </si>
  <si>
    <t>A horn suitable for a prime-focus antenna requiring low cross polarization, wide bandwidth, and low spillover is described. The design is particularly suited for low-noise applications, such as high-quality satellite earth-station antennas and radio telescopes. ¬© 1990 IEEE</t>
  </si>
  <si>
    <t>1898-1900</t>
  </si>
  <si>
    <t>60029470;60029470;60029470</t>
  </si>
  <si>
    <t>35571763900;35571713000;7201399131</t>
  </si>
  <si>
    <t>Thomas, B. Maca;Greene, K. J.;James, G. L.</t>
  </si>
  <si>
    <t>Melbourne</t>
  </si>
  <si>
    <t>Commonwealth Scientific and Industrial Research Organization</t>
  </si>
  <si>
    <t>Thomas B.M.</t>
  </si>
  <si>
    <t>A Wideband Prime-Focus Horn for Low-Noise Receiver Applications</t>
  </si>
  <si>
    <t>10.1109/8.102759</t>
  </si>
  <si>
    <t>2-s2.0-0025517056</t>
  </si>
  <si>
    <t>['wavefront may', 'wavefront across', 'thinned array', 'relatively small', 'phase error', 'pattern characteristics', 'partial coherence', 'main thrust', 'frequency dependence', 'filled array', 'effective beamwidth', 'correlation lengths', 'calculations indicate', 'aperture size', 'antenna gain', '5 rad', '5 km', '30 mhz', '10 km', '1 db']</t>
  </si>
  <si>
    <t>Very large aperture antenna arrays are being planned for future military applications. It is known that due to irregularities in the ionosphere, where the reflection process takes place, the wavefront across such apertures becomes less coherent as the aperture size is increased. The degree of partial coherence of the wavefront may be expressed in terms of two key parameters, the root mean square (rms) value and the spatial correlation length of the phase error. Representation of the mutual coherence function in terms of these parameters is reviewed. The main thrust of this paper is to examine the degradation in the antenna gain and pattern characteristics of a thinned linear array, with 100 elements randomly spaced with a Hamming spatial taper, over a baseline of 10 km, for frequencies from 6 to 30 MHz. These results are then compared with those for a filled linear array having 400 Hamming amplitude weighted elements and a baseline of 10 km. It is found that the effects of a partially coherent wavefront on the thinned array are comparable to those for the filled array in that the loss in gain and main beam broadening are similar. Calculations indicate that for rms phase errors less than 0.5 rad, the loss in gain is relatively small (less than 1 dB) even for correlation lengths as short as 0.5 km. For larger rms phase errors the antenna gain decreases significantly and the effective beamwidth, which includes the filled-in sidelobes, broadens for shorter correlation lengths. The frequency dependence of the gain and beamwidth is found to be similar to that of a filled array. ¬© 1990 IEEE</t>
  </si>
  <si>
    <t>1801-1804</t>
  </si>
  <si>
    <t>60001247;60001247;60001247</t>
  </si>
  <si>
    <t>7005725380;55730085900;35615925000</t>
  </si>
  <si>
    <t>Altshuler, Edward E.;Morris, John B.;Weijers, Bertus</t>
  </si>
  <si>
    <t>Hanscom AFB</t>
  </si>
  <si>
    <t>Altshuler E.E.</t>
  </si>
  <si>
    <t>The Effects of an Ionospherically Induced Partially Coherent Wavefront on the Performance of a Thinned Random Antenna Array</t>
  </si>
  <si>
    <t>10.1109/8.102742</t>
  </si>
  <si>
    <t>2-s2.0-0025517057</t>
  </si>
  <si>
    <t>['wiley company', 'useful form', 'sufficiently available', 'studied theoretically', 'radiation characteristics', 'planar antenna', 'new type', 'inc .,', 'design method', 'broadband characteristic', 'axial ratio', 'array made', 'array element', 'antenna system', '3 db']</t>
  </si>
  <si>
    <t>A new type of electromagnetically coupled planar antenna made of a shielded triplate transmission line is studied and its design method is investigated. To this end: (1) studies are made on the radiation characteristics of the present planar antenna which are important when it is used as an array element. It is found that this planar antenna is sufficiently available as a linearly and circularly polarized array element. (2) The radiation characteristics are studied theoretically and experimentally for the array made of linearly polarized planar antenna elements. It is proven that this type of antenna system can be a useful form for a new type of linearly polarized array. (3) A method of configuration is studied for a circularly polarized array made of this type of planar antenna element. An antenna system is realized which has a broadband characteristic with about 5 percent bandwidth for the axial ratio of less than 3 dB. Copyright ¬© 1990 Wiley Periodicals, Inc., A Wiley Company</t>
  </si>
  <si>
    <t>93-100</t>
  </si>
  <si>
    <t>60028263;;;</t>
  </si>
  <si>
    <t>6603687544;7101817540;36907832300;7404854253</t>
  </si>
  <si>
    <t>Haneishi, Misao;Matsui, Akinori;Nakayama, Masao;Saito, Sakuyoshi</t>
  </si>
  <si>
    <t>Saitama</t>
  </si>
  <si>
    <t>Saitama University</t>
  </si>
  <si>
    <t>Haneishi M.</t>
  </si>
  <si>
    <t>Triplate‚Äêtype planar antenna and its array</t>
  </si>
  <si>
    <t>10.1002/ecja.4410731111</t>
  </si>
  <si>
    <t>2-s2.0-0025517133</t>
  </si>
  <si>
    <t>['spectral domain', 'shielding effectiveness', 'rigorous formulation', 'resonant frequencies', 'plastic cover', 'metallic coating', 'frequency range', 'fcc specifications', 'circuit board', 'appropriate coating', '30 mhz', '1 ghz']</t>
  </si>
  <si>
    <t>A rigorous formulation in the spectral domain is used to investigate the radiation from unterminated traces printed on a circuit board in the frequency range from 30 MHz to 1 GHz. Both the effect of coupling among adjacent traces on the resonant frequencies, and the shielding effectiveness of metallic coating on the plastic cover are analyzed. It is found that the radiation around resonant frequencies is critical to comply with the FCC specifications, and an appropriate coating can resolve the problem. ¬© 1990 IEEE</t>
  </si>
  <si>
    <t>269-276</t>
  </si>
  <si>
    <t>Kiang J.F.</t>
  </si>
  <si>
    <t>On Resonance and Shielding of Printed Traces on a Circuit Board</t>
  </si>
  <si>
    <t>10.1109/15.59886</t>
  </si>
  <si>
    <t>2-s2.0-0025517286</t>
  </si>
  <si>
    <t>['¬© 1990', 'two configurations', 'sulphide dykes', 'receiver separation', 'multiple conductors', 'inline configuration', 'induction prospectors', 'field geophysicists', 'electromagnetic anomalies', 'difficult task', 'conductive media', 'combined use', 'broadside systems', 'broadside configuration', 'analytic approach', 'airborne search']</t>
  </si>
  <si>
    <t>Resolution of electromagnetic anomalies of multiple conductors by analytic approach is quite a difficult task. Electromagnetic scale modeling response curves over two parallel dykes embedded in resistive or conductive media have been obtained by using horizontal loop inline and broadside systems. Previously, it was established that inline configuration can resolve the individual conductor electromagnetically only when the separation between them is greater than or equal to transmitter-receiver separation. Fortunately for field geophysicists, broadside configuration can relax such a limit and resolve the two conductors even when the separation between them is half of transmitter-receiver separation. However, the experimental results recognize that the inline configuration gives a better quantitative idea of identity of the two resolved conductors. A combined use of these two configurations is recommended to the induction prospectors in their ground-based or airborne search of sulphide dykes. ¬© 1990, IEEE.</t>
  </si>
  <si>
    <t>1049-1053</t>
  </si>
  <si>
    <t>;60005720;60005720</t>
  </si>
  <si>
    <t>6506541049;7103049643;7003348086</t>
  </si>
  <si>
    <t>Kakirde, S. T.;Gupta, O. P.;Negi, J. G.</t>
  </si>
  <si>
    <t>Hyderabad</t>
  </si>
  <si>
    <t>National Geophysical Research Institute India</t>
  </si>
  <si>
    <t>Kakirde S.</t>
  </si>
  <si>
    <t>Scale Model Experiments on Optimum Transmitter-Receiver Configurations For Resolution of Electromagnetic Response of Multiple Conductors</t>
  </si>
  <si>
    <t>10.1109/36.62629</t>
  </si>
  <si>
    <t>2-s2.0-0025517294</t>
  </si>
  <si>
    <t>['slots depend', 'desired pattern', 'desired amplitudes', 'active resonance']</t>
  </si>
  <si>
    <t>A technique for the design of nonuniformly spaced waveguide slot arrays is proposed. The slots are in active resonance, and their position is adjusted so that the sources of the array will have the desired amplitudes and phases. The conductances of the slots depend on the desired pattern and the efficiency. Applications on Taylor and cosec2Œ∏ patterns have shown the validity of the method. ¬© 1990 IEEE</t>
  </si>
  <si>
    <t>1780-1783</t>
  </si>
  <si>
    <t>60028442;60028442;60028442</t>
  </si>
  <si>
    <t>7005735225;7201475873;6701854117</t>
  </si>
  <si>
    <t>Picazo, J. J.Gonzalez;Calvo, M.;Besada, J. L.</t>
  </si>
  <si>
    <t>Picazo J.J.G.</t>
  </si>
  <si>
    <t>On the Design of Nonuniformly Spaced Slot Arrays</t>
  </si>
  <si>
    <t>10.1109/8.102739</t>
  </si>
  <si>
    <t>2-s2.0-0025518952</t>
  </si>
  <si>
    <t>['superior performance', 'signals arriving', 'overestimate even', 'modified criteria', 'moderate snr', 'mdl criterion', 'important problem', 'high snr', 'aic tends', 'accurate estimates']</t>
  </si>
  <si>
    <t>An important problem in high resolution array processing is the determination of the number of signals arriving at the array. Information theoretic criteria provide us with a means to achieve this. Two commonly used criteria are the Akaike information criterion (AIC) and minimum descriptive length (MDL) criterion. While the AIC tends to overestimate even at high SNR, the MDL criterion tends to underestimate at low or moderate SNR. By excluding irrelevant parameters, a new log likelihood function has been chosen in this paper. Utilizing this new log likelihood function results in obtaining a set of more accurate estimates of the eigenvalues and in the establishment of modified information theoretic criteria which moderate the performance of the AIC and the MDL criterion. Computer simulations confirm that the modified criteria have superior performance. ¬© 1990 IEEE</t>
  </si>
  <si>
    <t>1959-1971</t>
  </si>
  <si>
    <t>60031828;60031828;60031828;60031828</t>
  </si>
  <si>
    <t>7404759001;7406720850;26645120100;7102503740</t>
  </si>
  <si>
    <t>Wong, Kon Max;Zhang, Qi Tu;Reilly, James P.;Yip, P. C.</t>
  </si>
  <si>
    <t>Hamilton</t>
  </si>
  <si>
    <t>McMaster University</t>
  </si>
  <si>
    <t>Wong K.M.</t>
  </si>
  <si>
    <t>On Information Theoretic Criteria for Determining the Number of Signals in High Resolution Array Processing</t>
  </si>
  <si>
    <t>10.1109/29.103097</t>
  </si>
  <si>
    <t>2-s2.0-0025518965</t>
  </si>
  <si>
    <t>['wiley company', 'input impedance', 'inc .,', 'dipole antennas', 'closely related']</t>
  </si>
  <si>
    <t>Dipole antennas | input impedance | moment method | source models</t>
  </si>
  <si>
    <t>The moment method computation of the input impedance of dipole antennas, obtained using numerically generated source models which are more closely related to the actual physical shape of the antenna feed region, are discussed. Copyright ¬© 1990 Wiley Periodicals, Inc., A Wiley Company</t>
  </si>
  <si>
    <t>396-398</t>
  </si>
  <si>
    <t>57191002187;57203176700</t>
  </si>
  <si>
    <t>Rensburg, Danieul J.Janse;McNamara, Derek A.</t>
  </si>
  <si>
    <t>Rensburg D.J.J.</t>
  </si>
  <si>
    <t>On quasi‚Äêstatic source models for wire dipole antennas</t>
  </si>
  <si>
    <t>10.1002/mop.4650031110</t>
  </si>
  <si>
    <t>2-s2.0-0025519004</t>
  </si>
  <si>
    <t>['wiley company', 'various parameters', 'thermal resistant', 'relative permittivity', 'radiation pattern', 'radiation characteristics', 'present antenna', 'paper describes', 'optimum design', 'monopole buried', 'mechanically strong', 'magnetic plane', 'inc .,', 'considered useful', 'configuration also', 'computed numerically', 'broad range', 'back side', 'aperture angle', 'antenna element', 'antenna based', '2290 mhz']</t>
  </si>
  <si>
    <t>The radiation pattern of a major angle corner reflector in the magnetic plane is close to uniform in a broad range (broad radiation pattern) and a reasonable front‚Äêto‚Äêback ratio can be obtained. Since the configuration also is simple, it is considered useful as a rocket‚Äêborne antenna. This paper describes the development of the antenna based on a dipole with a major angle corner reflector as an S band (2290 MHz) rocket‚Äêborne antenna. To satisfy the conditions (small, lightweight, mechanically strong and thermal resistant) for a rocket‚Äêborne antenna, the antenna element is made of a monopole buried in teflon (with a relative permittivity of œµr = 2) so that the structure is small. The radiation characteristics with respect to various parameters are computed numerically for a basic major angle corner reflector antenna. Based on this result, the radiation characteristics with respect to the aperture angle of the experimental model antenna are derived. From these results and the conditions for the rocket‚Äêborne antenna, an optimum design is carried out. From the experiment, it is confirmed that the present antenna has an extremely broad radiation pattern and a superior radiation characteristic to the back side of the rocket. Copyright ¬© 1990 Wiley Periodicals, Inc., A Wiley Company</t>
  </si>
  <si>
    <t>101-110</t>
  </si>
  <si>
    <t>100340532;100340532;100340532</t>
  </si>
  <si>
    <t>7102644268;7402185451;23030809700</t>
  </si>
  <si>
    <t>Kamata, Yukio;Ichikawa, Mituru;Hayashi, Tomonao</t>
  </si>
  <si>
    <t>Inst. of Space and Aero. Science</t>
  </si>
  <si>
    <t>Kamata Y.</t>
  </si>
  <si>
    <t>A rocket‚Äêborne antenna consisting of a monopole and a major angle corner reflector</t>
  </si>
  <si>
    <t>10.1002/ecja.4410731112</t>
  </si>
  <si>
    <t>2-s2.0-0025519239</t>
  </si>
  <si>
    <t>GTE850611</t>
  </si>
  <si>
    <t>['¬© 1990', 'variability near', 'urban environment', 'typically found', 'two features', 'ten wavelengths', 'suburban environments', 'street level', 'signal levels', 'sector averages', 'sector average', 'rise buildings', 'received signal', 'observed distribution', 'normal distribution', 'measured values', 'corresponding coefficients', 'building height', 'building construction', 'approximately log']</t>
  </si>
  <si>
    <t>When the UHF signal received by an antenna at street level is averaged over a distance on the order of ten wavelengths, the result is referred to as the sector average. Measurements in city and suburban environments, but away from high-rise buildings, have typically found that these sector averages vary randomly with approximately log-normal distribution. In this study we show that the observed distribution of sector averages can be explained by two features of the urban environment, the first of which is variations of building height. The second feature consists of differences in building construction and design, and the presence of foliage. These sources of variation are independent and act in cascade, so that the received signal is a product of the corresponding coefficients. The cascading of these two randomly distributed coefficients leads to a distribution of signal levels that is close to log-normal and that has a 5‚Äì95% variability near to measured values. ¬© 1990, IEEE</t>
  </si>
  <si>
    <t>352-358</t>
  </si>
  <si>
    <t>60108318-60023456;60108318</t>
  </si>
  <si>
    <t>35617042200;7005129354</t>
  </si>
  <si>
    <t>Chrysanthou, Chrysanthos;Bertoni, Henry L.</t>
  </si>
  <si>
    <t>New York;Piscataway</t>
  </si>
  <si>
    <t>NYU Tandon School of Engineering;Telcordia Technologies, Inc.</t>
  </si>
  <si>
    <t>60108318;60023456</t>
  </si>
  <si>
    <t>Chrysanthou C.</t>
  </si>
  <si>
    <t>Variability of Sector Averaged Signals for UHF Propagation in Cities</t>
  </si>
  <si>
    <t>10.1109/25.61356</t>
  </si>
  <si>
    <t>2-s2.0-0025519356</t>
  </si>
  <si>
    <t>['surface waves', 'many years', 'formula may', 'formula holds', 'angular locations']</t>
  </si>
  <si>
    <t>A simple and reasonably accurate formula for the angular locations of traveling wave lobes has been available for many years, but the formula holds only for surface waves that travel at the speed of light. It is shown how the formula may be modified to account for propagation velocities less than the speed of light. ¬© 1990 IEEE</t>
  </si>
  <si>
    <t>1859-1862</t>
  </si>
  <si>
    <t>Knott, Eugene F.</t>
  </si>
  <si>
    <t>Boeing Corporation</t>
  </si>
  <si>
    <t>Knott E.</t>
  </si>
  <si>
    <t>Traveling Wave Lobe Locations</t>
  </si>
  <si>
    <t>10.1109/8.102751</t>
  </si>
  <si>
    <t>2-s2.0-0025519495</t>
  </si>
  <si>
    <t>JPL</t>
  </si>
  <si>
    <t>['¬© 1990', 'values measured', 'upon using', 'talk factors', 'simultaneously calibrating', 'reciprocity relations', 'radar system', 'practical technique', 'polarization isolation', 'polarization channels', 'passive network', 'paper introduces', 'orientation independent', 'metal sphere', 'free space', 'coupling terms', 'conducting sphere', 'calibration technique', 'calibration measurement', 'calibrating single', 'antenna system', 'achieved using', '50 db', '5 ¬∞', '4 db', '25 db']</t>
  </si>
  <si>
    <t>This paper introduces a practical technique for calibrating single-antenna Polarimetric radar systems. With this technique, only a single calibration target, such as a conducting sphere or a trihedral corner reflector, is needed to calibrate the radar system, both in amplitude and phase, for all linear polarization configurations. By using a metal sphere, which is orientation independent, error in calibration measurement is minimized while simultaneously calibrating the cross-polarization channels. The antenna system and two orthogonal channels (in free space) are modeled as a four-port passive network. Upon using the reciprocity relations for the passive network and assuming the cross-coupling terms of the antenna to be equal, the cross-talk factors of the antenna system and the transmit and receive channel imbalances can be obtained from measurement of the backscatter from a metal sphere. For an X-band radar system with cross-polarization isolation of 25 dB, comparison of values measured for a sphere and a cylinder with theoretical values shows agreement within 0.4 dB in magnitude and 5¬∞ in phase. Also, an effective polarization isolation of 50 dB is achieved using this calibration technique. ¬© 1990, IEEE.</t>
  </si>
  <si>
    <t>1022-1033</t>
  </si>
  <si>
    <t>35585913500;7103159953</t>
  </si>
  <si>
    <t>Sarabandi, Kamal;Ulaby, Fawwaz T.</t>
  </si>
  <si>
    <t>A Convenient Technique For Polarimetric Calibration of Single-Antenna Radar Systems</t>
  </si>
  <si>
    <t>10.1109/36.62627</t>
  </si>
  <si>
    <t>2-s2.0-0025519542</t>
  </si>
  <si>
    <t>['radiating systems', 'radiating system', 'nearfield phase', 'nearfield amplitude', 'measurement surfaces', 'main difficulties', 'high enough', 'farfield reconstruction', 'far field', 'developed algorithm']</t>
  </si>
  <si>
    <t>The possibility of determining the far field of radiating systems by measuring only the nearfield amplitude is investigated. The main difficulties of the problem are examined in some detail and a new nearfield farfield transformation technique is developed, based on the measurement of the nearfield amplitude over two surfaces surrounding the antenna under test. The accuracy of the farfield reconstruction results to be related both to the distance between such surfaces and to some a priori information concerning the nearfield phase and/or the radiating system. The information on the radiating system allows to relax the need of any information on the nearfield phase provided that the distance between the measurement surfaces is high enough. Conversely, the knowledge of a more or less corrupted nearfield phase allows to reduce such distance without affecting the accuracy of the farfield reconstruction. Numerical examples validating the effectiveness of the developed algorithm are provided for the planar scanning case. ¬© 1990 IEEE</t>
  </si>
  <si>
    <t>1772-1779</t>
  </si>
  <si>
    <t>60017293;60017293;60007061;60007061</t>
  </si>
  <si>
    <t>7006499276;7103082097;56963446400;7005281565</t>
  </si>
  <si>
    <t>Bucci, Ovidio M.;D'Elia, Giuseppe;Leone, Giovanni;Pierri, Rocco</t>
  </si>
  <si>
    <t>Naples;Salerno</t>
  </si>
  <si>
    <t>Universit√† degli Studi di Napoli Federico II;Universit√† degli Studi di Salerno</t>
  </si>
  <si>
    <t>60017293;60007061</t>
  </si>
  <si>
    <t>Bucci O.M.</t>
  </si>
  <si>
    <t>Farfield Pattern Determination from the Nearfield Amplitude on Two Surfaces</t>
  </si>
  <si>
    <t>10.1109/8.102738</t>
  </si>
  <si>
    <t>2-s2.0-0025521008</t>
  </si>
  <si>
    <t>['useful dimensions', 'te10 mode', 'shunt admittance', 'rectangular waveguide', 'internal forward', 'experimental results', 'excited internally', 'design arrays', 'composite element', 'backward scattering']</t>
  </si>
  <si>
    <t>An untilted narrow wall slot, cut between a pair of tilted strips inside a rectangular waveguide, has been analyzed. The combination is excited internally by a TE10 mode and the slot radiates externally. This slot/tilted-strips element behaves like a shunt admittance on an equivalent transmission line. This feature can be utilized to design arrays of such slots. Coupled integral equations are derived and solved, using the method of moments, to obtain the slot aperture E-field and the internal forward and backward scattering. Numerical and experimental results are presented to validate the method and to discover the range of useful dimensions for this composite element. ¬© 1990 IEEE</t>
  </si>
  <si>
    <t>1737-1745</t>
  </si>
  <si>
    <t>60003892;60027550</t>
  </si>
  <si>
    <t>7801630479;57220065537</t>
  </si>
  <si>
    <t>Hashemi-Yeganeh, Shahrokh;Elliott, Robert S.</t>
  </si>
  <si>
    <t>Los Angeles;Tempe</t>
  </si>
  <si>
    <t>University of California, Los Angeles;Arizona State University</t>
  </si>
  <si>
    <t>60027550;60003892</t>
  </si>
  <si>
    <t>Hashemi-Yeganeh S.</t>
  </si>
  <si>
    <t>Analysis of Untilted Edge Slots Excited by Tilted Wires</t>
  </si>
  <si>
    <t>10.1109/8.102734</t>
  </si>
  <si>
    <t>2-s2.0-0025521009</t>
  </si>
  <si>
    <t>['wiley company', 'rigorous analysis', 'proper choice', 'measured responses', 'inc .,', 'excellent agreement', 'analysis includes', '20 %.']</t>
  </si>
  <si>
    <t>Microstrip antenna | spectral‚Äêdomain</t>
  </si>
  <si>
    <t>A rigorous analysis of an aperture‚Äêcoupled stacked microstrip antenna is described. Developed from a coupled integral equation set employing spectral‚Äêdomain Green's functions, the analysis includes all coupling, radiation, and surface‚Äêwave effects. Proper choice of the path dimensions yielded VSWR bandwidths of greater than 20%. Theoretical and measured responses are shown to be in excellent agreement. Copyright ¬© 1990 Wiley Periodicals, Inc., A Wiley Company</t>
  </si>
  <si>
    <t>400-404</t>
  </si>
  <si>
    <t>7501662188;15123408500;6602956219;7006562937</t>
  </si>
  <si>
    <t>Wu, Chen;Wang, Jian;Fralich, Russell;Litva, John</t>
  </si>
  <si>
    <t>Wu C.</t>
  </si>
  <si>
    <t>A rigorous analysis of an aperture‚Äêcoupled stacked microstrip antenna</t>
  </si>
  <si>
    <t>10.1002/mop.4650031112</t>
  </si>
  <si>
    <t>2-s2.0-0025521024</t>
  </si>
  <si>
    <t>['small number', 'phased array', 'made controllable', 'length less', 'external jammers', 'effectively utilized', 'certain elements', 'array elements', 'adaptively weighted']</t>
  </si>
  <si>
    <t>A partially adaptive array is one in which elements of a phased array are controlled or adaptively weighted in groups or in which certain elements, called auxiliary elements, are made controllable. Mathematically this type of array is formed by transforming all of the elements of an array by a nonsquare matrix whereby the resultant output vector has a length less than the number of array elements. It is shown that there is an equivalent matrix transform which can be effectively utilized in analyzing the partially adaptive array performance when a small number of external jammers are present. ¬© 1990 IEEE</t>
  </si>
  <si>
    <t>1031-1034</t>
  </si>
  <si>
    <t>Correspondence Equivalent Tranformation For A Partially Adative Array</t>
  </si>
  <si>
    <t>10.1109/7.62255</t>
  </si>
  <si>
    <t>2-s2.0-0025521101</t>
  </si>
  <si>
    <t>['various search', 'target detection', 'signal processing', 'radar operation', 'performing measurements', 'pattern shaping', 'multifunction operation', 'localization tasks', 'improved possibilities', 'flexible control', 'experimental results', 'different types', 'different means']</t>
  </si>
  <si>
    <t>An update of a phased array radar research project with the experimental system ELRA is given with respect to the extended and improved possibilities for performing measurements and evaluations for different types of radar operation. The variability of waveforms for solid state transmitters is described. A flexible control of multifunction operation with various search and localization tasks is achieved with a network of microcomputers. Different means of signal processing are used for target detection and estimation. The active receiving array is divided into subarrays and offers digital beamforming for pattern shaping and adaptive jammer suppression. Experimental results are presented for illustration. ¬© 1990 IEEE</t>
  </si>
  <si>
    <t>26-30</t>
  </si>
  <si>
    <t>60005811;60005811;60005811</t>
  </si>
  <si>
    <t>6507085686;7103364248;7103398926</t>
  </si>
  <si>
    <t>Gr√∂ger, I.;Sander, W.;Wirth, W. D.</t>
  </si>
  <si>
    <t>Fraunhofer-Gesellschaft</t>
  </si>
  <si>
    <t>Gr√∂ger I.</t>
  </si>
  <si>
    <t>Experimental Phased Array Radar ELRA with Extended Flexibility</t>
  </si>
  <si>
    <t>10.1109/62.63160</t>
  </si>
  <si>
    <t>2-s2.0-0025521116</t>
  </si>
  <si>
    <t>['wiley company', 'thin wire', 'singular efie', 'nystrom method', 'numerical solutions', 'numerical solution', 'inc .,']</t>
  </si>
  <si>
    <t>integral equation | numerical method | Wire antennas</t>
  </si>
  <si>
    <t>Numerical solutions to the electric‚Äêfield integral equation (EFIE) for a thin wire are obtained by a Nystrom method. The singular EFIE is treated by subtraction of the singularity and a thin‚Äêwire integral equation convenient for numerical solution is obtained. Solutions for exact and approximate EFIE kernels are compared. Copyright ¬© 1990 Wiley Periodicals, Inc., A Wiley Company</t>
  </si>
  <si>
    <t>393-396</t>
  </si>
  <si>
    <t>Kot, John S.</t>
  </si>
  <si>
    <t>Kot J.</t>
  </si>
  <si>
    <t>Solution of thin‚Äêwire integral equations by nystrom methods</t>
  </si>
  <si>
    <t>10.1002/mop.4650031109</t>
  </si>
  <si>
    <t>2-s2.0-0025521132</t>
  </si>
  <si>
    <t>['weak sources', 'sphericity tests', 'sphericity test', 'sources present', 'resolution capabilities', 'much work', 'known algorithm', 'correlation matrix', 'correct estimate', 'closely spaced', 'asymptotic chi', 'acoustic field', 'accurate estimate', '3 ],']</t>
  </si>
  <si>
    <t>A prerequisite for many high resolution bearing estimation algorithms is an accurate estimate of the number of sources present in the acoustic field. The sphericity test is a well-known algorithm for estimating the number of sources from the eigenvalues of the spatial correlation matrix of the array. Much work has been done on the sphericity test for when the correlation matrix is real [3], [8]; however, for array processing applications the spatial correlation matrix is complex and there has been some confusion in the literature as to the appropriate sphericity test statistic. A new sphericity test statistic is proposed for the complex case whose distribution approaches the asymptotic chi-squared distribution much faster than previously proposed statistics, especially for situations in which the sources are very difficult to detect, such as closely spaced or weak sources. Consequently, the probability of a correct estimate is superior to those resulting from other sphericity tests. The capability of this new sphericity test to detect closely spaced sources is examined and compared to the resolution capabilities of bearing estimation algorithms as well as other well-known source detection algorithms. ¬© 1990 IEEE</t>
  </si>
  <si>
    <t>2008-2014</t>
  </si>
  <si>
    <t>60005286;60005286</t>
  </si>
  <si>
    <t>35576829300;7406823140</t>
  </si>
  <si>
    <t>Williams, Douglas B.;Johnson, Don H.</t>
  </si>
  <si>
    <t>Rice University</t>
  </si>
  <si>
    <t>Williams D.</t>
  </si>
  <si>
    <t>Using the Sphericity Test for Source Detection with Narrow-Band Passive Arrays</t>
  </si>
  <si>
    <t>10.1109/29.103104</t>
  </si>
  <si>
    <t>2-s2.0-0025521431</t>
  </si>
  <si>
    <t>['‚ äúadd', 'successfully applied', 'slot array', 'scattering process', 'remains unchanged', 'rapidly predict', 'rapid estimation', 'plate geometries', 'planar geometries', 'numerical results', 'introduced recently', 'including one', 'important feature', 'g .,', 'either intentionally', 'current distribution', 'considerable interest', 'communication antenna', 'arbitrary plates', 'addressed using']</t>
  </si>
  <si>
    <t>In designing radar targets, it is often of considerable interest to rapidly predict the changes in the radar cross section (RCS) characteristics of the target as its geometry is modified, either intentionally to reduce its RCS or, for instance, to accommodate a communication antenna, e.g., a slot array. In this paper, this problem of rapid estimation of the effect of perturbing a thin plate structure is addressed using the ‚Äúadd-on‚Äù technique, which was introduced recently by Kastner. An important feature of this method is its ability to make efficient use of previously computed results for the current distribution on a portion of the scatterer that remains unchanged as the geometry of the plate is modified. The procedure, which has been successfully applied to large irregular strip arrays and to a class of planar geometries that introduce negligible crosspolarization effects in the scattering process, is extended in this work to apply to arbitrary plates. In order to demonstrate the versatility of the method, numerical results are given for a number of plate geometries, including one with apertures. ¬© 1990 IEEE</t>
  </si>
  <si>
    <t>1729-1736</t>
  </si>
  <si>
    <t>7004638528;55197051100</t>
  </si>
  <si>
    <t>Kastner, Raphael;Mittra, Raj</t>
  </si>
  <si>
    <t>Kastner R.</t>
  </si>
  <si>
    <t>An Incremental ‚ÄúAdd-On‚Äù Approach to Determining the Effect of Modification of the Geometry of a Thin Plate on Its Electromagnetic Scattering Properties</t>
  </si>
  <si>
    <t>10.1109/8.102733</t>
  </si>
  <si>
    <t>2-s2.0-0025521830</t>
  </si>
  <si>
    <t>['wiley company', 'simultaneous observations', 'radio astronomy', 'polarization degree', 'nro ),', 'measured characteristics', 'little distortion', 'inc .,', 'good agreement', 'fabricated fss', 'conducting array', 'circular polarization', 'calculated ones', '6 db', '5 percent']</t>
  </si>
  <si>
    <t>Frequency selective surfaces (FSS) have been developed for applications to the 45‚Äêm telescope of the Nobeyama Radio Observatory (NRO), the National Astronomical Observatory (NAO), Japan, for simultaneous observations of radio astronomical sources at the 40‚Äê and 80‚ÄêGHz bands. The Jerusalem‚Äêcross array configuration has been used for the conducting array. The designed characteristics satisfy requirements for radio astronomy: small insertion losses and little distortion of polarization. The measured characteristics were in good agreement with the calculated ones. The fabricated FSS has low insertion loss of 0.1 and 0.6 dB at the 40‚Äê and 80‚ÄêGHz bands, respectively. It was found that the distortion of circular polarization is not significant for polarized radio astronomical sources of polarization degree of more than 5 percent. The characteristics of the developed FSS satisfy solar radio astronomical requirements. Copyright ¬© 1990 Wiley Periodicals, Inc., A Wiley Company</t>
  </si>
  <si>
    <t>85-92</t>
  </si>
  <si>
    <t>60025272;60029701;101479009</t>
  </si>
  <si>
    <t>6601905632;8506639100;7004699006</t>
  </si>
  <si>
    <t>Irimajiri, Yoshihisa;Takano, Toshiaki;Tokumaru, Munetoshi</t>
  </si>
  <si>
    <t>Mitaka;Tokyo;Nakaminato</t>
  </si>
  <si>
    <t>National Institutes of Natural Sciences - National Astronomical Observatory of Japan;The University of Tokyo;Communications Research Laboratory</t>
  </si>
  <si>
    <t>60029701;60025272;101479009</t>
  </si>
  <si>
    <t>Irimajiri Y.</t>
  </si>
  <si>
    <t>Frequency selective surfaces for radio astronomy‚Äìcharacteristics of 40/80‚Äêghz fss</t>
  </si>
  <si>
    <t>10.1002/ecja.4410731110</t>
  </si>
  <si>
    <t>2-s2.0-0025521938</t>
  </si>
  <si>
    <t>['‚ äôs', 'working level', 'visitor register', 'telephone conversations', 'sperry plant', 'sizable number', 'sequential numbers', 'section ii', 'san carlos', 'register entries', 'recently donated', 'potential applications', 'november 5', 'november 1940', 'names refer', 'mechanically suitable', 'living today', 'knowledgeable individuals', 'june 27', 'interest shifted', 'individuals identified', 'historical mosaic', 'held promise', 'growing threat', 'global conflict', 'first manufactured', 'filling needs', 'fascinating crossroads', 'electron tubes', 'design details', 'created around', 'compact antennas', 'became manager', 'among scientists', 'aircraft navigation', '12 employees', '115 visitors', '115 individuals']</t>
  </si>
  <si>
    <t>An 18-month ‚Äúwindow in time.‚Äù June 1939 to November 1940, is provided by the Visitor Register of the Sperry Gyroscope Company plant in San Carlos, California, where the klystron electron tube was first manufactured. This register was recently donated to the Stanford University Archives [1] by William T. Cooke, who became manager of the Sperry Gyroscope Company klystron project in 1938. The klystron electron tube is significant in being the first microwave source that was both electrically and mechanically suitable for use in systems. A few of the visitors to the Sperry plant were experts in electron tubes, and were interested in the structure and design details of klystrons. Most of them, however, were interested in potential applications of the emerging microwave technology, represented by the klystron electron tube, waveguide, and compact antennas, which held promise for filling needs in aircraft navigation and instrument landing systems. In 1940 the interest shifted to include urgent needs for microwave radar systems to meet the growing threat of global conflict. The small Sperry facility in San Carlos never had more than 12 employees, but it was a fascinating crossroads for visitors with widely different levels of interest and responsibility. In fact, the list of visitors reads like a who‚Äôs who among scientists, engineers, and others in academic, government, military, and industrial positions‚Äîfrom top executive to the working level. The Visitor Register is reproduced in Fig. 1, with the entries sequentially numbered. Register entries are transcribed in Fig. 2. All but a few of the names have been deciphered and most of the individuals identified. In the text, the numbers in parentheses after names refer to the sequential numbers. The 121 entries date from June 27, 1939, to November 5, 1940. There are 115 individuals, six of them having made two visits. It is known that not all visitors‚Äîespecially local ones‚Äîsigned the register. A sizable number of the 115 visitors to the Sperry plant are living today, and much valuable information was obtained from them in correspondence, visits, and telephone conversations. This information has been combined with information from other knowledgeable individuals and from publications. The result, presented in Section II, forms a historical mosaic, created around the individuals who signed the Visitor Register and who played important roles in bringing new systems and equipment into being between 1940 and 1945. The background to this activity is given in Section I. ¬© 1990 IEEE</t>
  </si>
  <si>
    <t>1545-1558</t>
  </si>
  <si>
    <t>Bryant, John H.</t>
  </si>
  <si>
    <t>Bryant J.H.</t>
  </si>
  <si>
    <t>Microwave Technology and Careers in Transition: The Interests and Activities of Visitors to the Sperry Gyroscope Company‚Äôs Klystron Plant in 1939‚Äì1940</t>
  </si>
  <si>
    <t>10.1109/22.59999</t>
  </si>
  <si>
    <t>2-s2.0-0025522067</t>
  </si>
  <si>
    <t>['squares algorithms', 'slc ),', 'signal environment', 'priori knowledge', 'new algorithms', 'narrowband zero', 'friendly look', 'first algorithm', 'equality constraint', 'direction signal', 'artificial injection', 'array imperfections', 'adaptive manner']</t>
  </si>
  <si>
    <t>Two new constrained deterministic least-squares algorithms are presented which are capable of enabling a Narrowband zero-order generalized sidelobe canceller (SLC), in the presence of array imperfections, to null out jammers while preserving the friendly look-direction signal with minimal a priori knowledge of the signal environment. Generally, the new algorithms are capable of solving deterministic least-squares optimization problems subject to an equality constraint in an iterative, adaptive manner by imposing a ‚Äúsoft‚Äù constraint via the quadratic penalty function optimization method. The first algorithm is based on the matrix inversion lemma while the second is obtained by means of QR-decomposition using new ‚Äúthree-dimensional‚Äù Givens rotations and implemented with a unique systolic array architecture. These new constrained algorithms improve system performance when an artificial injection of a receiver noise vector is introduced. ¬© 1990 IEEE</t>
  </si>
  <si>
    <t>1874-1878</t>
  </si>
  <si>
    <t>Najm, Wassim G.</t>
  </si>
  <si>
    <t>Najm W.G.</t>
  </si>
  <si>
    <t>Communications: Constrained Least Squares in Adaptive, Imperfect Arrays</t>
  </si>
  <si>
    <t>10.1109/8.102753</t>
  </si>
  <si>
    <t>2-s2.0-0025522089</t>
  </si>
  <si>
    <t>['scattering problem', 'present communication', 'exact solution', 'alternative derivation']</t>
  </si>
  <si>
    <t>The purpose of the present communication is to present an alternative derivation of the exact solution to the scattering problem in which a Hertz dipole illuminates a perfectly conducting plane angular sector. ¬© 1990 IEEE</t>
  </si>
  <si>
    <t>1892-1894</t>
  </si>
  <si>
    <t>Hansen, Thorkild B.</t>
  </si>
  <si>
    <t>Lyngby</t>
  </si>
  <si>
    <t>Danmarks Tekniske Universitet</t>
  </si>
  <si>
    <t>Hansen T.B.</t>
  </si>
  <si>
    <t>Diffraction by a Plane Angular Sector, A New Derivation</t>
  </si>
  <si>
    <t>10.1109/8.102757</t>
  </si>
  <si>
    <t>2-s2.0-0025522189</t>
  </si>
  <si>
    <t>['would seem', 'vertical polarization', 'undesirable effects', 'tunable dipoles', 'tunable dipole', 'shortened dipole', 'scan range', 'prudent choice', 'nonuniform illumination', 'long length', 'broadband biconical', 'biconical antenna', 'antenna height', 'antenna factor', 'anechoic chambers', '80 mhz']</t>
  </si>
  <si>
    <t>The long length of tunable dipoles at the lower frequencies results in undesirable mutual coupling effects, nonuniform illumination of the antenna at shorter measurement distances, and limitations on the antenna height-scan range for vertical polarization. Because of their size, tunable dipoles cannot be used in many indoor sites and anechoic chambers. In order to avoid these limitations and undesirable effects, some standards bodies recommend that for frequencies below 80 MHz, the length of the dipole should be fixed at the 80-MHz tuned length. In this paper, measured antenna factors of three tunable dipoles adjusted to their 80-MHz tuned length are compared with the antenna factor of a broadband biconical. Since the antenna factor of a biconical antenna is lower and exhibits less frequency dependence than a shortened dipole, and since a biconical can be calibrated just as accurately as a shortened dipole or tunable dipole, it would seem to be the prudent choice for an antenna in the 30-to-200-MHz frequency range. ¬© 1990 IEEE</t>
  </si>
  <si>
    <t>307-308</t>
  </si>
  <si>
    <t>Smith, Albert A.</t>
  </si>
  <si>
    <t>Armonk</t>
  </si>
  <si>
    <t>International Business Machines</t>
  </si>
  <si>
    <t>Smith A.</t>
  </si>
  <si>
    <t>Measured Antenna Factors in the Range of 30 to 80 MHz of Some Tunable Dipoles Adjusted to Their 80-MHz Length</t>
  </si>
  <si>
    <t>10.1109/15.59893</t>
  </si>
  <si>
    <t>2-s2.0-0025522272</t>
  </si>
  <si>
    <t>['vertical polarizations', 'transmission loss', 'theoretically concluded', 'test site', 'site validation', 'original concept', 'nsa measurements', 'nsa may', 'nsa ),', 'mutual impedances', 'ansi standard']</t>
  </si>
  <si>
    <t>The ANSI standard for EMI measurements requires a test site to be validated by measuring normalized site attenuation (NSA), which is a type of transmission loss between two antennas placed at the test site. Investigations are carried out to find rigorous formulae for NSA, which can apply to both horizontal and vertical polarizations. They are obtained in terms of the self and mutual impedances between the antennas. The NSA measurements are found to be appropriate for site validation when using broadband antennas having constant antenna factors. On the contrary, it is theoretically concluded that the original concept of the NSA may not be applicable to the use of tuned dipole antennas, even by adopting the correction factors specified in the existing ANSI standard. NSA requires different correction factors if the antennas have changeable antenna factors. ¬© 1990 IEEE</t>
  </si>
  <si>
    <t>257-263</t>
  </si>
  <si>
    <t>Sugiura, Akira</t>
  </si>
  <si>
    <t>Koganei</t>
  </si>
  <si>
    <t>Ministry of Posts and Telecommunications, Japan</t>
  </si>
  <si>
    <t>Sugiura A.</t>
  </si>
  <si>
    <t>Formulation of Normalized Site Attenuation in Terms of Antenna Impedances</t>
  </si>
  <si>
    <t>10.1109/15.59884</t>
  </si>
  <si>
    <t>2-s2.0-0025522273</t>
  </si>
  <si>
    <t>['transmitter operation', 'time resolution', 'thz pulses', 'thz beam', 'subpicosecond pulses', 'sampling mode', 'repetition rate', 'receiver operates', 'noise ratio', 'laser source', 'integration time', 'average power', '5 ps', '125 ms', '100 mhz']</t>
  </si>
  <si>
    <t>We describe the performance of an optoelectronic THz beam system. The transmitter operation is based on the repetitive, subpicosecond laser excitation of a Hertzian dipole antenna embedded in a charged coplanar line. With this transmitter electromagnetic beams of 1 /2 cycle THz pulses at a repetition rate of 100 MHz are produced. The associated optoelectronic receiver is gated in synchronism with the excitation of the transmitter by subpicosecond pulses from the same laser source. With this receiver, the 10 nW beams of THz pulses were observed with a signal-to-noise ratio greater than 10000:1. Several sources contributing to the noise of the receiver are discussed, together with ways to reduce them. With an integration time of 125 ms, a signal-to-noise ratio of 1 is obtained for a THz beam with an average power of 10 ~&lt;sup&gt;16&lt;/sup&gt;W. The receiver operates in the sampling mode and has a time resolution of 0.5 ps. ¬© 1990 IEEE</t>
  </si>
  <si>
    <t>1684-1691</t>
  </si>
  <si>
    <t>60017366;60017366</t>
  </si>
  <si>
    <t>7005222290;7005233382</t>
  </si>
  <si>
    <t>van Exter, Martin;Grischkowsky, Daniel R.</t>
  </si>
  <si>
    <t>van Exter M.</t>
  </si>
  <si>
    <t>Characterization of an Optoelectronic Terahertz Beam System</t>
  </si>
  <si>
    <t>10.1109/22.60016</t>
  </si>
  <si>
    <t>2-s2.0-0025522284</t>
  </si>
  <si>
    <t>['wave approach', 'wall sections', 'surface current', 'rooftop currents', 'polarization current', 'numerical convergence', 'microstrip structures', 'matrix elements', 'later applied', 'involve finite', 'interlocking thin', 'first approximated', 'field locations', 'dielectric cubes', 'depending upon', 'conductor structures', 'composite dielectric', 'appropriately placed', 'also used', 'accurately represent']</t>
  </si>
  <si>
    <t>A full-wave approach is presented for calculating the scattered fields produced by structures that involve finite-size dielectric regions. The dielectric is first approximated by an array of interlocking thin-wall sections; the electric field boundary conditions are later applied through the use of appropriate surface impedances. Rooftop basis functions, chosen to represent the surface current, are appropriately placed on the thin-wall sections in such a way as to accurately represent the polarization current while preventing fictitious charge within the dielectric. Rooftop currents are also used to represent the current on any conductor that may be present. The matrix elements are calculated, depending upon the distance between the source and field locations, through a scheme that employs Taylor series expansions and point source approximations. The technique is applied to scattering from dielectric cubes and composite dielectric-conductor structures, and to radiation from microstrip structures. Numerical convergence and agreement with the literature are demonstrated. ¬© 1990 IEEE</t>
  </si>
  <si>
    <t>1863-1873</t>
  </si>
  <si>
    <t>7201761344;6602667372</t>
  </si>
  <si>
    <t>Rubin, Barry J.;Daijavad, Shahrokh</t>
  </si>
  <si>
    <t>Rubin B.</t>
  </si>
  <si>
    <t>Radiation and Scattering from Structures Involving Finite-Size Dielectric Regions</t>
  </si>
  <si>
    <t>10.1109/8.102752</t>
  </si>
  <si>
    <t>2-s2.0-0025522693</t>
  </si>
  <si>
    <t>Boeing</t>
  </si>
  <si>
    <t>['wave frequencies', 'various concentrations', 'sensitive parameter', 'reflection properties', 'random distribution', 'optical rotation', 'miniature helices', 'metal spheres', 'known phenomenon', 'handed springs', 'experimental papers', 'equal mixture', 'dielectric composites', 'could isolate', 'composite slabs', 'chiral microstructure', 'certain molecules', 'backed samples']</t>
  </si>
  <si>
    <t>Several theoretical papers, and some experimental papers, have suggested that the well-known phenomenon of optical rotation and dichroism that results from the handedness of certain molecules or polymers may also be observed at micro- and millimeter-wave frequencies by introducing a chiral microstructure in an ordinary dielectric material. In this paper, we describe the preparation of chiral dielectric composite slabs that contain a random distribution of miniature helices. Samples containing 1) right-handed only, 2) left-handed only, and 3) an equal mixture of left- and right-handed springs of various concentrations were prepared. The reflection properties of the metal-backed samples were measured with a free-space system using a pair of spot focusing antennas and a vector network analyzer. The results were then compared with an ordinary composite containing a random distribution of metal spheres, each of which has the same volume as the helices and are dispersed at the same concentration as the samples containing helices. In this way, we could isolate the effects of chirality (as well as other geometrical factors pertaining to the microstructure) and study the effects of such factors on the reflection properties of the composite slabs. It is concluded that chirality can be used as a sensitive parameter to control EM wave propagation characteristics in dielectric composites. ¬© 1990 IEEE</t>
  </si>
  <si>
    <t>300-303</t>
  </si>
  <si>
    <t>6506161556;7202350150;36039583900</t>
  </si>
  <si>
    <t>Guire, Terry;Varadan, Vasundara V.;Varadan, Vijay K.</t>
  </si>
  <si>
    <t>Guire T.</t>
  </si>
  <si>
    <t>Influence of Chirality on the Reflection of EM Waves by Planar Dielectric Slabs</t>
  </si>
  <si>
    <t>10.1109/15.59890</t>
  </si>
  <si>
    <t>2-s2.0-0025522844</t>
  </si>
  <si>
    <t>['vertical component', 'three antennas', 'test involved', 'systematic errors', 'southern california', 'scripps institution', 'preliminary test', 'planned system', 'ocean floor', 'may 1990', 'integrated gps', 'initial tests', 'horizontal position', 'gps portion', 'gps measurements', 'gps antennas', 'francis group', 'floating platform', 'fixed antenna', 'first test', 'december 1989', 'article describes', 'analyzed independently', 'acoustic transducer']</t>
  </si>
  <si>
    <t>GPS interferometry | GPS/acoustic systems | Seafloor geodesy | Tectonic plate motion</t>
  </si>
  <si>
    <t>This article describes the design and initial tests of the GPS portion of a system for making seafloor geodesy measurements. In the planned system, GPS antennas on a floating platform will be used to measure the location of an acoustic transducer, attached below the platform, which interrogates an array of transponders on the seafloor. Since the GPS antennas are necessarily some distance above the transducer, a short-baseline GPS interferometer consisting of three antennas is used to measure the platform's orientation. A preliminary test of several crucial elements of the system was performed at the Scripps Institution of Oceanography (SIO) in December 1989. The test involved a fixed antenna on the pier and a second antenna floating on a buoy about 80 m away. GPS measurements of the vertical component of this baseline, analyzed independently by two groups using different software, agree with each other and with an independent measurement within a centimeter. The first test of an integrated GPS/acoustic system took place in the Santa Cruz Basin off the coast of southern California in May 1990. In this test a much larger buoy, designed and built at SIO, was equipped with three GPS antennas and an acoustic transducer that interrogated a transponder on the ocean floor. Preliminary analysis indicates that the horizontal position of the transponder can be determined with a precision of about a centimeter. Further analysis will be required to investigate the magnitude of systematic errors. ¬© 1990 Taylor &amp; Francis Group, LLC.</t>
  </si>
  <si>
    <t>255-264</t>
  </si>
  <si>
    <t>1521060X</t>
  </si>
  <si>
    <t>Marine Geodesy</t>
  </si>
  <si>
    <t>July-December 1990</t>
  </si>
  <si>
    <t>60009037;60009037;60009037;60009037;60009037;60009037;60121579;60121579;60121579;60121579;60000221;60000221</t>
  </si>
  <si>
    <t>7003564292;15057189500;56210109800;7006484732;15750601800;7401754825;7003658085;57162559500;7801375651;7006762507;7006367091;6602310125</t>
  </si>
  <si>
    <t>Purcell, G. H.;Young, L. E.;Wolf, S. Kornreich;Meehan, T. K.;Duncan, C. B.;Fisher, S. S.;Spiess, F. N.;Austin, G.;Boegeman, D. E.;Lowenstein, C. D.;Rocken, C.;Kelecy, T. M.</t>
  </si>
  <si>
    <t>San Diego;Pasadena;Boulder</t>
  </si>
  <si>
    <t>Marine Physical Laboratory;Jet Propulsion Laboratory;University of Colorado Boulder</t>
  </si>
  <si>
    <t>60121579;60009037;60000221</t>
  </si>
  <si>
    <t>Purcell G.</t>
  </si>
  <si>
    <t>Accurate gps measurement of the location and orientation of a floating platform</t>
  </si>
  <si>
    <t>10.1080/15210609009379668</t>
  </si>
  <si>
    <t>2-s2.0-0025523376</t>
  </si>
  <si>
    <t>['zea males', 'wiley blackwell', 'two species', 'several species', 'separate populations', 'sensitive population', 'rights reserved', 'reproductive isolation', 'physiological basis', 'pheromone blend', 'male h', 'interspecific repellent', 'inhibits attraction', 'heliothis zea', 'findings provide', 'f .)', 'discrimination contributes', 'conspecific component', 'component found', 'boddie ).', 'adult male', 'abstract electroantennograms']</t>
  </si>
  <si>
    <t>corn earworm | Electroantennogram | Heliothis virescens | Heliothis zea | Lepidoptera | Noctuidae. | sex pheromones | tobacco budworm</t>
  </si>
  <si>
    <t>Abstract Electroantennograms were recorded from the antennae of adult male and female corn earworms, Heliothis zea (Boddie). A total of seventeen female moth sex pheromone components from several species were tested. Of these, two components elicited significantly greater responses than the other fifteen. These were (Z)‚Äê11‚Äêhexadecenal, a conspecific component, and (Z)‚Äê9‚Äêtetradecenal, a component found in the pheromone blend of a sympatric species H.virescens (F.) that inhibits attraction of H.zea males. The results from dose‚Äêresponse and selective adaptation studies indicate that there are separate populations of receptors for these two chemical signals on the antenna of male H.zea. The more sensitive population is selective for (Z)‚Äê11‚Äêhexadecenal, while the less sensitive one responds to (Z)‚Äê9‚Äêtetradecenal. These findings provide a physiological basis by which H.zea males can distinguish the interspecific repellent from the conspecific pheromone blend. It is likely that this discrimination contributes to reproductive isolation between these two species. Copyright ¬© 1990, Wiley Blackwell. All rights reserved</t>
  </si>
  <si>
    <t>275-283</t>
  </si>
  <si>
    <t>Physiological Entomology</t>
  </si>
  <si>
    <t>60023324;60023324;60023324</t>
  </si>
  <si>
    <t>57213669759;6504267417;7102653635</t>
  </si>
  <si>
    <t>CHRISTENSEN, THOMAS A.;GEOFFRION, SABRINA C.;HILDEBRAND, JOHN G.</t>
  </si>
  <si>
    <t>CHRISTENSEN T.</t>
  </si>
  <si>
    <t>Physiology of interspecific chemical communication in Heliothis moths</t>
  </si>
  <si>
    <t>10.1111/j.1365-3032.1990.tb00516.x</t>
  </si>
  <si>
    <t>2-s2.0-0025524386</t>
  </si>
  <si>
    <t>['wave heights', 'verified even', 'relative three', 'radar altimeter', 'practical realization', 'phase ambiguities', 'observational scenario', 'north sea', 'moving sensors', 'kinematic mode', 'hz observations', 'hardware installation', 'gps receiver', 'francis group', 'drifting buoy', 'dimensional coordinates', 'data analysis', 'article deals']</t>
  </si>
  <si>
    <t>Buoys | Calibration | GPS | Radaraltimetry</t>
  </si>
  <si>
    <t>Using GPS phase observations in the kinematic mode, we are able to achieve centimeter accuracy in relative three-dimensional coordinates. This could be verified even for fast-moving sensors in aircraft, such as airborne photogrammetric cameras, at the time of exposure. Sophisticated kinematic software has been developed resolving cycle slips and carrier-phase ambiguities during motion. To determine the instantaneous sea surface, the GPS receiver is placed in a free-drifting buoy with the antenna on top. Differencing the 1-Hz observations, wave heights can be determined as well as velocity and direction of ocean (tidal) currents. This article deals with the experiences from a test for the practical realization of this proposal. Hardware installation, software, and data analysis are described. Plans to use such an observational scenario of a GPS buoy array in the North Sea for the calibration of the radar altimeter of the European satellite ERS-1 are presented. ¬© 1990 Taylor &amp; Francis Group, LLC.</t>
  </si>
  <si>
    <t>217-224</t>
  </si>
  <si>
    <t>60018276;60018276;60018276</t>
  </si>
  <si>
    <t>7102211071;7006312009;6508292163</t>
  </si>
  <si>
    <t>Hein, G√ºnter W.;Landau, Herbert;Blomenhofer, Helmut</t>
  </si>
  <si>
    <t>Neubiberg</t>
  </si>
  <si>
    <t>Universit√§t der Bundeswehr M√ºnchen</t>
  </si>
  <si>
    <t>Hein G.</t>
  </si>
  <si>
    <t>Determination of instantaneous sea surface, wave heights, and ocean currents using satellite observations of the global positioning system</t>
  </si>
  <si>
    <t>10.1080/15210609009379664</t>
  </si>
  <si>
    <t>2-s2.0-0025524894</t>
  </si>
  <si>
    <t>['well survive', 'water bodies', 'thoracic limbs', 'swimming antennae', 'superfamily sidoidea', 'structures important', 'stabilizing appendages', 'protective structures', 'prevailing development', 'predetermined elaboration', 'predation combined', 'posterior part', 'passive protection', 'main parameters', 'localities inaccessible', 'life strategy', 'intensive press', 'including dimensions', 'imperceptibility attained', 'good orientation', 'families sididae', 'etc .).', 'environment received', 'ecological aspects', 'complex eye', 'clearly possess', 'body surface', 'body covers', 'active avoidance']</t>
  </si>
  <si>
    <t>Chydoroidea | comparative morphology | Polyphemiformii | predation | Sidoidea</t>
  </si>
  <si>
    <t>Comparative‚Äêmorphological analysis of the structure of the Cladocera of the superfamily Sidoidea ( = Ctenopoda) comprising the families Sididae and Holopediidae, compared with representatives of other groups: Chydoroidea (=Anomopoda), Limnadiiformii (= Conchostraca), Polyphemiformii (Polyphemiformes (= Onychopoda) and Leptodoriformes (= Haplopoda)) and Branchipodiones (Branchipodiformes (= Anostraca) and Triopiformes (= Notostraca)) is made. The main parameters and structures important in functional‚Äêmorphological and ecological aspects are considered: including dimensions of the body, its form and proportions, the complex eye, swimming antennae, body covers, thoracic limbs, the postabdomen. In distinction from all crustaceans under consideration in the Sididae and the Polyphemiformii organs contributing to rapid manoeuvrable swimming, soaring and good orientation in the environment received the prevailing development in evolution: antennae, stabilizing appendages of the posterior part of the body, the eye, etc. All this predetermined elaboration of the life strategy in these forms mainly aimed, especially in the Sididae, at active avoidance of predation combined with elements of passive protection (imperceptibility attained by various methods). Representatives of the Sididae, including planktonic Diaphanosoma, well survive in water bodies with the intensive press of predation. All others, including the Holopediidae, clearly possess the passive protection (development in localities inaccessible to predators, imperceptibility, protective structures on the body surface, etc.). Copyright ¬© 1990 WILEY‚ÄêVCH Verlag GmbH &amp; Co. KGaA, Weinheim</t>
  </si>
  <si>
    <t>649-676</t>
  </si>
  <si>
    <t>Internationale Revue der gesamten Hydrobiologie und Hydrographie</t>
  </si>
  <si>
    <t>Korovchinsky, Nikolay M.</t>
  </si>
  <si>
    <t>Moscow</t>
  </si>
  <si>
    <t>Severtsov Institute of Evolutionary Morphology and Ecology of Animals</t>
  </si>
  <si>
    <t>Korovchinsky N.M.</t>
  </si>
  <si>
    <t>Evolutionary morphological development of the cladocera of the superfamily sidoidea and life strategies of crustaceans of continental waters</t>
  </si>
  <si>
    <t>10.1002/iroh.19900750507</t>
  </si>
  <si>
    <t>2-s2.0-0025527932</t>
  </si>
  <si>
    <t>A-1399</t>
  </si>
  <si>
    <t>['¬© 1990', 'within ozaena', 'vicariance event', 'type locality', 'two species', 'temporal range', 'successive stocks', 'structural features', 'speciation events', 'southern vicar', 'southern arizona', 'south american', 'sensilla basiconica', 'rights reserved', 'relatively rare', 'range expansion', 'predominant mode', 'pliocene age', 'phylogenetic relationships', 'peru ).', 'ozaena postulates', 'ozaena occur', 'ozaena genus', 'northern vicar', 'new world', 'mouthparts indicate', 'miocene epoch', 'middle america', 'many modifications', 'linearis banninger', 'lemoulti respectively', 'lemoulti group', 'lemoulti banninger', 'latter part', 'latter area', 'grossa bann', 'geographical range', 'genera comprising', 'gave rise', 'fore tibia', 'extant species', 'equal numbers', 'entomological society', 'elavata bann', 'ecuadorica bann', 'distribution pattern', 'dentipes olivier', 'dentipes group', 'convexa groups', 'convexa group', 'convexa bann', 'character evolution', 'cayenne ),', 'basic modifications', 'antennal cleaner', 'ancestral stock', 'adhesive vestiture', '35 characters', '30 ¬∞']</t>
  </si>
  <si>
    <t>Descriptions and illustrations of structural features of adults, a key, and chorological data provide the basis for characterizing the genus Ozaena Olivier and classifying the 10 included species, two of which are new: O. maxi (type locality: Iracubo, CAYENNE), and O. manu (type locality: Manu National Park, Madre de Dios Province, PERU). With a geographical range that extends from ca. 30¬∞S to 30¬∞N in the New World, all species of Ozaena occur in cis-Andean South America, only two ranging farther north: O. dentipes Olivier, to Panama; and O. lemoulti Banninger to southern Arizona, USA. A reconstructed phylogeny postulates the following: the genus Platycerozaena Banninger as the sister-group of Ozaena, together these genera comprising the Ozaena genus-group; within Ozaena, the O. dentipes group as sister-taxon of the O. lemoulti + convexa groups; within the O. dentipes group, O. maxi as sister-taxon of O. linearis Banninger + dentipes; within the O. lemoulti group, the sequence O. ecuadorica Bann. (O. elavata Bann. 0. lemoulti + martinezi Ogueta]); and within the O. convexa group, O. grossa Bann. as sister-taxon of O. convexa Bann. + manu. Character evolution involves losses, gains, and shifts, in about equal numbers. Convergence is relatively rare, involving only three of 35 characters. The predominant mode of character evolution is simple, with few examples of sequential changes sustained through several speciation events. Basic modifications in evolution of the ground-plan of the Ozaena genus-group include reduction or loss (for example, tactile sense organs, antennal cleaner of the fore tibia, and adhesive vestiture of the male fore tarsi), and enhancement or gain (for example, scale-like sensilla basiconica on pronotum and elytra, concentration of sensilla basiconica in groups on the antennomeres, particularly antennomere 11). Within Ozaena, many modifications to the antennae and mouthparts indicate the importance of these organs to evolution of the group. Based on phylogenetic relationships and the distribution pattern of the extant species, a reconstructed geographical history of Ozaena postulates the following: first, a vicariance event in South America separating the ancestral stock of Ozaena into a northern vicar that gave rise to the O. dentipes group, and a southern vicar that gave rise to the O. lemoulti and convexa groups; followed by cycles of range expansion and contraction that allowed for differentiation of successive stocks of species. The temporal range for these speciation events is estimated to extend over a period of about 12 million years, or from the latter part of the Miocene epoch to the Recent. The most recent speciation events are estimated to be of Pliocene age. Based on lack of differentiation of South American and Middle American representatives of O. dentipes and O. lemoulti respectively, and extent of range in Middle America, these two species are postulated to be relatively recent invaders of the latter area, with O. dentipes being the more recent to arrive. ¬© 1990, Entomological Society of Canada. All rights reserved.</t>
  </si>
  <si>
    <t>779-815</t>
  </si>
  <si>
    <t>0008347X</t>
  </si>
  <si>
    <t>The Canadian Entomologist</t>
  </si>
  <si>
    <t>60030835;60030835</t>
  </si>
  <si>
    <t>7202347324;6507269463</t>
  </si>
  <si>
    <t>Ball, George E.;Shpeley, Danny</t>
  </si>
  <si>
    <t>University of Alberta</t>
  </si>
  <si>
    <t>Ball G.</t>
  </si>
  <si>
    <t>Synopsis of the neotropical genus ozaena olivier: Classification and reconstructed evolutionary history (coleoptera: Carabidae: Ozaenini)</t>
  </si>
  <si>
    <t>10.4039/Ent122779-9</t>
  </si>
  <si>
    <t>2-s2.0-0025528036</t>
  </si>
  <si>
    <t>['without resorting', 'slot arrays', 'significant contributions', 'right reserved', 'rectangular waveguide', 'recent developments', 'potential applications', 'pioneering work', 'numerous investigations', 'generally possible', 'compound slots', 'broad wall', 'article gives']</t>
  </si>
  <si>
    <t>Since the pioneering work of Stevenson and Watson in Canada, during World War n, waveguide-fed slot antennas have been the topic of numerous investigations. With the significant contributions of Elliott and others, the theory of slot arrays has reached a state of maturity, such that it is generally possible to design them without resorting to experiment. Slot arrays have found wide applications in radar and communications. Recent developments in compound slots cut in the broad wall of a rectangular waveguide have opened up many interesting applications for slot arrays. This article gives an overview of the theory, properties, and potential applications of compound slots. ¬© 1990 IEEE. All Right Reserved.</t>
  </si>
  <si>
    <t>Rengarajan, Sembiam R.</t>
  </si>
  <si>
    <t>Northridge</t>
  </si>
  <si>
    <t>California State University, Northridge</t>
  </si>
  <si>
    <t>Rengarajan S.</t>
  </si>
  <si>
    <t>Compound Broad-Wall Slots for Array Applications</t>
  </si>
  <si>
    <t>10.1109/74.80632</t>
  </si>
  <si>
    <t>2-s2.0-0025532310</t>
  </si>
  <si>
    <t>IEEE Control Systems Magazine</t>
  </si>
  <si>
    <t>;60021508</t>
  </si>
  <si>
    <t>7007028038;7005190857</t>
  </si>
  <si>
    <t>Peek, Mark D.;Antsaklis, Panos J.</t>
  </si>
  <si>
    <t>Notre Dame</t>
  </si>
  <si>
    <t>University of Notre Dame</t>
  </si>
  <si>
    <t>Peek M.</t>
  </si>
  <si>
    <t>Parameter Learning for Performance Adaptation</t>
  </si>
  <si>
    <t>10.1109/37.62676</t>
  </si>
  <si>
    <t>2-s2.0-0025532639</t>
  </si>
  <si>
    <t>['wiley company', 'resonance equation', 'practical form', 'perturbation technique', 'microwave network', 'inc .,', 'good agreement', 'get results', 'experimental results', 'aperture admittance']</t>
  </si>
  <si>
    <t>antenna | leaky‚Äêwave antenna | Microstrip | propagation constant | traveling‚Äêwave antenna</t>
  </si>
  <si>
    <t>A microstrip leaky‚Äêwave antenna is treated as a microwave network. A transverse resonance method with perturbation technique is applied to the resonance equation to get results in a simple and practical form. The aperture admittance is taken from that of a dielectric loaded parallel plate transmission line radiating into space. Good agreement is obtained between the theoretical and the experimental results. Copyright ¬© 1990 Wiley Periodicals, Inc., A Wiley Company</t>
  </si>
  <si>
    <t>435-439</t>
  </si>
  <si>
    <t>60005916;60032320;60032320;60032320</t>
  </si>
  <si>
    <t>7004005810;6603110328;7004104005;6506867066</t>
  </si>
  <si>
    <t>Abdallah, E. A.F.;Mitkees, A. A.;Hamdy, S. A.;Elsohly, A. A.</t>
  </si>
  <si>
    <t>Egypt;Egypt</t>
  </si>
  <si>
    <t>Cairo;Cairo</t>
  </si>
  <si>
    <t>Military Technical College, Cairo;Electronics Research Institute of Cairo</t>
  </si>
  <si>
    <t>60032320;60005916</t>
  </si>
  <si>
    <t>Abdallah E.</t>
  </si>
  <si>
    <t>Propagation constant of microstrip leaky‚Äêwave antennas</t>
  </si>
  <si>
    <t>10.1002/mop.4650031210</t>
  </si>
  <si>
    <t>2-s2.0-0025535169</t>
  </si>
  <si>
    <t>['zf ),', 'spacing factor', 'scale factor', 'parallel connection', 'method permits', 'matrix technique', 'many diagrams', 'integral equations', 'first considered', 'feeder circuit', 'dipole array', 'different values', 'complete evaluation', 'characteristic impedance', 'basis functions', 'antennas operating']</t>
  </si>
  <si>
    <t>An efficient numerical method is presented here for the analysis of the log-periodic diploe antenna arrays. The log-periodic dipole array is first considered as a parallel connection of two electrically decoupled circuits, the dipole array circuit and the feeder circuit. The dipole array is then treated as a boundary value problem represented by a set of integral equations. These equations are solved through the use of Bubnov-Galerkin's matrix technique with Lagrangian interpolation polynomials as basis functions. The method permits a precise and complete evaluation of the performance of antennas operating over any given frequency band and for any given design parameters. Many diagrams are presented, for different values of the scale factor (t), the spacing factor (o) and the characteristic impedance of the feeder transmission line (Zf), in order to find the best compromise among those parameters for an accurate antenna design. The results obtained show good agreement with those obtained by other investigators.</t>
  </si>
  <si>
    <t>275-292</t>
  </si>
  <si>
    <t>Journal of King Saud University - Engineering Sciences</t>
  </si>
  <si>
    <t>Hassan M.A.</t>
  </si>
  <si>
    <t>A Computational Method of Analysis of the Log-Periodic Dipole Antenna</t>
  </si>
  <si>
    <t>S1018363918305282</t>
  </si>
  <si>
    <t>10.1016/S1018-3639(18)30528-2</t>
  </si>
  <si>
    <t>2-s2.0-0025537203</t>
  </si>
  <si>
    <t>['tlm method', 'results obtained', 'radiation patterns', 'radiation pattern', 'radiating structure', 'radiating apertures', 'plane located', 'paper discusses', 'new field', 'microstrip antenna', 'input impedance', 'immediate vicinity', 'cpu time', 'computation time', 'absorbent walls']</t>
  </si>
  <si>
    <t>The transmission‚Äêline matrix (TLM) method enables simulation of interior electromagnetic field propagation problems. With the use of absorbent walls, we can simulate exterior problems such as the radiaition of a microstrip antenna. The input impedance is deduced from the standing wave observed in the feedline. The radiation pattern is determined from the field over a plane located in the immediate vicinity of the antenna, using the theory of radiating apertures. However, the CPU time and memory space involved are excessive. Since the radiating structure has several resonant frequencies, it is convenient to apply classical digital signal processing techniques such as finite impulse response filtering associated with a linear prediction method. The present paper focuses on a Prony‚ÄìPisarenko method to improve on the TLM method in terms of both computation time and precision of the frequency‚Äêdomain analysis of the results. In this case, overall CPU time is reduced by a factor of 2 to 3. The paper discusses the results obtained for radiation patterns. This represents a new field of application for the TLM method whose drawbacks are reduced by using appropriate signal processing methods. Copyright ¬© 1990 John Wiley &amp; Sons, Ltd</t>
  </si>
  <si>
    <t>269-285</t>
  </si>
  <si>
    <t>60110693;60110693;60110719;60110693</t>
  </si>
  <si>
    <t>35571525300;6603765151;7102297258;7003385210</t>
  </si>
  <si>
    <t>Dubard, J. L.;Pompei, D.;Le Roux, J.;Papiernik, A.</t>
  </si>
  <si>
    <t>France;France</t>
  </si>
  <si>
    <t>Sophia Antipolis;Nice</t>
  </si>
  <si>
    <t>Laboratoire d'Informatique, Signaux et Syst√®mes de Sophia-Antipolis;Universit√© C√¥te d'Azur</t>
  </si>
  <si>
    <t>60110719;60110693</t>
  </si>
  <si>
    <t>Dubard J.L.</t>
  </si>
  <si>
    <t>Characterization of microstrip antennas using the TLM simulation associated with a Prony‚ÄêPisarenko method</t>
  </si>
  <si>
    <t>10.1002/jnm.1660030407</t>
  </si>
  <si>
    <t>2-s2.0-0025539438</t>
  </si>
  <si>
    <t>['¬© 1990', 'two types', 'shift oscillator', 'regarded either', 'practical aspects', 'power electronics', 'partially conservative', 'partial conservativity', 'multiphase oscillators', 'established oscillators', 'designing oscillators']</t>
  </si>
  <si>
    <t>The well-known Barkhausen Criterion deals with designing oscillators which can be regarded either as "partially conservative" or as ("fully") conservative. The present paper develops the concept of partial conservativity and shows how to distinguish between the two types of systems. It demonstrates that the concept is on the one hand related to practical aspects of well-established oscillators (phase-shift oscillator, and Colpitts and Hartley oscillators). On the other hand, the concept is helpful in developing new types of multiphase oscillators with potential practical advantages for power electronics and for feeding phased array antennae. ¬© 1990.</t>
  </si>
  <si>
    <t>951-964</t>
  </si>
  <si>
    <t>Journal of the Franklin Institute</t>
  </si>
  <si>
    <t>7402532340;6602119956</t>
  </si>
  <si>
    <t>Partial conservativity and its applications to multiphase oscillators and other oscillators</t>
  </si>
  <si>
    <t>001600329090071P</t>
  </si>
  <si>
    <t>10.1016/0016-0032(90)90071-P</t>
  </si>
  <si>
    <t>2-s2.0-0025547138</t>
  </si>
  <si>
    <t>['stratified media', 'radiation characteristics', 'numerical methods', 'integral equation', 'input impedance', 'current distribution', 'conducting strip', 'antenna allows']</t>
  </si>
  <si>
    <t>The Archimedean printed spiral antenna is investigated by numerical methods, usjng the Green's function for stratified media. The integral equation for the current distribution is obtained by imposing the condition of vanishing total electric field tangential to the conducting strip and solved by application of the method of moments. Knowledge of the current on the arms of the antenna allows the evaluation of input impedance and radiation characteristics of the spiral. Copyright ¬© 1990 John Wiley &amp; Sons, Ltd.</t>
  </si>
  <si>
    <t>549-555</t>
  </si>
  <si>
    <t>1124318X</t>
  </si>
  <si>
    <t>European Transactions on Telecommunications</t>
  </si>
  <si>
    <t>Cerri, Graziano</t>
  </si>
  <si>
    <t>Ancona</t>
  </si>
  <si>
    <t>Universit√† Politecnica delle Marche</t>
  </si>
  <si>
    <t>Cerri G.</t>
  </si>
  <si>
    <t>The microstrip spiral antenna</t>
  </si>
  <si>
    <t>10.1002/ett.4460010504</t>
  </si>
  <si>
    <t>2-s2.0-0025550145</t>
  </si>
  <si>
    <t>['technical comparison', 'target height', 'results show', 'reflection coefficients', 'phase difference', 'key technique', 'error analyses', 'computer simulations', 'also presented']</t>
  </si>
  <si>
    <t>A new radar technique for tracking a target at low elevation angles is presented. The key technique is to use two antenna beams in elevation to receive the signals, which consist of returns from both the target and its image, and to compute the target height based on a phase difference between the two beam outputs. Error analyses as well as the derivation of the algorithm of this technique are presented. Computer simulations have been made to determine the target height above flat earth surfaces with reflection coefficients of 1.0 and 0.6. The results show the validity of the algorithm of this technique. A technical comparison with other techniques is also presented.</t>
  </si>
  <si>
    <t>397-406</t>
  </si>
  <si>
    <t>0956375X</t>
  </si>
  <si>
    <t>IEE Proceedings, Part F: Radar and Signal Processing</t>
  </si>
  <si>
    <t>Dec</t>
  </si>
  <si>
    <t>Nakatsuka, K.</t>
  </si>
  <si>
    <t>Hiroshima</t>
  </si>
  <si>
    <t>Hiroshima Institute of Technology</t>
  </si>
  <si>
    <t>Nakatsuka K.</t>
  </si>
  <si>
    <t>Two-beam technique for tracking a target at low elevation angles</t>
  </si>
  <si>
    <t>10.1049/ip-f-2.1990.0059</t>
  </si>
  <si>
    <t>2-s2.0-0025550446</t>
  </si>
  <si>
    <t>['singular values', 'singular system', 'shall see', 'results obtained', 'resolution capabilities', 'microwave radiation', 'inhomogeneous media', 'hyperthermia operator', 'homogeneous media', 'detailed knowledge', 'control properties', 'antenna configurations', 'antenna array']</t>
  </si>
  <si>
    <t>Hyperthermia is an aid to standard cancer therapy. The aim is to heat up a tumour region inside the patient's body with the help of microwave radiation. The microwayes are generated by some suitable antenna array. Here we investigate the control properties of such antenna configurations and determine their resolution capabilities. We will define the hyperthermia operator, which can produce every field of any antenna array up to any degree of accuracy. We shall see that this operator is compact and we are able to compute a singular system under general assumptions explicitly. This, together with a detailed knowledge of the decay of the singular values, constitutes the tools with which we treat the previously stated problems. We examine the propagation of microwave radiation in homogeneous media and then carry over the results obtained to the case of inhomogeneous media. Copyright ¬© 1990 John Wiley &amp; Sons, Ltd</t>
  </si>
  <si>
    <t>467-479</t>
  </si>
  <si>
    <t>Mathematical Methods in the Applied Sciences</t>
  </si>
  <si>
    <t>60011604;60011604-107139233</t>
  </si>
  <si>
    <t>7201408060;7004751978</t>
  </si>
  <si>
    <t>Kremer, J√ºurgen;Louis, Alfred K.</t>
  </si>
  <si>
    <t>Berlin;Friedberg</t>
  </si>
  <si>
    <t>Technical University of Berlin;Fachbereich Mathematik</t>
  </si>
  <si>
    <t>60011604;107139233</t>
  </si>
  <si>
    <t>Kremer J.</t>
  </si>
  <si>
    <t>On the mathematical foundations of hyperthermia therapy</t>
  </si>
  <si>
    <t>10.1002/mma.1670130603</t>
  </si>
  <si>
    <t>2-s2.0-0025550718</t>
  </si>
  <si>
    <t>['mass production', 'lower efficiency', 'interference associated', '3m antenna']</t>
  </si>
  <si>
    <t>Hostile Interference signals are recorded at the top of the Electrical Engineering Department, of King Saud University, using a 3m antenna, which received signal levels from Arabsat. These are good extreme examples of interference associated with the wide spread location sites of future small earth stations. Techniques are discussed to nullify this multiple source interference, for applications of reflectors and phased array antennas. Phased array antennas have more flexibility in this concern, at the expense of lower efficiency and complex design development requirements. Developments of arrangements of active phased arrays are promising for future high quality and mass production.</t>
  </si>
  <si>
    <t>259-273</t>
  </si>
  <si>
    <t>60013183;60013183</t>
  </si>
  <si>
    <t>7005535394;6602738602</t>
  </si>
  <si>
    <t>Afifi, Mostafa S.;Samarkandy, Mohammed K.</t>
  </si>
  <si>
    <t>Interference Limitations and Future Small Earth Stations</t>
  </si>
  <si>
    <t>S1018363918305270</t>
  </si>
  <si>
    <t>10.1016/S1018-3639(18)30527-0</t>
  </si>
  <si>
    <t>2-s2.0-0025551671</t>
  </si>
  <si>
    <t>Corkish, R. P.</t>
  </si>
  <si>
    <t>A Survey of the Effects of Reflector Surface Distortions on Sidelobe Levels</t>
  </si>
  <si>
    <t>10.1109/74.80629</t>
  </si>
  <si>
    <t>2-s2.0-0025556174</t>
  </si>
  <si>
    <t>['two types', 'threedimensional geometry', 'slight decrease', 'numerical code', 'less sensitive', 'fast waves', 'fast wave', 'edge density']</t>
  </si>
  <si>
    <t>A numerical code has been developed to calculate the loading of a cavity loop antenna in threedimensional geometry. The loading of the cavity is calculated for fast wave and ion Bernstein wave coupling and compared with the loading of a conventional loop antenna. For fast waves, the cavity loading increases with increasing edge density, while the conventional loop loading is less sensitive to the edge density but shows a slight decrease of loading because of a steeper density gradient. For ion Bernstein waves, the two types of antenna behave similarly; however, in contrast to the loading for fast waves, the loading for ion Bernstein waves increases with decreased edge density and a steeper density gradient. ¬© 1990 IOP Publishing Ltd.</t>
  </si>
  <si>
    <t>2551-2562</t>
  </si>
  <si>
    <t>60013901;60013901;60013901-60009037</t>
  </si>
  <si>
    <t>7202291663;7004515474;6507282525</t>
  </si>
  <si>
    <t>Chiu, S. C.;Mayberry, M. J.;Bard, W. D.</t>
  </si>
  <si>
    <t>San Diego;Pasadena</t>
  </si>
  <si>
    <t>General Atomics;Jet Propulsion Laboratory</t>
  </si>
  <si>
    <t>60013901;60009037</t>
  </si>
  <si>
    <t>Chiu S.</t>
  </si>
  <si>
    <t>Theoretical comparison of coupling of a recessed cavity antenna and a conventional loop antenna for fast waves and ion Bernstein waves</t>
  </si>
  <si>
    <t>10.1088/0029-5515/30/12/009</t>
  </si>
  <si>
    <t>2-s2.0-0025560836</t>
  </si>
  <si>
    <t>['¬© 1990', 'west kalimantan', 'system configuration', 'radar controller', 'pa product', 'mu radar', 'made feasible', 'brief description']</t>
  </si>
  <si>
    <t>A large clear air radar with the sensitivity of an incoherent scatter radar for observing the whole equatorial atmosphere up to 1,000 km altitude is now being designed in Japan. The radar will be built in Pontianak, West Kalimantan, Indonesia (0.03¬∞N 109.29¬∞E). The system is a 47-MHz monostatic Doppler radar with an active phased array configuration similar to that of the MU radar in Japan, which has been in successful operation since 1983. It will have a PA product of ‚àº 3 √ó 109 Wm2 (P = average transmitter power, A = effective antenna aperture) with a sensitivity of approximately 10 times that of the MU radar. This system configuration enables pulse-to-pulse beam steering within 20¬∞ from the zenith. As is the case of the MU radar, a variety of operations will be made feasible under the supervision of the radar controller. A brief description of the system configuration will be presented. ¬© 1990.</t>
  </si>
  <si>
    <t>151-154</t>
  </si>
  <si>
    <t>Advances in Space Research</t>
  </si>
  <si>
    <t>60011001;60011001;60011001;60011001</t>
  </si>
  <si>
    <t>55398698300;35433785500;7403584142;35425453600</t>
  </si>
  <si>
    <t>Fukao, Shoichiro;Tsuda, Toshitaka;Sato, Toru;Kato, Susumu</t>
  </si>
  <si>
    <t>Fukao S.</t>
  </si>
  <si>
    <t>Equatorial radar system</t>
  </si>
  <si>
    <t>027311779090022R</t>
  </si>
  <si>
    <t>10.1016/0273-1177(90)90022-R</t>
  </si>
  <si>
    <t>2-s2.0-0025561260</t>
  </si>
  <si>
    <t>['¬© 1990', 'step towards', 'fabricated either', 'experimental results', 'base material', '70 ghz', '200 mw', '100 ghz']</t>
  </si>
  <si>
    <t>Silicon as a base material for monolithic integrated millimeter wave circuits for frequencies up to and above 100 GHz is discussed, and the design and experimental results of different millimeterwave integrated circuits are presented. The circuits were fabricated either in monolithic silicon technology or in a hybrid silicon technology. However, the hybrid silicon circuits are also completely based upon silicon technology and may be considered as a step towards the complete monolithic integration. With hybrid planar silicon IMPATT oscillations above 70 GHz, a cw output power of 200 mW has been achieved. A monolithic 93 GHz receiver with a planar 36 element antenna on a 5.4 √ó 5.6 mm2 silicon substrate has a sensitivity of 65 ŒºV cm2 ŒºW-1. ¬© 1990.</t>
  </si>
  <si>
    <t>1033-1037</t>
  </si>
  <si>
    <t>0042207X</t>
  </si>
  <si>
    <t>Vacuum</t>
  </si>
  <si>
    <t>Russer, P.</t>
  </si>
  <si>
    <t>Russer P.</t>
  </si>
  <si>
    <t>Millimeterwave silicon devices</t>
  </si>
  <si>
    <t>0042207X9093853B</t>
  </si>
  <si>
    <t>10.1016/0042-207X(90)93853-B</t>
  </si>
  <si>
    <t>2-s2.0-0025564848</t>
  </si>
  <si>
    <t>Swedish e-Science Research Centre</t>
  </si>
  <si>
    <t>SeRC</t>
  </si>
  <si>
    <t>['¬© 1990', 'transmitting antenna', 'tidal wind', 'summertime experiments', 'sporadic e', 'sequential es', 'one direction', 'often patchy', 'layer disappearance', 'kept fixed', 'discuss examples']</t>
  </si>
  <si>
    <t>Sporadic E-layers have been observed in a number of experiments with the EISCAT incoherent scatter radar. Such measurements have been obtained both from schemes in which the transmitting antenna was kept fixed in one direction, and from others in which scans through different ionospheric volumes were performed. We discuss examples of such observations from summertime experiments, when long-lasting sporadic E-layers (sequential Es) appear in the local afternoon sector. The layers are variable in intensity and often patchy. Initial downward motions follow vertical shears in the tidal wind and subsequent upward motions and layer disappearance are associated with an increased electric field. ¬© 1990.</t>
  </si>
  <si>
    <t>109-112</t>
  </si>
  <si>
    <t>Collis, P. N.</t>
  </si>
  <si>
    <t>Kiruna</t>
  </si>
  <si>
    <t>EISCAT Scientific Association</t>
  </si>
  <si>
    <t>Collis P.</t>
  </si>
  <si>
    <t>Multi-experiment studies of summertime sporadic E-layers using EISCAT</t>
  </si>
  <si>
    <t>027311779090017T</t>
  </si>
  <si>
    <t>10.1016/0273-1177(90)90017-T</t>
  </si>
  <si>
    <t>2-s2.0-0025566371</t>
  </si>
  <si>
    <t>['observed values', 'fit residuals', '8 ns', '3 ns']</t>
  </si>
  <si>
    <t>The receiving antenna position error is one of the considerable error sources of the GPS time comparison. A simple relative positioning method using the GPS time comparison data themselves is suggested to improve the time comparison precision. This method is applied to the time comparison values between the Communications Research Laboratory (CRL) and the Sugadaira Space Radio Observatory (SSRO), University of Electro-Communications. As a result, the receiving antenna position at the SSRO is determined with a precision of 1.4 m assuming the position of the CRL is known. The RWMS (the Root Weighted Mean Squared) error of the time comparison results is reduced from 50.3 ns of the observed values to 7.8 ns of the post-fit residuals. -Authors</t>
  </si>
  <si>
    <t>73-84</t>
  </si>
  <si>
    <t>Journal - Geodetic Society of Japan</t>
  </si>
  <si>
    <t>Yamamoto, A.</t>
  </si>
  <si>
    <t>Yamamoto A.</t>
  </si>
  <si>
    <t>Least squares adjustment of receiving position for accurate time comparison using GPS</t>
  </si>
  <si>
    <t>2-s2.0-0025585784</t>
  </si>
  <si>
    <t>['unique opportunity', 'sea surface', 'nearly independent', 'mtfs decrease', 'microwave backscattering', 'long waves', 'local wind', 'increasing wave', 'expected wind', 'cross sections', 'constant wind', 'constant wave', 'arbitrary wind', 'antenna angles', 'antenna angle']</t>
  </si>
  <si>
    <t>Normalized radar cross sections and modulation transfer functions (MTFs) for microwave backscattering from the sea surface have been measured at both L- and Ku-Bands during the Tower Ocean Wave and Radar Dependence Experiment. Long waves during the experiment were usually not generated by the local wind, so a unique opportunity was afforded to investigate the effects of arbitrary wind, wave, and antenna angles on the backscatter. Cross sections at L-Band are shown to be isotropic with respect to wind-antenna angle and nearly independent of wind speed except at the lowest wind speed. Ku-Band cross sections, on the other hand, show the expected wind-antenna angle anisotropy and wind speed dependence. At both frequencies, MTFs depend little on wind-antenna angle for a constant wave-antenna angle. On the other hand, for a constant wind-antenna angle, MTFs decrease with increasing wave-antenna angle. -from Authors</t>
  </si>
  <si>
    <t>C9</t>
  </si>
  <si>
    <t>Journal of Geophysical Research</t>
  </si>
  <si>
    <t>7202217661;7005333525</t>
  </si>
  <si>
    <t>Keller, W. C.;Plant, W. J.</t>
  </si>
  <si>
    <t>Keller W.C.</t>
  </si>
  <si>
    <t>Cross sections and modulation transfer functions at L and K&lt;inf&gt;u&lt;/inf&gt; bands measured during the Tower Ocean Wave and Radar Dependence Experiment</t>
  </si>
  <si>
    <t>10.1029/jc095ic09p16277</t>
  </si>
  <si>
    <t>2-s2.0-0025586265</t>
  </si>
  <si>
    <t>N00014-88-C-7014</t>
  </si>
  <si>
    <t>['¬© 1990', 'thousand gauss', 'rights reserved', 'magnet applications', 'low fields', 'interactions interfere', 'hop independently', 'flux bundles', 'fields typical']</t>
  </si>
  <si>
    <t>We show that magnetic flux lattice interactions are important at fields above a few thousand gauss. These interactions interfere with thermally activated current-induced flux bundle hopping and reduce the superconductor's flux creep resistance below that estimated from the standard flux creep models (which assume completely independent hopping). We find that the flux bundles can hop independently at the low fields at which, e.g., antennas and SQUID detection coils would be used, but interact very strongly at fields typical of magnet applications. ¬© 1990, Materials Research Society. All rights reserved.</t>
  </si>
  <si>
    <t>2802-2806</t>
  </si>
  <si>
    <t>Journal of Materials Research</t>
  </si>
  <si>
    <t>Stephens, Richard B.</t>
  </si>
  <si>
    <t>San Diego</t>
  </si>
  <si>
    <t>General Atomics</t>
  </si>
  <si>
    <t>Stephens R.</t>
  </si>
  <si>
    <t>Flux bundle interactions</t>
  </si>
  <si>
    <t>10.1557/JMR.1990.2802</t>
  </si>
  <si>
    <t>2-s2.0-0025588742</t>
  </si>
  <si>
    <t>['¬© 1990', 'reflector accuracy', 'parabolic antenna', 'equivalent event', 'antenna structures']</t>
  </si>
  <si>
    <t>Wind is one of the main random loads acting on antenna structures. The reliability of the reflector accuracy of the parabolic antenna under the action of random wind load is analysed by means of the theory of reliability. By constructing the equivalent event, the formula for calculating the reliability of reflector accuracy is determined. The corresponding computer program is designed, with which an 8-m-diameter parabolic antenna structure is calculated as an illustration. ¬© 1990.</t>
  </si>
  <si>
    <t>429-434</t>
  </si>
  <si>
    <t>Computers and Structures</t>
  </si>
  <si>
    <t>60025578;60025578;60025578</t>
  </si>
  <si>
    <t>36062668300;56272854500;11042772200</t>
  </si>
  <si>
    <t>Chen, J.;Dai, B.;Sun, H.</t>
  </si>
  <si>
    <t>Xi'an</t>
  </si>
  <si>
    <t>Xidian University</t>
  </si>
  <si>
    <t>Reliability of reflector accuracy of parabolic antenna under the action of random wind load</t>
  </si>
  <si>
    <t>004579499090032W</t>
  </si>
  <si>
    <t>10.1016/0045-7949(90)90032-W</t>
  </si>
  <si>
    <t>2-s2.0-0025588780</t>
  </si>
  <si>
    <t>['two dimensions', 'target zones', 'scattered fields', 'physical optics', 'numerical utd', 'numerical method', 'line integration', 'good agreement', 'diffraction coefficients', 'computationally efficient', 'closed form']</t>
  </si>
  <si>
    <t>The uniform geometrical theory of diffraction (UTD) concept is used to predict the scattered fields in the target zones of compact range blended rolled edge reflectors. Since the necessary diffraction coefficients are not known in a closed form, a numerical method to calculate the diffraction coefficients is described. In the numerical method, the problem is reduced to two dimensions, and physical optics (PO) line integration is used to compute the diffraction coefficients. Thus, the method is computationally efficient. The method is used to analyze two compact range reflectors. The results obtained using the numerical UTD (NUTD) show a good agreement with the scattered fields obtained using a corrected physical optics surface integration. ¬© 1990 IEEE</t>
  </si>
  <si>
    <t>1969-1971</t>
  </si>
  <si>
    <t>7003519320;7102202358;7004270570</t>
  </si>
  <si>
    <t>Ellingson, Steven W.;Gupta, Inder J.;Burnside, Walter D.</t>
  </si>
  <si>
    <t>Ellingson S.</t>
  </si>
  <si>
    <t>Analysis of Blended Rolled Edge Reflectors Using Numerical UTD</t>
  </si>
  <si>
    <t>10.1109/8.60989</t>
  </si>
  <si>
    <t>2-s2.0-0025591875</t>
  </si>
  <si>
    <t>['¬© 1990', 'ventral side', 'united kingdom', 'two spermatophores', 'tubes seem', 'tubes originating', 'transferred simultaneously', 'swimming legs', 'spermatophores connect', 'shed posteriorly', 'second pair', 'second antennae', 'rights reserved', 'receptaculum seminis', 'precopula position', 'males release', 'male retains', 'male holds', 'lepeophtheirus pectoralis', 'hardened exoskeleton', 'genital complex', 'frontal filament', 'exuvium splits', 'dorsal side', 'copulation occurs', 'copulating male', 'copula position', 'copepod detaches', 'chemoreceptory function', 'anterior margin', 'anterior end', 'agonistic behaviour', 'adult male', 'adult female', 'additional males']</t>
  </si>
  <si>
    <t>Prior to moulting, the preadult Lepeophtheirus pectoralis produces a temporary frontal filament which attaches the animal to the surface of the host during ecdysis. This filament is extruded from a frontal organ previously thought to have a chemoreceptory function. During ecdysis the exuvium splits at the anterior margin and is shed posteriorly by contractions of the body. After hardening of the exoskeleton the copepod detaches itself from the frontal filament and is free-living on the host during intermoult. Males in precopula position hold on to the dorsal side of the female, with the second antennae grasping the anterior end of the female's genital complex. During the ecdysis of the female, most males release their hold on the female, and are usually found close to her on the host. Copulation occurs between an adult male and an adult female with a hardened exoskeleton. In the copula position the male holds on to the female's genital complex with the second antennae, but now on the ventral side of the female. Two spermatophores are extruded and then transferred simultaneously to the female with the aid of the second pair of swimming legs. Tubes originating from the spermatophores connect them to the orifices of the receptaculum seminis. These tubes seem to grow out of the spermatophores after expulsion. After copulation, the male retains a precopula position before releasing the female. No agonistic behaviour has been observed between a precopulating/copulating male and additional males. However, during the ecdysis of the female, a new male may take over the female, but mating does not seem to be assortative for size in Lepeophtheirus pectoralis. ¬© 1990, Marine Biological Association of the United Kingdom. All rights reserved.</t>
  </si>
  <si>
    <t>269-281</t>
  </si>
  <si>
    <t>Anstensrud, Morten</t>
  </si>
  <si>
    <t>Oslo</t>
  </si>
  <si>
    <t>Universitetet i Oslo</t>
  </si>
  <si>
    <t>Anstensrud M.</t>
  </si>
  <si>
    <t>Moulting and mating in lepeophtheirus pectoralis (copepoda: Caligidae)</t>
  </si>
  <si>
    <t>10.1017/S0025315400035396</t>
  </si>
  <si>
    <t>2-s2.0-0025592651</t>
  </si>
  <si>
    <t>['taylor series', 'position errors', 'order term', 'measured data', 'k space', 'infinite series', 'ideal spectrum', 'highly successful', 'free fields', 'far fields', 'far field', 'explicitly constructed', 'error operator', 'error function', 'error fields', 'enhance understanding', 'differential operator', 'convergent series']</t>
  </si>
  <si>
    <t>A general theoretical procedure is presented to remove known probe position errors when planar nearfield data are transformed to the far field. We represent the measured data as a Taylor series, whose terms contain the error function and the ideal spectrum of the antenna. This representation is then assumed to be an actual near field existing on an error free regularly spaced two dimensional scan plane. Then by inverting the Taylor series, we obtain the ideal spectrum in terms of the measured data and the position errors. The solution is given by an infinite series of an error operator acting on data containing errors of measurement. This error operator is the Taylor series without the zeroth-order term. The nth order approximation to the ideal near field of the antenna can be explicitly constructed by inspection of the structure of the error operator. Since we have an infinite series of a differential operator, the question of convergence is addressed. Computer simulations using periodic error functions show that we are dealing with a convergent series, and the error correction technique is seen to be highly successful. This is demonstrated for a triple periodic error function. The root mean square (rms) values of the far fields as functions of the radius in k space are calculated and compared for the error-free, error-contaminated and error-corrected far fields. Appropriate graphical representation of the error fields, the error-contaminated and error-free fields are presented to enhance understanding of the results. ¬© 1990 IEEE</t>
  </si>
  <si>
    <t>1925-1932</t>
  </si>
  <si>
    <t>36928132800;55457217400</t>
  </si>
  <si>
    <t>Muth, Lorant A.;Lewis, Richard L.</t>
  </si>
  <si>
    <t>Muth L.A.</t>
  </si>
  <si>
    <t>A General Technique to Correct Probe Position Errors in Planar Near-Field Measurements to Arbitrary Accuracy</t>
  </si>
  <si>
    <t>10.1109/8.60981</t>
  </si>
  <si>
    <t>2-s2.0-0025593972</t>
  </si>
  <si>
    <t>['¬© 1990', 'wind profilers', 'uhf frequencies', 'turbulent irregularities', 'several vhf', 'several directions', 'rights reserved', 'rapid increase', 'radial component', 'past decade', 'observe winds', 'monitor vertical', 'look sequentially', 'horizontal motions', 'doppler shifts', 'doppler radars', 'atmospheric research', '915 mhz', '1990 ].']</t>
  </si>
  <si>
    <t>The past decade has seen a rapid increase in the use of wind profilers in atmospheric research [Gage, 1990]. Briefly, wind profilers are Doppler radars that observe winds from Doppler shifts of ‚Äúclear air‚Äù atmospheric echoes. The atmospheric echoes arise from backscattering from turbulent irregularities in the radio refractive index of the atmosphere. Wind profilers operate at several VHF and UHF frequencies, notably in the vicinity of 50, 405, and 915 MHz. Since they measure the radial component of the wind, they can be used to monitor vertical as well as horizontal motions by using antennas phased to look sequentially in several directions. ¬©1990. American Geophysical Union. All Rights Reserved.</t>
  </si>
  <si>
    <t>1851-1854</t>
  </si>
  <si>
    <t>Eos, Transactions American Geophysical Union</t>
  </si>
  <si>
    <t>60027716;60027716;60027716;60071233;60000221</t>
  </si>
  <si>
    <t>7004884101;7006241919;7005490049;36884983500;56691869300</t>
  </si>
  <si>
    <t>Gage, K. S.;Balsley, B. B.;Ecklund, W. L.;Woodman, R. F.;Avery, S. K.</t>
  </si>
  <si>
    <t>Peru;United States;United States</t>
  </si>
  <si>
    <t>Lima;Washington, D.C.;Boulder</t>
  </si>
  <si>
    <t>Instituto Geofisico del Peru;National Oceanic and Atmospheric Administration;University of Colorado Boulder</t>
  </si>
  <si>
    <t>60071233;60027716;60000221</t>
  </si>
  <si>
    <t>Gage K.</t>
  </si>
  <si>
    <t>Wind‚Äêprofiling Doppler radars for tropical atmospheric research</t>
  </si>
  <si>
    <t>10.1029/EO071i050p01851-01</t>
  </si>
  <si>
    <t>2-s2.0-0025594154</t>
  </si>
  <si>
    <t>['upper medium', 'studied analytically', 'rest coincide', 'observation point', 'novel way', 'general time', 'form solutions', 'fields due', 'electromagnetic fields', 'electric dipole', 'eit ).', 'domain solutions', 'domain expressions', 'derive analytic']</t>
  </si>
  <si>
    <t>Time-domain solutions for fields due to an impulsive horizontal magnetic and electric dipole above a planar dielectric interface are studied analytically. General time-domain expressions for the Hertzian potentials corresponding to the electromagnetic fields in the upper medium are analyzed in a novel way by exploiting the exact image theory (EIT). Additionally, this method has been used to derive analytic, closed-form solutions for certain special locations of the source and observation point. Part of the results are new, and the rest coincide with the solutions in the literature. ¬© 1990 IEEE</t>
  </si>
  <si>
    <t>1951-1957</t>
  </si>
  <si>
    <t>Nikoskinen, Keijo I.</t>
  </si>
  <si>
    <t>Nikoskinen K.I.</t>
  </si>
  <si>
    <t>Time-Domain Analysis of Horizontal Dipoles in Front of Planar Dielectric Interface</t>
  </si>
  <si>
    <t>10.1109/8.60984</t>
  </si>
  <si>
    <t>2-s2.0-0025595174</t>
  </si>
  <si>
    <t>['mantoniella squamata', 'lhc system', 'lhc ).', 'intrinsic membrane', 'containing plants', 'chlorophyll c', 'chlorophyll b', 'called light']</t>
  </si>
  <si>
    <t>Absorption and distribution of the photosynthetic active photons is accomplished by so-called light-harvesting antenna complexes (LHC). In chlorophyll b- or chlorophyll c-containing plants these antennae are organized as intrinsic membrane-spanning multimeric complexes. Special interest focuses on the LHC system of Mantoniella squamata. -from Author</t>
  </si>
  <si>
    <t>293-306</t>
  </si>
  <si>
    <t>Plant Physiology &amp; Biochemistry</t>
  </si>
  <si>
    <t>Wilhelm, C.</t>
  </si>
  <si>
    <t>Mainz</t>
  </si>
  <si>
    <t>Johannes Gutenberg-Universit√§t Mainz</t>
  </si>
  <si>
    <t>Wilhelm C.</t>
  </si>
  <si>
    <t>The biochemistry and physiology of light-harvesting processes in chlorophyll b- and chlorophyll c-containing algae</t>
  </si>
  <si>
    <t>2-s2.0-0025597742</t>
  </si>
  <si>
    <t>['waveguide apertures', 'previously shown', 'mode waveguides', 'fundamental hybrid', 'elliptical hybrid', 'crosspolar performance', 'calculated accurately']</t>
  </si>
  <si>
    <t>The condition for circulatory polarised radiation fields from waveguide apertures is discussed. It is shown that ideal circular polarisation cannot be achieved in practice for elliptical hybrid-mode waveguides, neither for corrugated nor for partly filled dielectric (dielcore) waveguides. The crosspolar performance of the elliptical dielcore waveguide supporting the fundamental hybrid-mode is calculated accurately, confirming its good crosspolar performance which has been previously shown by experiments.</t>
  </si>
  <si>
    <t>417-419</t>
  </si>
  <si>
    <t>55884538900;56219429900</t>
  </si>
  <si>
    <t>Lier, E.;Rengarajan, S.</t>
  </si>
  <si>
    <t>Radiation from elliptical hybird-mode waveguides</t>
  </si>
  <si>
    <t>10.1049/ip-h-2.1990.0076</t>
  </si>
  <si>
    <t>2-s2.0-0025599052</t>
  </si>
  <si>
    <t>['various configurations', 'two centre', 'system consisting', 'spheroidal dipole', 'size without', 'resulting set', 'proper magnitude', 'one dipole', 'numerical results', 'mutual admittance', 'magnetic fields', 'gap voltage', 'equivalence principle', 'centrally fed', 'boundary conditions', 'associated electric', 'arbitrary orientation', 'admittance characteristics']</t>
  </si>
  <si>
    <t>The admittance characteristics of a system consisting of two centre-fed dipole antennas of arbitrary orientation are investigated. Each antenna is modelled by a very thin prolate spheroid which is centrally fed by a gap voltage. By using the equivalence principle, each spheroidal dipole is replaced by a solid spheroidal conductor of the same size without a gap, encircled by a corresponding filamentary ring carrying magnetic current of proper magnitude. The associated electric and magnetic fields are expanded in terms of appropriate vector spheroidal eigenfunctions and the boundary conditions at the surface of each spheroid are imposed by using the rotational-translational addition theorems for vector spheroidal wave functions. The solution of the resulting set of algebraic equations gives the unknown scattered field expansion coefficients. Numerical results are presented for the mutual admittance of two centre-fed thin spheroidal dipole antennas of arbitrary orientation, for various centre displacements. In addition, the E and H plane patterns are computed for the system of two dipole antennas in various configurations, with one dipole being parasitic.</t>
  </si>
  <si>
    <t>337-342</t>
  </si>
  <si>
    <t>16425224200;6603557031</t>
  </si>
  <si>
    <t>Ciric, I. R.;Cooray, M. F.R.</t>
  </si>
  <si>
    <t>Ciric I.</t>
  </si>
  <si>
    <t>Admittance characteristics and far-field patterns for coupled spheroidal dipole antennas in arbitrary configuration</t>
  </si>
  <si>
    <t>10.1049/ip-h-2.1990.0062</t>
  </si>
  <si>
    <t>2-s2.0-0025603376</t>
  </si>
  <si>
    <t>['titan disk', 'thermodynamics leads', 'surface would', 'surface conditions', 'strong prediction', 'somewhat inconsistent', 'similar wavelengths', 'show titan', 'reflection data', 'receiving instrument', 'previously thought', 'present understanding', 'obtain reflections', 'new mexico', 'methane mixture', 'meter antenna', 'measured emissivity', 'liquid hydrocarbons', 'largest moon', 'large array', 'high reflectivity', 'global ocean', 'galilean satellites', 'entire experiment', 'earth longitude', 'detection limit', 'cross sections', 'combined data', '5 centimeters']</t>
  </si>
  <si>
    <t>The present understanding of the atmosphere and surface conditions on Saturn's largest moon, Titan, including the stability of methane, and an application of thermodynamics leads to a strong prediction of liquid hydrocarbons in an ethane-methane mixture on the surface. Such a surface would have nearly unique microwave reflection properties due to the low dielectric constant. Attempts were made to obtain reflections at a wavelength of 3.5 centimeters by means of a 70-meter antenna in California as the transmitter and the Very Large Array in New Mexico as the receiving instrument. Statistically significant echoes were obtained that show Titan is not covered with a deep, global ocean of ethane, as previously thought. The experiment yielded radar cross sections normalized by the Titan disk of 0.38 ¬± 0.15, 0.78 ¬± 0.15, and 0.25 ¬± 0.15 on three consecutive nights during which the sub-Earth longitude on Titan moved 50 degrees. The result for the combined data for the entire experiment is 0.35 ¬± 0.08. The cross sections are very high, most consistent with those of the Galilean satellites; no evidence of the putative liquid ethane was seen in the reflection data. A global ocean as shallow as about 200 meters would have exhibited reflectivities smaller by an order of magnitude, and below the detection limit of the experiment. The measured emissivity at similar wavelengths of about 0.9 is somewhat inconsistent with the high reflectivity.</t>
  </si>
  <si>
    <t>975-980</t>
  </si>
  <si>
    <t>Science</t>
  </si>
  <si>
    <t>60086312;60086312;60086312;60009037</t>
  </si>
  <si>
    <t>7003859294;7202301972;7202035444;7101725729</t>
  </si>
  <si>
    <t>Muhleman, Duane O.;Grossman, Arie W.;Butler, Bryan J.;Slade, Martin A.</t>
  </si>
  <si>
    <t>Pasadena;Pasadena</t>
  </si>
  <si>
    <t>Division of Geological and Planetary Sciences;Jet Propulsion Laboratory</t>
  </si>
  <si>
    <t>60086312;60009037</t>
  </si>
  <si>
    <t>Muhleman D.</t>
  </si>
  <si>
    <t>Radar reflectivity of Titan</t>
  </si>
  <si>
    <t>10.1126/science.248.4958.975</t>
  </si>
  <si>
    <t>2-s2.0-0025623896</t>
  </si>
  <si>
    <t>['small array', 'readily implemented', 'mutual coupling', 'matrix operation', 'isolated elements', 'experimentally verified', 'compensation consists']</t>
  </si>
  <si>
    <t>A technique to compensate for mutual coupling in a small array is developed and experimentally verified. Mathematically, the compensation consists of a matrix multiplication performed on the received signal vector. This, in effect, restores the signals as received by the isolated elements in the absence of mutual coupling. The technique is most practical for digital beamforming antennas where the matrix operation can be readily implemented. ¬© 1990 IEEE</t>
  </si>
  <si>
    <t>1971-1975</t>
  </si>
  <si>
    <t>60001247;60001247</t>
  </si>
  <si>
    <t>7004004036;7006764320</t>
  </si>
  <si>
    <t>Steyskal, Hans;Herd, Jeffrey S.</t>
  </si>
  <si>
    <t>Steyskal H.</t>
  </si>
  <si>
    <t>Mutual Coupling Compensation in Small Array Antennas</t>
  </si>
  <si>
    <t>10.1109/8.60990</t>
  </si>
  <si>
    <t>2-s2.0-0025624243</t>
  </si>
  <si>
    <t>['transform processor', 'regenerative transponders', 'phase offsets', 'performed leading', 'new technique', 'important role', 'experimental four', 'developing countries', 'demodulation system', 'complex input', 'beam antennas', 'also facilitated']</t>
  </si>
  <si>
    <t>Onboard digital transmultiplexers and regenerative transponders in satellite systems employing multiple spot-beam antennas will play an important role in realising future cost-effective communications networks for use in developing countries and where isolated user terminals require access to the global telecommunications network. In the paper, a new fast algorithm for the realisation of a complex input/complex output fast transform based digital transmultiplexer (TMUX) is presented with application to a quadrature multicarrier modulation and demodulation system. The novel approach adopts a splitting of the transform processor into two conjugate operations, and a decomposition of the phase offsets is performed leading to a saving in the number of arithmetic operations required. A reduction in the amount of control circuitry required for implementation is also facilitated. An experimental four-channel QPSK modulator based upon the new technique has been implemented for hardware simulation purposes using a TMS320C25 DSP based system, and performance evaluation results are presented where 16 bit integer DSP processing is employed.</t>
  </si>
  <si>
    <t>408-416</t>
  </si>
  <si>
    <t>6 pt 1</t>
  </si>
  <si>
    <t>IEE Proceedings, Part I: Communications, Speech and Vision</t>
  </si>
  <si>
    <t>60021219;60021219</t>
  </si>
  <si>
    <t>6602318017;35563381200</t>
  </si>
  <si>
    <t>Corden, I. R.;Carrasco, R. A.</t>
  </si>
  <si>
    <t>Stoke-on-Trent</t>
  </si>
  <si>
    <t>Staffordshire University</t>
  </si>
  <si>
    <t>Corden I.R.</t>
  </si>
  <si>
    <t>Fast transform based complex transmultiplexer algorithm for multiband quadrature digital modulation schemes</t>
  </si>
  <si>
    <t>10.1049/ip-i-2.1990.0054</t>
  </si>
  <si>
    <t>2-s2.0-0025625620</t>
  </si>
  <si>
    <t>['use one', 'sidelobe reduction', 'sample results', 'faster algorithms', 'edge elements']</t>
  </si>
  <si>
    <t>A method for wide null steering in the pattern of a uniformly excited linear array that utilizes the edge elements of the array is investigated. Simpler and faster algorithms for sidelobe reduction are introduced which use one or two external edge elements. Comparisons between these methods are held. Sample results are given. ¬© 1990 IEEE</t>
  </si>
  <si>
    <t>1962-1965</t>
  </si>
  <si>
    <t>60013183;60013183;60008524</t>
  </si>
  <si>
    <t>6507369392;7005535394;7006824457</t>
  </si>
  <si>
    <t>El-Azhary, I.;Afifi, M. S.;Excell, P. S.</t>
  </si>
  <si>
    <t>Saudi Arabia;United Kingdom</t>
  </si>
  <si>
    <t>Riyadh;Bradford</t>
  </si>
  <si>
    <t>King Saud University;University of Bradford</t>
  </si>
  <si>
    <t>60013183;60008524</t>
  </si>
  <si>
    <t>El-Azhary I.</t>
  </si>
  <si>
    <t>Fast Cancellation of Sidelobes in the Pattern of a Uniformly Excited Array Using External Elements</t>
  </si>
  <si>
    <t>10.1109/8.60986</t>
  </si>
  <si>
    <t>2-s2.0-0025625635</t>
  </si>
  <si>
    <t>['verified experimentally', 'suppress reflection', 'return loss', 'polarised wave', 'numerically optimised', 'incident power', 'desired polarisation', 'antenna efficiency', '15 db', '1 ghz']</t>
  </si>
  <si>
    <t>A matching slot pair which radiates all the incident power in a circularly-polarised wave is proposed and analysed for use as a terminal in a leaky-wave slotted waveguide array. The position and size of the slots are numerically optimised to suppress reflection and to realise a desired polarisation in the tilted beam direction, which contributes to improving the antenna efficiency. It is verified experimentally that the return loss is below - 15 dB over 0.1 GHz at the 4 GHz band and the 3 dB axial ratio handwidth is about 5% in the tilted beam direction.</t>
  </si>
  <si>
    <t>367-371</t>
  </si>
  <si>
    <t>60031126;60031126;60031126;60031126</t>
  </si>
  <si>
    <t>7006899159;7402174027;35495699200;7201747933</t>
  </si>
  <si>
    <t>Hirokawa, J.;Sakurai, K.;Ando, M.;Goto, N.</t>
  </si>
  <si>
    <t>Matching slot pair for a circularly-polarised slotted waveguide array</t>
  </si>
  <si>
    <t>10.1049/ip-h-2.1990.0066</t>
  </si>
  <si>
    <t>2-s2.0-0025625871</t>
  </si>
  <si>
    <t>['two hours', 'turn beneath', 'similar structures', 'primary echo', 'open ocean', 'minimum range', 'increased steadily', 'ice shelf', 'echo patterns', 'dropped back', 'dependent upon', 'constant separation', 'appeared abruptly']</t>
  </si>
  <si>
    <t>Unusual sodar echoes were observed in the low marine boundary layer for two hours on 13 July 1987; they took the form of thin, intense echo layers that appeared abruptly at the minimum range of the sodar and increased steadily in range to as much as 150 m, before descending equally rapidly back into the minimum range. In each case, if this primary echo reached more than 20 to 30 m range (dependent upon the antenna elevation angle) it was followed by a second similar echo, which maintained a constant separation in range below the primary echo, before both dropped back in turn beneath the minimum range of the sodar. Such echo patterns have not been reported over the open ocean before, but similar structures have been seen over land and also over an ice shelf. -from Authors</t>
  </si>
  <si>
    <t>2537-2545</t>
  </si>
  <si>
    <t>Journal of the Atmospheric Sciences</t>
  </si>
  <si>
    <t>60027716;60027716;60027716</t>
  </si>
  <si>
    <t>7103334533;7202893638;6701856361</t>
  </si>
  <si>
    <t>Cheung, T. K.;Little, C. G.;Ramm, H. E.</t>
  </si>
  <si>
    <t>National Oceanic and Atmospheric Administration</t>
  </si>
  <si>
    <t>Cheung T.</t>
  </si>
  <si>
    <t>Thin acoustic scattering layers observed in the low marine boundary layer</t>
  </si>
  <si>
    <t>10.1175/1520-0469(1990)047&lt;2537:TASLOI&gt;2.0.CO;2</t>
  </si>
  <si>
    <t>2-s2.0-0025627441</t>
  </si>
  <si>
    <t>['two orthogonal', 'two algorithms', 'rectangular plate', 'exact formula']</t>
  </si>
  <si>
    <t>An exact formula is given for the impedance of two orthogonal, coplanar, piecewise sinusoidal surface patches. This algorithm is then implemented with a previously published expression for parallel, coplanar, piecewise sinusoidal surface patches. The two algorithms are then used to generate the complete impedance matrix for a rectangular plate. ¬© 1990 IEEE</t>
  </si>
  <si>
    <t>1975-1978</t>
  </si>
  <si>
    <t>Davis, Grant</t>
  </si>
  <si>
    <t>Boulevard</t>
  </si>
  <si>
    <t>Lockheed Martin Space Systems Company</t>
  </si>
  <si>
    <t>Davis G.</t>
  </si>
  <si>
    <t>An Expression for the Mutual Impedance of Coplanar, Orthogonal Surface Patches</t>
  </si>
  <si>
    <t>10.1109/8.60991</t>
  </si>
  <si>
    <t>2-s2.0-0025628255</t>
  </si>
  <si>
    <t>['maximum delay', 'experimental results', 'essentially eliminates', 'delay line', 'broad bandwidth', 'approach uses']</t>
  </si>
  <si>
    <t>It is shown that by applying spatial frequency dependent phase compensation in an optical heterodyne process, a variable RF delay line can be synthesized over a prescribed frequency band. Experimental results which demonstrate the performance of the delay line with regard to both maximum delay and resolution over a broad bandwidth are presented. Additionally, a spatially integrated optical system is proposed for control of phased array antennas. The integrated system provides mechanical stability, essentially eliminates the drift problems associated with free-space optical systems, and can provide highpacking density. The approach uses a class of spatial light modulator known as a deformable mirror device and leads to a steerable arbitrary antenna radiation pattern of the true time delay type. ¬© 1990 IEEE</t>
  </si>
  <si>
    <t>1824-1828</t>
  </si>
  <si>
    <t>60017934;60027392</t>
  </si>
  <si>
    <t>6602606693;6701758561</t>
  </si>
  <si>
    <t>Toughlian, Edward N.;Zmuda, Henry</t>
  </si>
  <si>
    <t>Hoboken;Rome</t>
  </si>
  <si>
    <t>Stevens Institute of Technology;Griffiss AFB</t>
  </si>
  <si>
    <t>60027392;60017934</t>
  </si>
  <si>
    <t>Toughlian E.N.</t>
  </si>
  <si>
    <t>A Photonic Variable RF Delay Line for Phased Array Antennas</t>
  </si>
  <si>
    <t>10.1109/50.62877</t>
  </si>
  <si>
    <t>2-s2.0-0025631106</t>
  </si>
  <si>
    <t>['small system', 'shaping technique', 'shaped system', 'shaped subreflector', 'reduce cost', 'receive ports', 'main reflector', 'band 8', 'appreciably improved', 'aperture efficiency', 'antenna gain', '7 œª']</t>
  </si>
  <si>
    <t>An X-band 8.5-ft brassboard antenna system was designed and developed which required a 70% total antenna efficiency and a 25 dB isolation between the circularly polarized transmit and receive ports. To maximize the aperture efficiency, a shaping technique was used to generate a specially contoured subreflector and main reflector. To reduce cost, however, the configuration was chosen such that the shaped main reflector could be matched with negligible phase error using a commercially available paraboloid. The antenna gain of this shaped system with an electrically small subreflector (10.7 Œª) is 0.75 dB higher than that of a conventional system using the same paraboloid and a matching hyperbolic subreflector. Measured results demonstrated that even for a small system the antenna performance could be appreciably improved by using a shaped subreflector. ¬© 1990 IEEE</t>
  </si>
  <si>
    <t>1920-1924</t>
  </si>
  <si>
    <t>60005304;60005304</t>
  </si>
  <si>
    <t>6508138562;57193268489</t>
  </si>
  <si>
    <t>Haeger, Thomas A.;Lee, J. J.</t>
  </si>
  <si>
    <t>Haeger T.</t>
  </si>
  <si>
    <t>Comparisons Between a Shaped and Nonshaped Small Cassegrain Antenna</t>
  </si>
  <si>
    <t>10.1109/8.60980</t>
  </si>
  <si>
    <t>2-s2.0-0025631278</t>
  </si>
  <si>
    <t>['various densities', 'space measurements', 'moisture contents', 'microwave permittivities', '8 ghz', '4 ghz']</t>
  </si>
  <si>
    <t>Microwave permittivities of corn and wheat were determined by free-space measurements of complex transmission coefficients of grain samples located between two horn antennas. Data for grain of various densities and moisture contents at 4.8 GHz and 9.4 GHz are presented and source of errors are discussed.</t>
  </si>
  <si>
    <t>202-210</t>
  </si>
  <si>
    <t>Journal of Microwave Power and Electromagnetic Energy</t>
  </si>
  <si>
    <t>60026715;60026715</t>
  </si>
  <si>
    <t>7006372477;7403081273</t>
  </si>
  <si>
    <t>Kraszewski, A.;Nelson, S.</t>
  </si>
  <si>
    <t>USDA ARS Russell Research Center (RRC)</t>
  </si>
  <si>
    <t>Kraszewski A.</t>
  </si>
  <si>
    <t>Study on grain permittivity measurements in free space</t>
  </si>
  <si>
    <t>10.1080/08327823.1990.11688128</t>
  </si>
  <si>
    <t>2-s2.0-0025636386</t>
  </si>
  <si>
    <t>['way voice', 'support two', 'radio sat', 'paper describes', 'optional transmitters', 'navigation system', 'mobile radios', 'data packets', 'data communications', 'data broadcasts', 'amsc satellite', 'amsc ).']</t>
  </si>
  <si>
    <t>This paper describes the design of an integrated mobile satellite broadcast, paging, comnuatications and navigation system under development by Radio Satellite Corporation.&lt;sup&gt;1&lt;/sup&gt; K&lt;inf&gt;u&lt;/inf&gt;-band Radio Sat&lt;sup&gt;sm&lt;/sup&gt; ground stations broadcast digital audio signals and data packets (including alphanumeric pages and groupcalls) to mobiles through a satellite to be launched in 1993 by the American Mobile Satellite Corporation (AMSC). Each mobile radio simultaneously receives L-band digital audio and data broadcasts from the AMSC satellite and L-band navigation broadcasts from the Global Positioning System (GPS) through a common omnidirectional mobile antenna and receiver front end, RadioSat&lt;sup&gt;SM&lt;/sup&gt; mobile radios use GPS broadcasts and differential corrections sent through the AMSC satellite by RSC to navigate with 2 meter accuracy. With optional transmitters, Radio Sat&lt;sup&gt;SM&lt;/sup&gt; mobile radios can support two-way voice and data communications. ¬© 1990 IEEE</t>
  </si>
  <si>
    <t>270-274</t>
  </si>
  <si>
    <t>Noreen, Gary K.</t>
  </si>
  <si>
    <t>Noreen G.K.</t>
  </si>
  <si>
    <t>An Integrated Mobile Satellite Broadcast, Paging, Communications and Navigation System</t>
  </si>
  <si>
    <t>10.1109/11.64477</t>
  </si>
  <si>
    <t>2-s2.0-0025638414</t>
  </si>
  <si>
    <t>['x ),', 'time required', 'time applications', 'radiation pattern', 'nonzero derivatives', 'new method', 'linear arrays', 'linear array', 'infinite series', 'fourier sum', 'finite sum', 'excitation function', 'evaluated faster', 'critical point', 'array elements', 'also investigated']</t>
  </si>
  <si>
    <t>The time required to compute radiation patterns of linear arrays, given in a form of a Fourier sum, depends on the number of array elements. In this communication, a new fast algorithm for computing Fourier sums is presented. The radiation pattern, given by this sum, can be replaced by an infinite series whose terms depend on the envelop of the excitation function, w(x), and its derivatives at the edges of the linear array. In cases when w(x) has a few nonzero derivatives, this infinite series can be replaced by a finite sum which can be evaluated faster than the original Fourier sum. This makes this new method more suitable for real-time applications. The effect of critical point is also investigated. Some sample case studies are included. ¬© 1990 IEEE</t>
  </si>
  <si>
    <t>1965-1967</t>
  </si>
  <si>
    <t>El-Azhary, Ismail</t>
  </si>
  <si>
    <t>Exact Analysis of Radiation Patterns Using the Expansion of the Fourier Sum</t>
  </si>
  <si>
    <t>10.1109/8.60987</t>
  </si>
  <si>
    <t>2-s2.0-0025639477</t>
  </si>
  <si>
    <t>['two patients', 'treatment modality', 'rights reserved', 'preliminary report', 'patient treatments', 'obturator setup', 'nine patients', 'microwave applicator', 'intracavitary irradiation', 'high dose', 'different planes', 'cervical carcinomas', 'ats 100', '915 mhz']</t>
  </si>
  <si>
    <t>Afterloading irradiation | Carcinoma | Hyperthermia | Vagina</t>
  </si>
  <si>
    <t>Technically improved microwave antennas for clinical hyperthermia induction have made it possible to combine this treatment modality with external and intracavitary irradiation of vaginal and cervical carcinomas. A microwave applicator with a frequency of 915 MHz was used in tissue phantom measurements and inserted into perspex vaginal obturators for measurement of the specific absorption rate in different planes. A Lund Science Hyperthermia System 4010 with a 200 W generator and a separate thermometry system (ATS 100) was used in the patient treatments. Nine patients with vaginal squamous cell carcinomas have been treated with this applicator and obturator setup as an adjunct to intracavitary irradiation with high dose-rate afterloading technique. The treatments of two patients are described in this preliminary report. ¬©1990 Informa UK Ltd All rights reserved: reproduction in whole or part not permitted.</t>
  </si>
  <si>
    <t>1029-1033</t>
  </si>
  <si>
    <t>0284186X</t>
  </si>
  <si>
    <t>Acta Oncologica</t>
  </si>
  <si>
    <t>60022789-60000990;60022789-60000990;60022789-60000990</t>
  </si>
  <si>
    <t>7004485639;7201570003;57214464013</t>
  </si>
  <si>
    <t>Sorbe, B.;Roos, D. I.F.;Karlsson, L. G.</t>
  </si>
  <si>
    <t>Sweden;Sweden</t>
  </si>
  <si>
    <t>Orebro;Gothenburg</t>
  </si>
  <si>
    <t>Universitssjukhuset √ñrebro;Chalmers University of Technology</t>
  </si>
  <si>
    <t>60022789;60000990</t>
  </si>
  <si>
    <t>Sorbe B.</t>
  </si>
  <si>
    <t>The use of microwave-induced hyperthermia in conjunction with afterloading irradiation of vaginal carcinoma: A preliminary report</t>
  </si>
  <si>
    <t>10.3109/02841869009091795</t>
  </si>
  <si>
    <t>2-s2.0-0025642415</t>
  </si>
  <si>
    <t>['paper describes', 'instantaneous position', 'gps measurements', 'gps field', 'ginas ).', 'flying laboratory', 'first mission', 'first flight', 'determination system', 'columbus elements', 'based navigation']</t>
  </si>
  <si>
    <t>When the European Columbus Free-Flying Laboratory is orbiting the Earth at a speed of 7km/s, the Global Positioning System will allow its instantaneous position to be determined on-board, independently of the ground, to an accuracy of better than 100m. When the European spaceplane Hermes and the Columbus elements are performing rendezvous manoeuvres, they will also be relying on GPS measurements. For the first flight of Hermes itself, there will be no pilot on board and GPS-based navigation will be used for this first mission and the landing. This paper describes the results of GPS field-measurement experiments conducted at ESTEC's Radio-Navigation Testbed Laboratory, including a novel "GPS Integrated Navigation and Attitude-Determination System' (GINAS). -Authors</t>
  </si>
  <si>
    <t>289-302</t>
  </si>
  <si>
    <t>ESA Journal</t>
  </si>
  <si>
    <t>7201704105;6701783349</t>
  </si>
  <si>
    <t>Lucas, R.;Martin-Neira, M.</t>
  </si>
  <si>
    <t>Lucas R.</t>
  </si>
  <si>
    <t>The GPS Integrated Navigation and Attitude-Determination System (GINAS)</t>
  </si>
  <si>
    <t>2-s2.0-0025657137</t>
  </si>
  <si>
    <t>['wind speed', 'wind ).', 'taking flight', 'rubecula marshall', 'results indicated', 'parasitoid oviposition', 'ont √©', 'longer bouts', 'less frequent', 'le vol', 'l .)', 'hym √©', 'flight tunnel', 'cabbage leaves', 'antennae raised', '100 cm', '., braconidae']</t>
  </si>
  <si>
    <t>foraging behavior | Kairomone | wind speed</t>
  </si>
  <si>
    <t>Responses of female Cotesia rubecula (Marshall) (Hymenoptera: Braconidae) to larval Pieris rapae (L.) (Lepidoptera: Pieridae) feeding on cabbage leaves were investigated in a flight tunnel. Latency of flight was shorter and the proportion of female wasps flying to leaves was greater when cabbage was infested with hosts. This indicated that wasps detected hosts prior to taking flight and were attracted to them. Wind speed was varied (18, 54, 100 cm/s) to examine its effect on the response of wasps to hosts. Flight was inhibited by increasing wind speed and was accompanied by less frequent but longer bouts of ‚Äòpointing‚Äô (antennae raised and spread, facing into the wind). The accuracy of landing but not the duration of flight to the plant was affected by increasing wind speed. The results indicated that increasing wind speed will reduce the rate of parasitoid oviposition. R√©actions dans un tunnel de vol du parasito√Øde Cotesia rubecula √† son h√¥te, Pieris rapae Cette √©tude concerne les r√©actions des femelles de C. rubecula Marshall (Hym√©no., Braconidae) aux chenilles de P. rapae (L√©pido, Pieridae) aliment√©es sur feuilles de choux. Le tunnel fournit un flux laminaire et l'air est recycl√© avec d√©sodorisation par circulation sur un filtre de charbon de bois. La p√©riode de latence avant l'envol est plus br√®ve et la proportion de femelles volant vers les feuilles plus √©lev√©e quand les choux sont contamin√©s par les chenilles. Ceci montre que les femelles d√©tectent les h√¥tes avant l'envol et qu'ils les attirent. Le vent peut influer sur la lib√©ration de kairomones, sur les caract√©ristiques du panache d'odeurs et sur l'√©nerg√©tique du vol; en cons√©quence, diff√©rentes vitesses de vent (18, 54, 100 cm/S) ont √©t√© utilis√©es pour examiner leurs effets sur la r√©action des braconides. Le vol a √©t√© inhib√© par une augmentation de la vitesse du vent et √©tait accompagn√© par de plus longues, mais moins fr√©quentes pouss√©es de ‚Äòpointage‚Äô (antennes dress√©es et √©tendues, face au vent). La pr√©cision de l'atterrissage a √©t√© affect√©e par l'augmentation de la vitesse du vent, mais non la dur√©e du vol vers la plante. Ces r√©sultats ont montr√© que l'augmentation de la vitesse du vent peut r√©duire le taux de ponte du parasito√Øde en inhibant le vol. La signification de ces r√©sultats est discut√©e en relation avec la situation dans la nature. 1990 The Netherlands Entomological Society</t>
  </si>
  <si>
    <t>243-249</t>
  </si>
  <si>
    <t>Entomologia Experimentalis et Applicata</t>
  </si>
  <si>
    <t>Keller, Michael A.</t>
  </si>
  <si>
    <t>Adelaide</t>
  </si>
  <si>
    <t>The University of Adelaide</t>
  </si>
  <si>
    <t>Keller M.</t>
  </si>
  <si>
    <t>Responses of the parasitoid Cotesia rubecula to its host Pieris rapae in a flight tunnel</t>
  </si>
  <si>
    <t>10.1111/j.1570-7458.1990.tb01436.x</t>
  </si>
  <si>
    <t>2-s2.0-0025658403</t>
  </si>
  <si>
    <t>['thermal cycling', 'space environment', 'protons ).', 'orbit discharges', 'optical properties', 'electrostatic discharge', 'electron radiation', 'date indicate', 'combined effects', 'coated materials']</t>
  </si>
  <si>
    <t>Conventional sunshield membranes on communications satellite antennas can be a source of large on-orbit discharges. Indium tin oxide (ITO) coated conventional materials were tested for their electrostatic discharge (ESD), radio frequency (rf) and thermo-optical properties before and after their exposure to the space environment (ultraviolet, thermal cycling, electron radiation and combined effects of both electrons and protons). The results to date indicate that the coated materials are acceptable as rf transparent antenna sunshields. ¬© 1990 IEEE</t>
  </si>
  <si>
    <t>2134-2137</t>
  </si>
  <si>
    <t>IEEE Transactions on Nuclear Science</t>
  </si>
  <si>
    <t>60015623;60015623;60015623;60015623;</t>
  </si>
  <si>
    <t>56796389600;6601921024;7006764057;6602100953;7102190104</t>
  </si>
  <si>
    <t>Bowman, C.;Bogorad, A.;Brucker, G.;Seehra, S.;Lloyd, T.</t>
  </si>
  <si>
    <t>Bowman C.</t>
  </si>
  <si>
    <t>ITO-coated RF transparent materials for antenna sunshields‚Äîspace environment effects</t>
  </si>
  <si>
    <t>10.1109/23.101240</t>
  </si>
  <si>
    <t>2-s2.0-0025658652</t>
  </si>
  <si>
    <t>['systematic investigation', 'radiation patterns', 'ground plane', 'experimental results', 'electrical size', 'also compared']</t>
  </si>
  <si>
    <t>A systematic investigation was undertaken to determine the radiation patterns of a monopole antenna mounted on a cubical conducting box over a ground plane. The effects of the location of the monopole and the electrical size of the box were noted as compared to similar patterns measured over a flat ground plane. Experimental results were also compared with numerically predicted values obtained from a method of moments patch code. ¬© 1990 IEEE</t>
  </si>
  <si>
    <t>1907-1912</t>
  </si>
  <si>
    <t>57213733925;7402507033;7102880539</t>
  </si>
  <si>
    <t>Chu, Andrew W.C.;Long, Stuart A.;Wilton, Donald R.</t>
  </si>
  <si>
    <t>Chu A.W.C.</t>
  </si>
  <si>
    <t>The Radiation Pattern of a Monopole Antenna Attached to a Conducting Box</t>
  </si>
  <si>
    <t>10.1109/8.60978</t>
  </si>
  <si>
    <t>2-s2.0-0025658751</t>
  </si>
  <si>
    <t>['unbounded medium', 'transmit mode', 'total electric', 'testing functions', 'tangential components', 'surface currents', 'straight lines', 'small radome', 'receive mode', 'plane wave', 'magnetic fields', 'integral equations', 'excellent agreement', 'equivalent electric', 'equivalence principle', 'electromagnetic transmission', 'computed results', 'computed along', 'briefly discussed', 'boundary conditions', 'arbitary shape']</t>
  </si>
  <si>
    <t>A simple moment solution is presented for the problem of electromagnetic transmission through a small radome of arbitary shape. The radome is excited by either a plane wave (receive mode) or an elementary dipole inside the radome (transmit mode). The equivalence principle is used to replace the radome by a set of equivalent electric and magnetic surface currents radiating into an unbounded medium. A set of coupled integral equations involving the surface currents is obtained by enforcing the boundary conditions on the tangential components of the total electric and magnetic fields. The method of moments is used to solve the integral equations. The surfaces of the radome are approximated by planar triangular patches and linearly varying vector functions are used for both expansion and testing functions. Some of the limitations of the method are briefly discussed. In the receive mode, the total field inside the radome is computed along a number of straight lines and in the transmit mode the far transmitted field is computed. A spherical and a Von Karman radome are studied. The computed results are in excellent agreement with the exact or other available published data.</t>
  </si>
  <si>
    <t>401-405</t>
  </si>
  <si>
    <t>60030551;60030551;60030551;60030551</t>
  </si>
  <si>
    <t>7003593230;6504673210;6603035906;6505594108</t>
  </si>
  <si>
    <t>Arvas, E.;Rahhalarabi, A.;Pekel, U.;Gundogan, E.</t>
  </si>
  <si>
    <t>Arvas E.</t>
  </si>
  <si>
    <t>Electromagnetic transmission through a small radome of arbitary shape</t>
  </si>
  <si>
    <t>10.1049/ip-h-2.1990.0072</t>
  </si>
  <si>
    <t>2-s2.0-0025662681</t>
  </si>
  <si>
    <t>['tm12 mode', 'thin substrates', 'surface waves', 'ring design', 'primarily investigated', 'presented together', 'patch operates', 'input impedance', 'important even', 'impedance properties', 'experimental verification', 'closely spaced', 'also treated']</t>
  </si>
  <si>
    <t>The impedance properties of a dual concentric annular ring microstrip patch antenna are described. This patch operates at two frequency bands which may be closely spaced. The TM12 mode is primarily investigated but other modes are also treated. An equivalent circuit model for the input impedance is presented together with experimental verification. Surface waves are found to be important even for very thin substrates and these are included in the model. Factors which influence the ring design are discussed.</t>
  </si>
  <si>
    <t>331-336</t>
  </si>
  <si>
    <t>60010818;60010818</t>
  </si>
  <si>
    <t>6507585335;56020461500</t>
  </si>
  <si>
    <t>Nurie, N. S.;Langley, R. J.</t>
  </si>
  <si>
    <t>Nurie N.</t>
  </si>
  <si>
    <t>Input impedance of concentric ring microstrip antennas for dual frequency band operation including surface wave coupling</t>
  </si>
  <si>
    <t>10.1049/ip-h-2.1990.0061</t>
  </si>
  <si>
    <t>2-s2.0-0025662684</t>
  </si>
  <si>
    <t>['œ ±', 'terminal segment', 'terminal ends', 'terminal domain', 'spectroscopic analysis', 'reaction center', 'protein sequencing', 'photosynthetic unit', 'noncovalently bound', 'lhi complex', 'harvesting complex', 'grow anaerobically', 'chase experiments', 'charged segments', 'assembly process']</t>
  </si>
  <si>
    <t>Light-harvesting complex I (LHI) of Rhodobacter capsulatus contains bacteriochlorophyll and carotenoids which are noncovalently bound to two different apoproteins (Œ± and Œ≤ polypeptides) carrying oppositely charged N-terminal ends. The contirubtion of these charged segments to the assembly of LHI was studied with mutants having oppositely charged amino acids in the Œ± or Œ≤ polypeptide. The influence of these mutations on the insertion and assembly process of the LHI complex was investigated by means of spectroscopic analysis of isolated intracytoplasmic membranes and pulse-chase experiments. Exchange of four positively charged amino acids to negatively charged amino acids on the N-terminal domain of the Œ± subunit inhibited completely the assembly of the LHI complex. Although this mutant has no antenna, the reaction center is active and the cells were able to grow anaerobically in the light. Conversely, mutation of the four negatively charged amino acids of the N-terminal segment of the Œ≤ polypeptide did not prevent the assembly of the LHI complex. Although the stability of the complex and the size of the photosynthetic unit were affected. The presence of the mutated Œ≤ polypeptide was confirmed by protein sequencing.</t>
  </si>
  <si>
    <t>7131-7137</t>
  </si>
  <si>
    <t>60025641;60025641;60025641;60025641</t>
  </si>
  <si>
    <t>6506282522;6602759193;16137779500;7102742634</t>
  </si>
  <si>
    <t>Stiehle, H.;Cortez, N.;Klug, G.;Drews, G.</t>
  </si>
  <si>
    <t>Freiburg im Breisgau</t>
  </si>
  <si>
    <t>Universit√§t Freiburg im Breisgau</t>
  </si>
  <si>
    <t>Stiehle H.</t>
  </si>
  <si>
    <t>A negatively charged N terminus in the Œ± polypeptide inhibits formation of light-harvesting complex I in Rhodobacter capsulatus</t>
  </si>
  <si>
    <t>10.1128/jb.172.12.7131-7137.1990</t>
  </si>
  <si>
    <t>2-s2.0-0025666464</t>
  </si>
  <si>
    <t>['tower height', 'slightly superior', 'results show', 'radiator height', 'radial lengths', 'provide ground', 'paper investigate', 'mounted monopole', 'monopole height', 'isolated feed', 'feed method', 'elevation heights', 'elevation height', 'direct feed', 'degree increments', 'conventional ground', 'computer analysis', 'baseline reference', 'also modeled', '5 meters', '45 ¬∞', '225 ¬∞,', '10 meters']</t>
  </si>
  <si>
    <t>Computer analysis and field tests indicate that an elevated vertical monopole with elevated horizontal radials can provide ground-wave field intensities which are comparable to those generated by a conventional ground-mounted monopole with 120 buried radials. Computer modeling studies described in this paper investigate the effects of changes in monopole height and radial length upon the transmitted field intensity. The tower height was varied in 45-degree increments from 45¬∞ to 225¬∞, as was the length of the four elevated horizontal radials. The ‚Äúdirect‚Äù and ‚Äúisolated‚Äù feed methods were both utilized, and elevation heights of 5 meters and 10 meters were modeled. The results show that 90-degree radials generally give the strongest field strength, independent of the radiator height or the feed method. Isolated feed was usually somewhat better than direct feed, and an elevation height of 10 meters was slightly superior to a height of 5 meters in most cases. Taller towers always produced higher maximum values of electric field strength. Conventional antenna systems with various monopole heights and radial lengths were also modeled, to serve as a baseline reference. ¬© 1990 IEEE</t>
  </si>
  <si>
    <t>262-269</t>
  </si>
  <si>
    <t>60032784-60011132</t>
  </si>
  <si>
    <t>Christman, Al</t>
  </si>
  <si>
    <t>Grove City;Athens</t>
  </si>
  <si>
    <t>Grove City College;Ohio University</t>
  </si>
  <si>
    <t>60032784;60011132</t>
  </si>
  <si>
    <t>Christman A.</t>
  </si>
  <si>
    <t>Elevated Vertical Monopole Antennas: Effects of Changes in Radiator Height and Radial Length</t>
  </si>
  <si>
    <t>10.1109/11.64476</t>
  </si>
  <si>
    <t>2-s2.0-0025669244</t>
  </si>
  <si>
    <t>['three configurations', 'scan performance', 'rectangular junctions', 'planar strips', 'input impedance', 'inhomogeneous substrate', 'infinite arrays', 'dielectric substrates', 'dielectric discontinuities', 'current continuity', 'configurations include', 'calculated results', 'antenna characteristics', 'analysed using']</t>
  </si>
  <si>
    <t>Infinite arrays of two-dimensional printed elements are analysed using the finite difference method. Grid models accounting for dielectric discontinuities and current continuity at rectangular junctions are developed. The procedure is used to study the behaviour of three configurations of planar strips over dielectric substrates in an infinite array environment. These configurations include the 'dipole' element, the 'microstrip' element and the 'microstrip' element over an inhomogeneous substrate. For each configuration, calculated results are presented with special attention given to the correctness of antenna characteristics such as input impedance and scan performance. The results accurately predict antenna performance and comparison with published data confirms the method.</t>
  </si>
  <si>
    <t>358-366</t>
  </si>
  <si>
    <t>8507385300;6504602491</t>
  </si>
  <si>
    <t>Bayard, J. P.R.;Shaubert, D. H.</t>
  </si>
  <si>
    <t>Bayard J.</t>
  </si>
  <si>
    <t>Finite difference analysis of infinite arrays of two-dimensional microstrip structures</t>
  </si>
  <si>
    <t>10.1049/ip-h-2.1990.0065</t>
  </si>
  <si>
    <t>2-s2.0-0025669561</t>
  </si>
  <si>
    <t>['‚ äòmeasurements', 'œ ∏', 'wiley blackwell', 'water surface', 'water rises', 'water measures', 'transmitting antenna', 'tapwater used', 'ta ).', 'slightly less', 'rising frequency', 'rights reserved', 'radius r', 'radiation patterns', 'quantitative interpretation', 'network analyser', 'mounted horizontally', 'measured patterns', 'lower frequencies', 'largest value', 'increasing r', 'increasing height', 'height h', 'fully developed', 'frequency decreases', 'former value', 'field patterns', 'eœ ∏', 'explained since', 'enable us', 'delft geotechnics', 'continuous wave', 'computational results', 'buried objects', 'attenuation constant', 'angular distribution', 'agreement inproves', '50 khz', '200 mhz', '20 ¬∞', '160 mhz', '15 wavelengths', '1 ).']</t>
  </si>
  <si>
    <t>At Delft Geotechnics the technique of ground‚Äêpenetrating radar is in use for the detection of buried objects such as pipes. To enable us to give our ‚Äòmeasurements in the field‚Äô a more quantitative interpretation than can be deduced from these alone, a series of experiments has been started under well‚Äêdefined conditions. A cylindrical vessel containing water simulates wet soil. Mounted horizontally above the water surface is a pulsed triangular half‚Äêwave dipole which is used as a transmitting antenna (TA). It has a carrier‚Äêfrequency of about 160 MHz and a pulse repetition‚Äêfrequency of about 50 kHz. A movable receiving dipole (‚Äòprobe‚Äô) in the water measures the transverse, mutually orthogonal EœÜ,‚Äê and EŒ∏‚Äêcomponents of the pulses as a function of probe‚Äêposition (r, Œ∏, œÜ) and of the height h of the TA above the water surface. When these pulses are Fourier‚Äêtransformed, the transverse electric fields EœÜ and EŒ∏ at 200 MHz are obtained. The resulting field patterns are compared with computational results on the basis of the theory of the continuous wave, infinitesimal electric dipole (‚Äòpoint dipole‚Äô). It can be concluded that: Far‚Äêfield conditions have not fully developed at a depth of about 2.50 m, the largest value of the radius r at which field patterns were measured, although it represents a distance of about 15 wavelengths. The attenuation constant of the tapwater used, as deduced from E‚Äêfield measurements for Œ∏= 0, 2.50 m &lt; r &lt; 2.75 m, is slightly less than the value measured using a network analyser and air line combination, in agreement with (1). E œÜ field patterns calculated using the value of the conductivity œÉ corresponding to the former value of the attenuation constant agree reasonably well with the measured patterns for r‚â§ 2.50 m and for Œ∏ &lt; 20¬∞ at all antenna heights considered. Calculated EœÜ patterns do not agree so well with the measured patterns when h is close to zero. With increasing height the agreement inproves. In accordance with the theory of the point‚Äêdipole, the angular distribution of the radiation patterns of the TA becomes wider as the frequency decreases. The normalized underwater pulse‚Äêspectra shift to lower frequencies with increasing r. This can be explained since the attenuation constant of the water rises with rising frequency. Copyright ¬© 1990, Wiley Blackwell. All rights reserved</t>
  </si>
  <si>
    <t>805-830</t>
  </si>
  <si>
    <t>Geophysical Prospecting</t>
  </si>
  <si>
    <t>60030710;60030710;60030710;60030710</t>
  </si>
  <si>
    <t>36966879900;6603342445;57206489071;56584432000</t>
  </si>
  <si>
    <t>WENSINK, W. A.;GREEUW, G.;HOFMAN, J.;VAN DEEN, J. K.</t>
  </si>
  <si>
    <t>Delft</t>
  </si>
  <si>
    <t>GeoDelft - Delft Geotechnics</t>
  </si>
  <si>
    <t>WENSINK W.</t>
  </si>
  <si>
    <t>MEASURED UNDERWATER NEAR‚ÄêFIELD E‚ÄêPATTERNS OF A PULSED, HORIZONTAL DIPOLE ANTENNA IN AIR: COMPARISON WITH THE THEORY OF THE CONTINUOUS WAVE, INFINITESIMAL ELECTRIC DIPOLE</t>
  </si>
  <si>
    <t>10.1111/j.1365-2478.1990.tb01876.x</t>
  </si>
  <si>
    <t>2-s2.0-0025671209</t>
  </si>
  <si>
    <t>['various aspects', 'utmost importance', 'synthesised array', 'suitable choice', 'starting point', 'projector concept', 'practical realisation', 'point belonging', 'pattern desired', 'method permits', 'large number', 'intersection approach', 'effective formulation']</t>
  </si>
  <si>
    <t>The array synthesis problem is of utmost importance and therefore a large number of papers have been devoted to it. A new synthesis method based on the intersection approach is presented: the synthesis is viewed as the problem of finding the intersection of sets. This is a more natural, flexible and effective formulation of the problem but despite this it has not previously received much attention. The search for a point belonging to the intersection of two sets allows a very effective solution procedure, based on the projector concept and on a suitable choice of the starting point of the iteration. A number of one and two dimensional examples are presented to highlight the various aspects of the method. Emphasis is put on constrained array synthesis which is important when the practical realisation of the synthesised array is of concern. The method permits the synthesis of constrained patterns without appreciable degradation of the pattern desired.</t>
  </si>
  <si>
    <t>349-357</t>
  </si>
  <si>
    <t>60017293;60017293;60017293;60017293</t>
  </si>
  <si>
    <t>7006499276;7006413404;7006097620;7003742703</t>
  </si>
  <si>
    <t>Bucci, O. M.;Franceschetti, G.;Mazzarella, G.;Panariello, G.</t>
  </si>
  <si>
    <t>Naples</t>
  </si>
  <si>
    <t>Universit√† degli Studi di Napoli Federico II</t>
  </si>
  <si>
    <t>Bucci O.</t>
  </si>
  <si>
    <t>Intersection approach to array pattern synthesis</t>
  </si>
  <si>
    <t>10.1049/ip-h-2.1990.0064</t>
  </si>
  <si>
    <t>2-s2.0-0025672269</t>
  </si>
  <si>
    <t>['waveguide height', 'wall thickness', 'universal form', 'solved using', 'slot width', 'scattering characteristics', 'resonant length', 'rectangular waveguide', 'numerical results', 'inclined slots', 'find applications', 'broad wall']</t>
  </si>
  <si>
    <t>The problem of a centred-inclined radiating slot cut in a broad wall of a rectangular waveguide and excited by a TE10 mode wave is considered. Pertinent integral equations for the slot aperture electric field are solved using the method of moments. Scattering characteristics of the slot are then analysed including resonant length and the equivalent series impedance. Numerical results on resonant length and the normalised series impedance in a universal form are obtained over a range of values of tilt, slot width, waveguide height, wall thickness and frequency. These results should find applications in the design of arrays of centred-inclined slots.</t>
  </si>
  <si>
    <t>343-348</t>
  </si>
  <si>
    <t>Rengarajan, S. R.</t>
  </si>
  <si>
    <t>Rengarajan S.R.</t>
  </si>
  <si>
    <t>Scattering characteristics of a centred-inclined slot in a broad wall of a rectangular waveguide</t>
  </si>
  <si>
    <t>10.1049/ip-h-2.1990.0063</t>
  </si>
  <si>
    <t>2-s2.0-0025672270</t>
  </si>
  <si>
    <t>['wave numbers', 'radial alpha', 'poloidal gyroradius', 'particle transport', 'particle flux', 'particle density', 'nœ ±', 'control alpha', 'birth energy', 'alpha particles']</t>
  </si>
  <si>
    <t>Control of radial alpha-particle transport by using ion cyclotron range of frequency (ICRF) waves is investigated in a large-aspect-ratio tokamak geometry. Spatially inhomogeneous ICRF wave energy with properly selected frequencies and wave numbers can induce fast convective transports of alpha particles at the speed of order valpha Approximately (PRF/nŒ±Œµ0)œÅp, where PRF is the ICRF wave power density, nŒ± is the alpha-particle density, Œµ0 is the alpha-particle birth energy, and œÅp is the poloidal gyroradius of alpha particles at the birth energy. Application to International Thermonuclear Experimental Reactor (ITER) plasma is studied and possible antenna designs to control alpha-particle flux are discussed.</t>
  </si>
  <si>
    <t>618-624</t>
  </si>
  <si>
    <t>Fusion Technology</t>
  </si>
  <si>
    <t>60021784;60021784;60021784;60021784</t>
  </si>
  <si>
    <t>57219497484;57208518670;6701752564;7004002507</t>
  </si>
  <si>
    <t>Chang, C. S.;Imre, Kaya;Weitzner, Harold;Colestock, P.</t>
  </si>
  <si>
    <t>New York</t>
  </si>
  <si>
    <t>New York University</t>
  </si>
  <si>
    <t>Chang C.S.</t>
  </si>
  <si>
    <t>Control of alpha-particle transport by ion cyclotron resonance heating</t>
  </si>
  <si>
    <t>10.13182/FST90-A29254</t>
  </si>
  <si>
    <t>2-s2.0-0025675165</t>
  </si>
  <si>
    <t>['spaced antenna', 'ri ),', 'results show', 'fca ).', 'copyright 1990']</t>
  </si>
  <si>
    <t>Multiple‚Äêreceiver MF radar returns from the mesosphere are used to investigate the relationship between spaced antenna (SA), radar interferometry (RI), and imaging Doppler interferometry (IDI) wind estimation techniques. Our results show that frequency‚Äêdomain (RI and IDI) and time‚Äêdomain (SA) techniques yield almost identical results under high SNR conditions suitable for SA full correlation analysis (FCA). Copyright 1990 by the American Geophysical Union.</t>
  </si>
  <si>
    <t>2193-2196</t>
  </si>
  <si>
    <t>Geophysical Research Letters</t>
  </si>
  <si>
    <t>122297306;122297306;122297306;122297306;122297306</t>
  </si>
  <si>
    <t>7103338067;6603883450;57192361711;56132857500;7004340222</t>
  </si>
  <si>
    <t>Franke, Patricia M.;Thorsen, Denise;Champion, Mark;Franke, Steven J.;Kudeki, Erhan</t>
  </si>
  <si>
    <t>Commerce</t>
  </si>
  <si>
    <t>University of Illinois</t>
  </si>
  <si>
    <t>Franke P.M.</t>
  </si>
  <si>
    <t>Comparison of time‚Äê and frequency‚Äêdomain techniques for wind velocity estimation using multiple‚Äêreceiver MF radar data</t>
  </si>
  <si>
    <t>10.1029/GL017i012p02193</t>
  </si>
  <si>
    <t>2-s2.0-0025691822</t>
  </si>
  <si>
    <t>['¬© 1990', 'typical activities', 'surface accuracy', 'starting phases', 'specific characteristics', 'residual distortions', 'reflecting surface', 'peculiar requirements', 'impressive feature', 'high precision', 'high impact', 'global index', 'extensively reported', 'design stage', 'design requirements', 'design methods', 'composite materials', 'calculation strategies', 'briefly reviewed', 'antenna reflector', 'analytical tools', 'also shown']</t>
  </si>
  <si>
    <t>The application of composite materials to the design and manufacture of radar antenna reflectors is considered in this paper. The peculiar requirements of this kind of structure are described, particularly as regards the high precision of the reflecting surface. The general and specific characteristics of the composites are high-lighted, along with their advantages and disadvantages. The 'tailorability' of the material is indicated as the most impressive feature, involving a high impact on the design methods. Typical manufacturing technologies for the antenna reflector are briefly reviewed, in order to underline the aspects which affect the achievement of the required structure characteristics. The analysis/design stage is then taken into account, with a description of the calculation strategies and techniques. The necessity for a wide experimental support to the analytical tools is also shown, along with an overview of the typical activities and methodologies in this field. The subject of the surface accuracy is then exposed, highlighting the design requirements, the causes of the residual distortions after manufacture, and the ways to evaluate them at the design stage. A method, useful in the starting phases of the project, for the estimation of a global index of surface accuracy, is extensively reported. ¬© 1990.</t>
  </si>
  <si>
    <t>209-235</t>
  </si>
  <si>
    <t>Composite Structures</t>
  </si>
  <si>
    <t>100983055;60032350;60032350</t>
  </si>
  <si>
    <t>6507945299;7201839044;6603492548</t>
  </si>
  <si>
    <t>Cirese, P.;Marchetti, M.;Sgubini, S.</t>
  </si>
  <si>
    <t>Sapienza Universit√† di Roma;SMA SpA</t>
  </si>
  <si>
    <t>60032350;100983055</t>
  </si>
  <si>
    <t>Cirese P.</t>
  </si>
  <si>
    <t>Design and manufacturing criteria for high precision composite antenna reflectors. Prediction of the residual distortions after the manufacturing process</t>
  </si>
  <si>
    <t>0263-8223(90)90073-N</t>
  </si>
  <si>
    <t>10.1016/0263-8223(90)90073-N</t>
  </si>
  <si>
    <t>2-s2.0-0025693068</t>
  </si>
  <si>
    <t>['radiating edges', 'port patches', 'external interaction', 'experimental results', 'dielectric layer', 'conducting ground']</t>
  </si>
  <si>
    <t>An extension of the multiport network modelling technique applied to rectangular microstrip patches on thin substrates covered with a dielectric layer is reported. The edge admittance networks for the radiating edges and the mutual coupling network for the external interaction between the two radiating edges are obtained from the spectral domain solution for fields of a magnetic current element placed on a conducting ground and covered with a dielectric layer. Results of the analysis for single-port and two-port patches are compared with experimental results. The good agreement validates the model and the analysis procedure proposed.</t>
  </si>
  <si>
    <t>60000221;60000221</t>
  </si>
  <si>
    <t>6602836798;7402592343</t>
  </si>
  <si>
    <t>Benalla, A.;Gupta, K. C.</t>
  </si>
  <si>
    <t>Boulder</t>
  </si>
  <si>
    <t>University of Colorado Boulder</t>
  </si>
  <si>
    <t>Benalla A.</t>
  </si>
  <si>
    <t>Multiport network model for rectangular microstrip patches covered with a dielectric layer</t>
  </si>
  <si>
    <t>10.1049/ip-h-2.1990.0068</t>
  </si>
  <si>
    <t>2-s2.0-0025693729</t>
  </si>
  <si>
    <t>['¬© 1990', 'short distances', 'sensor data', 'rf field', 'multichannel telemetry', 'loop operation', 'absorption rate', 'absorption modulation']</t>
  </si>
  <si>
    <t>A new wireless communication method, based on absorption modulation, is presented for bidirectional data exchange between a small implanted module and an external control unit. The implanted module containing actuators and sensors operates without a battery or active RF transmitter. Energy and remote control data are received from an external RF field. The retransmission of sensor data is carried out on the same RF field by modulating the absorption rate. The field of application is multichannel telemetry and closed-loop operation of feedback control systems within long time periods but short distances. Almost any type of actuator and sensor can be supplied and operated, since the energy transfer exceeds 50% efficiency and the information capacity may exceed 1 Mbit/s. Except for the small loop antenna, the whole circuit may be realized on a substrate or hybrid. ¬© 1990.</t>
  </si>
  <si>
    <t>258-262</t>
  </si>
  <si>
    <t>Sensors and Actuators: A. Physical</t>
  </si>
  <si>
    <t>60025858-60012614;60025858-60012614</t>
  </si>
  <si>
    <t>6701706801;6603711883</t>
  </si>
  <si>
    <t>Neukomm, P. A.;K√ºndig, H.</t>
  </si>
  <si>
    <t>Switzerland;Switzerland</t>
  </si>
  <si>
    <t>Zurich ZH,;Zurich</t>
  </si>
  <si>
    <t>ETH Zurich;University of Zurich</t>
  </si>
  <si>
    <t>60025858;60012614</t>
  </si>
  <si>
    <t>Neukomm P.</t>
  </si>
  <si>
    <t>Passive wireless actuator control and sensor signal transmission</t>
  </si>
  <si>
    <t>092442479085050E</t>
  </si>
  <si>
    <t>10.1016/0924-4247(90)85050-E</t>
  </si>
  <si>
    <t>2-s2.0-0025698113</t>
  </si>
  <si>
    <t>['¬© 1990', 'simple technique', 'significant loss', 'rights reserved', 'radome cover', 'probe feed', 'patch boundary', 'measured results', 'input impedance', 'electrical engineers', 'analysis uses']</t>
  </si>
  <si>
    <t>Antennas | Microstrip | Modelling</t>
  </si>
  <si>
    <t>The results of modelling a thick, truncated circular patch with probe feed and radome cover, are presented. The method of analysis uses the mixed potential integral equation in conjunction with triangular current domains. Input impedance, being the most sensitive electrical parameter, is compared to measured results, and a significant loss of accuracy near resonance demonstrated. A simple technique of compensation is then introduced which is equivalent to adding a line charge basis along the patch boundary. ¬© 1990, The Institution of Electrical Engineers. All rights reserved.</t>
  </si>
  <si>
    <t>50-52</t>
  </si>
  <si>
    <t>100311380;60022109</t>
  </si>
  <si>
    <t>57198367540;7005244140</t>
  </si>
  <si>
    <t>Notter, M. J.;Parini, C. G.</t>
  </si>
  <si>
    <t>London;Portsmouth</t>
  </si>
  <si>
    <t>Queen Mary University of London;Marconi Space Systems Ltd</t>
  </si>
  <si>
    <t>60022109;100311380</t>
  </si>
  <si>
    <t>Notter M.</t>
  </si>
  <si>
    <t>Modelling of Arbitrary Shaped M/S Patch Antennas in Multiple Substrate Media</t>
  </si>
  <si>
    <t>10.1049/el:19900033</t>
  </si>
  <si>
    <t>2-s2.0-0025699563</t>
  </si>
  <si>
    <t>['¬© 1990', 'rights reserved', 'radiation patterns', 'infinite plane', 'height h', 'evaluated asymptotically', 'electrical engineers']</t>
  </si>
  <si>
    <t>Antenna theory | Antenna theory | Antennas | EM waves</t>
  </si>
  <si>
    <t>We consider a Hertzian vertical dipole at height h over an infinite plane which is characterised by an anisotropic surface impedance. An exact integral formulation is presented which is evaluated asymptotically to give the radiation patterns for the components of the elliptically polarised far zone field. ¬© 1990, The Institution of Electrical Engineers. All rights reserved.</t>
  </si>
  <si>
    <t>74-76</t>
  </si>
  <si>
    <t>Wait, J. R.</t>
  </si>
  <si>
    <t>Wait J.</t>
  </si>
  <si>
    <t>Radiation from Vertical Electric Dipole Located Over Laterally Anisotropic Groundplane</t>
  </si>
  <si>
    <t>10.1049/el:19900049</t>
  </si>
  <si>
    <t>2-s2.0-0025699587</t>
  </si>
  <si>
    <t>['¬© 1990', 'theoretical limits', 'substrate thickness', 'rights reserved', 'mom ).', 'input impedance', 'electrical engineers', 'coaxial probe', 'calculated via', 'calculated results', 'basis functions']</t>
  </si>
  <si>
    <t>Antennas | Integral equations | Method of moments | Microstrip | Modelling</t>
  </si>
  <si>
    <t>The input impedance of a microstrip patch antenna with an electrically thick substrate is calculated via a mixed potential integral equation (MPIE) and the method of moments (MoM). Basis functions are used on the coaxial probe. A special attachment mode is employed at the coaxial probeantenna junction. Since no thin substrate approximations are used, there are no theoretical limits on the substrate thickness. Measured and calculated results are compared. ¬© 1990, The Institution of Electrical Engineers. All rights reserved.</t>
  </si>
  <si>
    <t>64-66</t>
  </si>
  <si>
    <t>60022476;60028186</t>
  </si>
  <si>
    <t>55448539100;7006665188</t>
  </si>
  <si>
    <t>Hall, R. C.;Mosig, J. R.</t>
  </si>
  <si>
    <t>Lausanne;Boulder</t>
  </si>
  <si>
    <t>Swiss Federal Institute of Technology Lausanne;Ball Aerospace</t>
  </si>
  <si>
    <t>60028186;60022476</t>
  </si>
  <si>
    <t>Hall R.</t>
  </si>
  <si>
    <t>Rigorous Feed Model for Coaxially Fed Microstrip Antenna</t>
  </si>
  <si>
    <t>10.1049/el:19900042</t>
  </si>
  <si>
    <t>2-s2.0-0025699594</t>
  </si>
  <si>
    <t>['¬© 1990', 'rights reserved', 'results demonstrate', 'rectangular waveguide', 'order modes', 'measured results', 'estimating mismatch', 'electrical engineers']</t>
  </si>
  <si>
    <t>Antenna arrays | Antennas | Coupling | Dielectrics | Waveguides</t>
  </si>
  <si>
    <t>A method is described for calculating mode reflection and conversion at the aperture of a dielectric-loaded waveguide terminating in a groundplane. Theoretical and measured results are presented for the mismatch in a rectangular waveguide with dielectric placed parallel to the principal electric field. These results demonstrate the importance of high-order modes in estimating mismatch. ¬© 1990, The Institution of Electrical Engineers. All rights reserved.</t>
  </si>
  <si>
    <t>59-61</t>
  </si>
  <si>
    <t>7202832083;7101875340</t>
  </si>
  <si>
    <t>Bird, T. S.;Hay, S. G.</t>
  </si>
  <si>
    <t>Mismatch in Dielectric-Loaded Rectangular Waveguide Antenna</t>
  </si>
  <si>
    <t>10.1049/el:19900039</t>
  </si>
  <si>
    <t>2-s2.0-0025699610</t>
  </si>
  <si>
    <t>['¬© 1990', 'square value', 'sidelobe regions', 'rights reserved', 'performance achievable', 'numerical results', 'mainlobe width', 'electrical engineers', 'desired response', 'array response']</t>
  </si>
  <si>
    <t>Antenna arrays | Computer-aided design | Mathematical techniques</t>
  </si>
  <si>
    <t>A computer-aided design technique for synthesising an antenna array pattern with an adjustable mainlobe width and minimum average sidelobe level is presented. The approach is based on a constrained optimisation problem designed to match the array response to a desired response over a mainlobe width while minimising the mean-square value of the array response over the sidelobe regions. Numerical results are presented to illustrate the performance achievable. ¬© 1990, The Institution of Electrical Engineers. All rights reserved.</t>
  </si>
  <si>
    <t>2113-2115</t>
  </si>
  <si>
    <t>Computer-Aided Design of Array Pattern</t>
  </si>
  <si>
    <t>10.1049/el:19901360</t>
  </si>
  <si>
    <t>2-s2.0-0025701932</t>
  </si>
  <si>
    <t>['¬© 1990', 'rights reserved', 'results indicate', 'properly spaced', 'investigated experimentally', 'improved directivity', 'electrical engineers', 'circular polarization']</t>
  </si>
  <si>
    <t>The circular polarization (CP) characteristics of a two-layer electromagnetically coupled (EMCP) antenna have been investigated experimentally. Results indicate that, when properly spaced, the two-layer EMCP antenna has better axial ratio and improved directivity. ¬© 1990, The Institution of Electrical Engineers. All rights reserved.</t>
  </si>
  <si>
    <t>2109-2110</t>
  </si>
  <si>
    <t>60026717;60021624;60021624</t>
  </si>
  <si>
    <t>24522606100;6602793643;7501501369</t>
  </si>
  <si>
    <t>Lee, R. Q.;Talty, T.;Lee, K. F.</t>
  </si>
  <si>
    <t>Lee R.</t>
  </si>
  <si>
    <t>Circular Polarisation Characteristics of Stacked Microstrip Antennas</t>
  </si>
  <si>
    <t>10.1049/el:19901357</t>
  </si>
  <si>
    <t>2-s2.0-0025701967</t>
  </si>
  <si>
    <t>['¬© 1990', 'rights reserved', 'proper choice', 'patch dimensions', 'numerical predictions', 'multifunctional performance', 'measured vswr', 'found critical', 'electrical engineers', 'behaves like', 'antenna exhibits', '3 %.', '20 %,']</t>
  </si>
  <si>
    <t>A multifunctional aperture coupled stacked patch antenna is presented that operates at dual frequency bands. At the lower frequency band, the antenna exhibits a 2:1 VSWR bandwidth of 20%, and at the higher frequency band, it behaves like a conventional narrowband patch antenna with a 2:1 VSWR bandwidth of 3%. Measured VSWR and far-field radiation patterns as well as numerical predictions are presented. A proper choice of the patch dimensions has been found critical to achieve this multifunctional performance. ¬© 1990, The Institution of Electrical Engineers. All rights reserved.</t>
  </si>
  <si>
    <t>2067-2068</t>
  </si>
  <si>
    <t>15123408500;6602956219;7501662188;7006562937</t>
  </si>
  <si>
    <t>Wang, J.;Fralich, R.;Wu, C.;Litva, J.</t>
  </si>
  <si>
    <t>Multifunctional aperture coupled stack patch antenna</t>
  </si>
  <si>
    <t>10.1049/el:19901333</t>
  </si>
  <si>
    <t>2-s2.0-0025701969</t>
  </si>
  <si>
    <t>['¬© 1990', 'rights reserved', 'radiation characteristics', 'electrical engineers', 'diameter large', 'considerably low', 'calculated results']</t>
  </si>
  <si>
    <t>Antennas | Reflector antennas</t>
  </si>
  <si>
    <t>Two scaled mesh reflector electric models have been constructed for the design of a 30 m diameter large d√©ployable antenna. Radiation characteristics of the antennas have been measured and compared with calculated results. The similarities between measured and calculated results are very close. The cross-polarisation level especially is considerably low. ¬© 1990, The Institution of Electrical Engineers. All rights reserved.</t>
  </si>
  <si>
    <t>2091-2093</t>
  </si>
  <si>
    <t>117241439;117241439;117241439;117241439</t>
  </si>
  <si>
    <t>57199845202;7003864682;6602770635;7403670878</t>
  </si>
  <si>
    <t>Sato, S.;Iso, A.;Orikasa, T.;Sugimoto, T.</t>
  </si>
  <si>
    <t>Space Communications Research Corp</t>
  </si>
  <si>
    <t>Sato S.</t>
  </si>
  <si>
    <t>Ku band electric models for large d√©ployable mesh reflector antenna</t>
  </si>
  <si>
    <t>10.1049/el:19901347</t>
  </si>
  <si>
    <t>2-s2.0-0025701971</t>
  </si>
  <si>
    <t>['¬© 1990', 'small slot', 'rights reserved', 'experimentally achieved', 'empirically optimising', 'electrical engineers']</t>
  </si>
  <si>
    <t>Antennas | Oscillators</t>
  </si>
  <si>
    <t>Efficient power transfer through a small slot in a thin conducting screen separating two resonant cavities was experimentally achieved by empirically optimising the natural resonant frequency of the slot and the circuit coupling factors. The design of a power combining circuit based on the use of slot coupled microstrip sources is discussed in terms of an electrical equivalent circuit which confirms that a high power transfer efficiency is possible with such an arrangement. ¬© 1990, The Institution of Electrical Engineers. All rights reserved.</t>
  </si>
  <si>
    <t>2070-2073</t>
  </si>
  <si>
    <t>60020595;60020595</t>
  </si>
  <si>
    <t>6701816265;55217224600</t>
  </si>
  <si>
    <t>Frayne, P. G.;Potter, J.</t>
  </si>
  <si>
    <t>Egham</t>
  </si>
  <si>
    <t>Royal Holloway, University of London</t>
  </si>
  <si>
    <t>Frayne P.</t>
  </si>
  <si>
    <t>Efficient power transfer through small apertures</t>
  </si>
  <si>
    <t>10.1049/el:19901335</t>
  </si>
  <si>
    <t>2-s2.0-0025701973</t>
  </si>
  <si>
    <t>['¬© 1990', 'tractable approximations', 'substantial increase', 'rights reserved', 'results show', 'packet collisions', 'network performance', 'electrical engineers', 'directional antennas']</t>
  </si>
  <si>
    <t>Algorithms | Radiocommunication</t>
  </si>
  <si>
    <t>The use of directional antennas in multihop packet radio networks using slotted ALOHA access is considered. Tractable approximations to the network performance in terms of expected forward progress are derived. Results show that packet collisions can be strongly reduced already with moderate gain antennas to allow for a substantial increase in network performance. ¬© 1990, The Institution of Electrical Engineers. All rights reserved.</t>
  </si>
  <si>
    <t>2098-2100</t>
  </si>
  <si>
    <t>Zander, J.</t>
  </si>
  <si>
    <t>The Royal Institute of Technology (KTH)</t>
  </si>
  <si>
    <t>Zander J.</t>
  </si>
  <si>
    <t>Slotted ALOHA multihop packet radio networks with directional antennas</t>
  </si>
  <si>
    <t>10.1049/el:19901351</t>
  </si>
  <si>
    <t>2-s2.0-0025701981</t>
  </si>
  <si>
    <t>['¬© 1990', 'topatch junction', 'thick substrates', 'studied using', 'rigorous treatment', 'rights reserved', 'measured results', 'element model', 'electrical engineers', 'agree well']</t>
  </si>
  <si>
    <t>Antennas | Coax-fed | Microstrip arbitrarily shaped</t>
  </si>
  <si>
    <t>microstrip patch antennas with thick substrates are studied using a mixed-potential integral equation approach. This incorporates a triangle-element model of the patch and a rigorous treatment of the probe-topatch junction. Computed input impedance data are shown to agree well with measured results. ¬© 1990, The Institution of Electrical Engineers. All rights reserved.</t>
  </si>
  <si>
    <t>794-795</t>
  </si>
  <si>
    <t>Zheng, D.;Michalski, K. A.</t>
  </si>
  <si>
    <t>Analysis of Arbitrarily Shaped Coax-Fed Microstrip Antennas with Thick Substrates</t>
  </si>
  <si>
    <t>10.1049/el:19900518</t>
  </si>
  <si>
    <t>2-s2.0-0025702357</t>
  </si>
  <si>
    <t>['¬© 1990', 'x band', 'rights reserved', 'radiation pattern', 'electrical engineers', 'beam squint']</t>
  </si>
  <si>
    <t>Antennas | Microwave antennas | Semiconductor lasers | Stability</t>
  </si>
  <si>
    <t>The first microwave phased array antenna steered by optical delay lines is presented. Delay times specified by the antenna steering angle were implemented by switching bias currents of high speed lasers pigtailed to the fibre optic delay lines. No beam squint was observed in the radiation pattern of the antenna as its frequency was switched from the L to the X band. ¬© 1990, The Institution of Electrical Engineers. All rights reserved.</t>
  </si>
  <si>
    <t>791-793</t>
  </si>
  <si>
    <t>60021939;60021939;60021939;60005304;60005304</t>
  </si>
  <si>
    <t>7401613344;7004418575;57194907630;6701687363;6701771292</t>
  </si>
  <si>
    <t>Ng, W.;Tangonan, G.;Leet, J. J.;Walston, A.;Newberg, I.</t>
  </si>
  <si>
    <t>Malibu;Waltham</t>
  </si>
  <si>
    <t>HRL Laboratories;Raytheon</t>
  </si>
  <si>
    <t>60021939;60005304</t>
  </si>
  <si>
    <t>Ng W.</t>
  </si>
  <si>
    <t>Optical Steering of Dual Band Microwave Phased Array Antenna Using Semiconductor Laser Switching</t>
  </si>
  <si>
    <t>10.1049/el:19900516</t>
  </si>
  <si>
    <t>2-s2.0-0025702362</t>
  </si>
  <si>
    <t>['¬© 1990', 'rights reserved', 'received power', 'multipath profiles', 'local movements', 'electrical engineers', '910 mhz']</t>
  </si>
  <si>
    <t>Radiowave propagation</t>
  </si>
  <si>
    <t>The effects of local traffic around a transmitter and receiver and local movements of an antenna are studied by collecting and analysing multipath profiles at 910 MHz. The statistics of RMS delay spread and the received power in the multipath profiles are computed and compared for these experiments. ¬© 1990, The Institution of Electrical Engineers. All rights reserved.</t>
  </si>
  <si>
    <t>810-812</t>
  </si>
  <si>
    <t>7005057180;7005949527</t>
  </si>
  <si>
    <t>Ganesh, R.;Pahlavan, K.</t>
  </si>
  <si>
    <t>Ganesh R.</t>
  </si>
  <si>
    <t>Effects of Traffic and Local Movements on Multipath Characteristics of an Indoor radio Channel</t>
  </si>
  <si>
    <t>10.1049/el:19900529</t>
  </si>
  <si>
    <t>2-s2.0-0025702386</t>
  </si>
  <si>
    <t>['¬© 1990', 'sided slotline', 'rights reserved', 'results obtained', 'propagation constant', 'expensive galerkin', 'electrical engineers', 'determined using']</t>
  </si>
  <si>
    <t>Antennas | Dispersion</t>
  </si>
  <si>
    <t>The propagation constant of the double-sided slotline has been determined using a very simple stationary expression. The numerical results compare favourably with results obtained through the more expensive Galerkin's method. ¬© 1990, The Institution of Electrical Engineers. All rights reserved.</t>
  </si>
  <si>
    <t>813-814</t>
  </si>
  <si>
    <t>Pintzos, S. G.</t>
  </si>
  <si>
    <t>Ministry of Defence</t>
  </si>
  <si>
    <t>Pintzos S.</t>
  </si>
  <si>
    <t>Dispersion Characteristic of the Double-Sided Slotline</t>
  </si>
  <si>
    <t>10.1049/el:19900531</t>
  </si>
  <si>
    <t>2-s2.0-0025702394</t>
  </si>
  <si>
    <t>['¬© 1990', 'structure consists', 'rights reserved', 'multilayered structures', 'many structures', 'impedance plane', 'faces coated', 'electrical engineers', 'dielectric layers', 'coated sheet']</t>
  </si>
  <si>
    <t>Dielectrics | Electromagnetism</t>
  </si>
  <si>
    <t>Many structures which play important roles in practical applications involve planar sheets coated with dielectric layers. In order to avoid the mathematical difficulties arising from this type of multilayered structures in antennas and propagation problems one tries to replace the coated sheet by an equivalent hypothetical plane having appropriate boundary conditions. A new and general method capable of obtaining these generalised boundary conditions is presented and applied to three important particular cases where the structure consists of a resistive or conductive or impedance plane with both faces coated with dielectric layers. ¬© 1990, The Institution of Electrical Engineers. All rights reserved.</t>
  </si>
  <si>
    <t>1967-1969</t>
  </si>
  <si>
    <t>60022002;60022002</t>
  </si>
  <si>
    <t>7006099581;7004740682</t>
  </si>
  <si>
    <t>B√ºY√ºKAKSOY, A.;ƒ∞DEMEN, M.</t>
  </si>
  <si>
    <t>Turkey</t>
  </si>
  <si>
    <t>Istanbul</t>
  </si>
  <si>
    <t>ƒ∞stanbul Teknik √úniversitesi</t>
  </si>
  <si>
    <t>B√ºY√ºKAKSOY A.</t>
  </si>
  <si>
    <t>Generalised boundary conditions for a material sheet with both sides coated by a dielectric layer</t>
  </si>
  <si>
    <t>10.1049/el:19901272</t>
  </si>
  <si>
    <t>2-s2.0-0025703354</t>
  </si>
  <si>
    <t>['¬© 1990', 'west extent', 'well studied', 'well reproduced', 'vlf receivers', 'vlf imaging', 'trimpi events', 'stations e', 'south paths', 'received amplitude', 'published observations', 'phase excursions', 'path observations', 'one wavelength', 'one path', 'one frequency', 'new experiment', 'much less', 'maximum amplitude', 'latitude trimpis', 'latitude region', 'investigate lep', 'intersection paths', 'high latitudes', 'halley paths', 'frequency observations', 'events observed', 'energetic electrons', 'echo signals', 'direct signal', 'dipole antenna', 'controlled transmissions', 'burst precipitation', 'approximately north', '4 khz', '300 km', '23 min', '14 km']</t>
  </si>
  <si>
    <t>LEP (lightning electron precipitation) bursts can be detected on the ground because they cause transient perturbations (known as 'Trimpi events') in the received amplitude and phase of subionospherically propagating radio waves, typically at VLF. The occurrence of mid-latitude Trimpis at Halley (events observed on five nights per month at equinox) is similar to other (L $ ÃÉ4) stations e.g. Siple and Eights, and much less than for lower latitude stations such as Palmer or Faraday (L $ ÃÉ2.5), nearer to the active LEP belt at 2 ‚â§ L ‚â§ 3. Activity is mainly on approximately north- south paths from NSS and NAA. In one case study of simultaneous Trimpi activity on the NSS-Halley and NAA-Halley paths, events were not synchronised, implying precipitation regions ‚â§ 200-300 km in east-west extent. The maximum amplitude and phase excursions of a sequence of events on the NSS-Halley path oscillated sinusoidally in quadrature ; this was consistent with the echo Trimpi model of Dowden and Adams, assuming an echo signal 15 dB down on the direct signal, with the velocity of the precipitation region perpendicular to the propagation path changing the phase path difference between direct and echo signals by one wavelength (14 km at 21.4 kHz) in about 23 min. Burst precipitation of energetic electrons at high latitudes, close to, and poleward of, the plasmapause, can be well studied by means of the Trimpi effect using the Siple VLF transmitter and a network of VLF receivers in Antarctica (Siple, Faraday/Palmer, Halley, and South Pole). A high-latitude, low VLF waveguide mode propagation computer model for use in such studies has been developed, and tested against observations of controlled transmissions from a dipole antenna of variable (simulated) orientation. Published observations of Trimpi events in this high-latitude region are well reproduced by the model. A new experiment- OPALnet- designed to investigate LEP through its effects on the phase and amplitude of signals from the Omega VLF navigational network, is described. Its novel features permit multi-frequency observations on one path, multi-path observations at one frequency, and 'VLF imaging' using a grid of intersection paths. ¬© 1990.</t>
  </si>
  <si>
    <t>341-355</t>
  </si>
  <si>
    <t>Journal of Atmospheric and Terrestrial Physics</t>
  </si>
  <si>
    <t>60025990;60001881</t>
  </si>
  <si>
    <t>55740298800;57189670262</t>
  </si>
  <si>
    <t>Smith, A. J.;Cotton, P. D.</t>
  </si>
  <si>
    <t>Cambridge;Sheffield</t>
  </si>
  <si>
    <t>British Antarctic Survey;The University of Sheffield</t>
  </si>
  <si>
    <t>Smith A.J.</t>
  </si>
  <si>
    <t>The trimpi effect in antarctica: observations and models</t>
  </si>
  <si>
    <t>0021-9169(90)90103-T</t>
  </si>
  <si>
    <t>10.1016/0021-9169(90)90103-T</t>
  </si>
  <si>
    <t>2-s2.0-0038328029</t>
  </si>
  <si>
    <t>['¬© 1990', 'time ionosphere', 'temperature modifications', 'scale density', 'process consists', 'nonlinear refraction', 'intense heating', 'based antenna']</t>
  </si>
  <si>
    <t>We report experimental observations and computer modeling results of large-scale density and temperature modifications (several km extent, Te/Te03, 25%) created in a low-density, midlatitude, night-time ionosphere by nonlinear refraction of an hf beam launched from a ground-based antenna. The process consists of the reorientation of the reflection surface parallel to the geomagnetic field lines and results in intense heating. ¬© 1990 The American Physical Society.</t>
  </si>
  <si>
    <t>3285-3288</t>
  </si>
  <si>
    <t>Physical Review Letters</t>
  </si>
  <si>
    <t>60027550;60027550;60027550;60027550;60027550</t>
  </si>
  <si>
    <t>56327606000;7102711643;16196773500;7005855506;7003877589</t>
  </si>
  <si>
    <t>Hansen, J. D.;Morales, G. J.;Duncan, L. M.;Maggs, J. E.;Dimonte, G.</t>
  </si>
  <si>
    <t>Hansen J.</t>
  </si>
  <si>
    <t>Large-scale ionospheric modifications produced by nonlinear refraction of an hf wave</t>
  </si>
  <si>
    <t>10.1103/PhysRevLett.65.3285</t>
  </si>
  <si>
    <t>2-s2.0-0039046666</t>
  </si>
  <si>
    <t>['trapping process', 'recent work', 'reaction center', 'protein complex', 'photosynthetic systems', 'particularly relevant', 'individual pigment', 'exciton transport', 'energy transfer', 'energy equilibration', 'energetically low', 'antenna systems']</t>
  </si>
  <si>
    <t>We review our recent work on energy transfer and trapping in antenna systems of photosynthetic purple bacteria. First we describe the fast energy transfer between neighboring bacteriochlorophyll molecules within an individual pigment-protein complex, and we continue with the somewhat slower processes, which involve several energy transfer steps, of energy equilibration between different antenna pigments and trapping of the energy by the reaction center. Particularly relevant to the trapping process are the function and nature of an energetically low-lying minor antenna component, which we discuss. Finally, the nature of the exciton transport is discussed, and we compare the photosynthetic systems with some chemical model systems. ¬© 1990 Optical Society of America.</t>
  </si>
  <si>
    <t>1595-1603</t>
  </si>
  <si>
    <t>Journal of the Optical Society of America B: Optical Physics</t>
  </si>
  <si>
    <t>60031040;60008734</t>
  </si>
  <si>
    <t>7006706612;56711386900</t>
  </si>
  <si>
    <t>Sundstr√∂m, Villy;Van Grondelle, Rienk</t>
  </si>
  <si>
    <t>Sweden;Netherlands</t>
  </si>
  <si>
    <t>Umea;Amsterdam</t>
  </si>
  <si>
    <t>Ume√• Universitet;Vrije Universiteit Amsterdam</t>
  </si>
  <si>
    <t>Sundstr√∂m V.</t>
  </si>
  <si>
    <t>Energy transfer in photosynthetic light-harvesting antennas</t>
  </si>
  <si>
    <t>10.1364/JOSAB.7.001595</t>
  </si>
  <si>
    <t>2-s2.0-0039219250</t>
  </si>
  <si>
    <t>['¬© 1990', 'wave type', 'surface modes', 'previous theoretical', 'possibly indirectly', 'icrh regimes', 'generally observed', 'edge plasma', 'edge heating', 'basic properties']</t>
  </si>
  <si>
    <t>The waves that can propagate in the edge plasma during fast wave ion cyclotron resonance heating (ICRH) for densities sufficiently high that œâ &lt; œâpi are considered; in particular surface wave modes of the compressional Alfv√©n wave, the torsional Alfv√©n wave and the ion Bernstein wave. The basic properties of each wave type are outlined, and previous theoretical and experimental studies briefly reviewed. Evidence is presented that excitation of waves in the edge plasma by the antenna is responsible for the edge heating, and possibly indirectly the increase in impurities, generally observed during ICRH. It is shown that the torsional Alfv√©n wave and ion Bernstein wave may contribute to these effects under certain ICRH conditions. The surface modes of the compressional Alfv√©n wave are identified as a possible cause major of edge heating during all ICRH regimes. ¬© 1990.</t>
  </si>
  <si>
    <t>79-92</t>
  </si>
  <si>
    <t>Murphy, A. B.</t>
  </si>
  <si>
    <t>Garching bei Munchen</t>
  </si>
  <si>
    <t>Max Planck Institute for Plasma Physics</t>
  </si>
  <si>
    <t>Murphy A.</t>
  </si>
  <si>
    <t>Invited paper: Waves in the edge plasma during ion cyclotron resonance heating</t>
  </si>
  <si>
    <t>092037969090067G</t>
  </si>
  <si>
    <t>10.1016/0920-3796(90)90067-G</t>
  </si>
  <si>
    <t>2-s2.0-0039672047</t>
  </si>
  <si>
    <t>['¬© 1990', 'wall interaction', 'wall carbonization', 'theoretical studies', 'substantially reduced', 'sol using', 'sol profiles', 'sol profile', 'sheath effect', 'several percent', 'several effects', 'rf power', 'radial profiles', 'power amount', 'plasma waves', 'parametric decay', 'nonlinear phenomena', 'mechanisms responsible', 'long pulse', 'liner due', 'induced effects', 'important changes', 'icrf power', 'high power', 'heavy impurities', 'heating conditions', 'heat flux', 'extensive investigations', 'energetic ions', 'electron temperature', 'edge plasma', 'edge parameters', 'directly absorbed', 'different wall', 'density rise', 'dc radial', 'dc current', 'boronization ).', 'appropriate choice', 'antenna structure']</t>
  </si>
  <si>
    <t>Extensive investigations of ICRF-induced effects on the edge plasma and on plasma-wall interaction were conducted on TEXTOR under different wall- and limiter as well as plasma- and heating conditions. Several strong effects of ICRF on the edge parameters were observed on TEXTOR, such as density rise, instantaneous electron heating, modification of SOL profiles, influx of light and/or heavy impurities, increased heat flux to the limiters, and production of energetic ions in the SOL. The fast response time of some of the changes and the observation of a maximum in the SOL profile of electron temperature, heat flux and metal sputtering clearly demonstrated that RF power is directly absorbed in the SOL. Estimates of this power amount to several percent of the total RF power launched into the plasma. Plasma-wall interaction during ICRF was substantially reduced by an appropriate choice of the wall conditioning procedures (wall carbonization with liner at 400¬∞ C or, above all, boronization). As a result record low values of the radiated power fraction were achieved during ICRF and long pulse, high power, low impurity operation was possible. Further improvement was obtained by ICRF antenna phasing. When ICRF power is coupled to the plasma, several effects on the core and edge plasma influence the operation of the toroidal pump limiter ALT-II. Experimental and theoretical studies were performed to elucidate the mechanisms responsible for the ICRF-induced effects, including the propagation of plasma waves in the edge plasma and nonlinear phenomena such as parametric decay, important changes in the DC current between the antenna structure and the liner due to the sheath effect at the antennas, and the generation of waves at harmonics of the RF generator frequency. Radial profiles of the DC radial and poloidal electric fields as well as a localized RF electric field structure were measured in the SOL using a fast scanning probe. ¬© 1990.</t>
  </si>
  <si>
    <t>149-170</t>
  </si>
  <si>
    <t>60004280;60004280;60004280;60004280;60004280;60004280;60007774;60007774;60007774;60007774;60007774;60007774;100628902;100628902;100628902;100628902</t>
  </si>
  <si>
    <t>7006718297;6602572553;7403189436;7006450633;6603675835;7004079277;6701852077;7006305678;7003947348;7004668845;7005874549;7006987088;7103369930;7004331001;7005925428;7102649973</t>
  </si>
  <si>
    <t>Van Oost, G.;Van Nieuwenhove, R.;Koch, R.;Messiaen, A. M.;Vandenplas, P. E.;Weynants, R. R.;Dippel, K. H.;Finken, K. H.;Lie, Y. T.;Pospieszczyk, A.;Samm, U.;Schweer, B.;Conn, R. W.;Corbett, W. J.;Goebel, D. M.;Moyer, R. A.</t>
  </si>
  <si>
    <t>Germany;Belgium;United States</t>
  </si>
  <si>
    <t>J√ºlich;Brussels;Los Angeles</t>
  </si>
  <si>
    <t>Forschungszentrum J√ºlich (FZJ);Koninklijke Militaire School - Ecole Royale Militaire;Institute for Plasma and Fusion Research</t>
  </si>
  <si>
    <t>60007774;60004280;100628902</t>
  </si>
  <si>
    <t>Van Oost G.</t>
  </si>
  <si>
    <t>Invited paper: ICRF/Edge physics research on textor</t>
  </si>
  <si>
    <t>092037969090075H</t>
  </si>
  <si>
    <t>10.1016/0920-3796(90)90075-H</t>
  </si>
  <si>
    <t>2-s2.0-0039753003</t>
  </si>
  <si>
    <t>DE-ACOW340R 21400</t>
  </si>
  <si>
    <t>['¬© 1990', 'sufficiently increased', 'static sheath', 'static potential', 'rf near', 'results include', 'orbits strike', 'nearby wall', 'model gives', 'loss rate', 'linear near', 'linear model', 'ion gyro', 'heating model', 'grounded wall', 'good agreement', 'field values', 'field calculation', 'faraday shield', 'equating electron', 'electron heating', 'electromotive fields', 'distribution function', 'decorrelation caused', 'assuming either', 'antenna structure', 'analytic model', 'also found']</t>
  </si>
  <si>
    <t>An analytic model has been developed to describe the increased plasma potential and acceleration of ions in the vicinity of an ICRF Faraday shield. This model gives an estimate for the electron distribution function using a heating model for electromotive fields with decorrelation caused by reflection of the electrons from the static sheath at the point where a magnetic field line intersects a grounded wall. The loss rate of the electrons from the system can be calculated from this distribution function. The expected static potential is then estimated by equating electron and ion loss rates, assuming either that the ion loss satisfies the Bohm sheath criterion or that ion gyro-orbits strike a nearby wall. The analytic model for the electrons is in good agreement with a Monte Carlo model using realistic values of the RF electric fields. These RF near-field values have been calculated, including the linear near-field plasma response and the Faraday shield. Results include the findings that a linear model for the RF plasma response is valid for typical experimental parameters and that plasma currents must be included in the RF near-field calculation. It is also found that the static potential is sufficiently increased by electron heating so that it could easily cause impurities to be generated from the antenna structure. Results of the expected static potential are given for various ion species. ¬© 1990.</t>
  </si>
  <si>
    <t>105-110</t>
  </si>
  <si>
    <t>60024266;60024266;60024266</t>
  </si>
  <si>
    <t>35371543400;7006526034;7005521707</t>
  </si>
  <si>
    <t>Carter, M. D.;Batchelor, D. B.;Jaeger, E. F.</t>
  </si>
  <si>
    <t>Carter M.</t>
  </si>
  <si>
    <t>Electron heating and static sheath enhancement in front of energized RF antennas</t>
  </si>
  <si>
    <t>092037969090069I</t>
  </si>
  <si>
    <t>10.1016/0920-3796(90)90069-I</t>
  </si>
  <si>
    <t>2-s2.0-0039753013</t>
  </si>
  <si>
    <t>DE-FGOZ-86ER53223</t>
  </si>
  <si>
    <t>['¬© 1990', 'undriven case', 'results show', 'region inside', 'rectification observed', 'proper size', 'potential structures', 'positive identification', 'plasma near', 'partly responsible', 'ions striking', 'increased flux', 'frequencies greater', 'drive frequency', 'computer simulations', 'bulk plasma', 'bernstein waves']</t>
  </si>
  <si>
    <t>Computer simulations are presented in which a two-dimensional electrostatic model is used to represent the region inside a plasma near an Ion-Cyclotron Radio Frequency (ICRF) antenna. The results show an increase in energy both of the bulk plasma and of the ions striking the antenna over the undriven case, as well as increased flux to the antenna. This effect is strongly frequency dependent, but only over a range of frequencies greater than that applied in experiments. From the dependence of heating on frequency, it appears that ion Bernstein waves are responsible, and potential structures of the proper size are observed, but positive identification of these structures as Bernstein waves has not been achieved. In addition to the heating, a large radial electric field is seen, oscillating with the drive frequency but out of phase with it. This effect, which is easy to understand in retrospect, may be partly responsible for the rectification observed in experiments. ¬© 1990.</t>
  </si>
  <si>
    <t>115-119</t>
  </si>
  <si>
    <t>Lawson, William S.</t>
  </si>
  <si>
    <t>Courant Institute of Mathematical Sciences</t>
  </si>
  <si>
    <t>Lawson W.</t>
  </si>
  <si>
    <t>Two-dimensional computer simulations of antenna-plasma interaction</t>
  </si>
  <si>
    <t>092037969090071D</t>
  </si>
  <si>
    <t>10.1016/0920-3796(90)90071-D</t>
  </si>
  <si>
    <t>2-s2.0-0039753022</t>
  </si>
  <si>
    <t>Princeton University</t>
  </si>
  <si>
    <t>-FG02-86ER53236</t>
  </si>
  <si>
    <t>Princeton</t>
  </si>
  <si>
    <t>['¬© 1990', 'thereby increasing', 'theoretical models', 'significant heating', 'shield shows', 'shield material', 'quasilinear model', 'ponderomotive force', 'periodic structure', 'particle model', 'particle calculations', 'icrf heating', 'heating results', 'fluid model', 'fast wave', 'faraday shield', 'enhanced transport', 'electrons near', 'edge plasma', 'antenna interaction']</t>
  </si>
  <si>
    <t>Theoretical models have been developed, and are currently being refined, to explain the edge plasma-antenna interaction that occurs during ICRF heating. The periodic structure of a Faraday shielded antenna is found to result in strong ponderomotive force in the vicinity of the antenna. A fluid model, which incorporates the ponderomotive force, shows an increase in transport to the Faraday shield. A kinetic model shows that the strong antenna near fields act to increase the energy of deuterons which strike the shield, thereby increasing the sputtering of shield material. Estimates of edge impurity harmonic heating show no significant heating for either in or out-of-phase antenna operation. Additionally, a particle model for electrons near the shield shows that heating results from the parallel electric field associated with the fast wave. A quasilinear model for edge electron heating is presented and compared to the particle calculations. The models' predictions are shown to be consistent with measurements of enhanced transport. ¬© 1990.</t>
  </si>
  <si>
    <t>51-62</t>
  </si>
  <si>
    <t>60025209;60018020</t>
  </si>
  <si>
    <t>6602713706;7004002507</t>
  </si>
  <si>
    <t>Lehrman, Ira S.;Colestock, Patrick L.</t>
  </si>
  <si>
    <t>Los Angeles;Princeton</t>
  </si>
  <si>
    <t>Northrop Grumman corporation;Princeton Plasma Physics Laboratory</t>
  </si>
  <si>
    <t>Lehrman I.S.</t>
  </si>
  <si>
    <t>Invited paper: ICRF edge modeling studies</t>
  </si>
  <si>
    <t>0920-3796(90)90064-D</t>
  </si>
  <si>
    <t>10.1016/0920-3796(90)90064-D</t>
  </si>
  <si>
    <t>2-s2.0-0040345110</t>
  </si>
  <si>
    <t>['wiley blackwell', 'smooth antennae', 'simple setae', 'rights reserved', 'palps separated', 'incomplete crown', 'et sp', 'balearic islands', 'anterior tooth']</t>
  </si>
  <si>
    <t>Specimens of Miscellania dentata gen. et sp.n. were collected in Catalunya, the Balearic Islands, and Strait of Gibraltar. They are characterized by an anterior tooth and an incomplete crown of denticles on the tip of the pharynx, short and smooth antennae and cirri, bases of palps separated, and the presence of compound and simple setae. Specimens were found living inside calcareous algal concretions. Copyright ¬© 1990, Wiley Blackwell. All rights reserved</t>
  </si>
  <si>
    <t>Zoologica Scripta</t>
  </si>
  <si>
    <t>117338505;60001576;60001576</t>
  </si>
  <si>
    <t>8071579200;24346100200;7003401968</t>
  </si>
  <si>
    <t>MARTIN, DANIEL;ALOS, CARMEN;SARDA, RAFAEL</t>
  </si>
  <si>
    <t>Spain;Spain</t>
  </si>
  <si>
    <t>Barcelona;Girona</t>
  </si>
  <si>
    <t>Universitat de Barcelona;Centre d'Estudis A vangats de Blanes (C. S. I. C.)</t>
  </si>
  <si>
    <t>60001576;117338505</t>
  </si>
  <si>
    <t>MARTIN D.</t>
  </si>
  <si>
    <t>Miscellania dentata gen. et sp.n. (Polychaeta: Syllidae) from the Spanish Mediterranean coast</t>
  </si>
  <si>
    <t>030032569090030D</t>
  </si>
  <si>
    <t>10.1111/j.1463-6409.1990.tb00251.x</t>
  </si>
  <si>
    <t>2-s2.0-0040875195</t>
  </si>
  <si>
    <t>DE-AC02-76-CH03073</t>
  </si>
  <si>
    <t>['¬© 1990', 'various linear', 'temperature plasmas', 'surface wave', 'potentially important', 'nonlinear mechanisms', 'higher density']</t>
  </si>
  <si>
    <t>An assessment is made of the various linear and nonlinear mechanisms that are likely to play a role in the near-field of Faraday shielded inductive antennas commonly used in ICRF heating experiments. A number of low-level, but potentially important, RF loss mechanisms have been proposed as candidates to explain the observed surface phenomena and impurity production associated with ICRF. These range from edge heating via linear processes, such as surface wave or Bernstein wave generation to a variety of nonlinear phenomena including parametric decay and RF-driven sheath effects. The various proposed mechanisms will be examined in this work in terms of the available experimental data and an evaluation will be made of the scaling of these phenomena to higher density and temperature plasmas. ¬© 1990.</t>
  </si>
  <si>
    <t>43-50</t>
  </si>
  <si>
    <t>60018020;60018020;60018020;60018020;60018020;60018020;60018020;60026358;60026358;60025209</t>
  </si>
  <si>
    <t>7004002507;22961435600;22967475100;57203798415;22969339500;56144605100;57202528890;7004011751;7004139188;6602713706</t>
  </si>
  <si>
    <t>Colestock, P.;Greene, G. J.;Hosea, J. C.;Phillips, C. K.;Stevens, J. E.;Ono, M.;Wilson, J. R.;D'Ippolito, D. A.;Myra, J. R.;Lehrman, I. S.</t>
  </si>
  <si>
    <t>Boulder;Los Angeles;Princeton</t>
  </si>
  <si>
    <t>Lodestar Research Corporation;Northrop Grumman corporation;Princeton Plasma Physics Laboratory</t>
  </si>
  <si>
    <t>60026358;60025209;60018020</t>
  </si>
  <si>
    <t>Colestock P.</t>
  </si>
  <si>
    <t>RF-plasma interactions in the antenna near fields</t>
  </si>
  <si>
    <t>092037969090063C</t>
  </si>
  <si>
    <t>10.1016/0920-3796(90)90063-C</t>
  </si>
  <si>
    <t>2-s2.0-0040939033</t>
  </si>
  <si>
    <t>['¬© 1990', 'whole gap', 'voltage induced', 'voltage across', 'time necessary', 'thin sheath', 'target material', 'sufficient density', 'sputtering yield', 'resonant mechanism', 'possible mechanism', 'numerical 1', 'much shorter', 'metal atoms', 'main plasma', 'magnetic flux', 'lower voltage', 'ions within', 'ions across', 'incidence angle', 'impurity production', 'ic wave', 'heating method', 'half period', 'gain energy', 'follows :.', 'faraday screen', 'energy fluxes', 'electron orbits', 'electric field', 'consistent electric', 'calculate particle', 'antenna creates', 'adjacent strips']</t>
  </si>
  <si>
    <t>Applicability of ICRH as a heating method for fusion plasmas crucially depends on the possibility of restricting unwanted impurity production connected with this method. One of the sources of impurities is the Faraday screen which protects the current-carrying antenna strap from the main plasma. A possible mechanism of impurity production is the sputtering of metal atoms from the screen by energetic plasma ions. These plasma ions may gain their energy as follows:. The magnetic flux of the antenna creates a certain RF voltage across the gaps between adjacent strips of the Faraday screen. If no plasma were present at the screen, the electric field generating this voltage would extend across the whole gap. In the presence of a plasma, on the contrary, the electric field is essentially localized within a thin sheath in front of the strip with the lower voltage. The electric field in this case is therefore much larger and the time necessary to accelerate the ions across the sheath to the strip is much shorter than in the case where no plasma is present. Thus, ions within a plasma of sufficient density at the screen can gain energy of the order of the voltage across the gap between adjacent strips within a half period of the IC wave. This non-resonant mechanism of ion energy gain is studied with a numerical 1-D electrostatic particle code. Ion and electron orbits are followed in the self-consistent electric and prescribed magnetic fields. The voltage induced is taken into account as a time-varying boundary potential. The code is used to calculate particle and energy fluxes to the boundary as function of time, energy and incidence angle. From these fluxes the sputtering yield of target material can be determined. ¬© 1990.</t>
  </si>
  <si>
    <t>Chodura, R.</t>
  </si>
  <si>
    <t>Chodura R.</t>
  </si>
  <si>
    <t>Modelling of the plasma at the Faraday screen of an ICRH antenna</t>
  </si>
  <si>
    <t>092037969090070M</t>
  </si>
  <si>
    <t>10.1016/0920-3796(90)90070-M</t>
  </si>
  <si>
    <t>2-s2.0-0040979698</t>
  </si>
  <si>
    <t>['volume scattering', 'spatial scales', 'related quantitatively', 'received signals', 'radar observations', 'observational results', 'experimental results', 'copyright 1990', 'coherence function', 'atmospheric parameters', 'atmospheric conditions', 'appropriate time']</t>
  </si>
  <si>
    <t>A model, based on the principle of volume scattering and the assumption of locally frozen‚Äêin refractive index irregularities, is proposed for mesosphere‚Äêstratosphere‚Äêtroposphere (MST) radar observations in the spaced antenna mode. Autospectrum, cross‚Äêcorrelation function, cross‚Äêspectrum, and coherence function for the received signals are derived and related quantitatively to the atmospheric parameters. The model predicted results are compared with observational results. It will be shown that under observational and atmospheric conditions with appropriate time and spatial scales the model is consistent with experimental results. Those conditions and scales are discussed in the paper. Copyright 1990 by the American Geophysical Union.</t>
  </si>
  <si>
    <t>551-563</t>
  </si>
  <si>
    <t>26643441900;7003907481;7403224755;56132857500</t>
  </si>
  <si>
    <t>Liu, C. H.;R√∂ttger, J.;Pan, C. J.;Franke, S. J.</t>
  </si>
  <si>
    <t>Liu C.</t>
  </si>
  <si>
    <t>A model for spaced antenna observational mode for MST radars</t>
  </si>
  <si>
    <t>10.1029/RS025i004p00551</t>
  </si>
  <si>
    <t>2-s2.0-0041896985</t>
  </si>
  <si>
    <t>['wings seen', 'virtually certain', 'transition region', 'three regions', 'sight traverses', 'projection effects', 'possible explanations', 'physical conditions', 'phenomenon include', 'pedestal emission', 'outflow comes', 'outer regions', 'outer region', 'optically thick', 'one clump', 'observed spectra', 'may represent', 'line emission', 'length scales', 'gas responsible', 'energy required', 'dense clump', 'data indicate', 'cold clumps', 'clump emission', 'central portion', 'bulk motion', 'bipolar outflows', 'beam dilution', 'antenna temperature', '5 km', '5 k', '25 lines', '2 pc', '0 ),']</t>
  </si>
  <si>
    <t>Interstellar: molecules | Nebulae: internal motions | Nebulae: structure</t>
  </si>
  <si>
    <t>Observations of wings or pedestals in the CO(J = 1-0) and CO(J = 2-1) transitions from three regions in high-latitude molecular clouds are presented in order to determine the morphology and physical conditions of the gas responsible for this phenomenon. High-sensitivity spectra along 10-25 lines of sight in each region show extended (Œîv ‚àº 3-5 km s-1), low-level (TR* ‚â§ 0.5 K) emission in addition to the typical narrow Gaussian emission from cold clumps. The pedestal profiles resemble the wings seen in CO and other molecules in low-luminosity molecular outflow regions such as B335. In the case of the bipolar outflows, the energy required to drive the outflow comes from a young stellar object; in contrast, it is virtually certain that the small molecular clouds studied in this paper do not contain any low-mass star formation sites. The 13CO and CO(J = 2-1) data indicate that the pedestal emission is optically thick. Large velocity gradient and LTE analyses using CO(J = 1-0), 13CO(J= 1-0), and CO(J = 2-1) data indicate that the narrow-line emission is produced by cold clumps of size ‚àº 0.2 pc and density several times 103 cm-3, while the pedestal emission is produced by gas with perhaps an order of magnitude less density. Adjacent spectra often reveal a pedestal which increases in antenna temperature until it resembles a narrow Gaussian line typical of clump emission. This change in spectral shape occurs over length scales of a few hundredths of a parsec and may represent the transition region between a dense clump and its less dense outer region. Possible explanations for the phenomenon include: (1) A suggestion recently made by Keto and Lattanzio that the pedestals represent gas flowing at the interface of two colliding clouds. The observed spectra are due to a combination of bulk motion and projection effects. (2) The superposition of two clumps situated so that the line of sight traverses the central portion of one clump and the outer region of the other. A decrease in the surface filling fraction of gas in the outer regions of a clump can produce the observed low antenna temperatures of the pedestal by beam dilution.</t>
  </si>
  <si>
    <t>747-768</t>
  </si>
  <si>
    <t>Astrophysical Journal, Supplement Series</t>
  </si>
  <si>
    <t>120539085-60071501-120539086-60007776-60013346;120539085-60013894-60014313;60020304;60027271;60020304</t>
  </si>
  <si>
    <t>35253914600;24758108100;7003573561;35560604800;35366767300</t>
  </si>
  <si>
    <t>Magnani, Loris;Carpenter, John M.;Blitz, Leo;Kassim, Namir E.;Nath, Biman B.</t>
  </si>
  <si>
    <t>Puerto Rico;United States;United States;United States;United States;United States;United States;;</t>
  </si>
  <si>
    <t>Arecibo;Washington, D.C.;College Park;Amherst MA;Boston;Alexandria;Ithaca;;</t>
  </si>
  <si>
    <t>National Astronomy and Ionosphere Center Arecibo Observatory;Naval Research Laboratory;University of Maryland, College Park;University of Massachusetts Amherst;University of Massachusetts System;National Science Foundation;Cornell University;Natl. Astron. and Ionosphere Center;Arecibo Observatory</t>
  </si>
  <si>
    <t>60071501;60027271;60020304;60014313;60013894;60013346;60007776;120539086;120539085</t>
  </si>
  <si>
    <t>Magnani L.</t>
  </si>
  <si>
    <t>Structure in small molecular clouds: Pedestals and clumping</t>
  </si>
  <si>
    <t>10.1086/191487</t>
  </si>
  <si>
    <t>2-s2.0-0042099611</t>
  </si>
  <si>
    <t>['¬© 1990', 'pure titanium', 'machining damage', 'commerically pure', 'acoustic loss', '300 k', '100 k']</t>
  </si>
  <si>
    <t>metals | physical properties | thermoacoustics</t>
  </si>
  <si>
    <t>Low acoustic loss, high yield strength cryogenic materials are required for various high precision experiments, resonant-bar gravitational radiation antennae in particular. We report here acoustic loss measurements of commerically pure and alloyed titanium samples between 4.2 and 300 K. It is shown that machining damage of the surface significantly increased the acoustic loss of pure titanium, particularly below 100 K, and that the high strength alloy Ti-6AI-4V had significantly greater acoustic loss than pure titanium. ¬© 1990.</t>
  </si>
  <si>
    <t>803-805</t>
  </si>
  <si>
    <t>Cryogenics</t>
  </si>
  <si>
    <t>60031806;60031806;60031806</t>
  </si>
  <si>
    <t>24363975600;7005135152;22974326500</t>
  </si>
  <si>
    <t>Matacz, A. L.;Veitch, P. J.;Blair, D. G.</t>
  </si>
  <si>
    <t>Matacz A.</t>
  </si>
  <si>
    <t>Cryogenic acoustic loss of pure and alloyed titanium</t>
  </si>
  <si>
    <t>001122759090279L</t>
  </si>
  <si>
    <t>10.1016/0011-2275(90)90279-L</t>
  </si>
  <si>
    <t>2-s2.0-0042274733</t>
  </si>
  <si>
    <t>['‚ äêexamined', 'wiley blackwell', 'variously misrepresented', 'type species', 'three genera', 'species attributed', 'sigalion audouin', 'rights reserved', 'milne edwards', 'median antenna', 'material examined', 'junior synonyms', 'generic placings', 'first described', 'eusigalion augener', 'edwardsi kinberg', 'currently distinguished', 'absence sigalion', '1918 e']</t>
  </si>
  <si>
    <t>The type species of Sigalion Audouin &amp; Milne Edwards, 1830 (5. mathildae), Thalenessa Baird, 1866 (S. edwardsi Kinberg, 1856) and Eusigalion Augener, 1918 E. vazensis are re‚Äêexamined. Since they were first described all three genera have been variously misrepresented, but are currently distinguished by the presence (Thalenessa; syn. Eusigalion) or absence Sigalion of a median antenna. Material examined in the present study indicates that S. mathildae also possesses a median antenna. Thalenessa and Eusigalion are considered to be junior synonyms of Sigalion and the generic placings of all species attributed to these genera are investigated. Copyright ¬© 1990, Wiley Blackwell. All rights reserved</t>
  </si>
  <si>
    <t>39-56</t>
  </si>
  <si>
    <t>60017250;60006552</t>
  </si>
  <si>
    <t>7102202280;36901945700</t>
  </si>
  <si>
    <t>MACKIE, ANDREW S.Y.;CHAMBERS, SUSAN J.</t>
  </si>
  <si>
    <t>Cardiff;Edinburgh</t>
  </si>
  <si>
    <t>National Museum of Wales;National Museums of Scotland</t>
  </si>
  <si>
    <t>MACKIE A.S.Y.</t>
  </si>
  <si>
    <t>Revision of the type species of Sigalion, Thalenessa and Eusigalion (Polychaeta: Sigalionidae)</t>
  </si>
  <si>
    <t>10.1111/j.1463-6409.1990.tb00239.x</t>
  </si>
  <si>
    <t>2-s2.0-0043169178</t>
  </si>
  <si>
    <t>['theoretically calculated', 'paper deals', 'metallic wall', 'front aperture', 'francis ltd', 'dielectric sheets', 'determine theoretically', 'approximate fields']</t>
  </si>
  <si>
    <t>This paper deals with the H-plane hollow sectoral dielectric horn antenna. The metallic wall of the metal horn antenna is replaced by dielectric sheets to obtain this type of antenna. Attempts are made to determine theoretically the approximate fields on the aperture of the antenna under several simplifying assumptions. A comparison is made between theoretically calculated and experimentally observed values for one of the components (the amplitude) at the front aperture of the antenna. ¬© 1990 Taylor and Francis Ltd.</t>
  </si>
  <si>
    <t>1055-1061</t>
  </si>
  <si>
    <t>60019106;60019106;60019106</t>
  </si>
  <si>
    <t>55726457100;38461094000;56930826900</t>
  </si>
  <si>
    <t>Singh, Anil K.;Jha, B.;Jha, R. K.</t>
  </si>
  <si>
    <t>Varanasi</t>
  </si>
  <si>
    <t>Indian Institute of Technology Banaras Hindu University</t>
  </si>
  <si>
    <t>Singh A.</t>
  </si>
  <si>
    <t>Near-field analysis of H-plane hollow sectoral dielectric horn antennas</t>
  </si>
  <si>
    <t>10.1080/00207219008921245</t>
  </si>
  <si>
    <t>2-s2.0-0342280262</t>
  </si>
  <si>
    <t>Vetenskapsr√•det</t>
  </si>
  <si>
    <t>333/88 J312</t>
  </si>
  <si>
    <t>VR</t>
  </si>
  <si>
    <t>['¬© 1990', 'tactile sensilla', 'substitution technique', 'structural base', 'pyralidae ),', 'oviposition site', 'general assessment', 'flour moth', 'ephestia kuehniella', 'electron microscopy', 'bimodal taste', 'behavioural studies']</t>
  </si>
  <si>
    <t>freeze-substitution | ODP | SEM | TEM</t>
  </si>
  <si>
    <t>The bimodal taste/tactile sensilla on ovipositor, tarsi and antennae and the tactile sensilla on ovipositor and tarsi of the flour moth, Ephestia kuehniella (Zeller) (Lepidoptera : Pyralidae), were studied with electron microscopy to provide a structural base for further physiological and behavioural studies. These sensilla can be involved in the perception of the oviposition-deterring pheromone secreted by the larvae, as well as for the general assessment of the oviposition site. The taste/tactile sensilla in the 3 different positions have slightly divergent morphological characteristics; on the antennae and tarsi, there are 4 chemosensory neurons, while on the ovipositor there are 5. There is also a mechano-sensory unit connected to the base of the bristle of these sensilla. Tactile sensilla, innervated by one sensory cell, are present on the tarsi and on 2 different positions of the ovipositor. Freeze-substitution technique for transmission electron microscopy was employed on the tarsi and yielded superior results compared with conventional chemical fixation. ¬© 1990.</t>
  </si>
  <si>
    <t>13-23</t>
  </si>
  <si>
    <t>International Journal of Insect Morphology and Embryology</t>
  </si>
  <si>
    <t>60029170;</t>
  </si>
  <si>
    <t>16485957900;7006062747</t>
  </si>
  <si>
    <t>Anderson, Peter;Hallberg, Eric</t>
  </si>
  <si>
    <t>Lund</t>
  </si>
  <si>
    <t>Lunds Universitet</t>
  </si>
  <si>
    <t>Anderson P.</t>
  </si>
  <si>
    <t>Structure and distribution of tactile and bimodal taste/tactile sensilla on the ovipositor, tarsi and antennae of the flour moth, Ephestia kuehniella (Zeller) (Lepidoptera : Pyralidae)</t>
  </si>
  <si>
    <t>0020-7322(90)90027-M</t>
  </si>
  <si>
    <t>10.1016/0020-7322(90)90027-M</t>
  </si>
  <si>
    <t>2-s2.0-0342307658</t>
  </si>
  <si>
    <t>['spaced antenna', 'meteor trails', 'doppler velocity', 'correlation analysis', 'copyright 1990', '219 mhz']</t>
  </si>
  <si>
    <t>Angle of arrival and Doppler velocity of meteor trails are measured at Saskatoon with a medium frequency radar (2.219 MHz) and compared with spaced antenna (correlation analysis) winds. Copyright 1990 by the American Geophysical Union.</t>
  </si>
  <si>
    <t>649-655</t>
  </si>
  <si>
    <t>24290221300;7006112190</t>
  </si>
  <si>
    <t>Meek, C. E.;Manson, A. H.</t>
  </si>
  <si>
    <t>MF radar interferometer measurements of meteor trail motions</t>
  </si>
  <si>
    <t>10.1029/RS025i004p00649</t>
  </si>
  <si>
    <t>2-s2.0-0342535352</t>
  </si>
  <si>
    <t>['¬© 1990', 'vitiensis possesses', 'short basiconica', 'queenslandensis possesses', 'male one', 'iii ).', 'greater number', 'first time', 'female antenna', 'biforked basiconica', 'agathiphaga vitiensis', '1984 ).', '10 types']</t>
  </si>
  <si>
    <t>Aglossata | biforked basiconica | phylogeny | scanning electron microscopy | sexual dimorphism</t>
  </si>
  <si>
    <t>The antennae of both sexes of Agathiphaga vitiensis and the antenna of the female of A. queenslandensis (Lepidoptera : Agathiphagidae) were studied with a scanning electron microscope. In both sexes, 10 types of sensilla were observed on the antennae of A. vitiensis: B√∂hm's bristles, chaetica (types I and II), squamiformia, trichodea, biforked basiconica, short basiconica and coeloconica (types I, II and III). The female of A. queenslandensis possesses the same types of sensilla, except that the biforked basiconica are flattened. Biforked sensillum basiconicum is being reported in Lepidoptera for the first time. Their presence supports Kristensen's hypothesis on the phylogeny of Lepidoptera (1984). The female of A. vitiensis possesses more sensilla than that of A. queenslandensis. The male of A. vitiensis has a greater number of s. trichodea than the female, but the biforked sensilla basiconica are more numerous on the female antenna than on the male one. ¬© 1990.</t>
  </si>
  <si>
    <t>Faucheux, Michel J.</t>
  </si>
  <si>
    <t>Nantes</t>
  </si>
  <si>
    <t>Universit√© de Nantes</t>
  </si>
  <si>
    <t>Faucheux M.</t>
  </si>
  <si>
    <t>Antennal sensilla in adult Agathiphaga vitiensis dumbl. and A. queenslandensis dumbl. (Lepidoptera : Agathiphagidae)</t>
  </si>
  <si>
    <t>0020-7322(90)90011-D</t>
  </si>
  <si>
    <t>10.1016/0020-7322(90)90011-D</t>
  </si>
  <si>
    <t>2-s2.0-0343702946</t>
  </si>
  <si>
    <t>['singlet electronic', 'psec resolution', 'probe spectroscopy', 'polarized pump', 'photosynthetic antennas', 'excitation transport', 'enriched photosystem']</t>
  </si>
  <si>
    <t>Polarized pump-probe spectroscopy was performed with 1.5-2-psec resolution on the bacteriochlorophyll a protein antenna complex from the green sulfur bacterium Prosthecochloris aestuarii and on native and enriched photosystem I particles from spinach. The resulting photobleaching profiles reflect the details of singlet electronic-excitation transport in these photosynthetic antennas, in which the pigments are complexed by proteins into clusters of five or more chromophores. ¬© 1990 Optical Society of America.</t>
  </si>
  <si>
    <t>1586-1594</t>
  </si>
  <si>
    <t>Struve, Walter S.</t>
  </si>
  <si>
    <t>Iowa State University</t>
  </si>
  <si>
    <t>Struve W.</t>
  </si>
  <si>
    <t>Polarized pump-probe spectroscopy of electronic excitation transport in photosynthetic antennas</t>
  </si>
  <si>
    <t>10.1364/JOSAB.7.001586</t>
  </si>
  <si>
    <t>2-s2.0-0345981871</t>
  </si>
  <si>
    <t>['¬© 1990', 'successful application', 'signal beam', 'lens system', 'astronomical signal', 'astronomical observations', 'antenna patterns', '287 œºm']</t>
  </si>
  <si>
    <t>Antenna patterns of open structure Schottky mixers were measured at 184, 214 and 287 Œºm. For use in a heterodyne detector system the antenna pattern must be matched to the signal beam, for example the astronomical signal of a telescope, and the optically coupled local oscillator beam. The procedure of determining a lens system is described and the successful application in astronomical observations with the Kuiper Airborne Observatory (KAO) is shown. ¬© 1990.</t>
  </si>
  <si>
    <t>435-441</t>
  </si>
  <si>
    <t>Infrared Physics</t>
  </si>
  <si>
    <t>60001754;60001754;60001754;60001754;60001754</t>
  </si>
  <si>
    <t>6507668660;24345941700;56630180900;7005225814;7005246427</t>
  </si>
  <si>
    <t>Titz, R.;Auel, B.;Esch, W.;R√∂ser, H. P.;Schwaab, G.</t>
  </si>
  <si>
    <t>Titz R.</t>
  </si>
  <si>
    <t>Antenna measurements of open-structure Schottky mixers and determination of optical elements for a heterodyne system at 184, 214 and 287 Œºm</t>
  </si>
  <si>
    <t>002008919090003E</t>
  </si>
  <si>
    <t>10.1016/0020-0891(90)90003-E</t>
  </si>
  <si>
    <t>2-s2.0-0346568992</t>
  </si>
  <si>
    <t>F19628-88-K-0024</t>
  </si>
  <si>
    <t>['¬© 1990', 'universal formula', 'two formulations', 'tubular antenna', 'term solution', 'rights reserved', 'point admittance', 'improved significantly', 'experimental results', 'current near', 'combined solution']</t>
  </si>
  <si>
    <t>With the recently derived universal formula for the current near the end of a tubular antenna, it is possible to improve the current distribution obtained from the three-term solution. The current near the end of the tube is represented by the universal formula, the currents on the other parts of the antenna by the three-term solution. The currents and charge densities obtained from the two formulations are then matched at the junction. When the combined solution is compared with experimental results, it is seen that the currents at the end as well as the driving-point admittance have been improved significantly. ¬© 1990, VSP. All rights reserved.</t>
  </si>
  <si>
    <t>189-200</t>
  </si>
  <si>
    <t>36347602500;57189197256;7404816148</t>
  </si>
  <si>
    <t>Shen, H. M.;King, E. W.P.;Wu, T. T.</t>
  </si>
  <si>
    <t>The Combination of the Universal End-Current and the Three-Term Current on a Tubular Antenna</t>
  </si>
  <si>
    <t>10.1163/156939390X00483</t>
  </si>
  <si>
    <t>2-s2.0-0346676020</t>
  </si>
  <si>
    <t>['¬© 1990', 'rights reserved', 'resistive mode', 'physical society', 'observed properties', 'mode converted', 'general agreement', 'fast waves', 'experimental results', 'excited using', 'electrostatic form', 'cylindrical chamber', 'converted waves']</t>
  </si>
  <si>
    <t>Experimental results are presented which show that the fast waves (MHD surface mode of compressional Alfv√©n waves) of the radial m= ‚àí1 mode, where m is the poloidal mode number, are mode converted on the Alfv√©n resonance layer. The fast waves were excited using a pair of small loop antennas located near the cylindrical chamber. The converted waves are a quasi-electrostatic form of the shear Alfven waves, i.e. kinetic Alfv√©n wave and/or the resistive mode. The observed properties of the converted waves are in general agreement with theory. ¬© 1990, THE PHYSICAL SOCIETY OF JAPAN. All rights reserved.</t>
  </si>
  <si>
    <t>2374-2381</t>
  </si>
  <si>
    <t>journal of the physical society of japan</t>
  </si>
  <si>
    <t>Yoshimitsu, Amagishi</t>
  </si>
  <si>
    <t>Yoshimitsu A.</t>
  </si>
  <si>
    <t>Experiments on Mode Conversion of m= ‚àí1 Fast Wave into Shear Alfv√©n Wave in a Cylindrical Plasma</t>
  </si>
  <si>
    <t>10.1143/JPSJ.59.2374</t>
  </si>
  <si>
    <t>2-s2.0-0442319797</t>
  </si>
  <si>
    <t>['zeaxanthin formation', 'zeaxanthin content', 'violaxanthin de', 'state component', 'smaller component', 'relaxed within', 'reduction state', 'photosystem ii', 'photochemical apparatus', 'obtain evidence', 'major component', 'linear relationship', 'isolated chloroplasts', 'instantaneous fluorescence', 'high degrees', 'fo quenching', 'fluorescence quenching', 'excessive light', 'electron acceptor', 'dithiothreitol provides', 'completely inhibits', 'close relationship', 'chloroplast suspensions', 'causal relationship', 'associated quenching', 'antenna chlorophyll']</t>
  </si>
  <si>
    <t>Dithiothreitol, which completely inhibits the de-epoxidation of violaxanthin to zeaxanthin, was used to obtain evidence for a causal relationship between zeaxanthin and the dissipation of excess excitation energy in the photochemical apparatus in Spinicia oleracea L. In both leaves and chloroplasts, inhibition of zeaxanthin formation by dithiothreitol was accompanied by inhibition of a component of nonphotochemical fluorescence quenching. This component was characterized by a quenching of instantaneous fluorescence (Fo) and a linear relationship between the calculated rate constant for radiationless energy dissipation in the antenna chlorophyll and the zeaxanthin content. In leaves, this zeaxanthin-associated quenching, which relaxed within a few minutes upon darkening, was the major component of nonphotochemical fluorescence quenching determined in the light, i.e. it represented the 'high-energy-state' quenching. In isolated chloroplasts, the zeaxanthin-associated quenching was a smaller component of total nonphotochemical quenching and there was a second, rapidly reversible high-energy-state component of fluorescence quenching which occurred in the absence of zeaxanthin and was not accompanied by Fo quenching. Leaves, but not chloroplasts, were capable of maintaining the electron acceptor, Q, of photosystem II in a low reduction state up to high degrees of excessive light and thus high degrees of nonphotochemical fluorescence quenching. When ascorbate, which serves as the reductant for violaxanthin de-epoxidation, was added to chloroplast suspensions, zeaxanthin formation at low photon flux densities was stimulated and the relationship between nonphotochemical fluorescence quenching and the reduction state in chloroplasts then became more similar to that found in leaves. We conclude that the inhibition of zeaxanthin-associated fluorescence quenching by dithiothreitol provides further evidence that there exists a close relationship between zeaxanthin and potentially photoprotective dissipation of excess excitation energy in the antenna chlorophyll.</t>
  </si>
  <si>
    <t>293-301</t>
  </si>
  <si>
    <t>60012689-60000221;60012689;60012689;60012689;60012689;60012689;60012689;60024613;60024613</t>
  </si>
  <si>
    <t>7003992248;7401725101;24440243900;6603183389;7102196432;7103033210;35580687300;6701677454;7004044029</t>
  </si>
  <si>
    <t>Demmig-Adams, Barbara;Adams, William W.;Heber, Ulrich;Neimanis, Spidola;Winter, Klaus;Kr√ºger, Almuth;Czygan, Franz Christian;Bilger, Wolfgang;Bj√∂rkman, Olle</t>
  </si>
  <si>
    <t>United States;Germany;United States</t>
  </si>
  <si>
    <t>Washington, D.C.;Wurzburg;Boulder</t>
  </si>
  <si>
    <t>Carnegie Institution of Washington;Julius-Maximilians-Universit√§t W√ºrzburg;University of Colorado Boulder</t>
  </si>
  <si>
    <t>60024613;60012689;60000221</t>
  </si>
  <si>
    <t>Demmig-Adams B.</t>
  </si>
  <si>
    <t>Inhibition of zeaxanthin formation and of rapid changes in radiationless energy dissipation by dithiothreitol in spinach leaves and chloroplasts</t>
  </si>
  <si>
    <t>10.1104/pp.92.2.293</t>
  </si>
  <si>
    <t>2-s2.0-11944264144</t>
  </si>
  <si>
    <t>['¬© 1990', 'waves launched', 'wave antenna', 'mean gyrofrequency', 'low densities', 'irvine torus', 'higher densities', 'drove currents']</t>
  </si>
  <si>
    <t>Fast-wave and slow-wave current drive near the mean gyrofrequency were compared in the Irvine Torus. The slow-wave current drive density limit observation was extended by an order of magnitude in wave frequency compared to previous tokamak results. At low densities, the fast-wave antenna was observed to launch slow waves which drove currents that suffered from the current drive density limit identical to waves launched from the slow-wave antenna. At higher densities, current was driven by the fast-wave antenna while none was driven by the slow-wave antenna. ¬© 1990 The American Physical Society.</t>
  </si>
  <si>
    <t>1258-1261</t>
  </si>
  <si>
    <t>60007278;60007278;60007278;60007278</t>
  </si>
  <si>
    <t>7101617278;8626327200;57197163511;6507725024</t>
  </si>
  <si>
    <t>Sheehan, D. P.;McWilliams, R.;Wolf, N. S.;Edrich, D.</t>
  </si>
  <si>
    <t>Irvine</t>
  </si>
  <si>
    <t>University of California, Irvine</t>
  </si>
  <si>
    <t>Sheehan D.</t>
  </si>
  <si>
    <t>Fast-wave current drive above the slow-wave density limit</t>
  </si>
  <si>
    <t>10.1103/PhysRevLett.64.1258</t>
  </si>
  <si>
    <t>2-s2.0-11944266300</t>
  </si>
  <si>
    <t>['time variability', 'strongly clumped', 'significant deviations', 'scales comparable', 'report measurements', 'oh molecule', 'oh emission', 'lifetimes comparable', 'detectable periodicity', 'declination range', 'day timescales', 'circular polarization', 'beam size', 'arecibo telescope']</t>
  </si>
  <si>
    <t>We report measurements of the 1665 and 1667 MHz emission lines from P/Halley during the interval 25 August 1985 through 15 December 1985, when it left the declination range of the Arecibo telescope. Our results show general consistency with the inversion curve predicted from pumping of the OH molecule by solar UV emission. However, there are significant deviations that vary on day-to-day timescales. The 1667 and 1665 MHz flux densities are for the most part in the ratio of the corresponding statistical weights. We find no evidence for any circular polarization. The ‚àº3 arcmin beam of the Arecibo antenna implies that we sample roughly 3%-10% of the OH flux density. Measurements on off-nuclear points show that the OH emission is strongly clumped on scales comparable to the beam size. The time variability of the 1667 MHz line strength shows no detectable periodicity, suggesting that most of the variability is due to bursts with lifetimes comparable to or shorter than the 2.2 day spin period and ‚àº7 day precession period found by others.</t>
  </si>
  <si>
    <t>1655-1668</t>
  </si>
  <si>
    <t>Astronomical Journal</t>
  </si>
  <si>
    <t>60019493;60021729;60071501;60021729;60019493</t>
  </si>
  <si>
    <t>7102087612;56268256500;7401868009;16199084500;7004686969</t>
  </si>
  <si>
    <t>Cordes, J. M.;Falchi, A.;Lewis, B. M.;Tofani, G.;Terzian, Yervant</t>
  </si>
  <si>
    <t>Puerto Rico;Italy;United States</t>
  </si>
  <si>
    <t>Arecibo;Florence;Ithaca</t>
  </si>
  <si>
    <t>National Astronomy and Ionosphere Center Arecibo Observatory;Osservatorio Astrofisico Di Arcetri;National Astronomy and Ionosphere Center, New York</t>
  </si>
  <si>
    <t>60071501;60021729;60019493</t>
  </si>
  <si>
    <t>Cordes J.M.</t>
  </si>
  <si>
    <t>Radio OH emission from Comet Halley with 3 arcmin resolution</t>
  </si>
  <si>
    <t>10.1086/115625</t>
  </si>
  <si>
    <t>2-s2.0-11944266628</t>
  </si>
  <si>
    <t>['surface current', 'radiation patterns', 'radiated fields', 'patch periphery', 'obtained using', 'induced current', 'ground plane', 'fire direction', 'experimental data']</t>
  </si>
  <si>
    <t>Radiated fields of a rectangular patch antenna with a finite ground plane are obtained using the induced current method. The induced current on the ground plane is determined from the discontinuity of the near field produced by the equivalent magnetic line current source on the patch periphery. The singularity of the induced current near the patch periphery is removed by considering the equivalent magnetic current to be a surface current. The radiated field generated by the equivalent magnetic current and the induced current on the ground plane are computed and compared with the experimental data. The agreement is good. It is found that the Amte ground plane alters the radiation patterns of a patch considerably especially in the end-fire direction. ¬© 1990 VSP</t>
  </si>
  <si>
    <t>159-168</t>
  </si>
  <si>
    <t>Bhattacharyya, A. K.</t>
  </si>
  <si>
    <t>Induced Current Method for the Radiated Fields of a Rectangular Patch with Finite Ground Plane</t>
  </si>
  <si>
    <t>10.1163/156939390X00050</t>
  </si>
  <si>
    <t>2-s2.0-13244286312</t>
  </si>
  <si>
    <t>['¬© 1990', 'voltage stand', 'two lower', 'theoretically expected', 'textor allowing', 'rf pulse', 'power coupled', 'possibly due', 'mechanical problems', 'long pulses', 'electrostatic type', 'coupling resistance', 'coupling capability', 'almost negligible', '340 kw']</t>
  </si>
  <si>
    <t>An electrostatic type of antenna has been tried on TEXTOR allowing a maximum of 340 kW to be coupled to the plasma during long pulses (0.5 s). Possibly due to mechanical problems, the voltage stand-off was found to be only half that of the regular fast wave antenna. The coupling capability itself, in terms of power coupled for a given maximum voltage on the antenna, is also a factor of two lower than that of the fast wave antenna. The coupling resistance does not show the (theoretically expected) characteristics of an ion Bernstein wave coupler; first theoretical investigations indicate that this antenna is mainly a fast wave launcher. The edge perturbations caused by this antenna are almost negligible while bulk density increase is observed, leading to the conclusion that the particle confinement time improves during the RF pulse. ¬© 1990.</t>
  </si>
  <si>
    <t>15-23</t>
  </si>
  <si>
    <t>60004280;60004280;60004280;60004280;60004280;60004280;60007774;60007774;60016074;60027550;60025272</t>
  </si>
  <si>
    <t>7403189436;57197253453;6602186973;56299228100;7006718297;6602572553;7006987088;7003947348;55471188200;7102649973;7102082310</t>
  </si>
  <si>
    <t>Koch, R.;Descamps, P.;Durodie, F.;Shen, X. M.;van Oost, G.;van Nieuwenhove, R.;Schweer, B.;Lie, Y. T.;Matsumoto, K.;Moyer, R. A.;Shinohara, S.</t>
  </si>
  <si>
    <t>United States;Japan;Japan;Germany;Belgium</t>
  </si>
  <si>
    <t>Los Angeles;Tokyo;Yamagata;J√ºlich;Brussels</t>
  </si>
  <si>
    <t>University of California, Los Angeles;The University of Tokyo;Yamagata University;Forschungszentrum J√ºlich (FZJ);Koninklijke Militaire School - Ecole Royale Militaire</t>
  </si>
  <si>
    <t>60027550;60025272;60016074;60007774;60004280</t>
  </si>
  <si>
    <t>Koch R.</t>
  </si>
  <si>
    <t>Study of coupling and edge effects during ICRF heating experiments using an electrostatic antenna on textor</t>
  </si>
  <si>
    <t>092037969090059F</t>
  </si>
  <si>
    <t>10.1016/0920-3796(90)90059-F</t>
  </si>
  <si>
    <t>2-s2.0-14644445551</t>
  </si>
  <si>
    <t>['¬© taylor', 'wire radius', 'wire ends', 'varying length', 'straight wires', 'spatial poles', 'smaller ones', 'scattering case', 'residue magnitudes', 'largest residues', 'infinite antenna', 'francis group', 'found outside', 'found near', 'field patterns', 'feed region', 'exciting source', 'end radiation', 'charge acceleration', 'approach based', 'antenna ends', 'antenna case']</t>
  </si>
  <si>
    <t>An approach based on Prony's method is used to find the spatial poles of straight wires of varying length and radius from the far-field patterns. For the antenna case, poles having the largest residues are found near the feed region and antenna ends; smaller ones are found outside these regions. The poles are attributed to radiation from the exciting source and wire ends, due to charge acceleration, and from a slightly damped traveling wave. In the scattering case, the poles with the largest residues are located at the wire's ends for near‚Äîaxial incidence and are again due to end radiation. By examining the residue magnitudes as a function of wire radius, a correlation is found with radiation from the feed region of an infinite antenna and from the ends of a semi-infinite antenna. ¬© Taylor &amp; Francis Group, LLC.</t>
  </si>
  <si>
    <t>21-40</t>
  </si>
  <si>
    <t>1532527X</t>
  </si>
  <si>
    <t>Electromagnetics</t>
  </si>
  <si>
    <t>Miller, E. K.</t>
  </si>
  <si>
    <t>Livermore</t>
  </si>
  <si>
    <t>Lawrence Livermore National Laboratory</t>
  </si>
  <si>
    <t>Miller E.</t>
  </si>
  <si>
    <t>Imaging of linear source distributions</t>
  </si>
  <si>
    <t>10.1080/02726348308915174</t>
  </si>
  <si>
    <t>2-s2.0-1542648671</t>
  </si>
  <si>
    <t>['¬© 1990', 'rights reserved', 'results support', 'ps ii', 'progressing photoinhibition', 'predominant photoinhibition', 'photoinhibitory treatments', 'mesophyll protoplasts', 'maximum fluorescence', 'linearly related', 'antenna system']</t>
  </si>
  <si>
    <t>2-[4-(2-hydroxyethyl)1-piperazinyl] ethanesulfonic acid | 3-(3‚Ä≤,4‚Ä≤-dichlorophenyl)-1,1-dimethylurea | A max | Chl | chlorophyll | chloroplasts | DCMU | electron transport | F M | F  ‚Äî F  = variable fluorescence M o | F o | F v | fluorescence of chlorophyll | HEPES | initial fluorescence | maximum complementary area above the fluorescence induction curve | maximum fluorescence | PFD | photoinhibition | photon flux density | photosystem | photosystem II | proportion of PS IIŒ≤ | protoplasts | PS | Q B | secondary quinone-type electron acceptor of photosystem II | Spinacia oleracea L. | Valerianella locusta L. | Œ≤  max</t>
  </si>
  <si>
    <t>Spinach (Spinacia oleracea L.) leaves were subjected to photoinhibitory treatments. Thylakoid membranes isolated from such leaves showed inhibition of the optimal quantum yield and of the capacity of photosystem (PS)II-dependent electron transport to the same extent. The decline in PS II capacity was linearly related to the decrease in the ratio of variable to maximum fluorescence (Fv/FM) of the leaves. Chlorophyll fluorescence properties (in the presence of 3-(3‚Ä≤,4‚Ä≤-dichlorophenyl)-1,1-dimethylurea, DCMU) and PS II activity were studied in thylakoid membranes released from photoinhibited spinach chloroplasts (or mesophyll protoplasts of Valerianella locusta L.). PS II electron transport capacity was linearly related to Fv/FM and to the DCMU binding capacity. The maximum complementary area above the fluorescence induction curve (Amax) declined with progressing photoinhibition to the same extent as Fv. Area growth analysis indicated a predominant photoinhibition of PS IIŒ±, but no transformation of a to Œ≤ units. The results support the view that photoinhibition is based on transformation of active reaction centers to photochemically inactive fluorescence quenchers, which convert excitation energy to heat. Indications for increased thermal deactivation in the antenna system of PS II were not observed. ¬© 1990, Gustav Fischer Verlag, Stuttgart. All rights reserved.</t>
  </si>
  <si>
    <t>472-479</t>
  </si>
  <si>
    <t>Journal of Plant Physiology</t>
  </si>
  <si>
    <t>60025310;60025310;60025310;60025310;60025310</t>
  </si>
  <si>
    <t>16435003500;6602251402;57195117058;57195116754;6701361991</t>
  </si>
  <si>
    <t>Heinrich Krause, G.;Somersalo, Susanne;Zumbusch, Elisabeth;Weyers, Birgit;Laasch, Henrik</t>
  </si>
  <si>
    <t>Dusseldorf</t>
  </si>
  <si>
    <t>Heinrich-Heine-Universit√§t D√ºsseldorf</t>
  </si>
  <si>
    <t>Heinrich Krause G.</t>
  </si>
  <si>
    <t>On the Mechanism of Photoinhibition in Chloroplasts. Relationship Between Changes in Fluorescence and Activity of Photosystem II</t>
  </si>
  <si>
    <t>S0176161711800386</t>
  </si>
  <si>
    <t>10.1016/S0176-1617(11)80038-6</t>
  </si>
  <si>
    <t>2-s2.0-15944399728</t>
  </si>
  <si>
    <t>['àú650 b', 'àú28kbp distal', '¬© 1990', 'wps14 may', 'textured wings', 'single transcript', 'singed locus', 'results suggest', 'region 7c5', 'reduced fertility', 'plasmid clone', 'missing aristae', 'minute larvae', 'minute features', 'great britain', 'genetical society', 'fused tergites', 'fine bristles', 'extremely reduced', 'drosophila melanogaster', 'delayed development', 'defective legs', 'affected antennae', '7 c']</t>
  </si>
  <si>
    <t>We describe a novel Minute locus, M(1)7C, on the X-chromosome of Drosophila melanogaster. Heterozygous deficient females have most, if not all, of the Minute features (short and fine bristles, rough and somewhat larger eyes, thin-textured wings, missing aristae, affected antennae, delayed development, reduced fertility, and decreased viability). Both Minute and non-Minute adult progeny from Minute mothers suffer from Minute maternal effects such as abdominal segmentation defects, fused tergites, and missing or defective legs and halteres. Using a plasmid clone from region 7C5-9, which harbours the D. melanogaster ribosomal protein gene WPS 14, we have found that the accumulation of a single transcript of Àú650 b is extremely reduced in Minute larvae in comparison with wild-type. We have localized the WPS 14 gene to Àú28kbp distal from the singed locus. The results suggest that M(1)7 C and WPS14 may be the same gene. ¬© 1990 The Genetical Society of Great Britain.</t>
  </si>
  <si>
    <t>51-57</t>
  </si>
  <si>
    <t>0018067X</t>
  </si>
  <si>
    <t>Heredity</t>
  </si>
  <si>
    <t>60031040;60031040</t>
  </si>
  <si>
    <t>57217405993;6701787092</t>
  </si>
  <si>
    <t>Andersson, Stefan;Lambertsson, Andrew</t>
  </si>
  <si>
    <t>Umea</t>
  </si>
  <si>
    <t>Ume√• Universitet</t>
  </si>
  <si>
    <t>Andersson S.</t>
  </si>
  <si>
    <t>Characterization of a novel minute-locus in drosophila melanogaster: A putative ribosomal protein gene</t>
  </si>
  <si>
    <t>10.1038/hdy.1990.69</t>
  </si>
  <si>
    <t>2-s2.0-16744368586</t>
  </si>
  <si>
    <t>['sommerfeld integral', 'numerical results', 'flat earth']</t>
  </si>
  <si>
    <t>The sinusoidal-Galerkin moment method is developed for a vertical monopole antenna erected at the center of radial-wires over the flat earth. The asymptotic extraction method and the exact image method are used to obtain fast convergence of the Sommerfeld integral. Numerical results are presented for the impedance as functions of the number of the radial-wires, the height of the radial-wires, the length of the radial-wires, and the conductivity of the earth. ¬© 1990 VSP.</t>
  </si>
  <si>
    <t>49-59</t>
  </si>
  <si>
    <t>56960687700;56779495700;35598806700</t>
  </si>
  <si>
    <t>Jin, Y. S.;Adachi, S.;Sawaya, K.</t>
  </si>
  <si>
    <t>Jin Y.</t>
  </si>
  <si>
    <t>Monopole antenna on radial-wires over flat earth</t>
  </si>
  <si>
    <t>10.1163/156939390X00447</t>
  </si>
  <si>
    <t>2-s2.0-21144458947</t>
  </si>
  <si>
    <t>DE-FGOZ 88ER53263</t>
  </si>
  <si>
    <t>['¬© 1990', 'sputtering influx', 'sputtering contributions', 'plated screen', 'layer model', 'jet parameters', 'give scalings', 'edge density', 'cr data', 'carbon ions', 'antenna voltage', 'also employed']</t>
  </si>
  <si>
    <t>The release of Faraday screen material into the plasma by a powered ICRF antenna is investigated in this report. JET spectroscopic data has been analyzed to give scalings of the metal impurity influx from a chromium-plated screen with antenna voltage and edge density. Modeling of the metal influx data by an RF sheath mechanism and scrape off layer model has been carried out including the sputtering contributions of deuterium and carbon ions and the self-sputtering of the Faraday screen material. The predictions of the model for JET parameters are compared with the Cr data and are also employed to investigate the sputtering influx of Be from Be-coated Faraday screens. ¬© 1990.</t>
  </si>
  <si>
    <t>209-216</t>
  </si>
  <si>
    <t>60026358;60026358;60025104;60025104;60025104</t>
  </si>
  <si>
    <t>7004011751;7004139188;57212335886;7005377624;7005524697</t>
  </si>
  <si>
    <t>D'Ippolito, D. A.;Myra, J. R.;Bure≈°, M.;Stamp, M.;Jacquinot, J.</t>
  </si>
  <si>
    <t>Boulder;</t>
  </si>
  <si>
    <t>Lodestar Research Corporation;EFDA-JET</t>
  </si>
  <si>
    <t>60026358;60025104</t>
  </si>
  <si>
    <t>D'Ippolito D.</t>
  </si>
  <si>
    <t>Invited paper: Impurity release by ICRF antennas in jet</t>
  </si>
  <si>
    <t>0920-3796(90)90082-H</t>
  </si>
  <si>
    <t>10.1016/0920-3796(90)90082-H</t>
  </si>
  <si>
    <t>2-s2.0-22244434302</t>
  </si>
  <si>
    <t>['¬© 1990', 'rf leakage', 'rf injection', 'plasma shots', 'major subject', 'choke stub', 'choke plunger']</t>
  </si>
  <si>
    <t>It was planned to move a stub rf terminator during rf injection for producing a good impedance matching of an antenna with a few plasma shots in JT-60 ICRF heating experiment. A choke stub was adopted to effect this operation. Rf leakage and high power performance were the major subject in the research and development of the choke stub. For the design of the choke plunger, a simple analytical model was developed to calculate the rf leakage of the plunger. The validity of the model was demonstrated by rf leakage measurements. ¬© 1990.</t>
  </si>
  <si>
    <t>481-491</t>
  </si>
  <si>
    <t>60012288;60012288;60012288;60012288;60012288;60018735</t>
  </si>
  <si>
    <t>35377951900;7404269925;7005938557;35352771100;25624866400;57216189546</t>
  </si>
  <si>
    <t>Kobayashi, Noriyuki;Kimura, Haruyuki;Saigusa, Mikio;Fujii, Tsuneyuki;Ikeda, Yoshitaka;Saitoh, Yasushi</t>
  </si>
  <si>
    <t>Tokyo;Naka</t>
  </si>
  <si>
    <t>Toshiba Corporation;Naka Fusion Institute</t>
  </si>
  <si>
    <t>60018735;60012288</t>
  </si>
  <si>
    <t>Kobayashi N.</t>
  </si>
  <si>
    <t>Plunger design and rf leakage measurement of choke stub for JT-60 ICRF heating system</t>
  </si>
  <si>
    <t>0920-3796(90)90041-4</t>
  </si>
  <si>
    <t>10.1016/0920-3796(90)90041-4</t>
  </si>
  <si>
    <t>2-s2.0-22244438611</t>
  </si>
  <si>
    <t>['various parameters', 'technical concept', 'system parameters', 'system design', 'swath width', 'survey mode', 'receive modules', 'paper presents', 'operational mode', 'nadir angle', 'internal calibration', 'high stability', 'given limitations', 'geometric resolution', 'azimuth direction', 'antenna pattern', 'antenna area']</t>
  </si>
  <si>
    <t>This paper presents a technical concept for an X-band phased array synthetic aperture radar mounted on a polar orbiting satellite. The interdependency of various parameters, such as geometric resolution, swath width and off-nadir angle, is shown as well as their influence on the sensitivity of the system. A description is given of the layout of the phased array system with a new dual polarized slotted waveguide array and attached GaAs transmit/receive modules. The antenna pattern is investigated for specified scanning ranges in elevation and azimuth direction. Descriptions are given of a possible high resolution mode (azimuth look steering mode) and a survey mode (scan SAR). Future SAR systems require a high stability in their system parameters or, at least, the possibility of calibrating their performance in an operational mode. External and internal radiometric calibration procedures are discussed. A method which monitors 64 sub-arrays and can be relatively easily implemented is suggested for internal calibration. Finally, the possibility of using lower orbits under the given limitations (power and antenna area) is considered in order to allow more flexibility in system design and performance. ¬© 1990 VSP.</t>
  </si>
  <si>
    <t>325-340</t>
  </si>
  <si>
    <t>;;113474203;113474203</t>
  </si>
  <si>
    <t>56961046700;56960793000;6602920491;7005882652</t>
  </si>
  <si>
    <t>Jatsch, W.;Langer, E.;√ñttl, H.;Zeller, K. H.</t>
  </si>
  <si>
    <t>DLR</t>
  </si>
  <si>
    <t>Jatsch W.</t>
  </si>
  <si>
    <t>Concept of an X-band synthetic aperture radar for earth observing satellites</t>
  </si>
  <si>
    <t>10.1163/156939390X00573</t>
  </si>
  <si>
    <t>2-s2.0-2242440041</t>
  </si>
  <si>
    <t>['¬© 1990', 'three co', 'thermosphere coupling', 'technical case', 'sufficient flexibility', 'solar wind', 'radar system', 'processes associated', 'polar stratospheric', 'physics investigations', 'ordinated observations', 'latter possibility', 'latitude ionosphere', 'joint operations', 'important features', 'early stage', 'depletion problem', 'dayside magnetopause', 'dayside cusp', 'contribute significantly', 'construction scheme', 'consequent prospect', 'configuration lends', 'conducting co', 'combined scientific', 'auroral zone']</t>
  </si>
  <si>
    <t>A combined scientific and technical case is presented for the establishment of a new incoherent scatter radar facility on the archipelago of Svalbard. The scientific case rests principally on the ability of such a system to contribute significantly to the elucidation of the chain of physical processes involved in solar wind-magnetosphere-ionosphere-thermosphere coupling, particularly those processes associated with the dayside cusp and auroral zone. These latter regions map magnetically to the vicinity of the dayside magnetopause, and the consequent prospect of conducting co-ordinated observations with the ESA Cluster spacecraft at high altitudes provides strong motivation for ensuring that the radar facility becomes operational no later than 1995. Important features of the Svalbard site include its relatively high geographic latitude, which allows cusp aurorae to be observed under winter solstice conditions, and its proximity to the existing EISCAT incoherent scatter system, with the possibility of joint operations. The latter possibility is not only important for studies of the structure and motion of the high-latitude ionosphere, but is also particularly significant for plasma-physics investigations, which form another major topic of study. It is possible that the facility will be able to contribute significantly to polar stratospheric-tropospheric circulation studies relevant to the ozone-depletion problem. To accomplish these objectives, a tristatic radar system, capable of making full velocity vector measurements, would be ideal. However, the realization of such a system on the islands of Svalbard would present formidable logistic difficulties and an adequate alternative would be a system with three co-located fully steerable parabolic antennae, which could be operated either independently or together, in any combination. This configuration lends itself to a construction scheme that would allow significant observations to be made at an early stage with a partial radar system. The proposed construction scheme could be implemented by 1995 and would have sufficient flexibility to incorporate possible enhancements to the radar system in the future. ¬© 1990.</t>
  </si>
  <si>
    <t>645-663</t>
  </si>
  <si>
    <t>June 1990/August 1990</t>
  </si>
  <si>
    <t>60015150;60025225;60033125;60030514;60023254</t>
  </si>
  <si>
    <t>57205960565;57225225209;7403591722;7404956172;24365588000</t>
  </si>
  <si>
    <t>Cowley, S. W.H.;van Eyken, A. P.;Thomas, E. C.;Williams, P. J.S.;Wlllis, D. M.</t>
  </si>
  <si>
    <t>United Kingdom;United Kingdom;United Kingdom;United Kingdom;United Kingdom</t>
  </si>
  <si>
    <t>Leicester;Aberystwyth;Southampton;Didcot;London</t>
  </si>
  <si>
    <t>University of Leicester;Aberystwyth University;University of Southampton;Rutherford Appleton Laboratory;Imperial College London</t>
  </si>
  <si>
    <t>60033125;60030514;60025225;60023254;60015150</t>
  </si>
  <si>
    <t>Cowley S.W.H.</t>
  </si>
  <si>
    <t>Studies of the cusp and auroral zone with incoherent scatter radar: the scientific and technical case for a polar-cap radar</t>
  </si>
  <si>
    <t>002191699090059V</t>
  </si>
  <si>
    <t>10.1016/0021-9169(90)90059-V</t>
  </si>
  <si>
    <t>2-s2.0-2342521569</t>
  </si>
  <si>
    <t>['sensitive means', 'readily modified', 'perfect diamagnetism', 'key properties', 'gravitational waves', 'give rise', 'existing resonant', 'coupled interactions', 'appears likely', '108 could']</t>
  </si>
  <si>
    <t>In this paper we investigate the effect of gravitational waves (GW) on a superconductor. We find that the key properties of a superconductor, namely zero resistance and perfect diamagnetism, give rise to an important new effect, the presence of an induced electric field E(r, t) in the interior of the superconductor. The E field reacts with the ions and superelectrons. We argue, that not only is the finding of the coupled interactions of gravitation, electromagnetism and superconductivity inherently interesting, but that the induced E field might provide a significantly more sensitive means of detecting gravitational waves. It appears likely that existing resonant-mass superconducting antennas with L ‚àº- 3 m, Q ‚àº- 108 could be readily modified to detect E fields induced by GWs of dimensionless amplitude h ‚àº- 10-24 ¬© 1990 Plenum Publishing Corporation.</t>
  </si>
  <si>
    <t>53-59</t>
  </si>
  <si>
    <t>General Relativity and Gravitation</t>
  </si>
  <si>
    <t>60020583-60087528;60020583</t>
  </si>
  <si>
    <t>22968745300;7003295510</t>
  </si>
  <si>
    <t>Peng, Huei;Torr, Douglas G.</t>
  </si>
  <si>
    <t>Beijing;Huntsville</t>
  </si>
  <si>
    <t>Institute of Applied Mathematics, AMSS, CAS;The University of Alabama in Huntsville</t>
  </si>
  <si>
    <t>60087528;60020583</t>
  </si>
  <si>
    <t>Peng H.</t>
  </si>
  <si>
    <t>The electric field induced by a gravitational wave in a superconductor: a principle for a new gravitational wave antenna</t>
  </si>
  <si>
    <t>10.1007/BF00769245</t>
  </si>
  <si>
    <t>2-s2.0-25444486484</t>
  </si>
  <si>
    <t>['¬© 1990', 'visible region', 'trends observed', 'tetrametallic ruthenium', 'specific metal', 'room temperature', 'rigid matrix', 'rights reserved', 'redox waves', 'prove useful', 'polypyridine complexes', 'photosensitization purposes', 'nm region', 'multielectron photocatalysts', 'mlct bands', 'metal centers', 'luminescence spectra', 'luminescence lifetimes', 'ligand charge', 'less weak', 'including electron', 'hole injection', 'higher number', 'general formulas', 'fluid solution', 'first oxidation', 'emission energies', 'electrochemical experiments', 'electrochemical behavior', 'efficiency regardless', 'dpp ).', 'complexes studied', 'changing ligands', 'centered oxidation', 'building block', 'antenna components', 'absorption spectra', '77 k', '50 000', '38 +,', '26 +,', '1 œºs']</t>
  </si>
  <si>
    <t>The syntheses, characterization, absorption spectra, luminescence spectra, luminescence lifetimes, and electrochemical behavior of 16 mono-, di-, tri-, and tetrametallic ruthenium(II) polypyridine complexes have been investigated. The general formulas of the complexes studied are RuL2(BL), L2Ru(Œº-BL)RuL24+, LRu[(Œº-BL)RuL2]26+, and Ru[(Œº-BL)RUL2]38+, where L = 2,2‚Ä≤-bipyridine (bpy) or 2,2‚Ä≤-biquinoline (biq) and BL = 2,3- or 2,5-bis(2-pyridyl)pyrazine (dpp). The absorption spectra of the complexes exhibit broad and intense (e up to ~ 50 000 M‚àí1cm‚àí1) metal-to-ligand charge-transfer (MLCT) bands, which in the oligonuclear complexes extend all over the visible region. All the complexes exhibit luminescence in the 600-850-nm region in a rigid matrix at 77 K (lifetimes of the order of 1 Œºs) and in fluid solution at room temperature (lifetimes of the order of 100 ns). Emissions can be assigned to specific metal-ligand chromophoric units, and the trends in the emission energies on changing ligands and/or nuclearity can be rationalized in the light of the trends observed for the potentials of first oxidation and first reduction processes. Corrected excitation spectra show that the luminescent excited state is populated with the same efficiency regardless of the excitation wavelength throughout the MLCT bands. In electrochemical experiments, the complexes show metal-centered oxidation and ligand-centered reduction processes. Most of the redox waves are reversible and can be assigned to specific metal(s) or ligand(s). The interaction between equivalent redox centers of the same complex is more or less weak, depending on the nature of BL and L. Each one of the mono-, di-, tri-, and tetranuclear complexes studied can be used as a building block for the design of luminescent and redox-reactive species containing a higher number of metal centers. Because of their broad and strong absorption bands in the visible region, relatively long luminescence lifetimes, and rich redox behaviors, complexes of this type can prove useful as antenna components for photosensitization purposes (including electron or hole injection on semiconductors), luminescence probes, and multielectron photocatalysts. ¬© 1990, American Chemical Society. All rights reserved.</t>
  </si>
  <si>
    <t>4750-4758</t>
  </si>
  <si>
    <t>1520510X</t>
  </si>
  <si>
    <t>Inorganic Chemistry</t>
  </si>
  <si>
    <t>60028868;60014096;60020261;60020261;60026930;60028218</t>
  </si>
  <si>
    <t>57208459253;7005385415;36922855400;7004639059;57208460917;7005686105</t>
  </si>
  <si>
    <t>Denti, Gianfranco;Campagna, Sebastiano;Sabatino, Luigina;Serroni, Scolastica;Ciano, Mauro;Balzani, Vincenzo</t>
  </si>
  <si>
    <t>Italy;Italy;Italy;Italy;Italy</t>
  </si>
  <si>
    <t>Pisa;Bologna;Bologna;Rende;Campobasso</t>
  </si>
  <si>
    <t>Universit√† di Pisa;Alma Mater Studiorum Universit√† di Bologna;Istituto di Fotochimica e Radiazioni d'Alta Energia;Universit√† della Calabria;Universit√† degli Studi del Molise</t>
  </si>
  <si>
    <t>60028868;60028218;60026930;60020261;60014096</t>
  </si>
  <si>
    <t>Denti G.</t>
  </si>
  <si>
    <t>Luminescent and Redox-Reactive Building Blocks for the Design of Photochemical Molecular Devices: Mono-, Di-, Tri-, and Tetranuclear Ruthenium(II) Polypyridine Complexes</t>
  </si>
  <si>
    <t>10.1021/ic00348a032</t>
  </si>
  <si>
    <t>2-s2.0-25944465119</t>
  </si>
  <si>
    <t>['polar lobes', 'low side', 'lobe designs', 'francis ltd', 'error lobes', 'earlier arrangements', 'difficulties associated', 'commonly used', 'airborne radars']</t>
  </si>
  <si>
    <t>Conventional slotted waveguide array antennas, such as those commonly used in marine and airborne radars, tend to suffer from the presence of either double periodicity lobes or cross-polar lobes, or both, in their far-field radiation patterns, and these inhibit the creation of very low side-lobe designs. A number of possible schemes aimed at eliminating these error lobes have been proposed and these are reviewed. The impracticability of the majority of these schemes has led to the evolution of a new slot geometry that overcomes most of the difficulties associated with earlier arrangements. ¬© 1990 Taylor and Francis Ltd.</t>
  </si>
  <si>
    <t>1075-1088</t>
  </si>
  <si>
    <t>Sangster, A. J.</t>
  </si>
  <si>
    <t>Edinburgh</t>
  </si>
  <si>
    <t>Heriot-Watt University</t>
  </si>
  <si>
    <t>Sangster A.</t>
  </si>
  <si>
    <t>New slotted-waveguide antenna element for low side-lobe arrays</t>
  </si>
  <si>
    <t>10.1080/00207219008921247</t>
  </si>
  <si>
    <t>2-s2.0-26944477288</t>
  </si>
  <si>
    <t>['¬© 1990', 'v characteristics', 'tunneling steps', 'tucker theory', 'transform spectrometer', 'theoretical computation', 'resonant frequency', 'quasiparticle tunneling', 'quantum susceptance', 'nondissipative part', 'excellent agreement', 'elastic tunneling', 'calculations based', 'broadband radiation', 'also demonstrate', '87 ghz']</t>
  </si>
  <si>
    <t>We have made the first direct measurement of the quantum susceptance that arises from the nondissipative part of quasiparticle tunneling in a superconductor-insulator-superconductor tunnel junction. The junction is coupled to an antenna and a superconducting microstrip stub to form a resonator; the resonant frequency is determined from the response of the junction to broadband radiation from a Fourier-transform spectrometer. A 19% shift of the resonant frequency, from 73 to 87 GHz, is observed, which arises from the change of the quantum susceptance of the junction with dc bias voltage. This shift is in excellent agreement with calculations based on the Werthamer-Tucker theory, which includes the quantum susceptance. We also demonstrate that it is essential to include the quantum susceptance in our theoretical computation to explain the photon-assisted-tunneling steps, which have negative dynamic conductance. Such steps are observed when the junction is pumped at slightly below the resonant frequency of the capacitor and the stub. The quantum susceptance should exist in all tunnel devices whose nonlinear I-V characteristics are due to elastic tunneling. ¬© 1990 The American Physical Society.</t>
  </si>
  <si>
    <t>10250-10263</t>
  </si>
  <si>
    <t>Physical Review B</t>
  </si>
  <si>
    <t>60025038-60007174;60025038-60007174;60025038-60007174;60023053</t>
  </si>
  <si>
    <t>7403214762;7003528806;7201484168;57219106457</t>
  </si>
  <si>
    <t>Hu, Qing;Mears, C. A.;Richards, P. L.;Lloyd, F. L.</t>
  </si>
  <si>
    <t>Berkeley;Gaithersburg;Berkeley</t>
  </si>
  <si>
    <t>University of California, Berkeley;National Institute of Standards and Technology;Lawrence Berkeley National Laboratory</t>
  </si>
  <si>
    <t>60025038;60023053;60007174</t>
  </si>
  <si>
    <t>Hu Q.</t>
  </si>
  <si>
    <t>Quantum susceptance and its effects on the high-frequency response of superconducting tunnel junctions</t>
  </si>
  <si>
    <t>10.1103/PhysRevB.42.10250</t>
  </si>
  <si>
    <t>2-s2.0-2842541181</t>
  </si>
  <si>
    <t>['spatial structure', 'simulation plasmas', 'several cases', 'incorporates darwin', 'good agreement', 'electromagnetic fields', 'driven wave', 'dimensional slab', 'collisionless process', 'accompanying changes']</t>
  </si>
  <si>
    <t>A particle simulation study of shear Alfv√©n wave resonance heating is presented. A particle simulation model has been developed for this application that incorporates Darwin's formulation of the electromagnetic fields with a guiding center approximation for electron motion perpendicular to the ambient magnetic field. With this model, several cases of Alfv√©n wave heating are examined in both uniform and nonuniform simulation systems in a two-dimensional slab. When the antenna parameters match the shear Alfv√©n resonance condition, the simulation plasmas in the homogeneous cases react strongly with the driven wave. For the inhomogeneous case studies, the kinetic Alfv√©n wave develops in the vicinity of the shear Alfv√©n resonance region. The electrons kinetically react with the wave through a collisionless process. The electron velocity distribution function flattens about the parallel phase velocity of the wave with accompanying changes in the spatial structure of the wave. The electron heating rate is in good agreement with the Landau damping model. A substantial electron current is also generated parallel to the applied magnetic field. The ions gain energy by oscillating in the wave electric fields. ¬© 1990 American Institute of Physics.</t>
  </si>
  <si>
    <t>773-786</t>
  </si>
  <si>
    <t>60013372-60028428;60013372-60024266;60013372</t>
  </si>
  <si>
    <t>7006058960;7007014460;7202551875</t>
  </si>
  <si>
    <t>Geary, J. L.;Leboeuf, J. N.;Tajima, T.</t>
  </si>
  <si>
    <t>Springfield;Oak Ridge;Austin</t>
  </si>
  <si>
    <t>Berkeley Research Associates;Oak Ridge National Laboratory;The University of Texas at Austin</t>
  </si>
  <si>
    <t>60028428;60024266;60013372</t>
  </si>
  <si>
    <t>Geary J.</t>
  </si>
  <si>
    <t>Computer simulation of Alfv√©n wave heating</t>
  </si>
  <si>
    <t>10.1063/1.859314</t>
  </si>
  <si>
    <t>2-s2.0-2942529359</t>
  </si>
  <si>
    <t>['¬© 1990', 'wall around', 'total amount', 'subsequent analysis', 'results indicate', 'particle energy', 'measured implantations', 'important reason', 'implanted hydrogen', 'heavy impurities', 'faraday screen', 'carbon probes', 'cannot explain', 'antenna surface']</t>
  </si>
  <si>
    <t>Carbon probes were exposed in the center of the Faraday screen of the ASDEX ICRH antenna during single ICRH discharges. The subsequent analysis of the probes by ion beam techniques gave the depth, as a measure for the particle energy, and the total amount of the implanted hydrogen and deuterium. The results indicate, that during the RF fast ions hit both, the antenna surface and the wall around the torus. This can be an important reason for the production of heavy impurities by ICRH. A comparison with CX neutral fluxes shows, that these cannot explain the measured implantations. ¬© 1990.</t>
  </si>
  <si>
    <t>193-196</t>
  </si>
  <si>
    <t>60026838;60026838;60026838;60026838</t>
  </si>
  <si>
    <t>7004287725;7004464573;7006460139;6603571147</t>
  </si>
  <si>
    <t>Wesner, F.;Prozesky, V. M.;Behrisch, R.;Staudenmaier, G.</t>
  </si>
  <si>
    <t>Wesner F.</t>
  </si>
  <si>
    <t>Measurement of fast particles in front of the ICRH-antenna of ASDEX</t>
  </si>
  <si>
    <t>092037969090079L</t>
  </si>
  <si>
    <t>10.1016/0920-3796(90)90079-L</t>
  </si>
  <si>
    <t>2-s2.0-29744432020</t>
  </si>
  <si>
    <t>['¬© 1990', 'strongly influenced', 'sol parameters', 'limiter discharges', 'langmuir probes', 'edge parameters', 'carbon limiters', 'belt limiters', 'active antenna']</t>
  </si>
  <si>
    <t>Investigation of the scrape-off Layer (SOL) at different poloidal positions has been carried out with Langmuir probes for limiter discharges with ion cyclotron resonance heating (ICRH) at JET. A comparison of the effects of ICRH on the edge is presented for operation with all carbon limiters, and for operation with a beryllium layer evaporated on the walls and limiters of JET. The behaviour of the SOL parameters is similar for both cases, although edge temperatures tend to be lower in the Be case. Measurements with probes between the belt limiters and close to the ICRH antennas show that the edge parameters in this region are strongly influenced by the vicinity of an active antenna. ¬© 1990.</t>
  </si>
  <si>
    <t>261-266</t>
  </si>
  <si>
    <t>60005233;60033317;60025104;60025104;60025104;60025104</t>
  </si>
  <si>
    <t>7101659327;7003491523;6603775337;6603620704;57212335886;6701368283</t>
  </si>
  <si>
    <t>Clement, S.;Erents, S. K.;Tagle, J. A.;Brinkschulte, H.;Bure≈°, M.;de Kock, L.</t>
  </si>
  <si>
    <t>United Kingdom;United Kingdom;Spain</t>
  </si>
  <si>
    <t>Abingdon;;Madrid</t>
  </si>
  <si>
    <t>Culham Centre for Fusion Energy;EFDA-JET;Centro de Investigaciones Energeticas, Medioambientales y Tecnologicas</t>
  </si>
  <si>
    <t>60033317;60025104;60005233</t>
  </si>
  <si>
    <t>Clement S.</t>
  </si>
  <si>
    <t>Effect of ICRH on the jet edge plasma with carbon and beryllium coated limiters</t>
  </si>
  <si>
    <t>092037969090089O</t>
  </si>
  <si>
    <t>10.1016/0920-3796(90)90089-O</t>
  </si>
  <si>
    <t>2-s2.0-29744433565</t>
  </si>
  <si>
    <t>['¬© 1990', 'sol ),', 'rf heating', 'plasma densities', 'plasma boundary', 'minority gas', 'impurity production', 'icrf heating', 'faraday screen', '80 ev', '20 v', '100 v']</t>
  </si>
  <si>
    <t>The plasma boundary in front of and outside the JET ICRF antenna Faraday screen has been studied using Langmuir probes. Plasma densities of nc ‚àº 1015-1016 m-3 and electron temperatures Tc ‚àº 20-80 eV have been measured at the Faraday screen. Both nc and Tc scale almost linearly with total input power (PRF up to 12 MW). DC electric fields up to 20 V/cm, with a large poloidal component perpendicular to the magnetic field lines were generated during ICRF heating. The total electric field intensity depends on the minority gas (H or 3He) and is also linearly dependent on the applied RF power. Spatially resolved measurements of the plasma space potential up to 50-100 V at the limiter flux surface were measured. The relevance of these fields to the transport in the scrape off layer (SOL), to the local particle balance at the boundary and to the impurity production during RF heating is discussed. ¬© 1990.</t>
  </si>
  <si>
    <t>217-222</t>
  </si>
  <si>
    <t>60025104;105831089;60005233;60033317;60025104;60025104;60025104</t>
  </si>
  <si>
    <t>6603775337;56265954600;7101659327;7003491523;6603620704;57212335886;6701368283</t>
  </si>
  <si>
    <t>Tagle, J. A.;Laux, M.;Clement, S.;Erents, S. K.;Brinkschulte, H.;Bures, M.;De Kock, L.</t>
  </si>
  <si>
    <t>United Kingdom;United Kingdom;Spain;Germany</t>
  </si>
  <si>
    <t>Abingdon;;Madrid;Berlin</t>
  </si>
  <si>
    <t>Culham Centre for Fusion Energy;EFDA-JET;Centro de Investigaciones Energeticas, Medioambientales y Tecnologicas;Zentral Institut f√ºr Elektronenphysik</t>
  </si>
  <si>
    <t>60033317;60025104;60005233;105831089</t>
  </si>
  <si>
    <t>Tagle J.A.</t>
  </si>
  <si>
    <t>Electric field and radial transport during ICRF heating in the edge plasma of jet</t>
  </si>
  <si>
    <t>092037969090083I</t>
  </si>
  <si>
    <t>10.1016/0920-3796(90)90083-I</t>
  </si>
  <si>
    <t>2-s2.0-29744435403</t>
  </si>
  <si>
    <t>Oak Ridge Associated Universities</t>
  </si>
  <si>
    <t>DE-ACOS-84OR21400</t>
  </si>
  <si>
    <t>ORAU</t>
  </si>
  <si>
    <t>['¬© 1990', 'shield surface', 'sheath potential', 'rf power', 'rf fields', 'potential values', 'potential formation', 'plasma properties', 'measured near', 'langmuir probe', 'ions hitting', 'ions bombarding', 'ion energy', 'ion energies', 'icrf antenna', 'faraday shield', 'electron temperature', 'electromagnetic field', 'ech plasma', 'central density', 'capacitive probe', '15 ev', '10 ev']</t>
  </si>
  <si>
    <t>Plasma properties and ion energies have been measured near the surface of the Faraday shield for an ICRF antenna to determine the effect of RF fields on the energy of ions bombarding the shield surface. A resonant loop antenna with a two-tier Faraday shield was used on the RF Test Facility at Oak Ridge National Laboratory. The ECH plasma was produced by a 10.6 GHz klystron and had a central density of ‚àº1011 cm-3 and an electron temperature of 5-10 eV. The static magnetic field at the antenna was ‚àº 2 kG. A capacitive probe was used to measure the time-varying floating potential and a Langmuir probe was used to measure the time-averaged electron temperature, density, and DC floating potential. Both probes were scanned in front of the antenna. Ion energies were measured with a gridded energy analyzer located next to the antenna. The time-varying floating potential followed the magnetic field pattern of the antenna, indicating that the electromagnetic field is responsible for the potential formation. Potential values of 300 V p-p have been measured. Electron temperatures increased with RF power and reached values ‚â•60 eV for an RF power of ‚àº25 kW. The energy of ions hitting a grounded surface also increased with RF power and exceeded 300 eV at ‚àº25 kW of RF power (compared with energies of 5-15 eV with no RF power). The increase in ion energy can be at least partially explained by an increase in the sheath potential, which in turn is caused by an increase in the electron temperature. ¬© 1990.</t>
  </si>
  <si>
    <t>179-183</t>
  </si>
  <si>
    <t>60000745;60000745;60024266</t>
  </si>
  <si>
    <t>6603612527;7006106746;7402222174</t>
  </si>
  <si>
    <t>Caughman, J. B.O.;Ruzic, D. N.;Hoffman, D. J.</t>
  </si>
  <si>
    <t>Oak Ridge;Urbana</t>
  </si>
  <si>
    <t>Oak Ridge National Laboratory;University of Illinois Urbana-Champaign</t>
  </si>
  <si>
    <t>60024266;60000745</t>
  </si>
  <si>
    <t>Caughman J.B.O.</t>
  </si>
  <si>
    <t>Experimental evidence of increased electron temperature, plasma potential, and ion energy near an ICRF antenna Faraday shield</t>
  </si>
  <si>
    <t>092037969090077J</t>
  </si>
  <si>
    <t>10.1016/0920-3796(90)90077-J</t>
  </si>
  <si>
    <t>2-s2.0-29744439334</t>
  </si>
  <si>
    <t>['¬© 1990', 'significantly reduced', 'routinely achieved', 'rf pulse', 'rf power', 'previous operation', 'plasma density', 'particular oxygen', 'monopole configuration', 'lowest densities', 'factor 3', 'efficiently pumped', 'density control', 'coupling resistance', 'corresponding influx', 'comparable densities', 'beryllium signal', 'antenna screen', 'antenna influxes', '5 mw', '5 m2', '10 mw', '1 except', '1 ),']</t>
  </si>
  <si>
    <t>During Ion Cyclotron Range of Frequencies (ICRF) heating in JET (Joint European Torus) with beryllium gettered walls and RF antenna screens both the global and local impurity influxes are significantly reduced as compared to the previous operation. In particular oxygen is reduced by an order of magnitude and the deuterium is efficiently pumped. The deuterium recycling RD &lt; 1 except at the onset of RF pulse (1 &lt; RD &lt; 1.1) for t = 0.75 s, indicating modest desorption. This provides the density control. Except for the lowest densities, Zeff = 2 at PRF = 10 MW is routinely achieved. At At comparable densities, PRAD/PTOT is 30-50% lower. If we assume that the long term evolution of the beryllium signal at the antenna screen is due to erosion, rather than coverage by carbon, we estimate the corresponding influx in monopole configuration (k11 = 0 m-1) to be Œ¶BeSCREEN = 1.16 √ó 1019 atoms MW-1 s-1 from an effective area AEFF = 0.5 m2. At the same coupling resistance the beryllium influx scales with the RF power of the antenna and with the plasma density. With dipoles (k11 = 7 m-1), the influx is reduced by more than a factor 3. The contribution of antenna influxes to Zeff is small, ŒîZeffBe = 0.08 and ŒîZeffNi = 0.05 at PRF = 5 MW. ¬© 1990.</t>
  </si>
  <si>
    <t>251-259</t>
  </si>
  <si>
    <t>60025104;60025104;60025104;60025104;60025104</t>
  </si>
  <si>
    <t>57212335886;7005524697;7005377624;7103032460;57199472012</t>
  </si>
  <si>
    <t>Bure≈°, M.;Jacquinot, J.;Stamp, M.;Lawson, K.;Thomas, P.</t>
  </si>
  <si>
    <t>EFDA-JET</t>
  </si>
  <si>
    <t>Invited paper: ICRF heating/plasma edge interaction in jet with beryllium gettering</t>
  </si>
  <si>
    <t>0920-3796(90)90088-N</t>
  </si>
  <si>
    <t>10.1016/0920-3796(90)90088-N</t>
  </si>
  <si>
    <t>2-s2.0-29744459175</t>
  </si>
  <si>
    <t>['¬© 1990', 'vessel components', 'values obtained', 'substantially higher', 'rf waves', 'rf alone', 'results obtained', 'plasma regimes', 'particularly sensitive', 'oxygen gettering', 'nickel sputtering', 'nickel screen', 'negligible level', 'nbi cases', 'mode plasmas', 'long h', 'lasting improvements', 'impurity release', 'high density', 'dipole phasing', 'density limit', 'carbon limiters', 'beryllium phase', 'beryllium films', 'beryllium evaporation', 'antenna screens']</t>
  </si>
  <si>
    <t>Beryllium films (150 to 300 √Ö) have been evaporated on all JET in-vessel components (carbon limiters, nickel screen, inconel walls). Immediate and lasting improvements of the plasma have been observed in all plasma regimes. We concentrate on the results obtained with ICRH and NBI on the density limit and on H-mode plasmas which are particularly sensitive to impurity release. Specific effects produced by RF waves are reduced to a negligible level when the following 3 aspects are combined - beryllium evaporation, dipole phasing, correct screen angle. The density limit obtained with ICRF is now identical to NBI heated cases and substantially higher than the values obtained in the pre-beryllium phase. Long H-modes (1.3 s) have been obtained with RF alone. The H mode confinement is similar to that of NBI cases. In limiter plasmas Zeff decreased to 1.2-1.4 at high density and for 10 MW input power. The results are related to oxygen gettering, suppression of nickel sputtering from the antenna screens and to the use of dipole phasing. ¬© 1990.</t>
  </si>
  <si>
    <t>245-250</t>
  </si>
  <si>
    <t>60025104;60025104;60025104;60025104;60025104;60025104;60025104;60025104</t>
  </si>
  <si>
    <t>7005524697;7102660576;57212335886;7404497658;7006698742;7103032460;7005377624;6701379838</t>
  </si>
  <si>
    <t>Jacquinot, J.;Bhatnagar, V.;Bure≈°, M.;Campbell, D.;Giannella, R.;Lawson, K.;Stamp, M.;Tubbing, B.</t>
  </si>
  <si>
    <t>Jacquinot J.</t>
  </si>
  <si>
    <t>Effect of beryllium evaporation on the performance of ICRH on JET</t>
  </si>
  <si>
    <t>0920-3796(90)90087-M</t>
  </si>
  <si>
    <t>10.1016/0920-3796(90)90087-M</t>
  </si>
  <si>
    <t>2-s2.0-29744459552</t>
  </si>
  <si>
    <t>['¬© 1990', 'separatrix distance', 'phase operation', 'mode transition', 'mode plasmas', 'key parameters', 'impurity release', 'impurity level', 'electron temperature', 'electron density', 'edge plasma', 'antenna loading']</t>
  </si>
  <si>
    <t>The roles of the edge plasma are investigated with respect to impurity release, antenna loading, and H-mode transition. Metal impurity release is considered to be caused by an RF electric field near the antennas, and can be reduced by the out-of-phase operation. Antenna loading with H-mode plasmas is dependent on the antenna-separatrix distance, and can be increased for sufficiently small separation. Electron temperature and electron density in the edge are the key parameters for H-mode transition, and they are the same, independent of the additional heating methods, and of the impurity level. ¬© 1990.</t>
  </si>
  <si>
    <t>25-29</t>
  </si>
  <si>
    <t>60015658;60015658;60015658;60015658;60015658;60015658;60015658;60015658;60015658;60015658;60015658;60015658;60015658;60015658;60015658;60015658;60015658;60015658;60015658;60015658;60015658;60015658</t>
  </si>
  <si>
    <t>7202344866;57214216089;7003741997;57083334700;24485903500;7405807498;57209192153;7202141734;7401566496;7202656118;57082055000;56972296400;55700216100;35350459800;6602130772;7004017855;7201706434;36063470300;7007048412;55703205600;7401705258;7404021406</t>
  </si>
  <si>
    <t>Tamai, H.;Ogawa, T.;Odajima, K.;Matsumoto, H.;Aikawa, H.;Fujita, T.;Hoshino, K.;Kasai, S.;Kawakami, T.;Kawashima, H.;Matsuda, T.;Miura, Y.;Mori, M.;Ogawa, H.;Ohasa, K.;Sengoku, S.;Shoji, T.;Suzuki, N.;Uesugi, Y.;Yamamoto, T.;Yamauchi, T.;Maeda, H.</t>
  </si>
  <si>
    <t>Kashiwa</t>
  </si>
  <si>
    <t>Japan Atomic Energy Agency</t>
  </si>
  <si>
    <t>Tamai H.</t>
  </si>
  <si>
    <t>Edge plasma characteristics during ICRF heating on JFT-2M Tokamak</t>
  </si>
  <si>
    <t>092037969090060J</t>
  </si>
  <si>
    <t>10.1016/0920-3796(90)90060-J</t>
  </si>
  <si>
    <t>2-s2.0-29744463232</t>
  </si>
  <si>
    <t>['slow ion', 'low radial', 'ion plasma', 'gives evidence', 'fluids 30', 'fast mode', 'efficiently excited', 'cyclotron mode', 'conversion zone', 'cold two', 'central cell', '1987 )]', '1983 )].']</t>
  </si>
  <si>
    <t>The uniform cylindrical plasma model of Litwin and Hershkowitz [Phys. Fluids 30, 1323 (1987)] is shown to predict mode conversion between the lowest radial order m = + 1 fast magnetosonic surface and slow ion-cyclotron global eigenmodes of the Alfv√©n wave at the light-ion species Alfv√©n resonance of a cold two-ion plasma. A hydrogen (h)-deuterium (d) plasma is examined in experiments. The fast mode is efficiently excited by a rotating field antenna array at œâ‚àºŒ©h in the central cell of the Phaedrus-B tandem mirror [Phys. Rev. Lett. 51, 1955(1983)]. Radially scanned magnetic probes observe the propagating eigenmode wave fields within a shallow central cell magnetic gradient in which the conversion zone is axially localized according to nd/nh. A low radial-order slow ion-cyclotron mode, observed in the vicinity of the conversion zone, gives evidence for the predicted mode conversion. ¬© 1990 American Institute of Physics.</t>
  </si>
  <si>
    <t>787-796</t>
  </si>
  <si>
    <t>60032179;60032179;60032179</t>
  </si>
  <si>
    <t>37013964200;7006072211;7004706481</t>
  </si>
  <si>
    <t>Roberts, D. R.;Hershkowitz, N.;Tataronis, J. A.</t>
  </si>
  <si>
    <t>Roberts D.</t>
  </si>
  <si>
    <t>Mode conversion between Alfv√©n wave eigenmodes in axially inhomogeneous two-ion-species plasmas</t>
  </si>
  <si>
    <t>10.1063/1.859315</t>
  </si>
  <si>
    <t>2-s2.0-31744438868</t>
  </si>
  <si>
    <t>['wave power', 'radiation limit', 'peripheral electrons', 'oblique angle', 'mainly due', 'ibw power', 'heating effect', 'antenna location', '120 kw']</t>
  </si>
  <si>
    <t>Antenna loading resistance | Ion Bernstein wave | JFT-2M tokamak | Scrape-off plasma</t>
  </si>
  <si>
    <t>The ion Bernstein wave (IBW) is launched into the JFT-2M tokamak plasma in order to investigate the antenna loading resistance and the heating effect. Antenna loading resistance increases as the scrape-off electron density increases, in the same manner as that of fast wave antennas. Although the hydrogen ion temperature increases due to the IBW, most of the wave power is absorbed by the peripheral electrons. This is mainly due to the antenna location, which is at an oblique angle to the midplane. Peripheral electron heating induces the enhanced radiation loss, and IBW power of only about 120 kW can be launched because of the radiation limit. ¬© 1990 IOP Publishing Ltd.</t>
  </si>
  <si>
    <t>L1911-L1914</t>
  </si>
  <si>
    <t>60015658;60015658;60015658;60015658;60015658;60015658;60015658;60015658;60015658;60015658;60015658;60015658;60015658;60101699;60015658;60015658;60015658;60015658;60015658;60015658;60000264;60015658;60015658;60015658</t>
  </si>
  <si>
    <t>56187794400;57214216089;57083334700;7003741997;24485903500;57209192153;7202141734;7401566496;7202656118;57211765894;57082055000;56972296400;55700216100;57205086798;35350459800;6602130772;35393093200;7004017855;7201706434;36063470300;7007048412;55703205600;7401705258;7404021406</t>
  </si>
  <si>
    <t>Tamai, Hiroshi;Ogawa, Toshihide;Matsumoto, Hiroshi;Odajima, Kazuo;Aikawa, Hiroshi;Hoshino, Katsumichi;Kasai, Satoshi;Kawakami, Tomohide;Kawashima, Hisato;Kondoh, Takashi;Matsuda, Toshiaki;Miura, Yukitoshi;Mori, Masahiro;Nakazawa, Ichiro;Ogawa, Hiroaki;Ohasa, Kazumi;Ohtsuka, Hidewo;Sengoku, Seio;Shoji, Teruaki;Suzuki, Norio;Uesugi, Yoshihiko;Yamamoto, Takumi;Yamauchi, Toshihiko;Maeda, Hikosuke</t>
  </si>
  <si>
    <t>Tokyo;Kashiwa;Nagoya</t>
  </si>
  <si>
    <t>Mitsubishi Electric Corporation;Japan Atomic Energy Agency;Nagoya University</t>
  </si>
  <si>
    <t>60101699;60015658;60000264</t>
  </si>
  <si>
    <t>Ion bernstein wave experiment on jft-2m tokamak</t>
  </si>
  <si>
    <t>10.1143/JJAP.29.L1911</t>
  </si>
  <si>
    <t>2-s2.0-33644619376</t>
  </si>
  <si>
    <t>['¬© 1990', 'time scale', 'term effect', 'sodium azide', 'reaction centre', 'protective agent', 'phycobilisome antenna', 'photosynthetic apparatus', 'irradiation conditions', 'fluorescence induction', 'effects lead', 'earlier studies', 'distinguished using', 'different parts']</t>
  </si>
  <si>
    <t>cyanobacteria | photosystem II | Reaction centre | time-resolved fluorescence.</t>
  </si>
  <si>
    <t>Photoinhibition and photobleaching as a function of time at high fluence rates were studied using picosecond time-resolved emission spectra (TRES) and fluorescence induction in the cyanobacterium Anabaena variabilis. Photoinhibition and photobleaching can be distinguished using these techniques as phenomena which operate on different parts of the photosynthetic apparatus with very different induction periods. Photoinhibition is a short-term irradiation effect (time scale of hours) under our irradiation conditions and operates on photosystem II reaction centres in agreement with earlier studies. On photoinhibition the minimum fluorescence intensity F0 is increased and the maximum fluorescence Fmax is decreased. Both effects lead to a decrease in the variable fluorescence yield. In contrast, photobleaching is a long-term effect (time scale of days) and operates on the phycobilisome antenna. This finding is supported by experiments with sodium azide, a protective agent against photobleaching. Although sodium azide cannot fully prevent the formation of long-lived fluorescence components (detached phycobiliproteins), large negative amplitudes measured in the sodium-azide-protected samples indicate an efficient energy transfer to the reaction centre which is absent in the control. ¬© 1990.</t>
  </si>
  <si>
    <t>481-494</t>
  </si>
  <si>
    <t>60012556;60072285;60072285;60012556</t>
  </si>
  <si>
    <t>6701322294;6602426350;35501122300;6507056602</t>
  </si>
  <si>
    <t>Nultsch, W.;Bittersmann, E.;Holzwarth, A. R.;Agel, G.</t>
  </si>
  <si>
    <t>Mulheim an der Ruhr;Marburg</t>
  </si>
  <si>
    <t>Max Planck Institute for Chemical Energy Conversion;Philipps-Universit√§t Marburg</t>
  </si>
  <si>
    <t>60072285;60012556</t>
  </si>
  <si>
    <t>Nultsch W.</t>
  </si>
  <si>
    <t>Effects of strong light irradiation on antennae and reaction centres of the cyanobacterium Anabaena variabilis: A time-resolved fluorescence study</t>
  </si>
  <si>
    <t>101113449085060A</t>
  </si>
  <si>
    <t>10.1016/1011-1344(90)85060-A</t>
  </si>
  <si>
    <t>2-s2.0-33646537400</t>
  </si>
  <si>
    <t>Comments on ‚ÄúAn Exact Method of Integration for Vector Potentials of Thin Dipole Antennas‚Äù</t>
  </si>
  <si>
    <t>10.1109/8.52282</t>
  </si>
  <si>
    <t>2-s2.0-33747943511</t>
  </si>
  <si>
    <t>['wind measurements', 'vertical winds', 'vertical wind', 'vertical velocity', 'upper atmosphere', 'true velocities', 'spaced antenna', 'smaller spacing', 'sa data', 'sa ).', 'receiving array', 'radar obtained', 'period analyzed', 'obvious influence', 'horizontal winds', 'fca method', 'extended regions', 'dbs directions', 'copyright 1990', 'account properly']</t>
  </si>
  <si>
    <t>We present a comparison between wind measurements in the 5‚Äì21 km altitude range over the middle and upper atmosphere (MU) radar obtained by two different techniques: Doppler beam swinging (DBS) and spaced antenna (SA). The SA data are analyzed by full correlation analysis (FCA) to extract the apparent and true velocities. The period analyzed, December 14‚Äì18, 1988, had strong zonal winds that often exceeded 80 m/s at around 11 km altitude and also had substantial (&gt; 1 m/s) vertical winds that existed over extended regions of height and time. It is essential to account properly for the vertical wind when extracting the horizontal winds from the oblique DBS beams, but no obvious influence of the vertical velocity on the FCA is detected. In different altitude regions of the atmosphere (below and above the jet stream peak and above 17.7 km), the DBS amplitude alternately agrees better with the true or the apparent velocity obtained by the FCA method. The directions of all three wind estimations agree well, although the apparent direction displays more variability with altitude than do the true and DBS directions. When a smaller spacing for the receiving array is used, it yields a smaller true velocity estimate. Copyright 1990 by the American Geophysical Union.</t>
  </si>
  <si>
    <t>629-640</t>
  </si>
  <si>
    <t>6602177985;35433785500;7103083539;56691869300;35425453600;55398698300;9274833100</t>
  </si>
  <si>
    <t>Van Baelen, J. S.;Tsuda, T.;Richmond, A. D.;Avery, S. K.;Kato, S.;Fukao, S.;Yamamoto, M.</t>
  </si>
  <si>
    <t>Van Baelen J.S.</t>
  </si>
  <si>
    <t>Comparison of VHF Doppler beam swinging and spaced antenna observations with the MU radar: First results</t>
  </si>
  <si>
    <t>10.1029/RS025i004p00629</t>
  </si>
  <si>
    <t>2-s2.0-33748617395</t>
  </si>
  <si>
    <t>['¬© 1990', 'wavefront analysis', 'supporting technologies', 'rights reserved', 'results obtained', 'radio transmitters', 'radio communications', 'practical proposition', 'practical performance', 'paper attempts', 'obtained aided', 'major advances', 'major advance', 'given impetus', 'fast operation', 'electrical engineers', 'earliest days', 'direction finding', 'df technology', 'df techniques', 'antenna deployment', 'also presented', 'also flexibility']</t>
  </si>
  <si>
    <t>The location of radio transmitters through direction finding (DF) has been required almost since the earliest days of radio communications. The two world wars have, not unexpectedly, given impetus to major advances in DF technology. The only major advance in DF technology since World War II has been in the field of wavefront analysis and it is only now that the supporting technologies have made these techniques a practical proposition. Superresolution DF techniques potentially offer the user not only the capability to operate in multiple and unfriendly signal environments but also flexibility of antenna deployment and fast operation. The paper attempts to explain how this enhanced DF performance is obtained aided by comparison with other DF techniques. Results obtained with the Siemens - Plessey SR DF demonstrator are also presented to outline the practical performance of superresolution DF techniques. ¬© 1990, The Institution of Electrical Engineers. All rights reserved.</t>
  </si>
  <si>
    <t>221-232</t>
  </si>
  <si>
    <t>Electronics and Communication Engineering Journal</t>
  </si>
  <si>
    <t>Hill, D. S.</t>
  </si>
  <si>
    <t>Romsey</t>
  </si>
  <si>
    <t>Roke Manor Research Limited</t>
  </si>
  <si>
    <t>Multiple Signal DF Using Superresolution: A Practical Assessment</t>
  </si>
  <si>
    <t>10.1049/ecej:19900048</t>
  </si>
  <si>
    <t>2-s2.0-33749916746</t>
  </si>
  <si>
    <t>['whose structure', 'thereby modulate', 'substituent orientations', 'skeletal flexibility', 'skeletal differences', 'ray diffraction', 'puckered porphyrins', 'prosthecochloris aestuarii', 'optical results', 'optical properties', 'neighboring residues', 'highest occupied', 'experimental redox', 'crystallographic data', 'conformational variations', 'clearly establish', 'axial ligands', 'antenna complex', 'also established', 'also assessed', 'absorption properties', '443 ).']</t>
  </si>
  <si>
    <t>Recent structural data for porphyrins and (bacterio)chlorophylls have demonstrated the skeletal flexibility of the chromophores. Experimental redox and optical results for puckered porphyrins have also established that such conformational variations can affect the highest occupied and lowest unoccupied molecular orbitals of the chromophores and thereby modulate their light-absorption properties. The concept is applied to the bacteriochlorophyll a (BChl) antenna protein complex from Prosthecochloris aestuarii, whose structure has been solved by X-ray diffraction (J. Mol. Biol. 1986, 188, 443). INDO/s calculations, based on the crystallographic data for the seven individual BChls that comprise the antenna complex, yield absorption maxima that reflect the observed conformational variations and clearly establish that skeletal differences can influence the optical properties of the chromophores. Additional effects due to axial ligands, substituent orientations, and neighboring residues are also assessed. ¬© 1990 American Chemical Society.</t>
  </si>
  <si>
    <t>5795-5801</t>
  </si>
  <si>
    <t>60006221-60021361;60006221;60006221</t>
  </si>
  <si>
    <t>55667463200;7201767442;57216999943</t>
  </si>
  <si>
    <t>Gudowska-Nowak, E.;Newton, M. D.;Fajer, J.</t>
  </si>
  <si>
    <t>Poland;United States</t>
  </si>
  <si>
    <t>Krakow;Upton</t>
  </si>
  <si>
    <t>Uniwersytet Jagiello≈Ñski;Brookhaven National Laboratory</t>
  </si>
  <si>
    <t>60021361;60006221</t>
  </si>
  <si>
    <t>Gudowska-Nowak E.</t>
  </si>
  <si>
    <t>Conformational and environmental effects on bacteriochlorophyll optical spectra: Correlations of calculated spectra with structural results</t>
  </si>
  <si>
    <t>10.1021/j100378a036</t>
  </si>
  <si>
    <t>2-s2.0-33751553603</t>
  </si>
  <si>
    <t>['‚ äêphenanthroline', 'thylakoid membrane', 'thiosulphate oxidation', 'thiosulphate induced', 'thiosulfate ).', 'structural elements', 'psi ratio', 'psi components', 'polypeptides present', 'polypeptide pattern', 'phylogenetic position', 'obtaining information', 'km 7', 'higher concentrations', 'flexibility maintained', 'dependent reaction', 'certain degree', 'besides dbmib']</t>
  </si>
  <si>
    <t>anoxygenic photosynthesis | Cyanobacteria | light intensity adaptation | photosystem I | phylogeny | thiosulphate | thylakoid membrane composition</t>
  </si>
  <si>
    <t>With the aim of obtaining information on the degree of flexibility maintained in cyanobacteria in context with their phylogenetic position, Anacystis was grown in the presence of thiosulphate, oxidized in a photosystem I (PSI) dependent reaction (KM 7.4 √ó 10‚àí3 M thiosulfate). Besides DBMIB, only o‚Äêphenanthroline and p‚Äêhydroxymercuribenzoate blocked thiosulphate‚Äêdependent PSI activity to some extent; iodonitrothymol, DCMU and cyanide had no influence. Growth of Anacystis in the presence of thiosulphate induced a reorganization of the photosynthetic apparatus characterized by a shift in the PSII/PSI ratio in favor of PSI, comparable to low light conditions. Capability for oxygenic photosynthesis never completely disappeared; structural elements of PSII were retained in the membrane to a certain degree. The antenna pigment system signalled high light under conditions of thiosulphate oxidation as judged from the ratio of phycocyanin to chlorophyll. Besides a shift in the ratio of PSII to PSI components, the polypeptide pattern of thylakoids from thiosulphate grown cells shows several additional components compared to the controls and, moreover, higher concentrations of some polypeptides present in the controls, particularly a Mr 41000 polypeptide. The process of thiosulphate oxidation appears bound to the thylakoid membrane. 1990 Deutsche Botanische Gesellschaft/German Botanical Society</t>
  </si>
  <si>
    <t>54-61</t>
  </si>
  <si>
    <t>Botanica Acta</t>
  </si>
  <si>
    <t>Koenig, F.</t>
  </si>
  <si>
    <t>Frankfurt am Main</t>
  </si>
  <si>
    <t>Goethe-Universit√§t Frankfurt am Main</t>
  </si>
  <si>
    <t>Koenig F.</t>
  </si>
  <si>
    <t>Growth of Anacystis in the Presence of Thiosulphate and its Consequences for the Architecture of the Photosynthetic Apparatus</t>
  </si>
  <si>
    <t>10.1111/j.1438-8677.1990.tb00126.x</t>
  </si>
  <si>
    <t>2-s2.0-33846905034</t>
  </si>
  <si>
    <t>Fusion for Energy</t>
  </si>
  <si>
    <t>F4E</t>
  </si>
  <si>
    <t>['¬© 1990', 'wavelength approximation', 'wave structure', 'surface current', 'shield may', 'shield materials', 'power dissipation', 'phase velocity', 'perfect conductor', 'laplace solution', 'finite conductivities', 'faraday shield', 'electrostatic calculation', 'distributed inductance', 'distributed capacitance', 'current strap', 'analysis uses', 'analogous 3']</t>
  </si>
  <si>
    <t>A three-dimensional (3-D) magnetostatic analysis developed at Oak Ridge National Laboratory has been used to calculate the electromagnetic transmission properties of representative Faraday shield designs. The analysis uses the long-wavelength approximation to obtain a 3-D Laplace solution for the magnetic scalar potential over one poloidal period of the Faraday shield, from which the complete magnetic field distribution may be obtained. Once the magnetic field distributions in the presence and absence of a Faraday shield are known, the flux transmission coefficient can be found, as well as any change in the distributed inductance of the current strap. The distributed capacitance of the strap can be found from an analogous 3-D electrostatic calculation, enabling the phase velocity of the slow-wave structure to be determined. Power dissipation in the shield may be estimated by equating the surface current on a perfect conductor with the surface magnetic field and using this surface current in conjunction with the finite conductivities of the shield materials to obtain the power distribution due to eddy current heating. ¬© 1990.</t>
  </si>
  <si>
    <t>37-42</t>
  </si>
  <si>
    <t>7402922192;7006570703;7003426790;57196875092</t>
  </si>
  <si>
    <t>Ryan, P. M.;Rothe, K. E.;Whealton, J. H.;Shepard, T. D.</t>
  </si>
  <si>
    <t>Ryan P.</t>
  </si>
  <si>
    <t>Determination of ICRF antenna fields in the vicinity of a 3-D Faraday shield structure</t>
  </si>
  <si>
    <t>092037969090062B</t>
  </si>
  <si>
    <t>10.1016/0920-3796(90)90062-B</t>
  </si>
  <si>
    <t>2-s2.0-33847701503</t>
  </si>
  <si>
    <t>['superconducting antenna', 'resonant case', 'normal antenna', 'noise ratio', 'gravitational waves', 'behave differently']</t>
  </si>
  <si>
    <t>In this paper we propose a set of generalized London equations which can describe the effects of gravitational waves on a superconducting antenna. We point out that a superconducting antenna with large quality factor Q will behave differently from a normal antenna, especially in the resonant case. The expression of the signal-to-noise ratio for a superconducting antenna is derived. ¬© 1990 Plenum Publishing Corporation.</t>
  </si>
  <si>
    <t>33-43</t>
  </si>
  <si>
    <t>60020583-60087528</t>
  </si>
  <si>
    <t>Peng, Huei</t>
  </si>
  <si>
    <t>The effects of gravitational waves on a superconducting antenna and its sensitivity</t>
  </si>
  <si>
    <t>10.1007/BF00769243</t>
  </si>
  <si>
    <t>2-s2.0-34249954191</t>
  </si>
  <si>
    <t>['weight objective', 'successful application', 'precision objective', 'pergamon press', 'paper investigates', 'fuzzy optimization', 'antenna structures', '2 ],']</t>
  </si>
  <si>
    <t>antenna | application | fuzzy | multiobjective | optimization | structure</t>
  </si>
  <si>
    <t>On the basis of the recently proposed general fuzzy optimization [1-2], this paper investigates the multiobjective fuzzy optimum design of antenna structures, in which the weight objective, precision objective, lowest frequency objective and safety degree objective are included. This is a successful application of fuzzy optimization to large engineering structures. ¬© 1990 HUST and Pergamon Press.</t>
  </si>
  <si>
    <t>81-91</t>
  </si>
  <si>
    <t>Acta Mechanica Solida Sinica</t>
  </si>
  <si>
    <t>60019616;60019616</t>
  </si>
  <si>
    <t>57221663991;8440798600</t>
  </si>
  <si>
    <t>Chen, Shu Xun;Wang, Guang Yuan</t>
  </si>
  <si>
    <t>Harbin</t>
  </si>
  <si>
    <t>Harbin Institute of Technology</t>
  </si>
  <si>
    <t>Chen S.X.</t>
  </si>
  <si>
    <t>Multiobjective fuzzy optimum design of antenna structures</t>
  </si>
  <si>
    <t>2-s2.0-34249960867</t>
  </si>
  <si>
    <t>['gravitational waves', 'antenna ).']</t>
  </si>
  <si>
    <t>In this paper we investigate the effects of gravitational waves (GW) on a superconducting cylindrical antenna (S-antenna). We suggest that the electric fields induced by GW of dimensionless amplitude h ‚àº- 10-24 in the interior of existing cylindrical antenna might be detectable. ¬© 1990 Plenum Publishing Corporation.</t>
  </si>
  <si>
    <t>45-52</t>
  </si>
  <si>
    <t>60020583-60087528;60010065</t>
  </si>
  <si>
    <t>22968745300;22968674700</t>
  </si>
  <si>
    <t>Peng, Huei;Peng, Bo</t>
  </si>
  <si>
    <t>China;United States;United States</t>
  </si>
  <si>
    <t>Beijing;Huntsville;Tucson</t>
  </si>
  <si>
    <t>Institute of Applied Mathematics, AMSS, CAS;The University of Alabama in Huntsville;The University of Arizona</t>
  </si>
  <si>
    <t>60087528;60020583;60010065</t>
  </si>
  <si>
    <t>Interaction of gravitational waves with a superconducting cylindrical antenna</t>
  </si>
  <si>
    <t>10.1007/BF00769244</t>
  </si>
  <si>
    <t>2-s2.0-34249962428</t>
  </si>
  <si>
    <t>['scattering projection', 'rectangular slit', 'phase structure', 'numerical method', 'integrodifferential equations', 'fields produced', 'elementary oscillator', 'electrodynamic models', 'disk axis', 'antenna radiators', 'also consider']</t>
  </si>
  <si>
    <t>We investigate the fields produced by electrodynamic models of mirror-antenna radiators with reflectors in the shape of a disk or a disk with a scattering projection. The analysis is based on a numerical method which reduces the problem to integrodifferential equations and then solves them by computer. We consider the amplitude and phase structure of the field of an ideally conducting disk excited by a rectangular slit and an elementary oscillator perpendicular to the disk axis. We also consider the phase structure of the field of a reflector in the shape of a disk with a conical projection excited by an elementary oscillator. ¬© 1990 Plenum Publishing Corporation.</t>
  </si>
  <si>
    <t>103-106</t>
  </si>
  <si>
    <t>1573837X</t>
  </si>
  <si>
    <t>1046283X</t>
  </si>
  <si>
    <t>Computational Mathematics and Modeling</t>
  </si>
  <si>
    <t>Davydov, A. G.</t>
  </si>
  <si>
    <t>Davydov A.</t>
  </si>
  <si>
    <t>Numerical analysis of the electrodynamic characteristics of some radiators for mirror antennas</t>
  </si>
  <si>
    <t>10.1007/BF01128321</t>
  </si>
  <si>
    <t>2-s2.0-34249962701</t>
  </si>
  <si>
    <t>['¬© 1990', 'western u', 'sonora ).', 'rights reserved', 'northern california', 'male characters', 'costa rica', 'coahuila ),', 'based especially', 'antenna bicolored', 'america north', '16 species', '.), costaricae']</t>
  </si>
  <si>
    <t>Males of North American Solierella related to inermis (Cresson) are remarkable in having the antenna bicolored and more or less swollen toward the middle. Ten new species, based especially on male characters, are proposed. These are apache (southern California), cingulis (western U.S.), costaricae (Costa Rica and el Salvador), hooki (Texas), jaliscana (Mexico), loxa (California), menkei (western U.S. and Mexico), napa (northern California and Utah), pulawskii (Texas and Coahuila), and sonorana (Sonora). A key is given to the 16 species now known from America north of Panama. ¬© 1990, Hindawi Publishing Corporation. All rights reserved.</t>
  </si>
  <si>
    <t>229-240</t>
  </si>
  <si>
    <t>Psyche (New York)</t>
  </si>
  <si>
    <t>Bohart, Richard M.</t>
  </si>
  <si>
    <t>Davis</t>
  </si>
  <si>
    <t>University of California, Davis</t>
  </si>
  <si>
    <t>Bohart R.</t>
  </si>
  <si>
    <t>New Species and a Key to North American Solierella in the Inermis Group (Hymenoptera: Sphecidae: Larrinae: Miscophini)</t>
  </si>
  <si>
    <t>10.1155/1990/68565</t>
  </si>
  <si>
    <t>2-s2.0-3643086147</t>
  </si>
  <si>
    <t>['œ ≤', '¬© 1990', 'troms √∏', 'theoretical curves', 'statistical analysis', 'sodankyl √§', 'relative drifts', 'quantitative analysis', 'obtain information', 'neutrals perpendicular', 'neutral temperature', 'neutral drift', 'minor constituent', 'magnetic field', 'linear regression', 'layer maximum', 'ions drifting', 'ion temperatures', 'ion temperature', 'investigated events', 'good correlation', 'geomagnetic field', 'five increases', 'drift dependence', 'cp1f experiment', 'cp1f data', 'collision process', 'auroral f']</t>
  </si>
  <si>
    <t>During relative drifts between the ions and the neutrals perpendicular to the geomagnetic field, the ion temperature in the auroral F-region becomes anisotropic with a higher temperature perpendicular than parallel to the magnetic field (T‚ä• &gt; T‚à•). It has been shown that for a gyrotropic ion velocity distribution the ion temperatures T‚ä• and T‚à• can be expressed as a function of the neutral temperature and of the squared normalized relative ion-neutral drift, with parameters Œ≤‚ä• and Œ≤‚à• describing the anisotropy and the collision process. In this paper, five increases of the F-layer ion temperature and ion drift velocity, found in EISCAT-CP1F data, were analyzed to obtain information about the anisotropy and the collision process. In the CP1F experiment, the angles between the magnetic field line ending in Troms√∏ and the antenna directions remain small, and the ion drift velocities of the investigated events in general were below 1500 m/s. Thus the ion velocity distributions were approximated by a bi-Maxwellian, and NO+ was assumed to remain a minor constituent at the F-layer maximum. For a quantitative analysis, generalized theoretical Œ≤-values for a bi-Maxwellian ion velocity distribution drifting through a mixture of different neutral components and for arbitrary observation directions were calculated. With these expressions it was possible to compare the drift dependence of the measured ion temperature for every antenna position directly with the theory. A statistical analysis of the heating events showed a good correlation between the ion temperatures of Troms√∏, Kiruna and Sodankyl√§ and the squared normalized ion drift, and values Œ≤T, Œ≤K, Œ≤S could be calculated by linear regression. The fitted curves corresponded well with theoretical curves for a bi-Maxwellian velocity distribution of O+ ions drifting through a neutral atmosphere consisting of O and N2. ¬© 1990.</t>
  </si>
  <si>
    <t>545-560</t>
  </si>
  <si>
    <t>60017695;60017695</t>
  </si>
  <si>
    <t>55906891600;16232724400</t>
  </si>
  <si>
    <t>Glatthor, N.;Hern√°ndez, R.</t>
  </si>
  <si>
    <t>Gottingen</t>
  </si>
  <si>
    <t>Max Planck Institute for Solar System Research</t>
  </si>
  <si>
    <t>Glatthor N.</t>
  </si>
  <si>
    <t>Temperature anisotropy of drifting ions in the auroral F-region, observed by EISCAT</t>
  </si>
  <si>
    <t>002191699090052O</t>
  </si>
  <si>
    <t>10.1016/0021-9169(90)90052-O</t>
  </si>
  <si>
    <t>2-s2.0-38249016485</t>
  </si>
  <si>
    <t>['¬© 1990', 'vlf waves', 'trimpis received', "trimpi ')", 'transmitter nwc', 'thus measurement', 'sufficiently localized', 'spaced receivers', 'spaced antennae', 'southern hemisphere', 'significant grouping', 'signals differ', 'scattering centres', 'scattering centre', 'scattered wave', 'relative phase', 'perturbation phasor', 'one event', 'msk frequencies', 'localized increase', 'lightning intensity', 'lep ionization', 'ionization near', 'high proportion', 'group delay', 'generally believed', 'echo trimpis', 'echo relative', 'dunedin path', 'direct signal', 'best explained', 'amplitude perturbations', 'amplitude perturbation']</t>
  </si>
  <si>
    <t>Phase and amplitude perturbations on VLF subionospheric transmissions from transmitter NWC to Dunedin have been studied on both MSK frequencies and at spaced receivers, 9 km apart. In any one event (a 'Trimpi') the phase and amplitude perturbation can be expressed in terms of a perturbation phasor. This is generally believed to be the result of lightning-induced electron precipitation (LEP) producing a localized increase in ionization near the normal reflection height for subionospheric (waveguide) VLF waves. Most of the Trimpis received on the NWC-Dunedin path can be best explained if the LEP ionization is sufficiently localized so that it acts as a scattering centre for the subionospheric VLF wave from the transmitter. It is then this scattered wave or echo at the receiver which makes the perturbation phasor. We call these 'echo Trimpis'. The phase of the echo relative to the direct signal will differ on spaced antennae if the angle of arrival of the two signals differ. Similarly, this relative phase will vary with frequency if the group delay of the signals differ. Thus measurement of these differences allows location of the scattering centres, and so too the LEP. Locations made show a significant grouping in a region where the lightning intensity is high. This and other features strongly suggest that these echo Trimpis originate from local (southern hemisphere) lightning. This and other reasons are suggested to explain the high proportion of echo Trimpis on this path. ¬© 1990.</t>
  </si>
  <si>
    <t>357-363</t>
  </si>
  <si>
    <t>60017311;60017311</t>
  </si>
  <si>
    <t>7004520441;24292788200</t>
  </si>
  <si>
    <t>Dowden, R. L.;Adams, C. D.D.</t>
  </si>
  <si>
    <t>Dunedin</t>
  </si>
  <si>
    <t>University of Otago</t>
  </si>
  <si>
    <t>Dowden R.L.</t>
  </si>
  <si>
    <t>Lightning-induced perturbations on VLF subionospheric transmissions</t>
  </si>
  <si>
    <t>0021-9169(90)90104-U</t>
  </si>
  <si>
    <t>10.1016/0021-9169(90)90104-U</t>
  </si>
  <si>
    <t>2-s2.0-38249018202</t>
  </si>
  <si>
    <t>['polarization properties', 'polarization along', 'maxwell fish', 'main effect', 'magnetic fields', 'eye lens', 'chirality parameter', 'chiral media', 'adding chirality']</t>
  </si>
  <si>
    <t>A novel geometric optics method for inhomogeneous chiral media is introduced applying normalized wave fields, which are certain complex combinations of the electric and magnetic fields. It is seen that for sufficiently small values of the chirality parameter, the geometrical optics rays can be calculated as for a chiral media and the main effect of the chirality is rotation of polarization along the ray. Thus, adding chirality to inhomogeneous lens antennas, their polarization properties can be improved. As an example, the Maxwell fish-eye lens is analyzed and two possible expressions for a chirality distribution capable of eliminating the inherent cross polarization, are derived. ¬© 1990 VSP.</t>
  </si>
  <si>
    <t>533-548</t>
  </si>
  <si>
    <t>60103653;60103653;60103653;60103653</t>
  </si>
  <si>
    <t>7102492958;35568243700;7004903706;7005479476</t>
  </si>
  <si>
    <t>Lindell, I. V.;Sihvola, A. H.;Viitanen, A. J.;Tretyakov, S. A.</t>
  </si>
  <si>
    <t>Lindell I.</t>
  </si>
  <si>
    <t>Geometrical optics in inhomogeneous chiral media with application to polarization correction of inhomogeneous microwave lens antennas</t>
  </si>
  <si>
    <t>10.1163/156939390X00186</t>
  </si>
  <si>
    <t>2-s2.0-3843110178</t>
  </si>
  <si>
    <t>['¬© 1990', 'spurious signals', 'receiving band', 'japan society', 'intermodulation level', 'intermodulation characteristics', 'closely related', 'cellular telephones', 'applied power', 'applied physics', 'antenna duplexers', 'ambient temperature']</t>
  </si>
  <si>
    <t>Intermodulation between transmission and spurious signals in multi- IDT -type SAW filters on 360 Y- X LiTa03 substrate, which are used for antenna duplexers in cellular telephones, is studied. The experiments used two input signals of 835 MHz transmission and 790 MHz spurious signals applied to the filter, and a third-order intermodulation signal at 880 MHz caused by the nonlinear effect coming into the receiving band. These intermodulation characteristics are influenced by applied power and ambient temperature. The experimental results show that intermodulation level is closely related to applied power level and temperature of the filter. ¬© 1990 The Japan Society of Applied Physics.</t>
  </si>
  <si>
    <t>154-156</t>
  </si>
  <si>
    <t>100899239;100899239;100899239;100899239</t>
  </si>
  <si>
    <t>7006220274;6701906849;7403005505;57083964200</t>
  </si>
  <si>
    <t>Hosaka, Norio;Yuhara, Akitsuna;Yamada, Jun;Kobayash, Takao</t>
  </si>
  <si>
    <t>Yokohama</t>
  </si>
  <si>
    <t>Consumer Products Research Center</t>
  </si>
  <si>
    <t>Hosaka N.</t>
  </si>
  <si>
    <t>Intermodulation in saw filters for cellular radio systems</t>
  </si>
  <si>
    <t>10.7567/JJAPS.29S1.154</t>
  </si>
  <si>
    <t>2-s2.0-4243603860</t>
  </si>
  <si>
    <t>['type material', 'type locality', 'taxonomic status', 'smithsonian institution', 'sigambra grubii', 'polychaetes collected', 'pilargid genera', 'parandalia emerson', 'one specimen', 'median antenna', 'junior synonym', 'hermundura tricuspis', 'fritz muller', 'francis group', 'described polychaetes', 'also included', '16 specimens']</t>
  </si>
  <si>
    <t>Brazil | M√ºller | Neotypes | Pilargids | Redescriptions</t>
  </si>
  <si>
    <t>Fritz Muller (1858) described polychaetes from Santa Catharina Island, Brazil. His type material was lost and his descriptions were brief. In an attempt to clarify the taxonomic status of his pilargids and to complete a revision of the pilargid genera of the world, some polychaetes collected at the type locality were analysed. On the basis of 16 specimens, Sigambra grubii is redescribed and the differences from S. Bassi (Hartman, 1945) are clarified; S. Grubbi is smaller and its median antenna is shorter than that of S. Bassi. With one specimen of Hermundura tricuspis, the differences from other species are recognized, and Hermundura is regarded as a junior synonym of Parandalia Emerson &amp; Fauchald, 1971. Neotypes are designated and deposited in the Smithsonian Institution. Keys to all species are also included for both genera. ¬© 1990 Taylor &amp; Francis Group, LLC.</t>
  </si>
  <si>
    <t>507-517</t>
  </si>
  <si>
    <t>Salazar-Vallejo, Sergio I.</t>
  </si>
  <si>
    <t>Mexico</t>
  </si>
  <si>
    <t>Fac. Ciencias Bi√≥ldgicas UANL and Departamento de Ecologia Marina</t>
  </si>
  <si>
    <t>Salazar-Vallejo S.I.</t>
  </si>
  <si>
    <t>Redescriptions of sigambra grubii m√ºller, 1858 and hermundura tricuspis m√ºller, 1858 from brazil and designation of neotypes (Polychaeta: Pilargidae)</t>
  </si>
  <si>
    <t>10.1080/00222939000770351</t>
  </si>
  <si>
    <t>2-s2.0-4243669056</t>
  </si>
  <si>
    <t>['¬© 1990', 'vice versa', 'spatial modulation', 'slow wave', 'significantly heated', 'selective excitation', 'right handed', 'polarization reversal', 'mode coupling', 'magnetic field', 'left handed', 'frequency antennas', 'field region', 'central cell', 'azimuthally rotating', 'anchor cell']</t>
  </si>
  <si>
    <t>Mode-selective excitation of Alfv√©n waves is made by use of azimuthally rotating, radio-frequency antennas in the central cell of the GAMMA 10 tandem mirror. It is found that the wave polarization reverses from right handed in the central cell to left handed in the anchor cell and vice versa. Ions in the anchor cell are significantly heated by a fast wave excited in the central cell and not by a slow wave. The polarization reversal and the wave-mode-dependent ion heating are interpreted in terms of a linear mode conversion which is caused by a mode coupling between fast and slow Alfv√©n waves via a spatial modulation of the magnetic field in the quadrupole-field region. ¬© 1990 The American Physical Society.</t>
  </si>
  <si>
    <t>3397-3400</t>
  </si>
  <si>
    <t>60014256;60014256;60014256;60014256;60014256;60014256;60014256;60014256;60014256;60014256</t>
  </si>
  <si>
    <t>7003624110;7102396365;7102337598;57199967768;57220343867;7401963852;7201863425;7006752604;7005566859;35394984600</t>
  </si>
  <si>
    <t>Inutake, M.;Ichimura, M.;Hojo, H.;Kimura, Y.;Katsumata, R.;Adachi, S.;Nakashima, Y.;Itakura, A.;Mase, A.;Miyoshi, S.</t>
  </si>
  <si>
    <t>Tsukuba</t>
  </si>
  <si>
    <t>University of Tsukuba</t>
  </si>
  <si>
    <t>Inutake M.</t>
  </si>
  <si>
    <t>Polarization reversal of Alfv√©n waves in a non-axisymmetric region of a quadrupole-anchored tandem mirror</t>
  </si>
  <si>
    <t>10.1103/PhysRevLett.65.3397</t>
  </si>
  <si>
    <t>2-s2.0-4243786057</t>
  </si>
  <si>
    <t>['¬© 1990', 'rf pulse', 'pumping waves', 'potential acquired', 'parametric instability', 'paper gives', 'accompanying effects']</t>
  </si>
  <si>
    <t>This paper gives a study of the dynamics of the edge plasma potential formation together with accompanying effects (higher harmonic generation, a d.c. potential acquired by the antenna, charged particle fluxes to the surfaces) during ICRF plasma production and heating in the URAGAN-3 (U-3) torsatron. An identification of low-frequency (œâ ‚â™ œâBi) electrostatic fluctuations arising during the RF pulse has also been made and the conclusion is drawn that the fluctuations are driven by a parametric instability of the pumping waves. ¬© 1990.</t>
  </si>
  <si>
    <t>171-178</t>
  </si>
  <si>
    <t>6601970421;7102129803;7006059827;6602677346;7004496694;6602083515;8971113000;9041432500;6603285734;56216464300;7003758505</t>
  </si>
  <si>
    <t>Chechkin, V. V.;Grigor'eva, L. I.;Nazarov, N. I.;Pavlichenko, O. S.;Polyakova, G. N.;Solodovchenko, S. I.;Stepanov, K. N.;Taran, V. S.;Vojtsenya, V. S.;Volkov, E. D.;Voloshko, A. Yu</t>
  </si>
  <si>
    <t>Edge plasma potential and associated ion fluxes to the surface during ICRF plasma production and heating in the Uragan-3 Torsatron</t>
  </si>
  <si>
    <t>092037969090076I</t>
  </si>
  <si>
    <t>10.1016/0920-3796(90)90076-I</t>
  </si>
  <si>
    <t>2-s2.0-44949266530</t>
  </si>
  <si>
    <t>DE-ACOS-840R 21400</t>
  </si>
  <si>
    <t>['¬© 1990', 'two models', 'model suggested', 'ion motion', 'faraday shield', 'faraday screen', 'explicitly considers', 'consistent manner']</t>
  </si>
  <si>
    <t>A two-dimensional nonlinear formulation that explicitly considers the plasma edge near a Faraday shield in a self-consistent manner is used in the modeling of the ion motion for a Faraday shield concept and model suggested by Perkins. Two models are considered that may provide significant insight into the generation of impurities for ion cyclotron resonance heating (ICRH) antennas. In one of these models a significant sheath periodically forms next to the Faraday screen, with ion acoustic waves heating the ions in the plasma. ¬© 1990.</t>
  </si>
  <si>
    <t>7003426790;7402922192;6603540019</t>
  </si>
  <si>
    <t>Whealton, J. H.;Ryan, P. M.;Raridon, R. J.</t>
  </si>
  <si>
    <t>Whealton J.</t>
  </si>
  <si>
    <t>ICRF antenna Faraday shield plasma sheath model</t>
  </si>
  <si>
    <t>092037969090072E</t>
  </si>
  <si>
    <t>10.1016/0920-3796(90)90072-E</t>
  </si>
  <si>
    <t>2-s2.0-44949266619</t>
  </si>
  <si>
    <t>['¬© 1990', 'sum 16', 'observed chilling', 'lower temperatures', 'lower proportions', 'lower proportion', 'fo ).', 'displayed shifts', 'differences might', 'critical temperatures', 'constant fluorescence', 'chloroplast membranes', 'chlorophyll redistribution', 'cells resisting', 'breakpoints characterizing', 'antenna sizes', 'adapted cells', '250 œºm', '25 œºm', '25 ),']</t>
  </si>
  <si>
    <t>chilling-resistance | diuron-resistance | Euglena gracilis | fluorescence induction | photosynthesis</t>
  </si>
  <si>
    <t>Photosynthetic oxygen evolution and various PSII fluorescence induction parameters were analysed to study the chilling-resistance of sensitive, Z, and diuron-adapted Euglena cells [ZR(25) adapted to 25 ŒºM and ZR(250) adapted to 250 ŒºM]. The temperatures assayed ranged from 5 to 45 ¬∞C, the cells being grown at 25¬∞C. The ZR(25), and even more so the ZR(250) cells, displayed shifts to lower temperatures of the breakpoints characterizing the changes of either oxygen evolved, or ratios of variable to constant fluorescence (Fv/Fo). The phenomena of chlorophyll redistribution, as a function of the temperature, were accompanied by modifications of the antenna sizes. The breakpoints in the changes of the different fluorescence parameters might correspond to critical temperatures for the lipid phase behaviour within the chloroplast membranes. As a matter of fact when compared with the control Z cells, the thylakoids of cells resisting to 25 and 250 ŒºM had been shown (Troton et al., Phytochemistry, 25 (1986) 393-399) to contain, on a per chlorophyll basis, lower proportion of MGDG to the benefit of DGDG, and lower proportions of the sum 16:0 + 16:1-trans in phosphatigylglycerol. Such differences might be correlated to the observed chilling-resistance of the diuron-adapted cells. ¬© 1990.</t>
  </si>
  <si>
    <t>213-222</t>
  </si>
  <si>
    <t>Plant Science</t>
  </si>
  <si>
    <t>60123796;60123796</t>
  </si>
  <si>
    <t>6701892318;24380704800</t>
  </si>
  <si>
    <t>Laval-Martin, Danielle;Troton, Didier</t>
  </si>
  <si>
    <t>Paris</t>
  </si>
  <si>
    <t>Universit√© de Paris</t>
  </si>
  <si>
    <t>Laval-Martin D.</t>
  </si>
  <si>
    <t>Chilling-resistance of photosynthetic performances in diuron-adapted Euglena gracilis</t>
  </si>
  <si>
    <t>10.1016/0168-9452(90)90085-3</t>
  </si>
  <si>
    <t>2-s2.0-44949266695</t>
  </si>
  <si>
    <t>DE-AC02-78ET51013</t>
  </si>
  <si>
    <t>['¬© 1990', 'test antenna', 'study icrf', 'shield elements', 'several studies', 'protection limiters', 'plasma density', 'mostly radial', 'mod experiment', 'largest near', 'key issue', 'icrf heating', 'ibw polarization', 'high loading', 'high density', 'h minority', 'faraday shield', 'edge electrons', 'diverted plasmas', 'deuterium plasma', 'compact size', 'boron nitride', 'better understand', 'antenna surface', 'alcator c', 'acceptable voltages']</t>
  </si>
  <si>
    <t>The Alcator C-Mod experiment will study the high power ICRF heating of elongated, diverted plasmas at high density in a compact, high field tokamak. ICRF heating will be carried out in the minority heating regime by fast wave excitation in a deuterium plasma with a 3He or H minority. Because of the compact size of the tokamak, high loading will be required to couple the power at acceptable voltages and there will be high power density at the antenna surface. High edge densities and steep edge gradients are expected, making the ICRF-edge plasma interactions a key issue. Several studies have been undertaken to better understand these effects. Measurements have been made of the short wavelength perturbations to the RF fields caused by various Faraday shield geometries. Magnetic field probes show a perturbation which is largest near the ends and between the shield elements where the RF magnetic field is mostly radial. Electric field probes show a perturbation which is larger in the center of the elements and close to each element. A test antenna is being installed in the Versator II tokamak to study ICRF-edge plasma effects. The RF will be excited in the IBW polarization with Œ∫{norm of matrix} chosen for interaction with edge electrons. The properties of different Faraday shield coatings, including titanium carbide and boron nitride, will be explored. It will also be possible to bias the protection limiters of this antenna in order to study the effect of biasing on the plasma density in the vicinity of the Faraday shield and resultant impurity generation. ¬© 1990.</t>
  </si>
  <si>
    <t>273-278</t>
  </si>
  <si>
    <t>60022717;60022717;60022717;60022717;60022717;60022717;60022717</t>
  </si>
  <si>
    <t>6603994341;7006050699;7102555668;7004926030;7103143215;7101797049;24349762500</t>
  </si>
  <si>
    <t>Golovato, S. N.;Porkolab, M.;Takase, Y.;LaBombard, B.;O'Shea, P.;Reardon, J.;Terwilliger, R.</t>
  </si>
  <si>
    <t>Plasma Science and Fusion Center</t>
  </si>
  <si>
    <t>Golovato S.</t>
  </si>
  <si>
    <t>ICRF-edge plasma interaction studies at MIT</t>
  </si>
  <si>
    <t>092037969090091J</t>
  </si>
  <si>
    <t>10.1016/0920-3796(90)90091-J</t>
  </si>
  <si>
    <t>2-s2.0-44949267658</t>
  </si>
  <si>
    <t>['¬© 1990', 'vacuum fields', 'plasma experiments', 'modelled using', 'icrf modification', 'faraday shield', 'electrostatic modes', 'describe experiments', 'code argus', 'code antena', 'central cell', 'also investigated']</t>
  </si>
  <si>
    <t>We describe experiments which investigate the characteristics of a test ICRF coupler. The RF magnetic fields near the antenna are measured in vacuum and in plasma. Results are modelled using the code ANTENA in plasma; details of the vacuum fields are modelled with the code ARGUS. For the plasma experiments, the antenna is mounted in the central cell of the Phaedrus-B tandem mirror. ICRF modification of the edge plasma potential at the Faraday shield and coupling to electrostatic modes are also investigated. ¬© 1990.</t>
  </si>
  <si>
    <t>31-35</t>
  </si>
  <si>
    <t>60032179;60032179;60032179;60032179;60015916;60015916;60015916</t>
  </si>
  <si>
    <t>35356029400;56164756600;7003953563;7006072211;55415345100;24347431300;7003789502</t>
  </si>
  <si>
    <t>Majeski, R.;Tanaka, T.;Intrator, T.;Hershkowitz, N.;Ko, K.;Grossman, W.;Drobot, A.</t>
  </si>
  <si>
    <t>Madison;San Diego</t>
  </si>
  <si>
    <t>University of Wisconsin-Madison;SAIC</t>
  </si>
  <si>
    <t>60032179;60015916</t>
  </si>
  <si>
    <t>Majeski R.</t>
  </si>
  <si>
    <t>ICRF-edge plasma investigations in phaedrus-B</t>
  </si>
  <si>
    <t>092037969090061A</t>
  </si>
  <si>
    <t>10.1016/0920-3796(90)90061-A</t>
  </si>
  <si>
    <t>2-s2.0-44949267908</t>
  </si>
  <si>
    <t>['¬© 1990', 'surface sputtering', 'surface interaction', 'rf oscillation', 'rf method', 'rf heating', 'quasisteady flux', 'produced due', 'physical sputtering', 'oxygen release', 'metal atoms', 'mainly due', 'impurity production', 'impurity concentration', 'impurity amount', 'hydrogen atom', 'edge plasma', 'divertor flux', 'determinative either', 'containing materials', 'confinement region', 'chemical processes', 'chemical hydrogen', '3 torsatron']</t>
  </si>
  <si>
    <t>Mechanisms of light (oxygen, carbon) and heavy (metal atoms) impurity production have been studied in the URAGAN-3 torsatron, where the RF method is the only one to produce and heat the plasma. The study of the impurity amount in the edge plasma versus the average density ne and the input RF power has shown that the metal and carbon impurities arise due to physical sputtering of metal and carbon-containing materials. Yet, the mechanism of oxygen release is different, and originates from a chemical hydrogen-metal oxide interaction on the surface. The comparison of the impurity concentration in the edge plasma and the charge-exchange atom flux as functions of ne and the magnetic field demonstrates that the charge exchange atoms are not determinative either in surface sputtering of the antenna and the helical winding casing or in the chemical processes of oxygen atom production. The sputtering of the casing surface facing the confinement region is shown to be mainly due to an oscillating charge particle current caused by the RF oscillation of the edge plasma potential. The surface sputtering of the antenna and the casing areas crossed by the divertor flux is caused by a quasisteady flux of ‚â•100 eV ions that appear during RF heating. The H2O molecule formation on the surfaces is attributed to the hydrogen atom-surface interaction, where the H-atoms are produced due to H2 molecule dissociation. ¬© 1990.</t>
  </si>
  <si>
    <t>237-243</t>
  </si>
  <si>
    <t>56216464300;7102129803;7801692157;7102770327;7006059827;6504456392;7004496694;6602533022;6506530976;6601970421;7006289739</t>
  </si>
  <si>
    <t>Volkov, E. D.;Grigor'eva, L. I.;Zaleskij, Yu G.;Konovalov, V. G.;Nazarov, N. I.;Patlaj, I. I.;Polyakova, G. N.;Skibenko, A. I.;Slavnyj, A. S.;Chechkin, V. V.;Shapoval, A. N.</t>
  </si>
  <si>
    <t>Volkov E.D.</t>
  </si>
  <si>
    <t>On the mechanisms of light and heavy impurity release during RF plasma heating in the Uragan-3 Torsatron</t>
  </si>
  <si>
    <t>0920-3796(90)90086-L</t>
  </si>
  <si>
    <t>10.1016/0920-3796(90)90086-L</t>
  </si>
  <si>
    <t>2-s2.0-44949268042</t>
  </si>
  <si>
    <t>['¬© 1990', 'unique opportunity', 'main results', 'loading characteristics', 'fully negligible', 'density increase', 'active control']</t>
  </si>
  <si>
    <t>Tore Supra provides a unique opportunity to assess the potentiality of the ergodic divertor configuration. This active control of the edge plasma parameters modifies the antenna plasma coupling properties and a model can be devised to account for the loading variations induced by the density and the ergodic magnetic perturbations. The main results are an improvement of the loading characteristics in the minority heating scheme and an enhancement of the non resonant collisional RF heating due to the density increase. The magnetic perturbation effect is, on the other hand, fully negligible. ¬© 1990.</t>
  </si>
  <si>
    <t>60003729;60003729;60003729</t>
  </si>
  <si>
    <t>6602471891;7103047341;6603076680</t>
  </si>
  <si>
    <t>Gambier, D. J.;Moret, J. M.;Saoutic, B.</t>
  </si>
  <si>
    <t>Saint Paul lez Durance</t>
  </si>
  <si>
    <t>CEA Cadarache</t>
  </si>
  <si>
    <t>Gambier D.</t>
  </si>
  <si>
    <t>Ergodic divertor effect on ICRF wave coupling</t>
  </si>
  <si>
    <t>092037969090057D</t>
  </si>
  <si>
    <t>10.1016/0920-3796(90)90057-D</t>
  </si>
  <si>
    <t>2-s2.0-44949268211</t>
  </si>
  <si>
    <t>['¬© 1990', 'tokamak plasma', 'since rf', 'quite different', 'quasilinear operator', 'quasilinear equation', 'power requirements', 'plasma edge', 'particular interest', 'neoclassical transport', 'neoclassical particle', 'heat sources', 'gyrokinetic equations', 'externally controlling', 'energy fluxes', 'electric field', 'edge region', 'divertor discharges', 'confinement properties', 'also offers']</t>
  </si>
  <si>
    <t>From the gyrokinetic equations, a quasilinear equation can be derived with RF effects included in the quasilinear operator. From this, generalized moment equations can be deduced in the guiding center approximation. Of particular interest is the parallel momentum equation which drives the neoclassical transport. The parallel RF forces which can be due to nonresonant or resonant ponderomotive forces are quite different between electrons and ions so that an electrostatic electric field is established. This electric field can influence transport near the plasma edge. We estimate the neoclassical particle and energy fluxes in the Pfirsch-Schl√ºter regime appropriate for the edge region. Since RF can generate asymmetric momentum and heat sources, it changes the transport in RF heated plasmas and also offers the possibility of externally controlling the density and confinement properties of a tokamak plasma. These effects are discussed in terms of antenna near fields and power requirements. Effects on limiter and divertor discharges will be discussed. ¬© 1990.</t>
  </si>
  <si>
    <t>73-78</t>
  </si>
  <si>
    <t>60013901;60013901</t>
  </si>
  <si>
    <t>7202291663;7202654951</t>
  </si>
  <si>
    <t>Chiu, S. C.;Chan, V. S.</t>
  </si>
  <si>
    <t>Neoclassical transport induced by ICRF in the collisional regime</t>
  </si>
  <si>
    <t>092037969090066F</t>
  </si>
  <si>
    <t>10.1016/0920-3796(90)90066-F</t>
  </si>
  <si>
    <t>2-s2.0-44949268605</t>
  </si>
  <si>
    <t>DE-AC02-76-CHO-3037</t>
  </si>
  <si>
    <t>['¬© 1990', 'vacuum gap', 'transport barrier', 'radial currents', 'poloidal rotation', 'plasma edge', 'plasma density', 'ohmic discharges', 'large decrease', 'icrf antennas', 'ibw antenna', 'established near', 'design requirements', 'antenna surface']</t>
  </si>
  <si>
    <t>Radial currents are used to modify the plasma edge in CCT through the j √ó B force, which results in poloidal rotation for 0.9 &lt; r/a &lt; 1.0. An H-mode like state is achieved, where a transport barrier is established near the plasma edge in ohmic discharges. When the barrier is present, the plasma density at the antenna surface is reduced, resulting in a large decrease in the coupling of the IBW antenna. The coupling of the ICRF antenna may improve, provided that the resulting steeper edge density gradient offsets the effect of the "vacuum gap" in front of the antenna. Nevertheless, the design requirements of ICRF antennas for H-mode plasmas may prove to be difficult, whereas that of the IBW antenna unrealistic. ¬© 1990.</t>
  </si>
  <si>
    <t>60027550;60027550;60027550;60027550;60004280</t>
  </si>
  <si>
    <t>56302125000;6603465346;6602514818;7102754567;7004079277</t>
  </si>
  <si>
    <t>Taylor, R. J.;Liberati, J. R.;Pribyl, P.;Wells, B.;Weynants, R. R.</t>
  </si>
  <si>
    <t>United States;Belgium</t>
  </si>
  <si>
    <t>Los Angeles;Brussels</t>
  </si>
  <si>
    <t>University of California, Los Angeles;Koninklijke Militaire School - Ecole Royale Militaire</t>
  </si>
  <si>
    <t>60027550;60004280</t>
  </si>
  <si>
    <t>Taylor R.J.</t>
  </si>
  <si>
    <t>Coupling of slow and fast ICRF waves to H-mode plasmas</t>
  </si>
  <si>
    <t>092037969090058E</t>
  </si>
  <si>
    <t>10.1016/0920-3796(90)90058-E</t>
  </si>
  <si>
    <t>2-s2.0-44949269216</t>
  </si>
  <si>
    <t>['¬© 1991', 'wire structures', 'unbalanced dipoles', 'stationary processes', 'first kind', 'analysing non']</t>
  </si>
  <si>
    <t>The problems of the correctness and accuracy of the Fredholm integral equations of the first kind which arise when analysing non-stationary processes in thin-wire structures are investigated. Some transients that occur in antenna arrays consisting of unbalanced dipoles are considered. ¬© 1991.</t>
  </si>
  <si>
    <t>123-125</t>
  </si>
  <si>
    <t>USSR Computational Mathematics and Mathematical Physics</t>
  </si>
  <si>
    <t>Strizhkov, V. A.</t>
  </si>
  <si>
    <t>Strizhkov V.</t>
  </si>
  <si>
    <t>Analysis of transient electromagnetic processes in wire antenna systems</t>
  </si>
  <si>
    <t>004155539090017M</t>
  </si>
  <si>
    <t>10.1016/0041-5553(90)90017-M</t>
  </si>
  <si>
    <t>2-s2.0-44949269670</t>
  </si>
  <si>
    <t>-02-86ER53218</t>
  </si>
  <si>
    <t>['¬© 1990', 'pedestal followed', 'mode transition', 'mode density', 'launcher system', 'gaussian variation', 'filled waveguide', 'conditions appropriate', 'coil antennas', 'analytical simplicity', 'accommodated within']</t>
  </si>
  <si>
    <t>We study the effects of an L-to H-mode transition in a tokamak on the loading of fast wave launchers in the Ion Cyclotron Range of Frequencies. For analytical simplicity, a dielectric-filled waveguide is chosen for analysis. However, other apertures or coils can readily be accommodated within the formalism. The H-mode density at the edge is modeled as a pedestal followed by a region of Gaussian variation. We calculate the waveguide reflection coefficient, the equivalent surface plasma impedance and the electric field profile at the aperture, for conditions appropriate to CIT (Compact Ignition Torus). It is concluded that an L- to H-mode transition can impose substantial loading variations on the launcher system. These variations can be matched by appropriate fast response tuner systems, similar to those used for coil antennas. ¬© 1990.</t>
  </si>
  <si>
    <t>7101750735;7005335418</t>
  </si>
  <si>
    <t>Lam, N. T.;Scharer, J. E.</t>
  </si>
  <si>
    <t>Lam N.</t>
  </si>
  <si>
    <t>Analysis of an ICRF waveguide launcher for CIT</t>
  </si>
  <si>
    <t>092037969090056C</t>
  </si>
  <si>
    <t>10.1016/0920-3796(90)90056-C</t>
  </si>
  <si>
    <t>2-s2.0-44949269965</t>
  </si>
  <si>
    <t>321-336</t>
  </si>
  <si>
    <t>60007774;60007774;60007774;60004280</t>
  </si>
  <si>
    <t>6506980445;6506575146;24362308900;6602186973</t>
  </si>
  <si>
    <t>Kohlhaas, W.;Stickelmann, C.;Brandt, B.;Durodi√©, F.</t>
  </si>
  <si>
    <t>Germany;Belgium</t>
  </si>
  <si>
    <t>J√ºlich;Brussels</t>
  </si>
  <si>
    <t>Forschungszentrum J√ºlich (FZJ);Koninklijke Militaire School - Ecole Royale Militaire</t>
  </si>
  <si>
    <t>60007774;60004280</t>
  </si>
  <si>
    <t>Kohlhaas W.</t>
  </si>
  <si>
    <t>New liner and ICRH antennae; Integration of ALT-II in TEXTOR</t>
  </si>
  <si>
    <t>10.1016/0920-3796(90)90053-9</t>
  </si>
  <si>
    <t>2-s2.0-44949289680</t>
  </si>
  <si>
    <t>949-950</t>
  </si>
  <si>
    <t>Planetary and Space Science</t>
  </si>
  <si>
    <t>Singh, R. N.</t>
  </si>
  <si>
    <t>Comments on the "electric dipole antennae used as micrometeoroid detectors"</t>
  </si>
  <si>
    <t>0032-0633(90)90062-U</t>
  </si>
  <si>
    <t>10.1016/0032-0633(90)90062-U</t>
  </si>
  <si>
    <t>2-s2.0-44949290918</t>
  </si>
  <si>
    <t>['¬© 1990', 'vhf 50', 'term temporal', 'spectra received', 'spatial variations', 'scattering volume', 'one time', 'narrow peaks', 'localized sources', 'found within', 'examine short', '1 km']</t>
  </si>
  <si>
    <t>High resolution cross spectral analysis of CW radar interferometer data is used to examine short-term temporal and spatial variations of VHF 50-MHz radio aurora. At times, extremely localized scatterers with mean transverse size less than 1 km are resolved. In such localized regions plasma irregularities appear to propagate with well defined phase velocities (identified as narrow peaks in Doppler spectra). Other transient scattering events show large variability in Doppler velocity within an extremely localized region (less than a few hundred meters across) and within a short time interval (&lt;1 s). It is suggested that if many such localized sources of scatter are found within the scattering volume of the radar at one time, interference may significantly alter the spectra received at widely spaced interferometric antenna arrays. ¬© 1990.</t>
  </si>
  <si>
    <t>933-944</t>
  </si>
  <si>
    <t>60191856;60191856;60191856;60191856;60191856</t>
  </si>
  <si>
    <t>7006689821;7006780675;7102769446;35492471900;57198316022</t>
  </si>
  <si>
    <t>Prikryl, P.;Andr√©, D.;Koehler, J. A.;Sofko, G. J.;McKibben, M. J.</t>
  </si>
  <si>
    <t>Institute of Space and Atmospheric Studies</t>
  </si>
  <si>
    <t>Prikryl P.</t>
  </si>
  <si>
    <t>Evidence of highly localized auroral scatterers from 50-MHz CW radar interferometry</t>
  </si>
  <si>
    <t>0032-0633(90)90060-4</t>
  </si>
  <si>
    <t>10.1016/0032-0633(90)90060-4</t>
  </si>
  <si>
    <t>2-s2.0-44949291233</t>
  </si>
  <si>
    <t>85-ER40214</t>
  </si>
  <si>
    <t>['¬© 1990', 'shower serves', 'point sources', 'pilot experiment', 'microwave signal', 'microwave frequencies', 'ice surface', 'electromagnetic shower', 'efficient signal', 'cygnus x', 'considerable length', 'comparatively cheap', 'antarctic ice']</t>
  </si>
  <si>
    <t>A muon from an ultra-high energy neutrino interaction produces an electromagnetic shower of considerable length. Coherent Cerenkov emission at microwave frequencies from the electric charge imbalance developing in such a shower serves as an efficient signal of the event. We discuss detecting upward going UHE neutrinos (EŒΩ {greater-than or approximate} 1015eV) in the antarctic ice by detecting this microwave signal with comparatively cheap and simple antennas located on the ice surface. We conclude that a pilot experiment to measure UHE neutrinos from point sources such as Cygnus X - 3 is feasible. ¬© 1990.</t>
  </si>
  <si>
    <t>356-360</t>
  </si>
  <si>
    <t>Nuclear Physics B (Proceedings Supplements)</t>
  </si>
  <si>
    <t>60015457;60015457</t>
  </si>
  <si>
    <t>7102501635;7201908752</t>
  </si>
  <si>
    <t>Ralston, John P.;McKay, Douglas W.</t>
  </si>
  <si>
    <t>Ralston J.</t>
  </si>
  <si>
    <t>Icemand: Microwave detection of ultra-high energy neutrinos in ice</t>
  </si>
  <si>
    <t>10.1016/0920-5632(90)90446-2</t>
  </si>
  <si>
    <t>2-s2.0-45149136065</t>
  </si>
  <si>
    <t>['¬© 1990', 'rights reserved', 'reduced antenna', 'readily distinguished', 'male imago', 'lugubris group', 'hypopygial features', 'ground mating', 'francis group', 'common adaptations', '11 flagellomeres']</t>
  </si>
  <si>
    <t>The damaged male holotype of Hydrobaenus glacialis Lundstrom, 1915 is redescribed and transferred to the genus Chaetocladius Kieffer. The male imago is readily distinguished by the reduced antenna with 10-11 flagellomeres and by hypopygial features. The similarities with the H. lugubris group in all likelihood are due to common adaptations to ground mating. ¬© 1990, Taylor &amp; Francis Group, LLC. All rights reserved.</t>
  </si>
  <si>
    <t>61-64</t>
  </si>
  <si>
    <t>Aquatic Insects</t>
  </si>
  <si>
    <t>S√¶ther, Ole A.</t>
  </si>
  <si>
    <t>Bergen</t>
  </si>
  <si>
    <t>Universitetet i Bergen</t>
  </si>
  <si>
    <t>S√¶ther O.</t>
  </si>
  <si>
    <t>Redescription of Chaetocladius glacialis (Lundstrom, 1915) comb. nov.</t>
  </si>
  <si>
    <t>10.1080/01650429009361389</t>
  </si>
  <si>
    <t>2-s2.0-46349104106</t>
  </si>
  <si>
    <t>['¬© 1990', 'temperature modifies', 'spectral bands', 'room temperature', 'reaction centres', 'photosystem ii', 'pea grown', 'markedly depressing', 'linear combination', 'lacks lhcpii', 'intermittent light', 'harvesting chlorophyll', 'comparative analysis', 'close agreement', 'antenna matrix', 'also suggested', '740 nm', '693 nm', '677 nm']</t>
  </si>
  <si>
    <t>energy transfer | Light-harvesting chlorophyll a/b protein complex II | spectra deconvolution | spinach chloroplast.</t>
  </si>
  <si>
    <t>Room temperature absorption spectra (in the wavelength range 600-740 nm) of light-harvesting chlorophyll a/b protein complex II (LHCPII) isolated from spinach and pea have been analysed in terms of a linear combination of asymmetric gaussian bands. All the commonly observed chlorophyll spectra bands are found, including significant levels of the components which peak around 684 and 693 nm. The presence of these long-wavelength absorbing forms in LHCPII is also suggested by analysis of the room temperature absorption spectra of thylakoids of the chlorina barley mutant, which lacks LHCPII, and pea grown in intermittent light. From a comparative analysis of room temperature and liquid nitrogen temperature absorption spectra of LHCPII, it is concluded that temperature modifies the spectral bands, narrowing the bands up to 677 nm and markedly depressing the 684 nm band. These observations are not in close agreement with the commonly accepted ideas on the distribution of the chlorophyll spectral species with respect to reaction centres in the photosystem II (PSII) antenna matrix. ¬© 1990.</t>
  </si>
  <si>
    <t>381-394</t>
  </si>
  <si>
    <t>60030318;60030318;60030318</t>
  </si>
  <si>
    <t>7006530694;7201971898;6701308180</t>
  </si>
  <si>
    <t>Zucchelli, Giuseppe;Jennings, Robert C.;Garlaschi, Flavio M.</t>
  </si>
  <si>
    <t>Milan</t>
  </si>
  <si>
    <t>Universit√† degli Studi di Milano</t>
  </si>
  <si>
    <t>Zucchelli G.</t>
  </si>
  <si>
    <t>The presence of long-wavelength chlorophyll a spectral forms in the light-harvesting chlorophyll a/b protein complex II</t>
  </si>
  <si>
    <t>101113449085112A</t>
  </si>
  <si>
    <t>10.1016/1011-1344(90)85112-A</t>
  </si>
  <si>
    <t>2-s2.0-50849146419</t>
  </si>
  <si>
    <t>['¬© 1990', 'two high', 'two chlorophyll', 'thylakoid membrane', 'stabilizing effect', 'sodium dodecylsulphate', 'secondary acceptors', 'sds ).', 'reaction centre', 'ps 1', 'protein complexes', 'polypeptide subunits', 'photosystem 1', 'neighbouring polypeptides', 'molecular apoproteins', 'linking resisted', 'linking agent', 'inner part', 'experiments indicate', 'complex cp1a', 'compact body', 'close arrangement', 'binding proteins', 'binding protein', '70 kdalton', '18 kdalton', '16 kdalton', '125i showed']</t>
  </si>
  <si>
    <t>Cross-linking | cyanobacterium | neighbouring polypeptides | photosystem 1 | pigment-protein complexes | surface labelling | Synechococcus elongatus.</t>
  </si>
  <si>
    <t>The topography of the components of the pigment-protein complexes of photosystem 1 (PS 1) in the cyanobacterium Synechococcus elongatus was studied in situ, i.e. directly in the thylakoid membrane, and in vitro, i.e. in the isolated supramolecular chlorophyll-protein (CP) complex CP1a, using the cleavable homobifunctional agent dithio-bis(succinimidylpropionate) and specific surface iodination of the proteins by iodogen. A stabilizing effect of the cross-linking agent on the complex of PS 1 was observed, which after cross-linking resisted the dissociation by sodium dodecylsulphate (SDS). Formation of conjugates of the neighbouring polypeptides in the complex was demonstrated; in particular, conjugates of the two chlorophyll (chl) a-binding proteins with relative molecular masses Mr of 67 and 70 kdalton, conjugates of the low-molecular polypeptide pair of Mr = 15 and 16 kdalton and conjugates of the trio of 10, 11 and 18 kdalton. Moreover, the polypeptides of 11 and 15 kdalton seem to be neighbours of one of the chl a-binding proteins. Labelling of the surface of the thylakoid membrane and of the isolated CP1a complex with 125I showed that only the two high-molecular apoproteins and the 16 kdalton polypeptide are exposed at the surface. The other polypeptides are inaccessible to iodination. The results of the experiments indicate that the PS 1 complex of cyanobacteria is a compact body with a very close arrangement of all the polypeptide subunits; the inner part of the photosystem (reaction centre, primary and secondary acceptors) is protected by a "shield" of chl a-binding protein, i.e. the PS 1 internal antenna system. ¬© 1990.</t>
  </si>
  <si>
    <t>401-412</t>
  </si>
  <si>
    <t>60016605;60016605;60016605</t>
  </si>
  <si>
    <t>57192190236;57225827249;6602538383</t>
  </si>
  <si>
    <t>Posp√≠≈°ilov√°, L.;Hlad√≠k, J.;Sofrov√°, D.</t>
  </si>
  <si>
    <t>Czech Republic</t>
  </si>
  <si>
    <t>Prague Praha</t>
  </si>
  <si>
    <t>Charles University</t>
  </si>
  <si>
    <t>Posp√≠≈°ilov√° L.</t>
  </si>
  <si>
    <t>Topographical study of the pigment-protein complexes of the cyanobacterial photosystem 1</t>
  </si>
  <si>
    <t>1011-1344(90)85054-Z</t>
  </si>
  <si>
    <t>10.1016/1011-1344(90)85054-Z</t>
  </si>
  <si>
    <t>2-s2.0-50849146524</t>
  </si>
  <si>
    <t>['source located', 'preliminary results', 'data obtained', 'also reported']</t>
  </si>
  <si>
    <t>Astronomical observations (listed by technique of observation) | Experimental tests of general relativity and observations of gravitational radiation</t>
  </si>
  <si>
    <t>The data obtained with three highly sensitive gravitational wave antennas have been used to establish an improved observational upper limit on the flux of impulsive gravitational waves. Preliminary results under the assumption of a source located in the center of the Galaxy are also reported. ¬© 1990 Societ√† Italiana di Fisica.</t>
  </si>
  <si>
    <t>35-47</t>
  </si>
  <si>
    <t>Il Nuovo Cimento C</t>
  </si>
  <si>
    <t>60021199-60021660</t>
  </si>
  <si>
    <t>Bonifazi, P.</t>
  </si>
  <si>
    <t>Rome;Rome</t>
  </si>
  <si>
    <t>Istituto Nazionale di Fisica Nucleare - INFN;Consiglio Nazionale delle Ricerche</t>
  </si>
  <si>
    <t>60021660;60021199</t>
  </si>
  <si>
    <t>Bonifazi P.</t>
  </si>
  <si>
    <t>Upper limit on the flux of gravitational wave bursts</t>
  </si>
  <si>
    <t>10.1007/BF02515773</t>
  </si>
  <si>
    <t>2-s2.0-51249176507</t>
  </si>
  <si>
    <t>['recent results', 'present paper', 'find application']</t>
  </si>
  <si>
    <t>Experimental tests of general relativity and observations of gravitational radiation | Instrumentation and techniques for geophysical research | Neutrino interactions (including reactions involving cosmic rays)</t>
  </si>
  <si>
    <t>The experimental techniques developed to build a sensitive gravitational wave antenna can find application in many different fields of research. In the present paper we discuss briefly two experiments that we are developing in the Istituto Fisica Spazio Interplanetario of C.N.R. More precisely, a noncryogenic gravity gradiometer to be flown on the subsatellite of the TSS and a cryogenic force sensor which will be used to verify some recent results on the interaction of neutrino with matter are described. ¬© 1990 Societ√† Italiana di Fisica.</t>
  </si>
  <si>
    <t>49-58</t>
  </si>
  <si>
    <t>60082962;60082962;60082962</t>
  </si>
  <si>
    <t>7003264879;16486670300;6602162239</t>
  </si>
  <si>
    <t>Bordoni, F.;Fuligni, F.;Iafolla, V.</t>
  </si>
  <si>
    <t>Istituto di Fisica dello Spazio Interplanetario, Rome</t>
  </si>
  <si>
    <t>Bordoni F.</t>
  </si>
  <si>
    <t>Application to other fields of techniques used for gravity wave detection</t>
  </si>
  <si>
    <t>10.1007/BF02515774</t>
  </si>
  <si>
    <t>2-s2.0-51249176764</t>
  </si>
  <si>
    <t>['shaping characteristics', 'rearrange nakano', 'moment method', 'integral equations', 'great efforts', 'feeding technique', 'efficient measure', 'back ratio', 'axial ratio']</t>
  </si>
  <si>
    <t>Helical antennas | Kernels of integral equations | Moment method</t>
  </si>
  <si>
    <t>An efficient measure is taken to rearrange Nakano's kernels of integral equations for an antenna system composed of arbitrarily bent wires. By means of the moment method, great efforts are made to analyze and compute the circularly polarized patterns, directivity, axial ratio, front-to-back ratio and beam-shaping characteristics of resonant quadrifilar helical antennas as well as the feeding technique and the effect of an electrically large conducting body on the performance of the antennas. ¬© 1990 Science Press.</t>
  </si>
  <si>
    <t>30-36</t>
  </si>
  <si>
    <t>Journal of Electronics (China)</t>
  </si>
  <si>
    <t>Li, Yi</t>
  </si>
  <si>
    <t>China Academy of Space Technology</t>
  </si>
  <si>
    <t>Li Y.</t>
  </si>
  <si>
    <t>The moment method on resonant quadrifilar helical antennas</t>
  </si>
  <si>
    <t>10.1007/BF02778719</t>
  </si>
  <si>
    <t>2-s2.0-51649147763</t>
  </si>
  <si>
    <t>['vlbi instrumentation', 'ulysses spacecraft', 'u .)', 'successfully accomplished', 'simultaneous measurements', 'quality data', 'plan also', 'period 23', 'ones acquired', 'new system', 'medicina antenna', 'measured signal', 'main purpose', 'madrid stations', 'madrid complex', 'loop receiver', 'esa ),', 'dte ).', 'dsn station', 'doppler shift', 'different technique', 'bo ).', 'accurate measurements', '4 ghz', '19 w', '1 ghz']</t>
  </si>
  <si>
    <t>Auxiliary and recording instruments | Lunar | Other instrumentation and techniques | planetary and deep-space probes</t>
  </si>
  <si>
    <t>Accurate measurements of the Doppler shift of the Voyager 2 spacecraft (26 A. U.) have been performed in the period 23/7/88-12/8/88 with the 32m VLBI antenna at Medicina (BO). The device which allows the use of VLBI instrumentation for precision Doppler tracking is basically an open-loop receiver and is called digital tone extractor (DTE). Simultaneous measurements were performed at NASA's Deep Space Network (DSN) stations of the Madrid complex, using a different technique (closed loop). In the most interesting tracking configuration, the signal was transmitted in S-band (2.1 GHz) from the 70 m DSN station at Canberra (Australia), retransmitted back coherently from the spacecraft in X-band (8.4 GHz-19 W) and received 7h 6min later at Medicina and Madrid. The main purpose of the experiment was to test the capabilities of this new system and to characterize its performances. This taks has been successfully accomplished with the acquisition of high-quality data, which are presently under analysis. We plan also to compare and correlate the data with the ones acquired at Madrid stations, in order to separate out different noise contributions to the measured signal. The use of Medicina antenna as a listen-only station is planned for the gravitational wave experiment of the Ulysses spacecraft (ESA), in 1992. ¬© 1990 Societ√† Italiana di Fisica.</t>
  </si>
  <si>
    <t>169-176</t>
  </si>
  <si>
    <t>60021729;60021199;60015197;60009037;60009037;60028218</t>
  </si>
  <si>
    <t>6603040418;6701415566;6701533272;6505883764;24786978200;6602848531</t>
  </si>
  <si>
    <t>Comoretto, G.;Iess, L.;Bertotti, B.;Brenkle, J. P.;Horton, T.;Grueff, G.</t>
  </si>
  <si>
    <t>Italy;Italy;Italy;Italy;United States</t>
  </si>
  <si>
    <t>Bologna;Florence;Rome;Pavia;Pasadena</t>
  </si>
  <si>
    <t>Alma Mater Studiorum Universit√† di Bologna;Osservatorio Astrofisico Di Arcetri;Consiglio Nazionale delle Ricerche;Universit√† degli Studi di Pavia;Jet Propulsion Laboratory</t>
  </si>
  <si>
    <t>60028218;60021729;60021199;60015197;60009037</t>
  </si>
  <si>
    <t>Comoretto G.</t>
  </si>
  <si>
    <t>Spacecraft Doppler tracking with a VLBI antenna</t>
  </si>
  <si>
    <t>10.1007/BF02515787</t>
  </si>
  <si>
    <t>2-s2.0-51649148019</t>
  </si>
  <si>
    <t>['slot structure', 'measured ones', 'different ).', 'depth may', 'corrugated horns', 'corrugated horn', 'characteristic equation']</t>
  </si>
  <si>
    <t>Antenna | Corrugated horn</t>
  </si>
  <si>
    <t>On the space harmonics technique general formulas are derived of the characteristic equation and the equivalent wall admittance of corrugated horns with N-slot structure(each period has N slots whose shape and depth may be the same or different). As an example, the calculated radiation patterns for a corrugated horn having dual-depth corrugations show good agreement with the measured ones. ¬© 1990 Science Press.</t>
  </si>
  <si>
    <t>22-29</t>
  </si>
  <si>
    <t>106235375;106235375;106235375;106235375</t>
  </si>
  <si>
    <t>57204942020;6505632598;6504767863;24788634100</t>
  </si>
  <si>
    <t>Biao, Du;Rirong, Zhang;Hanli, Wang;Shuxiang, Du</t>
  </si>
  <si>
    <t>Shijiazhuang</t>
  </si>
  <si>
    <t>Shijiashuang Communication Laboratories</t>
  </si>
  <si>
    <t>Biao D.</t>
  </si>
  <si>
    <t>Analysis of N-slot structure corrugated horn</t>
  </si>
  <si>
    <t>10.1007/BF02778718</t>
  </si>
  <si>
    <t>2-s2.0-51649152719</t>
  </si>
  <si>
    <t>['took data', 'three detectors', 'test run', 'present configuration', 'period two', 'noise temperature', 'july 1988', 'cryogenic antennae', 'correlation analysis', '1763 hz', '115 mk']</t>
  </si>
  <si>
    <t>We report on the cryogenic gravitational detector operating at 1763 Hz in Frascati. The antenna was equipped with a resonant capacitive transducer and a d.c. SQUID as an amplifier. After a test run in 1987, the detector was cooled again in the present configuration and took data for nearly two months in June and July 1988. A preliminary data analysis shows a noise temperature of 115 mK, but we expect to lower it further by applying improved filtering tecniques. During the same period two other cryogenic antennae were operating, and we plan to undertake a correlation analysis between the output of the three detectors. ¬© 1990 Societ√† Italiana di Fisica.</t>
  </si>
  <si>
    <t>59-65</t>
  </si>
  <si>
    <t>60027509;60021199;60021199;60021199;60021199;60021199</t>
  </si>
  <si>
    <t>7004985710;7004641893;7003264879;7103181547;6602162239;6603743635</t>
  </si>
  <si>
    <t>Bassan, M.;Bonifazi, P.;Bordoni, F.;Castellano, M. G.;Iafolla, V.;Visco, M.</t>
  </si>
  <si>
    <t>Universit√† degli Studi di Roma "Tor Vergata";Consiglio Nazionale delle Ricerche</t>
  </si>
  <si>
    <t>60027509;60021199</t>
  </si>
  <si>
    <t>Bassan M.</t>
  </si>
  <si>
    <t>The gravitational wave antenna in Frascati</t>
  </si>
  <si>
    <t>10.1007/BF02515775</t>
  </si>
  <si>
    <t>2-s2.0-51649152894</t>
  </si>
  <si>
    <t>['¬© 1990', 'usually observed', 'significant increase', 'se antenna', 'measurements show', 'large enhancement', 'icrf heating', 'enhanced radiation']</t>
  </si>
  <si>
    <t>During ICRF heating in ASDEX a significant increase of the central radiation due to enhanced radiation from iron is usually observed. To investigate and localize impurity fluxes from the walls, antennas and built in structures we used a new scanning mirror system in connection with our visible spectroscopy diagnostics. During modulated ICRF heating we measured impurity fluxes in the vicinity of the ICRF-SE antenna. Our measurements show a large enhancement of metallic impurity fluxes with ICRF as a result of increased sputtering yields. ¬© 1990.</t>
  </si>
  <si>
    <t>185-191</t>
  </si>
  <si>
    <t>7103042746;7003325553;7003267283;7003477177</t>
  </si>
  <si>
    <t>Hofmann, J. V.;Fussmann, G.;Noterdaeme, J. M.;Ryter, F.</t>
  </si>
  <si>
    <t>Hofmann J.</t>
  </si>
  <si>
    <t>Impurity flux measurements during ICRF heating in ASDEX</t>
  </si>
  <si>
    <t>092037969090078K</t>
  </si>
  <si>
    <t>10.1016/0920-3796(90)90078-K</t>
  </si>
  <si>
    <t>2-s2.0-5744225096</t>
  </si>
  <si>
    <t>['œ ©', 'thin wall', 'stability studies', 'spatially localized', 'small resistivity', 'significantly reduce', 'resistive wall', 'near field', 'may therefore', 'kink modes', 'ideal kink', 'growth rate', 'finite resistivity', 'conducting wall', 'antenna system', '2uœ ©', '2 instability']</t>
  </si>
  <si>
    <t>The problem of controlling external kink instabilities that arise on the slow time scale characteristic of magnetic field diffusion through a conducting wall with finite resistivity is considered. An expression for the growth rate of these "resistive wall" kink modes is derived in a low-beta cylindrical tokamak model assuming a thin wall and small resistivity, including the additional stabilizing effect of a spatially localized, externally applied surface force. It is shown that the marginal stability condition is identical to that of the ideal kink in the absence of a conducting wall. The model is applied to ponderomotive stabilization arising from the near field of an ion-Bernstein-wave (IBW) antenna system. It is found that radio-frequency (rf) fields below the marginal stability threshold can significantly reduce the growth rate of the m = 2 instability. The required rf fields can be attained using present IBW antennas with Œ©i‚â≤ œâ&lt; 2UŒ©i in tokamaks with relatively low magnetic fields and may therefore be useful for high-beta and second-stability studies. ¬© 1990 American Institute of Physics.</t>
  </si>
  <si>
    <t>2366-2372</t>
  </si>
  <si>
    <t>60029419-60008734;60026358</t>
  </si>
  <si>
    <t>7006790611;6506487011</t>
  </si>
  <si>
    <t>Goedbloed, J. P.;D'Lppolito, D. A.</t>
  </si>
  <si>
    <t>Netherlands;United States;Netherlands</t>
  </si>
  <si>
    <t>Nieuwegein;Boulder;Amsterdam</t>
  </si>
  <si>
    <t>FOM Institute for Plasma Physics - Rijnhuizen;Lodestar Research Corporation;Vrije Universiteit Amsterdam</t>
  </si>
  <si>
    <t>60029419;60026358;60008734</t>
  </si>
  <si>
    <t>Goedbloed J.</t>
  </si>
  <si>
    <t>rf stabilization of external kink modes in the presence of a resistive wall</t>
  </si>
  <si>
    <t>10.1063/1.859502</t>
  </si>
  <si>
    <t>2-s2.0-6244300845</t>
  </si>
  <si>
    <t>['test antenna', 'permits one', 'new type', 'main beam', 'design procedure', 'antenna exhibits']</t>
  </si>
  <si>
    <t>An analytical design procedure for a new type of traveling-wave-fed rectangular waveguide slot array has been developed. Unlike other waveguide slot antennas, this antenna exhibits an invariant squint angle for the main beam over a restricted frequency band. By inverting the design procedure an algorithm can be created which permits one to predict the antenna performance theoretically. The procedure was validated by designing and building a test antenna. Agreement between theory and experiment has been found to be very good. ¬© 1990 VSP.</t>
  </si>
  <si>
    <t>809-828</t>
  </si>
  <si>
    <t>60021392;60027550</t>
  </si>
  <si>
    <t>6603799619;57220065537</t>
  </si>
  <si>
    <t>Holzman, E. L.;Elliott, R. S.</t>
  </si>
  <si>
    <t>Los Angeles;Tucson</t>
  </si>
  <si>
    <t>University of California, Los Angeles;Hughes Missile Systems Company</t>
  </si>
  <si>
    <t>60027550;60021392</t>
  </si>
  <si>
    <t>Holzman E.L.</t>
  </si>
  <si>
    <t>Design procedure for a forward-fire/backward-fire longitudinal slot array in rectangular waveguide</t>
  </si>
  <si>
    <t>10.1163/156939390X00285</t>
  </si>
  <si>
    <t>2-s2.0-78349296048</t>
  </si>
  <si>
    <t>['¬© 1990', 'satellite systems', 'rights reserved', 'quality results', 'performance approaching', 'new technique', 'mobile terminals', 'huge losses', 'great deal', 'electrical engineers', 'commercial operation', 'also applicable', 'aerial 1']</t>
  </si>
  <si>
    <t>Since the first television pictures were received from Telstar by aerial 1 at Goonhilly Down in Cornwall, commercial operation of satellite systems has dictated that the earth-space link must be maintained as consistently as possible. Any break in transmission or lowering of quality results in huge losses for the operator and as a result the performance of the antenna tracking system has received a great deal of attention. Recently a new technique, termed ‚Äòelectronic beam-squinting‚Äô, has been developed to solve this problem both elegantly and economically. It is capable of a performance approaching that of the most expensive systems currently available for fixed earth stations and is also applicable to mobile terminals. ¬© 1990, The Institution of Electrical Engineers. All rights reserved.</t>
  </si>
  <si>
    <t>95-101</t>
  </si>
  <si>
    <t>Kenington, P. B.</t>
  </si>
  <si>
    <t>Kenington P.B.</t>
  </si>
  <si>
    <t>Electronic Tracking Systems for Space Communications</t>
  </si>
  <si>
    <t>10.1049/ecej:19900026</t>
  </si>
  <si>
    <t>2-s2.0-78650251821</t>
  </si>
  <si>
    <t>['whereas rates', 'uncrevassed ice', 'significantly greater', 'recently switched', 'present rates', 'one outlet', 'magnitude faster', 'longitudinal compression', 'ice flow', 'ice cap', 'four well', 'flow cannot', 'faster mode', 'current inputs', 'contemporary climate', 'cap surface']</t>
  </si>
  <si>
    <t>Four well-defined outlet glaciers are present on the 2510 km 2 ice cap of Vestfonna in Nordaustlandet, Svalbard. Airborne radio echo sounding and aerial-photograph and satellite-image analysis methods are used to analyze the morphology and dynamics of the ice cap and its component outlet glaciers. The heavily crevassed outlets form linear depressions in the ice-cap surface and flow an order of magnitude faster than the ridges of uncrevassed ice between them. Ice flow on the ridges is accounted for by internal deformation alone, whereas rates of outlet glacier flow require basal motion. One outlet has recently switched into and out of a faster mode of flow. Rapid terminal advance, a change from longitudinal compression to tension, and thinning in the upper basin indicate surge behavior. Observed outlet glacier discharge is significantly greater than current inputs of mass to the ice cap, indicating that present rates of flow cannot be sustained under the contemporary climate. -Authors</t>
  </si>
  <si>
    <t>778-781</t>
  </si>
  <si>
    <t>Geology</t>
  </si>
  <si>
    <t>60101625;60101625</t>
  </si>
  <si>
    <t>7006457242;56651153500</t>
  </si>
  <si>
    <t>Dowdeswell, J. A.;Collin, R. L.</t>
  </si>
  <si>
    <t>Scott Polar Research Institute</t>
  </si>
  <si>
    <t>Dowdeswell J.</t>
  </si>
  <si>
    <t>Fast-flowing outlet glaciers on Svalbard ice caps</t>
  </si>
  <si>
    <t>10.1130/0091-7613(1990)018&lt;0778:FFOGOS&gt;2.3.CO;2</t>
  </si>
  <si>
    <t>2-s2.0-84879888300</t>
  </si>
  <si>
    <t>['¬© 1990', 'undergoing trials', 'rights reserved', 'receive modules', 'multifunction radar', 'future applications', 'electronic beam', 'electrical engineers', 'effective production', 'array antennas', 'active transmit', 'active arrays']</t>
  </si>
  <si>
    <t>Array antennas were used in early radar systems. Today's microwave phased arrays with electronic beam-steering allow surveillance and tracking with variable data rates in a multifunction radar. The paper reviews system options and discusses the engineering of active arrays, using as an example the Siemens Plessey Radar/ARE MESAR, which is now undergoing trials and which is the first modular active array radar in the UK. Future applications, the success of which depends on cost-effective production of active transmit-receive modules, improved beam control, and larger wideband arrays, are outlined. ¬© 1990, The Institution of Electrical Engineers. All rights reserved.</t>
  </si>
  <si>
    <t>Bradsell, P.</t>
  </si>
  <si>
    <t>Cowes</t>
  </si>
  <si>
    <t>Plessey Radar Ltd</t>
  </si>
  <si>
    <t>Bradsell P.</t>
  </si>
  <si>
    <t>Phased Arrays in Radar</t>
  </si>
  <si>
    <t>10.1049/ecej:19900016</t>
  </si>
  <si>
    <t>2-s2.0-84902531383</t>
  </si>
  <si>
    <t>['two categories', 'symmetric structure', 'reactions centers', 'reaction centers', 'reaction center', 'purple bacteria', 'primary steps', 'primary step', 'light energy', 'ii ).', 'following aspects', 'electron carriers', 'discussed mainly', 'dimeric structure', 'defined path']</t>
  </si>
  <si>
    <t>Photosynthetic reaction centers realize the primary steps of the bioconversion of light energy. They are complex membrane proteins which contain several molecules of pigments and electron carriers, organized so as to transfer electrons efficiently along a well-defined path. Reactions centers can be classified in four categories found in purple bacteria (the best known), in green sulfur bacteria, and in plants (which have two categories : PS-I and PS-II). Reaction centers share common properties, which are discussed mainly on the basis of what is known in purple bacteria. The following aspects are considered : coupling between reaction centers and antenna ; the role of the membrane ; the means to minimize wasteful charge recombination ; the primary step and the dimeric structure of the primary electron donor ; the properties of quinones ; the role of a Fe2+ atom; the roles of the protein ; the symmetric structure of the reaction center ; the primary radical pair and triplet state formation. ¬© 1990 IUPAC</t>
  </si>
  <si>
    <t>1521-1530</t>
  </si>
  <si>
    <t>Pure and Applied Chemistry</t>
  </si>
  <si>
    <t>Mathis, Paul</t>
  </si>
  <si>
    <t>Gif-sur-Yvette</t>
  </si>
  <si>
    <t>CEA Saclay</t>
  </si>
  <si>
    <t>Mathis P.</t>
  </si>
  <si>
    <t>Primary processes in photosynthetic reaction centers</t>
  </si>
  <si>
    <t>10.1351/pac199062081521</t>
  </si>
  <si>
    <t>2-s2.0-84913150023</t>
  </si>
  <si>
    <t>['simple adaptation', 'sectoral horns', 'parametric study', 'octave bandwidth', 'narrow e', 'experimental design', 'desired performance', 'constant beamwidth', 'configuration leads', 'aperture effect', 'accurate analysis']</t>
  </si>
  <si>
    <t>An accurate analysis of planar aperture sectoral horns is presented. It is based on a simple adaptation of the mode matching technique, which allows for the inclusion of the aperture effect in the analysis without resorting to the conventional integral equations formulation. This technique provides accurate results, which are confronted with experiments and then used in a parametric study of the sectoral horns, aimed at achieving a constant beamwidth over an octave bandwidth or more. It is concluded that for the narrow E- plane aperture horn this objective is hard to attain, hence a different, convex aperture antenna is used. Experimental design of this configuration leads to the desired performance of a nearly constant beamwidth over more than an octave. ¬© 1990 VSP.</t>
  </si>
  <si>
    <t>673-682</t>
  </si>
  <si>
    <t>101502179;101502179;60005681</t>
  </si>
  <si>
    <t>56960976100;56039602600;7004638528</t>
  </si>
  <si>
    <t>Kol, Y.;Herscovici, N.;Kastner, R.</t>
  </si>
  <si>
    <t>Tel Aviv-Yafo;Haifa</t>
  </si>
  <si>
    <t>Tel Aviv University;Electromagnetics Department</t>
  </si>
  <si>
    <t>60005681;101502179</t>
  </si>
  <si>
    <t>Kol Y.</t>
  </si>
  <si>
    <t>Analysis and design of wideband constant beamwidth sectoral horns</t>
  </si>
  <si>
    <t>10.1163/156939390X00122</t>
  </si>
  <si>
    <t>2-s2.0-84941492617</t>
  </si>
  <si>
    <t>41-44</t>
  </si>
  <si>
    <t>Hess, Doren</t>
  </si>
  <si>
    <t>Scientific Atlanta, Inc.</t>
  </si>
  <si>
    <t>Hess D.</t>
  </si>
  <si>
    <t>The Measurments Column</t>
  </si>
  <si>
    <t>10.1109/74.80503</t>
  </si>
  <si>
    <t>2-s2.0-84941499558</t>
  </si>
  <si>
    <t>['polarization effects', 'new results', 'confirmed experimentally', '55 ghz']</t>
  </si>
  <si>
    <t>Detector | Electromagnetic waves | High T c | Polarization | Superconducting antenna | Superconductor</t>
  </si>
  <si>
    <t>Detections of polarized electromagnetic waves (f=9.55 GHz) by high Tcsuperconducting antenna were confirmed experimentally. New results on polarization effects and the directivity of the high Tcsuperconducting antenna were observed. a. ¬© 1990 IOP Publishing Ltd.</t>
  </si>
  <si>
    <t>2415-2416</t>
  </si>
  <si>
    <t>Ohnuma, T.</t>
  </si>
  <si>
    <t>Ohnuma T.</t>
  </si>
  <si>
    <t>Polarized Electromagnetic Detections by High T&lt;inf&gt;c&lt;/inf&gt;Superconducting Antenna</t>
  </si>
  <si>
    <t>10.1143/JJAP.29.2415</t>
  </si>
  <si>
    <t>2-s2.0-84941871453</t>
  </si>
  <si>
    <t>['results together', 'rectangular waveguide', 'first solve', 'either side', 'copyright 1990', 'conductivity contrast', 'canonical problem', 'born approximation', 'apply reciprocity']</t>
  </si>
  <si>
    <t>We present a full wave theoretical model for an induction gradiometric sensor employed for detection of conductivity contrast. The sensor is composed of a wire antenna radiating from a rectangular waveguide, with receivers in the waveguide positioned symmetrically on either side of the transmitter. We first solve the canonical problem of an open‚Äêended rectangular waveguide in a planar stratified medium and then apply reciprocity and the Born approximation to deduce the response of the sensor in the presence of an arbitrary external medium. We compare our results against experimentally measured data and find excellent agreement. We present a discussion of these results together with an analysis of the numerical considerations involved in the computation. Copyright 1990 by the American Geophysical Union.</t>
  </si>
  <si>
    <t>357-371</t>
  </si>
  <si>
    <t>35851148700;7004110635</t>
  </si>
  <si>
    <t>Lovell, John R.;Habashy, Tarek M.</t>
  </si>
  <si>
    <t>Lovell J.R.</t>
  </si>
  <si>
    <t>An induction gradiometer for conductivity contrast detection: Theoretical considerations</t>
  </si>
  <si>
    <t>10.1029/RS025i004p00357</t>
  </si>
  <si>
    <t>2-s2.0-84944831306</t>
  </si>
  <si>
    <t>['special case', 'several variations', 'radiometric sensitivity', 'potentially lighter', 'paper concludes', 'limitations set', 'full potential', 'develop expressions', 'conventional imager', 'aperture synthesis', 'antenna size', 'also reduced', 'adaptable structure', '7 km']</t>
  </si>
  <si>
    <t>Aperture synthesis offers a means of realizing the full potential of microwave remote sensing from space by helping to overcome the limitations set by antenna size. The result is a potentially lighter, more adaptable structure for applications in space. However, because the physical collecting area is reduced, the signal‚Äêto‚Äênoise ratio is also reduced and may adversely affect the radiometric sensitivity. Sensitivity is an especially critical issue for measurements from low Earth orbit because the motion of the platform (about 7 km/s) limits the integration time available for forming an image. The purpose of this paper is to develop expressions for the sensitivity of remote sensing systems which use aperture synthesis. The objective is to develop basic equations general enough to be used to obtain the sensitivity of the several variations of aperture synthesis which have been proposed for sensors in space. The conventional microwave imager (a scanning total power radiometer) is treated as a special case, and the paper concludes with a comparison of three synthetic aperture configurations with the conventional imager. This paper is not subject to U.S. copyright. Published in 1990 by the American Geophysical Union.</t>
  </si>
  <si>
    <t>441-453</t>
  </si>
  <si>
    <t>Le Vine, David M.</t>
  </si>
  <si>
    <t>The sensitivity of synthetic aperture radiometers for remote sensing applications from space</t>
  </si>
  <si>
    <t>10.1029/RS025i004p00441</t>
  </si>
  <si>
    <t>2-s2.0-84944835769</t>
  </si>
  <si>
    <t>['useful models', 'three antennas', 'standoff sensitivity', 'sensitive indicator', 'principles behind', 'logging conditions', 'laboratory experiments', 'issues quantified', 'geometry indicator', 'copyright 1990']</t>
  </si>
  <si>
    <t>A gradiometric induction sensor has been developed as a sensitive indicator of spatial electrical conductivity gradients. Utilizing a configuration of three antennas in a single, monolithic metal slot, its design is simple and compact. Its feasibility as a geometry indicator for use in oil wells drilled with oil base mud has been demonstrated by a series of laboratory experiments which simulated many borehole and logging conditions. Response to real and synthetic rock arrays, resolution, standoff sensitivity, and response to dipping geologic beds are among the issues quantified by the experiments. In addition, some useful models are presented as an aid in conceptualizing the principles behind the operation of the sensor. Copyright 1990 by the American Geophysical Union.</t>
  </si>
  <si>
    <t>373-389</t>
  </si>
  <si>
    <t>Mariani, David R.</t>
  </si>
  <si>
    <t>Mariani D.R.</t>
  </si>
  <si>
    <t>An induction gradiometer for conductivity contrast detection: Experimental development</t>
  </si>
  <si>
    <t>10.1029/RS025i004p00373</t>
  </si>
  <si>
    <t>2-s2.0-84944838953</t>
  </si>
  <si>
    <t>['three approximations', 'third kinds', 'radio telescope', 'mathematical structure', 'inverse problems', 'important differences', 'fraunhofer approximations', 'francis ltd', 'coherence theory', 'appears possible', 'antenna array', 'also discussed']</t>
  </si>
  <si>
    <t>The Fraunhofer approximations of the first, second and third kinds are applied to the propagation of the cross-spectral density function of coherence theory. Important differences between the conditions for validity and mathematical structure of these three approximations are described. Applications of these approximations to inverse problems are also discussed. From this work it appears possible to refocus a radio telescope to image objects close to the antenna array. Q 1990 U.S.A. Government. ¬© 1990 Taylor &amp; Francis Ltd.</t>
  </si>
  <si>
    <t>109-120</t>
  </si>
  <si>
    <t>Journal of Modern Optics</t>
  </si>
  <si>
    <t>Carter, William H.</t>
  </si>
  <si>
    <t>Carter W.</t>
  </si>
  <si>
    <t>Three different kinds of fraunhofer approximations. II. propagation of the cross-spectral density function</t>
  </si>
  <si>
    <t>10.1080/09500349014550101</t>
  </si>
  <si>
    <t>2-s2.0-84945620436</t>
  </si>
  <si>
    <t>['scan loss', 'reflecting surfaces', 'geometrical optics', 'diffraction loss', 'computationally efficient', 'calculated separately', 'aperture integration', 'aperture diameter', 'antenna configuration', '1 db']</t>
  </si>
  <si>
    <t>Beam Waveguide Fed Cassegrain Reflector (BFCR) antennas are increasingly being used in space communication applications. Using a shooting and bouncing ray approach based on geometrical optics and aperture integration the far field pattern of the BFCR is calculated. This method is computationally efficient and is not restricted by the number of reflecting surfaces in the antenna configuration. The diffraction loss in the beam waveguide structure is calculated separately by the conventional near field physical optics integration. The present computation scheme is applied to design of a BFCR that scans its beam by the motion of a reflector in the beam waveguide structure. For an aperture diameter of 2000Œª, the scan loss is 1 dB for 30 and 22 beamwidth scan in E- plane and H- plane, respectively. ¬© 1990 VSP.</t>
  </si>
  <si>
    <t>683-701</t>
  </si>
  <si>
    <t>60000745;60000745;60027550</t>
  </si>
  <si>
    <t>7004288007;7601396617;7102110120</t>
  </si>
  <si>
    <t>Houshmand, B.;Lee, S. W.;Rahmat-Samii, Y.</t>
  </si>
  <si>
    <t>An efficient method for analysis of beam waveguide fed cassegrain reflector antennas</t>
  </si>
  <si>
    <t>10.1163/156939390X00131</t>
  </si>
  <si>
    <t>2-s2.0-84947143227</t>
  </si>
  <si>
    <t>['¬© 1990', 'testing functions', 'rights reserved', 'radiation properties', 'radiation patterns', 'periodic array', 'moment solution', 'linear log', 'investigated analytically', 'infinite space', 'far field', 'dipole elements', 'current distributions', 'conductivity variations', 'antenna efficiency']</t>
  </si>
  <si>
    <t>The radiation properties of linear log-periodic dipole array antennas placed near a finite conductivity earth is investigated analytically. A method of moment solution is developed to solve the integral equation associated with the log periodic antenna array. The effect of finite ground conductivity is taken into account by using the appropriate Green‚Äôs function which is derived from the well known Sommerfeld solution of the finite conductivity semi-infinite space. Piecewise sinusoidal pulse functions are employed as describing and testing functions. In computing the mutual impedance matrix elements, Sommerfeld type integrals are encountered which are computed by applying a numerically efficient technique. After computing the current distributions on the dipole elements of the log-periodic array the far field of the antenna is computed by employing the stationary phase integration technique. Several type log-periodic dipole arrays placed near a finite conductivity ground are computed. The effects of conductivity variations on the radiation patterns, antenna efficiency and input impedance ¬øire investigated. ¬© 1990, VSP. All rights reserved.</t>
  </si>
  <si>
    <t>213-228</t>
  </si>
  <si>
    <t>7102355233;7007164820</t>
  </si>
  <si>
    <t>Uzunoglu, N. K.;Markopoulos, C. I.</t>
  </si>
  <si>
    <t>Uzunoglu N.</t>
  </si>
  <si>
    <t>Radiation Characteristics of Linear Log-Periodic Dipole Array Antennas Placed Near a Lossy Ground</t>
  </si>
  <si>
    <t>10.1163/156939390X00500</t>
  </si>
  <si>
    <t>2-s2.0-84947149723</t>
  </si>
  <si>
    <t>['vector nature', 'poa ),', 'physical optics', 'main contribution', 'go ).', 'geometrical theory', 'different methods', 'circular apertures']</t>
  </si>
  <si>
    <t>We calculate power losses in unstable optical resonators which are used in medium-to-high power lasers. The main contribution of this paper is to use some methods usually adopted in the field of antenna and propagation to analyse the unstable optical resonators. These methods are physical optics (PO), scalar theory of diffraction (STD), physical theory of diffraction (PTD), approximate physical optics (POA), and geometrical theory of diffraction plus geometrical optics (GTD+GO). In these methods the vector nature of the field is retained. These methods are used to analyze spherically symmetric unstable optical resonators with circular apertures. The results of these different methods are compared with each other and with previously published calculations. ¬© 1990 VSP.</t>
  </si>
  <si>
    <t>573-594</t>
  </si>
  <si>
    <t>60026914;102002249</t>
  </si>
  <si>
    <t>7003556018;6504206801</t>
  </si>
  <si>
    <t>Rahnavard, M. H.;Zare-Moodi, J.</t>
  </si>
  <si>
    <t>Iran;Iran</t>
  </si>
  <si>
    <t>Shiraz;Mashad</t>
  </si>
  <si>
    <t>Shiraz University;Mashhad University</t>
  </si>
  <si>
    <t>Comparative analyses of spherically symmetric unstable optical resonators with circular apertures</t>
  </si>
  <si>
    <t>10.1163/156939390X00203</t>
  </si>
  <si>
    <t>2-s2.0-84947152688</t>
  </si>
  <si>
    <t>['¬© 1990', 'saturation level', 'rights reserved', 'rf power', 'rf fields', 'results obtained', 'plasma must', 'ions hitting', 'incident ions', 'impurity generation', 'impact energies', 'faraday shield', 'deuterium trapped', 'antenna exposed', 'antenna currents', 'antenna current', '22 kw']</t>
  </si>
  <si>
    <t>The effects of rf fields on the energy of ions hitting the surface of an ion cyclotron range of frequencies (ICFR) antenna exposed to a plasma must be investigated to provide an understanding of the impurity generation from the antenna. A resonant loop antenna with a two-tier Faraday shield, installed on the Radio Frequency Test Facility at Oak Ridge National Laboratory, was used to study these effects. Samples of silicon were placed below the antenna and on the Faraday shield surface, facing the plasma, to measure incident ion energy. The samples were exposed to electron cyclotron heated plasmas without rf power and with 22 kW of rf power at antenna currents of up to 400 A. The fluence of‚Äî5 X 1017D/cm2from deuterium plasmas was near the saturation level of the samples. The energy of the incident ions was estimated by measuring the amount of deuterium trapped in the samples with D3He, p)4He nuclear reaction analysis. The results obtained from the trapped deuterium measurements are compared with ion energies measured directly with a gridded energy analyzer located near the antenna. They show that the rf-enhanced ion energy distribution measured in the plasma is proportional to the impact energies on the surface of the Faraday shield and increases with antenna current. ¬© 1990, American Vacuum Society. All rights reserved.</t>
  </si>
  <si>
    <t>4011-4016</t>
  </si>
  <si>
    <t>Journal of Vacuum Science and Technology A: Vacuum, Surfaces and Films</t>
  </si>
  <si>
    <t>60017366-60000745-60024266;60024266;60024266</t>
  </si>
  <si>
    <t>6603612527;7201699839;56322850000</t>
  </si>
  <si>
    <t>Caughman, J. B.O.;Langley, R. A.;Lewis, M. B.</t>
  </si>
  <si>
    <t>Oak Ridge;Yorktown Heights;Urbana</t>
  </si>
  <si>
    <t>Oak Ridge National Laboratory;IBM Thomas J. Watson Research Center;University of Illinois Urbana-Champaign</t>
  </si>
  <si>
    <t>60024266;60017366;60000745</t>
  </si>
  <si>
    <t>Caughman J.</t>
  </si>
  <si>
    <t>Ion energy measurements at the surface of an ion cyclotron range of frequencies antenna faraday shield</t>
  </si>
  <si>
    <t>10.1116/1.576437</t>
  </si>
  <si>
    <t>2-s2.0-84953697674</t>
  </si>
  <si>
    <t>['¬© 1990', 'radiation pattern', 'numerical calculations', 'mode series', 'main beam', 'japan society', 'examined numerically', 'concave boundary', 'array source', 'applied physics']</t>
  </si>
  <si>
    <t>Acoustical radiation elds excited on a cylindrical concave boundary by an array source on the boundary are represented by either whispering gallery (WG) mode series or hybrid acoustic ray and lowest-order WG mode. The inÔ¨Çuence of the concave boundary on the radiation pattern is clariÔ¨Åed, and the relation of the beams respectively con-stituted by the rays and the speciÔ¨Åc WG modes is investigated, based on numerical calculations from an analytically derived formula. The distortion of a main beam by the obstacle in the concave boundary is examined numerically by superposing only the speciÔ¨Åc WG modes. ¬© 1990 The Japan Society of Applied Physics.</t>
  </si>
  <si>
    <t>86-88</t>
  </si>
  <si>
    <t>60004176;60004176;60004176</t>
  </si>
  <si>
    <t>57083835300;57083439300;7402144929</t>
  </si>
  <si>
    <t>Kaminishi, Yoshiaki;Ohta, Seigoh;Ishihara, Toyohiko</t>
  </si>
  <si>
    <t>Yokosuka</t>
  </si>
  <si>
    <t>National Defense Academy of Japan</t>
  </si>
  <si>
    <t>Kaminishi Y.</t>
  </si>
  <si>
    <t>Radiation pattern of acoustical array antenna on concave boundary</t>
  </si>
  <si>
    <t>10.7567/JJAPS.29S1.86</t>
  </si>
  <si>
    <t>2-s2.0-84956241945</t>
  </si>
  <si>
    <t>['√¶ ther', '¬© 1990', 'wing membrane', 'virga consisting', 'tic l', 'south chile', 'six species', 'sister species', 'sided spine', 'show relationships', 'rights reserved', 'pseudorthocladius goetghebuer', 'plesiomorphic members', 'parasmittia strenzke', 'new genus', 'minimus group', 'meigen ).', 'male ),', 'limnophyes group', 'gymnometriocnemus goetghebuer', 'female ),', 'coarse punctation', 'closely related', 'acrostichals starting']</t>
  </si>
  <si>
    <t>The types of six species of chironomids from Patagonia and South Chile, described by Edwards in 1931 as belonging to the subgenus Limnophyes Eaton of the genus Spaniotoma Philipp¬°, are revised. Four species belong in the minimus group of genus Limnophyes sensu S√¶ther 1990. L. collaris (male and female), L. subnudicollis (male), and L. brachyarthra (male and female), all are plesiomorphic members of the group and show relationships with L. er S√¶ther as well as with species near L. minimus (Meigen). L. griseata apparently forms the sister species of the Palaearc- tic L. bidumus S√¶ther. The remaining two species are members of a new genus, Edwardsidia, characterized by coarse punctation of microtrichia on the wing membrane, strong apical seta on the antenna, acrostichals starting in front, and virga consisting of a strong, single, parallel-sided spine. The affinities of the new genus are uncertain. It may be a member of the Limnophyes group or be more closely related to Pseudorthocladius Goetghebuer, Gymnometriocnemus Goetghebuer or Parasmittia Strenzke. ¬© 1990, Brill. All rights reserved.</t>
  </si>
  <si>
    <t>305-319</t>
  </si>
  <si>
    <t>A revision of the neotropical types described as spaniotoma (limnophyes) by edwards 1931, with the description of edwardsidia gen. N. (diptera: chironomidae)Ole a. S√¶ther</t>
  </si>
  <si>
    <t>10.1163/187631290X00229</t>
  </si>
  <si>
    <t>2-s2.0-84956461633</t>
  </si>
  <si>
    <t>['¬© 1990', 'steered beams', 'second part', 'rights reserved', 'r modules', 'processing techniques', 'processing equipment', 'pipe dreams', 'paper discusses', 'less independently', 'future trends', 'electrical engineers', 'early pioneers', 'current state', 'brief review', 'array elements', 'advanced radars']</t>
  </si>
  <si>
    <t>Radars and their associated antennas evolved more or less independently for a number of years, but a gradual marriage began in the 1960s with the advent of improved and relatively cheap signal-processing techniques. Today's advanced radars with electronically-steered beams, incorporating T/R modules and signal-processing equipment at the array elements, appear to be the realisation of the early pioneers' pipe dreams. Is it all necessary and where will it end? This second part of the paper discusses the more important antenna characteristics affecting radar system design and concludes with a brief review of the current state of the art and an indication of future trends. ¬© 1990, The Institution of Electrical Engineers. All rights reserved.</t>
  </si>
  <si>
    <t>17-24</t>
  </si>
  <si>
    <t>Milne, K.</t>
  </si>
  <si>
    <t>Milne K.</t>
  </si>
  <si>
    <t>Radar and Antennas. Part 2</t>
  </si>
  <si>
    <t>10.1049/ecej:19900005</t>
  </si>
  <si>
    <t>2-s2.0-84957136147</t>
  </si>
  <si>
    <t>['¬© 1990', 'sage publications', 'rights reserved', 'random error', 'port network', 'parameters s21', 'paper proposes', 'new method', 'elliptic error']</t>
  </si>
  <si>
    <t>Coherent measurements | complex S-parameters | elliptic error</t>
  </si>
  <si>
    <t>This paper proposes the new method for determining the random error in measuring the complex S-parameters- elliptic error. The measurements on two antennas making a two-port network were carried out and the elliptic error was calculated in parameters S21 for œÉp, 2œÉp and 3œÉp. ¬© 1990, Sage Publications. All rights reserved.</t>
  </si>
  <si>
    <t>40-43</t>
  </si>
  <si>
    <t>Transactions of the Institute of Measurement &amp; Control</t>
  </si>
  <si>
    <t>Male≈°ev, Milutin</t>
  </si>
  <si>
    <t>Serbia</t>
  </si>
  <si>
    <t>Belgrade</t>
  </si>
  <si>
    <t>University of Belgrade</t>
  </si>
  <si>
    <t>Male≈°ev M.</t>
  </si>
  <si>
    <t>Determination of elliptic error in measuring the complex S-parameters</t>
  </si>
  <si>
    <t>10.1177/014233129001200105</t>
  </si>
  <si>
    <t>2-s2.0-84965489142</t>
  </si>
  <si>
    <t>['¬© 1990', 'simple mandible', 'second record', 'scleractinian coral', 'rights reserved', 'possibly induced', 'pionomolgus gallicolus', 'paper represents', 'new species', 'new genus', 'lizard island', 'lichomolgid copepod', 'following combination', 'confamilial genera', 'additional galls']</t>
  </si>
  <si>
    <t>A new genus and species of lichomolgid copepod, Pionomolgus gallicolus, is described from galls of the scleractinian coral Echinopora lamellosa (Esper) collected at Lizard Island, Australia. The new genus can be distinguished from confamilial genera by the following combination of characters: (1) extremely swollen prosome; (2) six-segmented first antenna; (3) three-segmented second antenna; (4) simple mandible with relatively slender bipectinate blade and lash; (5) bulbous second maxilla; (6) reduced leg 4 endopod. The morphology of the galls is described, and additional galls, possibly induced by the new species, are reported from several dry museum specimens. This paper represents the second record of a gallicolous poecilostome copepod from a scleractinian coral. ¬© 1990, CSIRO. All rights reserved.</t>
  </si>
  <si>
    <t>609-616</t>
  </si>
  <si>
    <t>0004959X</t>
  </si>
  <si>
    <t>Australian Journal of Zoology</t>
  </si>
  <si>
    <t>116131954;60007670</t>
  </si>
  <si>
    <t>56636723000;6603774140</t>
  </si>
  <si>
    <t>Dojiri, Masahiro;Grygier, Mark J.</t>
  </si>
  <si>
    <t>Washington, D.C.;</t>
  </si>
  <si>
    <t>Smithsonian National Museum of Natural History;Biology Laboratory</t>
  </si>
  <si>
    <t>60007670;116131954</t>
  </si>
  <si>
    <t>Dojiri M.</t>
  </si>
  <si>
    <t>Pionomolgus gallicolus, gen. et sp. nov. (Poecilostomatoida: Lichomolgidae), a gall-inducing copepod of a scleractinian coral from Australia</t>
  </si>
  <si>
    <t>10.1071/ZO9890695</t>
  </si>
  <si>
    <t>2-s2.0-84971021452</t>
  </si>
  <si>
    <t>['z ).', 'range 2', 'properly taken', 'lidar system', 'ideal case', 'forward method', 'calculated either', 'bplo method', 'bplo fields', 'backward method', 'accurate provided']</t>
  </si>
  <si>
    <t>The receiving efficiency rj as a function of range 2 is investigated for pulsed coherent lidars using a theory that relates Œ∑(2) to the transmitted laser intensity and the point-source receiving efficiency Œ∑8(r, z). The latter can be calculated either by a forward method, or by a backward method that employs the back-propagated local oscillator (BPLO) approach. The BPLO method is efficient and accurate provided that cascaded diffraction effects inside the lidar system are properly taken into account. The theory is applied to the ideal case to examine the optimization of the system when both transmitted and BPLO fields at the antenna are Gaussian, including optimum telescope aperture. ¬© 1990 Optical Society of America.</t>
  </si>
  <si>
    <t>4111-4119</t>
  </si>
  <si>
    <t>1559128X</t>
  </si>
  <si>
    <t>Applied Optics</t>
  </si>
  <si>
    <t>60000221;60027716;60027716</t>
  </si>
  <si>
    <t>7406634162;7201351738;7103289129</t>
  </si>
  <si>
    <t>Zhao, Yanzeng;Post, Madison J.;Hardesty, R. Michael</t>
  </si>
  <si>
    <t>Washington, D.C.;Boulder</t>
  </si>
  <si>
    <t>National Oceanic and Atmospheric Administration;University of Colorado Boulder</t>
  </si>
  <si>
    <t>60027716;60000221</t>
  </si>
  <si>
    <t>Zhao Y.</t>
  </si>
  <si>
    <t>Receiving efficiency of monostatic pulsed coherent lidars. 1: Theory</t>
  </si>
  <si>
    <t>10.1364/AO.29.004111</t>
  </si>
  <si>
    <t>2-s2.0-84975664136</t>
  </si>
  <si>
    <t>['september 1988', 'scale modulation', 'quiet phase', 'madrid dscc', 'january 1989', 'improved value', 'different strength', 'active phase', '4 ghz']</t>
  </si>
  <si>
    <t>LSI+ 61303 | Radio radiation of - stars | Stars</t>
  </si>
  <si>
    <t>We present the results of flux density measurements of the periodic radio star LSI + 61¬∞303. The observations have been carried out at 8.4 GHz (3.6 cm wavelength) with the NASA DSN 70 m antenna of the Madrid DSCC during September 1988 and January 1989. The data cover approximately two full periods of 26.5 d. The two radio light curves obtained show radio outbursts of different strength, which agree with the time-scale modulation of 4yr proposed recently. An improved value of 1476 d has been obtained for the period of this modulation. According to this period, we present an average radio light curve during the active phase and the quiet phase of the long term modulation.</t>
  </si>
  <si>
    <t>377-380</t>
  </si>
  <si>
    <t>Astronomy and Astrophysics</t>
  </si>
  <si>
    <t>60001576;60001576;60030175</t>
  </si>
  <si>
    <t>7004818506;7003396005;55232090400</t>
  </si>
  <si>
    <t>Paredes, J. M.;Estalella, R.;Rius, A.</t>
  </si>
  <si>
    <t>Madrid;Barcelona</t>
  </si>
  <si>
    <t>CSIC-UCM - Instituto de Astronomia y Geodesia (IAG);Universitat de Barcelona</t>
  </si>
  <si>
    <t>60030175;60001576</t>
  </si>
  <si>
    <t>Paredes J.</t>
  </si>
  <si>
    <t>Observation at 3.6 cm wavelength of the radio light curve of LSI + 61303</t>
  </si>
  <si>
    <t>2-s2.0-84979903018</t>
  </si>
  <si>
    <t>['stationary receivers', 'shielding antennas', 'pseudorange measurements', 'presented based', 'overhead wires', 'multipath situation', 'multipath scenarios', 'multipath interference', 'multipath effects', 'interfering surface', 'intentionally selected', 'convenient classification', 'absorber screen', '1990 institute']</t>
  </si>
  <si>
    <t>The results of a campaign to measure multipath effects on pseudorange measurements of stationary receivers are presented. The multipath scenarios, which were intentionally selected, include steep earth embankments, overhead wires, fresh‚Äêand saltwater horizons, and railway right‚Äêof‚Äêway. An absorber screen was tested for its effectiveness in shielding antennas from low‚Äêangle multipath, and its performance is reported in each multipath situation. A convenient classification of multipath effects is presented based on the periodicity of the multipath interference and the nature of the interfering surface or object. An estimate of the pseudorange multipath error is presented in each case. 1990 Institute of Navigation</t>
  </si>
  <si>
    <t>393-414</t>
  </si>
  <si>
    <t>Navigation</t>
  </si>
  <si>
    <t>Winter 1990</t>
  </si>
  <si>
    <t>7004680083;7402020079</t>
  </si>
  <si>
    <t>TRANQUILLA, J. M.;CARR, J. P.</t>
  </si>
  <si>
    <t>TRANQUILLA J.</t>
  </si>
  <si>
    <t>GPS Multipath Field Observations at Land and Water Sites</t>
  </si>
  <si>
    <t>10.1002/j.2161-4296.1990.tb01564.x</t>
  </si>
  <si>
    <t>2-s2.0-84981573586</t>
  </si>
  <si>
    <t>['‚ àí2', '‚ àí1', 'wiley blackwell', 'slightly diminished', 'rights reserved', 'results indicate', 'remained stable', 'relative amount', 'psii complexes', 'photosystem ii', 'pfu particles', 'pfs face', 'peripheral lhch', 'oleifera grown', 'marked increase', 'low light', 'low irradiance', 'light conditions', 'including psi', 'high light', 'grana size', 'efs face', 'cpa complexes', 'antenna chlorophyll', 'abstract alterations', '800 œºmol', '80 œºmol']</t>
  </si>
  <si>
    <t>Brassica rapa ssp, olcifera | chlorophyll‚Äêprotein complexes | chloroplast ultrastructure | development | freeze‚Äêfracture | irradiance | thylakoid organization</t>
  </si>
  <si>
    <t>Abstract Alterations in the composition and structure of thylakoids were studied in Brassica rapa ssp. oleifera grown under high and low irradiance (800 Œºmol m‚àí2 s‚àí1 and 80 Œºmol m‚àí2 s‚àí1). During ageing, both high and low light induced a decrease in total protein particle density and in the relative amount of 80‚Äì90 √Ö cytochrome b6/f and 90‚Äì100 √Ö ATP‚Äêsynthetase. The density of PSII complexes in stacked (EFs) and unstacked (EFu) thylakoids also decreased. In high light, a shift was noted towards smaller PSII complexes in the EFs face with decreasing attached antenna complex CP29, but the relative amount of the antenna chlorophyll a‚Äêprotein complexes of photosystem II (CPa) remained stable. In contrast, the proportion of peripheral LHCH on the PFs face and the density of PFs particles increased together with an increase in grana size. In low light, a shift occurred towards larger PSII complexes on the EFs face, along with a decrease in the proportion of CPa complexes and the PFs particle density (peripheral LHCH), though a marked increase was observed in the proportion of chlorophyll a/b‚Äêprotein complexes in SDS‚ÄêPAGE. The amount of photosystem I in green gel remained fairly stable, although the density of PFu particles (including PSI) increased in low and slightly diminished in high light. The results indicate that the organization of thylakoid components depends strongly on the light conditions and stage of development. Copyright ¬© 1990, Wiley Blackwell. All rights reserved</t>
  </si>
  <si>
    <t>305-317</t>
  </si>
  <si>
    <t>Plant, Cell &amp; Environment</t>
  </si>
  <si>
    <t>NURMI, A. H.</t>
  </si>
  <si>
    <t>Helsinki</t>
  </si>
  <si>
    <t>Helsingin Yliopisto</t>
  </si>
  <si>
    <t>NURMI A.</t>
  </si>
  <si>
    <t>Alteration of thylakoid membrane structure in Brassica rapa ssp. oleifera during ageing in high and low light</t>
  </si>
  <si>
    <t>10.1111/j.1365-3040.1990.tb02134.x</t>
  </si>
  <si>
    <t>2-s2.0-84981610863</t>
  </si>
  <si>
    <t>['wiley blackwell', 'southeast australia', 'sexual dimorphism', 'rights reserved', 'pasture pest', 'labial sensilla', 'head appendages', 'full range', 'feeding attractants', 'adoryphorus couloni']</t>
  </si>
  <si>
    <t>The head appendages of Adoryphorus couloni, a pasture pest in southeast Australia, are described and inferences are drawn about the beetle's biology. There is a lack of sexual dimorphism in the antennae. The long‚Äêlived adults possess a full range of labial sensilla but the mandibles appear incapable of chewing. Hence trapping based on pheromones or feeding attractants is unlikely. Copyright ¬© 1990, Wiley Blackwell. All rights reserved</t>
  </si>
  <si>
    <t>75-79</t>
  </si>
  <si>
    <t>Australian Journal of Entomology</t>
  </si>
  <si>
    <t>101280563;101280563</t>
  </si>
  <si>
    <t>7006296130;6506729978</t>
  </si>
  <si>
    <t>McQuillan, P. B.;Semmens, T. D.</t>
  </si>
  <si>
    <t>Hobart</t>
  </si>
  <si>
    <t>Entomology Section</t>
  </si>
  <si>
    <t>McQuillan P.</t>
  </si>
  <si>
    <t>MORPHOLOGY OF ANTENNA AND MOUTHPARTS OF ADULT ADORYPHORUS COULONI (BURMEISTER) (COLEOPTERA: SCARABAEIDAE: DYNASTINAE)</t>
  </si>
  <si>
    <t>10.1111/j.1440-6055.1990.tb00319.x</t>
  </si>
  <si>
    <t>2-s2.0-84984102020</t>
  </si>
  <si>
    <t>['wiley blackwell', 'smaller lamellae', 'rights reserved', 'proximate females', 'placoid sensilla', 'lepidiota negatoria', 'inner surfaces', 'ca 150', 'basiconic sensilla', 'antitrogus parvulus', 'antennal sensilla', '2 types']</t>
  </si>
  <si>
    <t>Antennae of both sexes of adults of Antitrogus parvulus and Lepidiota negatoria were examined using scanning electron microscopy following critical‚Äêpoint drying. Males of A. parvulus have 7 large lamellae, the inner surfaces of which have ca 150,000 cup‚Äêshaped placoid sensilla. Females have fewer and smaller lamellae, no placoid sensilla and few basiconic sensilla. Both sexes of L. negatoria have similar 3‚Äêlamellate antennae with placoid sensilla and 2 types of basiconic sensilla. Sensilla differences suggest that male A. parvulus use pheromones to locate distant females, whilst in L. negatoria the antennal sensilla are used to locate host trees and proximate females. Copyright ¬© 1990, Wiley Blackwell. All rights reserved</t>
  </si>
  <si>
    <t>Allsopp, P. G.</t>
  </si>
  <si>
    <t>Indooroopilly</t>
  </si>
  <si>
    <t>Sugar Research Australia</t>
  </si>
  <si>
    <t>Allsopp P.</t>
  </si>
  <si>
    <t>SEXUAL DIMORPHISM IN THE ADULT ANTENNAE OF ANTITROGUS PARVULUS BRITTON AND LEPIDIOTA NEGATORIA BLACKBURN (COLEOPTERA: SCARABAEIDAE: MELOLONTHINAE)</t>
  </si>
  <si>
    <t>10.1111/j.1440-6055.1990.tb00360.x</t>
  </si>
  <si>
    <t>2-s2.0-84984147426</t>
  </si>
  <si>
    <t>['various tissues', 'standard man', 'simulations results', 'quantitative evaluation', 'numerical method', 'mutual coupling', 'matrix form', 'human body', 'electromagnetic source', 'electromagnetic scattering', 'e .,', 'domain decomposition', 'boundary conditions', 'block model', 'aperture antenna', 'allows one', 'abdominal region', '450 cells']</t>
  </si>
  <si>
    <t>The quantitative evaluation of the human hazard due to exposure to nonionizing radiation requires the estimation of the em. absorption by the various tissues of the human body. In this paper, a numerical method is proposed, which can be used to predict the distribution of electromagnetic absorption inside the human body (simulated by a 3D block model consisting of variable‚Äêsized cells). Electromagnetic scattering is studied, taking into account the mutual coupling between the source (i.e., an antenna) and the body. A moment‚Äêmethod formulation is adopted to reduce to matrix form the well‚Äêknown integro‚Äêdifferential equation of direct electromagnetic scattering and the equations of the boundary conditions of the electromagnetic source. A domain decomposition is performed that allows one to use limited computational resources and to perform an off‚Äêline evaluation of the invariant model portions. Simulations results are reported, concerning the block model of a standard man (175 cm tall) made up of 450 cells and exposed to the aperture antenna. The abdominal region is considered in more detail. Such results are compared with those obtained under plane‚Äêwave exposure of a two‚Äêdimensional cylindrical model. Copyright ¬© 1990 John Wiley &amp; Sons, Ltd.</t>
  </si>
  <si>
    <t>497-503</t>
  </si>
  <si>
    <t>July/August 1990</t>
  </si>
  <si>
    <t>60025153;60025153;60025153</t>
  </si>
  <si>
    <t>7102084534;6701681576;7004880389</t>
  </si>
  <si>
    <t>Caorsi, Salvatore;Gragnani, Gian Luigi;Pastorino, Matteo</t>
  </si>
  <si>
    <t>Genoa</t>
  </si>
  <si>
    <t>Universit√† degli Studi di Genova</t>
  </si>
  <si>
    <t>Caorsi S.</t>
  </si>
  <si>
    <t>A numerical approach to electromagnetic dosimetry for the human body</t>
  </si>
  <si>
    <t>10.1002/ett.4460010419</t>
  </si>
  <si>
    <t>2-s2.0-84985759023</t>
  </si>
  <si>
    <t>['spermatophore along', 'sperm release', 'significant role', 'opposite sex', 'mating lasts', 'mating jelly', 'mating behaviour', 'male releases', 'male readiness', 'male play', 'gryllodes sigillatus', 'genital aperture', 'gelatinous material', 'female removes', 'female receptivity', 'empty spermatophore', 'either discarded', 'contact chemoreception', 'bubble like', 'adult emergence', '72 hours', '4 minutes', '36 hours', '29 minutes']</t>
  </si>
  <si>
    <t>courtship | Gryllidae | Gryllodes sigillatus | Insecta | mating behaviour | mating jelly | Orthoptera | spermatophore</t>
  </si>
  <si>
    <t>Aspects of mating behaviour such as male readiness for mating, female receptivity, male courtship behaviour, mating and post mating behaviour of female have been studied in Gryllodes sigillatus. Male is ready for mating at 72 hours after adult emergence. Female is receptive at 36 hours after adult emergence. The forewings and antennae of male play a significant role in producing the ‚Äòchirping‚Äô sound to attract the female and in recognising the opposite sex by contact chemoreception, respectively. In addition, male releases a bubble like, transparent and gelatinous material, the mating jelly prior to mating. Mating lasts for about 3 to 4 minutes during which the spermatophore along with mating jelly is transferred to the genital aperture of the female. Soon after mating, the female removes the mating jelly and retains in its mouth for chewing. The spermatophore is retained in the genital aperture for sperm release. After about 29 minutes, the empty spermatophore is either discarded or eaten up by the female. Copyright ¬© 1990 Wiley‚ÄêVCH</t>
  </si>
  <si>
    <t>65-71</t>
  </si>
  <si>
    <t>Mitteilungen aus dem Museum f√ºr Naturkunde in Berlin. Zoologisches Museum und Institut f√ºr Spezielle Zoologie (Berlin)</t>
  </si>
  <si>
    <t>60032796;60008648</t>
  </si>
  <si>
    <t>57191101782;7004453854</t>
  </si>
  <si>
    <t>Subramaniam, M.;Subramoniam, T.</t>
  </si>
  <si>
    <t>Tiruchirappalli;Chennai</t>
  </si>
  <si>
    <t>Jamal Mohamed College, Tiruchirappalli;University of Madras</t>
  </si>
  <si>
    <t>Subramaniam M.</t>
  </si>
  <si>
    <t>Mating Behaviour and Spermatophore Transfer in Gryllodes sigillatus (Walker) (Orthoptera: Gryllidae)</t>
  </si>
  <si>
    <t>10.1002/mmnz.4830660108</t>
  </si>
  <si>
    <t>2-s2.0-84986847996</t>
  </si>
  <si>
    <t>['wiley blackwell', 'two temperatures', 'spectrally averaged', 'significantly different', 'significant variations', 'rights reserved', 'pigment bed', 'photosynthetic apparatus', 'avoid photoinhibition']</t>
  </si>
  <si>
    <t>adaptation | Chlorophyceae | Dunaliella teritiolecta | fluorescence induction | photosynthesis | temperature</t>
  </si>
  <si>
    <t>The effects of long term exposure to suboptimal growth temperature on the photosynthetic apparatus of Dunaliella tertiolecta Butcher were investigated using carbon fixation rate versus irradiance curves and the variable fluorescence induction method. Carbon fixation rates per unite chlorophyll a at saturating (pBm) and subsaturating (Œ±B) irradiances were 55% and 39% lower, respectively, at 12¬∞ C than at 20¬∞ C. Chlorophyll a quotas and the spectrally averaged in vivo absorption cross section normalized to chlorophyll a (a*) were not significantly different at these two temperatures. Analysis of the fluorescence kinetics revealed 1) no significant variations of the amount of PSII photoactive reaction centers per unit chlorophyll a, 2) a 14% decrease of the PSII quantum yield(+) and 3) a 29% decrease of the energy transfer efficiency between the light harvesting chlorophyll a pigment bed and the PSII reaction centers. The decrease in energy transfer efficiency between the antennae and the PSII reaction centers at 12¬∞ C was interpreted as a mechanism to avoid photoinhibition. Copyright ¬© 1990, Wiley Blackwell. All rights reserved</t>
  </si>
  <si>
    <t>479-484</t>
  </si>
  <si>
    <t>Journal of Phycology</t>
  </si>
  <si>
    <t>60031679;60021501;60021501;60010365</t>
  </si>
  <si>
    <t>57203231853;7006139185;7102788425;55950037100</t>
  </si>
  <si>
    <t>Levasseur, Maurice E.;Morissette, Jean‚ÄêClaude ‚ÄêC;Popovic, Radovan;Harrison, Paul J.</t>
  </si>
  <si>
    <t>Canada;Canada;Canada</t>
  </si>
  <si>
    <t>Mont Joli;Trois-Rivieres;Vancouver</t>
  </si>
  <si>
    <t>Maurice Lamontagne Institute, Fisheries and Oceans Canada;Universit√© du Qu√©bec √† Trois-Rivi√®res;The University of British Columbia</t>
  </si>
  <si>
    <t>60031679;60021501;60010365</t>
  </si>
  <si>
    <t>Levasseur M.E.</t>
  </si>
  <si>
    <t>EFFECTS OF LONG TERM EXPOSURE TO LOW TEMPERATURE ON THE PHOTOSYNTHETIC APPARATUS OF DUNALIELLA TERTIOLECTA (CHLOROPHYCEAE)</t>
  </si>
  <si>
    <t>10.1111/j.0022-3646.1990.00479.x</t>
  </si>
  <si>
    <t>2-s2.0-84986870315</t>
  </si>
  <si>
    <t>['wiley blackwell', 'thylakoids isolated', 'severely affected', 'seems likely', 'rights reserved', 'red light', 'red irradiation', 'qa reduction', 'ps ii', 'plant physiol', 'photosystem ii', 'photosynthetic activity', 'oxygen yield', 'oscillation pattern', 'mainly located', 'fully account', 'former publication', 'fluorescence induction', 'flash train', 'electron transport', 'either blue', 'drastic reduction', 'binding capacity', 'antenna system', 'algae grown', 'absorption changes', '830 nm', '3 weeks', '3 days']</t>
  </si>
  <si>
    <t>Abstract‚Äî The photosynthetic activity of white light‚Äêgrown Acetabularia mediterranea Lamouroux (=A. acetabulum (L.) Silva) decreases under continuous red light to less than 20% within 3 weeks. Subsequent blue light reactivates photosynthesis within a relatively short period of 3 days. In a former publication (Wennicke and Schmid, Plant Physiol.84,1252‚Äì1256, 1987) we have shown that the regulated rate limiting step, which is an immediate light driven reaction, is part of photosystem II (PS II). The following biophysical properties of PS II were analyzed in thylakoids isolated from algae grown 3 weeks under either blue or red light with or without subsequent 3 days of blue light illumination: (a) fluorescence induction in the short time domain dominated by QA reduction, (b) the slow fluorescence decline reflecting pheophytin photoaccumulation, (c) absorption changes at 320 and 830 nm under repetitive flash excitation as indicator for the turnover of QA and P680, respectively, (d) oscillation pattern of the oxygen yield by a flash train in dark adapted samples and (e) the binding capacity for atrazine. None of these PS II functions were severely affected, but a minor impairment of20‚Äì30% was observed in the thylakoids from algae grown for 3 weeks in red irradiation. The changes do not fully account for the drastic reduction of the electron transport through PS II which was 80% after red light treatment. Therefore, the regulated rate‚Äêlimiting step appears to not be mainly located in the PS II core complex itself. It seems likely that the regulation process predominantly comprises the antenna system. Copyright ¬© 1990, Wiley Blackwell. All rights reserved</t>
  </si>
  <si>
    <t>103-109</t>
  </si>
  <si>
    <t>Photochemistry and Photobiology</t>
  </si>
  <si>
    <t>60030718;60011604;60011604</t>
  </si>
  <si>
    <t>7402199226;18634181800;56216930900</t>
  </si>
  <si>
    <t>Schmid, R.;Fromme, R.;Renger, G.</t>
  </si>
  <si>
    <t>Berlin;Berlin</t>
  </si>
  <si>
    <t>Freie Universit√§t Berlin;Technical University of Berlin</t>
  </si>
  <si>
    <t>60030718;60011604</t>
  </si>
  <si>
    <t>Schmid R.</t>
  </si>
  <si>
    <t>THE PHOTOSYNTHETIC APPARATUS OF Acetabularia mediterranea GROWN UNDER RED OR BLUE LIGHT. BIOPHYSICAL QUANTIFICATION and CHARACTERIZATION OF PHOTOSYSTEM II and ITS CORE COMPONENTS</t>
  </si>
  <si>
    <t>10.1111/j.1751-1097.1990.tb01762.x</t>
  </si>
  <si>
    <t>2-s2.0-84987014785</t>
  </si>
  <si>
    <t>['¬© 1990', 'thylakoid membranes', 'thylakoid membrane', 'specific antenna', 'significant quantity', 'rights reserved', 'ps ii', 'protein complexes', 'protein complex', 'ppc iv', 'ppc iii', 'polypeptide pattern', 'particularly peridinin', 'optimized deriphat', 'may represent', 'lower amounts', 'intrinsic pigment', 'gonyaulax polyedra', 'five pigment', 'containing pigment', 'chl c2', 'carotenoid composition', 'antenna pigments', 'absorption spectra']</t>
  </si>
  <si>
    <t>Car | carotenoid | Chl | chlorophyll | FP | free pigment | Gonyaulax polyedra | PCP | peridinin-Chla-protein | phenylmethylsulfonylfluoride | photosystem | pigment composition | pigment-protein complex | pigment-protein complexes | PMSF | polypeptide composition | PPC | PS | reversed-phase high performance liquid chromatography | rpHPLC | THY | thylakoid membrane</t>
  </si>
  <si>
    <t>SDS-solubilized thylakoid membranes of Gonyaulax polyedra were separated into five pigment-protein complexes (PPC I - V) using an optimized Deriphat-containing electrophoresis system. Intrinsic pigment- protein complexes were characterized by their absorption spectra, chlorophyll and carotenoid composition, and polypeptide pattern. Based on these characteristics, PPC I and II may represent photosystem (PS) I-complexes. A significant quantity of diadinoxanthin is associated with these complexes and is part of a PS I-specific antenna. Peridinin and Chl C2 are enriched in PPC III compared to thylakoid membranes which may represent a PS II-containing pigment-protein complex. PPC IV is enriched in xanthophylls, particularly peridinin, contains no Œ≤-carotene and is identified as a Chla/c2-peridinin antenna complex. PPC V may be a PS II-complex, but in comparison with PPC III, is associated with lower amounts of antenna pigments. A model for the organization of the pigment-protein complexes in the thylakoid membrane of Gonyaulax polyedra is proposed. ¬© 1990, Gustav Fischer Verlag, Stuttgart. All rights reserved.</t>
  </si>
  <si>
    <t>271-279</t>
  </si>
  <si>
    <t>60019782-60008293;60008293</t>
  </si>
  <si>
    <t>6602072663;56247816800</t>
  </si>
  <si>
    <t>Knoetzel, J√ºrgen;Rensing, Ludger</t>
  </si>
  <si>
    <t>Denmark;Germany</t>
  </si>
  <si>
    <t>Copenhagen;Bremen</t>
  </si>
  <si>
    <t>Carlsberg Research Center;Universit√§t Bremen</t>
  </si>
  <si>
    <t>60019782;60008293</t>
  </si>
  <si>
    <t>Knoetzel J.</t>
  </si>
  <si>
    <t>Characterization of the Photosynthetic Apparatus from the Marine Dinoflagellate Gonyaulax polyedra: I. Pigment and Polypeptide Composition of the Pigment-Protein Complexes</t>
  </si>
  <si>
    <t>S0176161711800490</t>
  </si>
  <si>
    <t>10.1016/S0176-1617(11)80049-0</t>
  </si>
  <si>
    <t>2-s2.0-84989672680</t>
  </si>
  <si>
    <t>['wiley blackwell', 'two levels', 'room temperature', 'rights reserved', 'results toward', 'rate constants', 'n +,', 'luminescent probes', 'ligand level', 'level deactivates', 'h2o solution', 'ground state', 'decays directly', 'd2o solutions', 'cryptand band', '77 k', '5d4 tb3', '300 nm', '1200 cm_1']</t>
  </si>
  <si>
    <t>Excited state emission and absorption decay measurements have been made on the cage‚Äêtype cryptate complexes [M bpy.bpy.bpy]n+, where Mn+= Na+, La3+, Eu3+, Gd3+ or Tb3+ and [bpy.bpy.bpy] is a tris‚Äêbipyridine macrobicyclic cryptand. Excitation has been performed in the high intensity 1œÄ‚ÄêœÄ* cryptand band with maximum at about 300 nm. Experiments have been carried out in H2O or D2O solutions and at 300 and 77 K to evaluate the rate constants of radiative and nonradiative decay processes. For Mn+= Na+, La3+ and Gd3+ the lowest excited state of the cryptate is a 3œÄœÄ* level of the cryptand which decays in the microsecond time scale at room temperature in H2O solution and in the second‚Äêmillisecond time scale at 77 K in MeOH‚ÄêEtOH. For Mn+= Eu3+, the lowest excited state is the luminescent 5D0 Eu3+ level which in H2O solution is populated with 10% efficiency and decays to the ground state with rate constants 2.9 √ó 103 s_1 at room temperature and 1.2 √ó 103 s‚àí‚Ä≤ at 77 K. The relatively low efficiency of 5D0 population upon 1œÄœÄ* excitation is attributed to the presence of a ligand‚Äêto‚Äêmetal charge transfer level through which 1œÄœÄ* decays directly to the ground state. For Mn+= Tb3+ the lowest excited state is the luminescent 5D4 Tb3+ level. The process of 5D4 population upon 1œÄœÄ* excitation is Àú100% efficient, but at room temperature it is followed by a high‚Äêefficiency, activated back energy transfer from the 5D4 Tb3+ level to the 3œÄœÄ* ligand level because of the relatively small energy gap between the two levels (1200 cm_1) and the intrinsically long lifetime of 5D4. At 77 K back energy transfer cannot take place and the 5D4 Tb3* level deactivates to the ground state with rate constant 5.9 √ó 102 s‚Äê‚Ä≤ (H2O solution). The relevance of these results toward the optimization of Eu3+ and Tb3+ cryptates as luminescent probes is discussed. Copyright ¬© 1990, Wiley Blackwell. All rights reserved</t>
  </si>
  <si>
    <t>299-306</t>
  </si>
  <si>
    <t>60103368;60026930;60026930-60028218;60103368;60028218;60026930-60028218</t>
  </si>
  <si>
    <t>6507410338;57208462573;7005686105;36050113100;7004123307;57204401161</t>
  </si>
  <si>
    <t>Alpha, Beatrice;Ballardini, Roberto;Balzani, Vincenzo;Lehn, Jean‚ÄêMarie ‚ÄêM;Perathoner, Siglinda;Sabbatini, Nanda</t>
  </si>
  <si>
    <t>France;Italy;Italy</t>
  </si>
  <si>
    <t>Strasbourg;Bologna;Bologna</t>
  </si>
  <si>
    <t>Universit√© de Strasbourg;Alma Mater Studiorum Universit√† di Bologna;Istituto di Fotochimica e Radiazioni d'Alta Energia</t>
  </si>
  <si>
    <t>60103368;60028218;60026930</t>
  </si>
  <si>
    <t>Alpha B.</t>
  </si>
  <si>
    <t>ANTENNA EFFECT IN LUMINESCENT LANTHANIDE CRYPTATES: A PHOTOPHYSICAL STUDY</t>
  </si>
  <si>
    <t>10.1111/j.1751-1097.1990.tb04185.x</t>
  </si>
  <si>
    <t>2-s2.0-84989742200</t>
  </si>
  <si>
    <t>['unit contains', 'underlying changes', 'synthesized indicating', 'subsequent identification', 'solubilized thylakoids', 'small amount', 'sevenfold increase', 'second fraction', 'scenedesmus obliquus', 'molecular organization', 'low chl', 'high percentage', 'high chl', 'high amount', 'heterotrophic growth', 'gel electrophoresis', 'free pigment', 'digitonin treatment', 'different kinetics', 'data demonstrate', 'core antenna', 'chloroplast development', 'chlorophylls involved', 'chl b', 'charge separation', 'band contained', '720 nm', '24 hours']</t>
  </si>
  <si>
    <t>Chloroplast differentiation | fluorescence | LHC | long wavelength antenna | photosystem I | pigment‚Äêprotein complexes | unit size</t>
  </si>
  <si>
    <t>Cells of pigment mutant C‚Äê6D of the green alga Scenedesmus obliquus synthesize only Chl a and precursors of carotenoids during heterotrophic growth in the dark. These cells exhibit high PSI‚Äêactivity per Chl and a low Chl/P700‚Äêratio. After transfer to light, Chl a, Chl b and carotenoids are formed with different kinetics. Analysis of chlorophyll fluorescence emission and excitation spectra revealed a sevenfold increase in the amount of the long wavelength antenna of PSI (720 nm) resulting in an increase in the absorption cross section of PSI during illumination. The underlying changes in molecular organization of PSI were investigated by sucrose density centrifugation of solubilized thylakoids after digitonin treatment and subsequent identification of the components by gel electrophoresis, HPLC and fluorescence. In dark grown cells one blue‚Äêgreen band (0‚ÄêII) could be resolved. This band contained only Chl a and the reaction center complex of PSI, CPI. After 24 hours of illumination three pigmented zones and a small amount of free pigment were observed. One of the zones (24‚ÄêI) was identified as a light‚Äêharvesting fraction containing the pigment‚Äêprotein complexes LHCP1 and LHCP3. In the second fraction (24‚ÄêII) the reaction center complexes of PSI and PSII were found. The highest molecular weight fraction (24‚ÄêIII) was enriched in PSI‚Äêcomplexes of higher molecular weight and contained a high amount of long wavelength fluorescence antenna (720 nm) attributed to PSI. In contrast to band 24‚ÄêII which contained a high percentage of Œ≤‚Äêcarotene and a high Chl a/b‚Äêratio, the Chl a/b‚Äêratio of fraction 24‚ÄêIII was lower and the xanthophyll content increased. Our data demonstrate an increase in the PSI‚Äêunit size during chloroplast development in mutant C‚Äê6D of Scenedesmus obliquus. Dark‚Äêgrown cultures have small functional PSI‚Äêunits composed of the chlorophylls involved in charge separation and the core antenna. This unit contains only Chl a and no carotenoids. After transfer to light Chl b and carotenoids are formed. Simultaneously with the appearance of carotenoids and Chl b, PSI‚Äêcomplexes of higher molecular weight are synthesized indicating the addition of a LHC to the reaction center complex of PSI. 1990 Deutsche Botanische Gesellschaft/German Botanical Society</t>
  </si>
  <si>
    <t>155-161</t>
  </si>
  <si>
    <t>60012556;60012556;60012556</t>
  </si>
  <si>
    <t>7004676254;6603415023;7005126308</t>
  </si>
  <si>
    <t>R√∂mer, S.;Humbeck, K.;Senger, H.</t>
  </si>
  <si>
    <t>Marburg</t>
  </si>
  <si>
    <t>Philipps-Universit√§t Marburg</t>
  </si>
  <si>
    <t>R√∂mer S.</t>
  </si>
  <si>
    <t>Analysis of the Molecular Organization of Photosystem I During Light‚ÄêDependent Chloroplast Differentiation in Mutant C‚Äê6D of Scenedesmus obliquus</t>
  </si>
  <si>
    <t>10.1111/j.1438-8677.1990.tb00142.x</t>
  </si>
  <si>
    <t>2-s2.0-84995103215</t>
  </si>
  <si>
    <t>['structured uncertainties', 'robustness issues', 'rights reserved', 'regulator problem', 'output compensators', 'input multiple', 'inc .,', 'estimator problem', 'cost function']</t>
  </si>
  <si>
    <t>A procedure is developed to deal with performance and robustness issues in the design of multiple-input multiple-output compensators for lightly damped flexible structures. The procedure is based upon representing errors in the plant design model as structured uncertainties, and applying a modified linear quadratic Gaussian design method. The cost function in the regulator problem and the process noise model in the estimator problem are varied in a manner that reflects specific parameter uncertainty including frequency, damping, or modal displacement errors. Numerical examples dealing with the control of a large flexible space antenna with uncertain frequencies demonstrate the application of the method. ¬© 1990 American Institute of Aeronautics and Astronautics, Inc., All rights reserved.</t>
  </si>
  <si>
    <t>57-65</t>
  </si>
  <si>
    <t>60013080;60027550</t>
  </si>
  <si>
    <t>Los Angeles;Plano</t>
  </si>
  <si>
    <t>University of California, Los Angeles;Electronic Data Systems</t>
  </si>
  <si>
    <t>60027550;60013080</t>
  </si>
  <si>
    <t>Robust linear quadratic gaussian control for flexible structures</t>
  </si>
  <si>
    <t>2-s2.0-85003297650</t>
  </si>
  <si>
    <t>['¬© 1990', 'wing fanning', 'rights reserved', 'related subsocial', 'probably common', 'parental care', 'parent interrelations', 'odor released', 'japanese society', 'forceps ).', 'evolutionary origin', 'egg masses', 'crushed nymphs', 'crushed nymph', 'control females', 'asocial species', 'applied entomology', 'also triggered', 'aggressive behavior', 'adaptive significance']</t>
  </si>
  <si>
    <t>E. putoni females straddled their eggs and nymphs and showed specific defensive behavior when disturbed. Females usually returned to egg masses after being separated from them, but could not discriminate their own eggs from others. When exposed to a crushed nymph, females showed intense defensive behavior (e.g. wing fanning) more frequently than when they were exposed to a control (forceps). In contrast, both E. putoni and E. dorsalis (a closely related subsocial species) females with amputated antennae showed the same reaction to crushed nymphs as control females. In both species, aggressive behavior was also triggered by crushed nymphs of related subsocial or asocial species. These results strongly suggest that the odor released from injured nymphs functioned as an alarm substance triggering maternal defensive responses. The substance is probably common in acanthosomatid bugs regardless of presence or absence of parental care. The adaptive significance and evolutionary origin of the smell-mediated alarm system in offspring-parent interrelations are discussed. ¬© 1990, JAPANESE SOCIETY OF APPLIED ENTOMOLOGY AND ZOOLOGY. All rights reserved.</t>
  </si>
  <si>
    <t>431-437</t>
  </si>
  <si>
    <t>1347605X</t>
  </si>
  <si>
    <t>Applied Entomology and Zoology</t>
  </si>
  <si>
    <t>Kud√¥, Shin ichi</t>
  </si>
  <si>
    <t>Kud√¥ S.</t>
  </si>
  <si>
    <t>Brooding Behavior in Elasmucha Putoni (Heteroptera: Acanthosomatidae), and a Possible Nymphal alarm Substance Triggering Guarding Responses</t>
  </si>
  <si>
    <t>10.1303/aez.25.431</t>
  </si>
  <si>
    <t>2-s2.0-85004318337</t>
  </si>
  <si>
    <t>['¬© 1990', 'sensillum structures', 'sensilla basiconica', 'rights reserved', 'japanese society', 'formicid sensilla', 'complex arrangement', 'applied entomology', 'aculeate hymenoptera']</t>
  </si>
  <si>
    <t>The sensillum structures on the antennae in Formicidae were examined by SEM to compare with those of other aculeate hymenoptera. While all aculeates had the sensilla basiconica, s. chaetica, s. placodea, s. coeloconica and s. ampullacea on the antennae, the sensillum structures of Formicidae were large and specialized in shape with more complex arrangement. These unique structural features reflected chemosensory specialization in formicid sensilla. ¬© 1990, JAPANESE SOCIETY OF APPLIED ENTOMOLOGY AND ZOOLOGY. All rights reserved.</t>
  </si>
  <si>
    <t>491-501</t>
  </si>
  <si>
    <t>Hashimoto, Yoshiaki</t>
  </si>
  <si>
    <t>Kobe</t>
  </si>
  <si>
    <t>Kobe University</t>
  </si>
  <si>
    <t>Hashimoto Y.</t>
  </si>
  <si>
    <t>Unique Features of Sensilla on the Antennae of Formicidae (Hymenoptera)</t>
  </si>
  <si>
    <t>10.1303/aez.25.491</t>
  </si>
  <si>
    <t>2-s2.0-85004601298</t>
  </si>
  <si>
    <t>['¬© 1990', 'total numbers', 'third type', 'ten types', 'sensilla type', 'rights reserved', 'psacothea hilaris', 'olfactory receptor', 'male antenna', 'low numbers', 'located dorsally', 'lateral sides', 'japanese society', 'iii ),', 'five hundred', 'female antennae', 'dome organs', 'distal edges', 'cuticular depression', 'conical pegs', 'chaetica type', 'basiconica type', 'applied entomology', 'antennal sensilla', 'antennal flagellum', 'always found']</t>
  </si>
  <si>
    <t>The antennal sensilla of the yellow spotted longicorn beetle, Psacothea hilaris (PASCOE) were studied with a scanning electron microscope to determine their structures and distribution. Ten types of sensilla; s. chaetica (type-I, II and III), s. basiconia (type-I, II and III), s. trichodea, conical pegs, dome organs and s.squamiformia were identified on the antennal flagellum. The s. chaetica type-I occurred on lateral sides of the flagellum and was abundant on the female antennae. The type-II s. chaeticum was located dorsally and laterally on distal edges of the flagellomeres and appeared to be a proprioceptor. The s. chaetica type-III were the most abundant (ca. 60,000) sensilla type on the flagellum and are thought to be mechanoreceptors. The s. basiconica type-I and II were typical multiporous olfactory receptors. Their total numbers were 16,000 for females and 18,600 for males. The third type of s. basiconica was also an olfactory receptor, but occurred in low numbers. Five hundred s. trichodea were found in both sexes. Conical pegs structurally similar to a hygro- or thermoreceptor were always found in a cuticular depression as were the dome organs. Only one s. squamiformium was found on a male antenna. ¬© 1990, JAPANESE SOCIETY OF APPLIED ENTOMOLOGY AND ZOOLOGY. All rights reserved.</t>
  </si>
  <si>
    <t>273-282</t>
  </si>
  <si>
    <t>60006935;60025272</t>
  </si>
  <si>
    <t>57192339484;55614177100</t>
  </si>
  <si>
    <t>Dai, Hua guo;Honda, Hiroshi</t>
  </si>
  <si>
    <t>Japan;China</t>
  </si>
  <si>
    <t>Tokyo;Harbin</t>
  </si>
  <si>
    <t>The University of Tokyo;Northeast Forestry University</t>
  </si>
  <si>
    <t>60025272;60006935</t>
  </si>
  <si>
    <t>Dai H.</t>
  </si>
  <si>
    <t>Sensilla on the antennal flagellum of the yellow spotted longicorn beetle, psacothea hilaris (pascoe) (coleoptera: Cerambycidae)</t>
  </si>
  <si>
    <t>10.1303/aez.25.273</t>
  </si>
  <si>
    <t>2-s2.0-85004649506</t>
  </si>
  <si>
    <t>Antenna effect | electromagnetic waves | human body</t>
  </si>
  <si>
    <t>143-144</t>
  </si>
  <si>
    <t>Analytical Sciences</t>
  </si>
  <si>
    <t>Fujiwara, Shizuo</t>
  </si>
  <si>
    <t>Kanagawa University</t>
  </si>
  <si>
    <t>Fujiwara S.</t>
  </si>
  <si>
    <t>Antenna Effect of Human Body towards Electromagnetic Waves in Space</t>
  </si>
  <si>
    <t>10.2116/analsci.6.143</t>
  </si>
  <si>
    <t>2-s2.0-85007750432</t>
  </si>
  <si>
    <t>['¬© 1990', 'well established', 'television receiver', 'television picture', 'technical quality', "snow ',", 'signal strength', 'satisfactory reference', 'rights reserved', 'related aspects', 'paper attempts', 'literature describing', 'electrical engineers', 'antenna system', 'allowing us']</t>
  </si>
  <si>
    <t>One of the most important factors affecting the technical quality of a television picture is the amount of noise, or'snow', on the picture. A television receiver produces noise if the signal from the antenna is weak, and the weaker the signal, the greater the amount of noise that is produced. Methods of predicting and measuring the signal strength are well established, but there appears to be no satisfactory reference in the literature describing what happens in the television receiver, and therefore this paper attempts to clarify and quantify the noise-related aspects of the performance of a television receiver. Following this, the study is extended to the antenna system, allowing us to show that the CCIR minimum field strengths are applicable in the context of modern receiving installations. ¬© 1990, The Institution of Electrical Engineers. All rights reserved.</t>
  </si>
  <si>
    <t>61-69</t>
  </si>
  <si>
    <t>Robinson, A. P.</t>
  </si>
  <si>
    <t>British Broadcasting Corporation</t>
  </si>
  <si>
    <t>Robinson A.</t>
  </si>
  <si>
    <t>Noise Relationships in a PAL System I Television Receiver</t>
  </si>
  <si>
    <t>10.1049/ecej:19900018</t>
  </si>
  <si>
    <t>2-s2.0-85024317637</t>
  </si>
  <si>
    <t>['¬© 1990', 'rights reserved', 'proteolytic experiments']</t>
  </si>
  <si>
    <t>chlorophyll-binding protein | CP 29 | dithiothreitol | DTT | LHCII | main light harvesting complex of PSII | PAGE | phenylmethylsulfonylfluoride | Photosystem II complex | PMSF | polyacrylamide gel electrophoresis | precursor | PSII | SDS | sodium dodecyl sulfate | Tricine | Tris | tris(hydroxymethyl)aminomethane | Tris(hydroxymethyl)methylglycine | Zea mays</t>
  </si>
  <si>
    <t>Based on immunoblot and proteolytic experiments, evidence is reported for the presence of a precursor of the PSII antenna complex CP 29 in etioplasts and etiochloroplasts. Its behaviour during greening and the possible factors involved in its maturation are discussed. ¬© 1990, Gustav Fischer Verlag, Stuttgart. All rights reserved.</t>
  </si>
  <si>
    <t>468-471</t>
  </si>
  <si>
    <t>60000481;60000481;60000481;60000481</t>
  </si>
  <si>
    <t>7003283287;7003672780;6603683440;16207173300</t>
  </si>
  <si>
    <t>Barbato, Roberto;Di Paolo, Maria Luisa;Rigoni, Fernanda;Giacometti, Giorgio M.</t>
  </si>
  <si>
    <t>Padua</t>
  </si>
  <si>
    <t>Universit√† degli Studi di Padova</t>
  </si>
  <si>
    <t>Barbato R.</t>
  </si>
  <si>
    <t>Identification of a Stable Precursor of the Apoprotein of the PSII Antenna Complex CP 29</t>
  </si>
  <si>
    <t>S0176161711800374</t>
  </si>
  <si>
    <t>10.1016/S0176-1617(11)80037-4</t>
  </si>
  <si>
    <t>2-s2.0-85025522699</t>
  </si>
  <si>
    <t>['¬© 1990', 'whole cells', 'time period', 'thylakoid membranes', 'subjective night', 'subjective day', 'significantly higher', 'rights reserved', 'ps ii', 'protein complexes', 'ppc iii', 'pigment patterns', 'pigment pattern', 'photosynthetic rhythmicity', 'photosynthetic capacity', 'photosynthetic apparatus', 'neither changes', 'molecular architecture', 'maximal capacity', 'intact cells', 'individual pigment', 'increased proportion', 'gonyaulax polyedra', 'free pigments', 'fluorescence induction', 'essential role', 'electron flow', 'continuous light', 'circadian periodicity', 'changes seem', 'carotenoid content', 'antenna system', 'antenna pigments']</t>
  </si>
  <si>
    <t>2,6-dichlorophenol indophenol | 3-(3‚Ä≤,4‚Ä≤-dichlorophenyl)-1,l‚Ä≤-dimethylurea | ASC | Chl | chlorophyll | circadian photosynthesis rhythm | circadian time | constant dim light | CT | DAD | DCMU | DCPIP | diaminodurene | DQ | duroquinol | electron transport | ET | FeCN | ferricyanide | FP | free pigment | Gonyaulax polyedra | LD | light-dark condition | LL | Na-ascorbate | photosystem | photosystem II-heterogeneity | pigment-protein complexes | plastoquinome | PQ | PS | ribulose-1,5-biphosphate carboxylase/oxygenase | RuBisCo | Xan | xanthophyll</t>
  </si>
  <si>
    <t>The photosynthetic capacity of intact cells of Gonyaulax polyedra, measured as O2-evolution, shows a circadian periodicity under continuous light. The maximal capacity is seen in the middle of the subjective day, whereas the minimal capacity occurs in the middle of the subjective night. However, the rate of electron flow through both photosystems, photosystem (PS) I and PS II activity, shows no rhythmicity in isolated thylakoid membranes. The chlorophyll and carotenoid content and the pigment pattern of whole cells is shown to be constant under conditions of constant dim light and temperature. Likewise, the pigment pattern of the thylakoid membranes is not different at times of maximal and minimal photosynthetic capacity. Characterization of the molecular architecture of the photosynthetic apparatus from Gonyaulax (Knoetzel and Rensing, 1990) was a prerequisite for further analysis of photosynthetic rhythmicity. Five intrinsic pigment-protein complexes (PPC I - V) can be separated at each time period with DeriphatPAGE, and neither changes in pigment pattern nor in the amount of the free pigments after electrophoresis are observed at times of maximal and minimal photosynthetic capacity. In contrast, the pigment patterns of individual pigment-proteins do change. Under continuous light as well as under light dark conditions, the xanthophyll/Chl a-ratio of the PPC III + IV is significantly higher during the phase of ¬´subjective night¬ª compared to the phase of ¬´subjective day¬ª These changes seem to be due to differences in organization of the PS II-antenna system. This is supported by measurements of the fluorescence induction of dark-adaptated, DCMU-treated Gonyaulax cells, which show two PS II-forms. At the time of maximal photosynthetic capacity in the middle of the subjective day, an increased proportion of PS IIŒ±-complexes exists, which, compared to PS IIŒ≤, are associated with more antenna pigments. Thus, changes in the stoichiometries between the two PS II-forms, and therefore, in the organization of the pigment-protein complexes, play an essential role in the expression of the photosynthetic rhythmicity in Gonyaulax. ¬© 1990, Gustav Fischer Verlag, Stuttgart. All rights reserved.</t>
  </si>
  <si>
    <t>280-288</t>
  </si>
  <si>
    <t>Characterization of the Photosynthetic Apparatus from the Marine Dinoflagellate Gonyaulax polyedra: II. Circadian Rhythmicity of Photosynthesis and the Supramolecular Organization of Pigment-Protein Complexes</t>
  </si>
  <si>
    <t>S0176161711800507</t>
  </si>
  <si>
    <t>10.1016/S0176-1617(11)80050-7</t>
  </si>
  <si>
    <t>2-s2.0-85025534301</t>
  </si>
  <si>
    <t>['use amplifiers', 'third part', 'thesis deals', 'second part', 'receiving antenna', 'phase shifter', 'one dual', 'noise parameters', 'new configuration', 'gate mesfet', 'first part', 'amplitude control', 'adsorptive attenuator']</t>
  </si>
  <si>
    <t>This thesis deals with several of the key components necessary for the control of a phased array antenna. For the receiving antenna it is essential to use amplifiers with low noise factors in front of phase shifter and amplifiers to reduce the system noise factor. Low noise amplifiers is the subject of the first part of the thesis. A computer based graphic design method has been developed and applied to low noise feedback amplifiers. The second part of the thesis considers phase shifters and attenuators for phase and amplitude control, respectively. A phase shifter matching network has been developed that also DC isolates the diodes. Furthermore, there is presented a new configuration for a quadrature phase shifter using only one dual-gate MESFET. An adsorptive attenuator with minimized phase shift has been developed. The third part of the thesis is associated with measurement of noise parameters. An automatic noise parameter measurement system is under development.</t>
  </si>
  <si>
    <t>Chalmers Tekniska Hogskola, Doktorsavhandlingar</t>
  </si>
  <si>
    <t>Albinsson, Bjorn</t>
  </si>
  <si>
    <t>Albinsson B.</t>
  </si>
  <si>
    <t>On microwave low noise feedback amplifiers and control circuits</t>
  </si>
  <si>
    <t>2-s2.0-85040888730</t>
  </si>
  <si>
    <t>['¬© 1990', 'two photosystems', 'reduction state', 'plastoquinone pool', 'nadph production', 'marked decrease', 'glycolytic activity', 'glucose 6', 'dark resulted', 'chlamydomonas reinhardtii']</t>
  </si>
  <si>
    <t>Fluorescence | Glycolysis | Mitochondrial respiration | Respiration and photosynthesis interaction | State I-State II transition</t>
  </si>
  <si>
    <t>In Chlamydomonas reinhardtii, addition of mitochondrial oxidases inhibitors or uncouplers in the dark resulted in an increase of the variable fluorescence level, a decrease of the maximum fluorescence level and a rise of the slow electrochromic phase in flash-induced 520 nm absorption changes. Fluorescence emission spectra recorded at 77 K presented a marked decrease in the F686nm F715nm ratio which was suggestive of a state I-state II transition. Biochemical analysis indicated that the ATP and glucose 6-phosphate pools decreased markedly under these conditions, whereas the NADPH concentration increased. The NAD pool remained totally oxidised. These results strongly suggest that alterations of the mitochondrial oxidative phosphorylations in the dark could induce an increase of the reduction state of the plastoquinone pool and a redistribution of the antennae between the two photosystems. It is proposed that these variations were linked to an acceleration of the NADPH production in the chloroplast through the glycolytic activity. ¬© 1990.</t>
  </si>
  <si>
    <t>150-155</t>
  </si>
  <si>
    <t>BBA - Bioenergetics</t>
  </si>
  <si>
    <t>60003729;60003729</t>
  </si>
  <si>
    <t>7006134776;6701629492</t>
  </si>
  <si>
    <t>Gans, Pierre;Rebeille, Fabrice</t>
  </si>
  <si>
    <t>Gans P.</t>
  </si>
  <si>
    <t>Control in the dark of the plastoquinone redox state by mitochondrial activity in Chlamydomonas reinhardtii</t>
  </si>
  <si>
    <t>000527289090226T</t>
  </si>
  <si>
    <t>10.1016/0005-2728(90)90226-T</t>
  </si>
  <si>
    <t>2-s2.0-0025117511</t>
  </si>
  <si>
    <t>['suitably controlled', 'resonant frequency', 'reactive coupling', 'observed behaviour', 'low coupling', 'higher coupling', 'good agreement', 'authors discuss', 'antenna leads', 'acoustic q']</t>
  </si>
  <si>
    <t>It is shown that a microwave parametric transducer for a resonant bar gravitational radiation antenna can achieve high electromechanical coupling without degrading the acoustic Q of the antenna. The reactive coupling of the transducer to the antenna leads to both cold-damping and modification of the antenna's resonant frequency. These effects are examined in a 1.5 tonne niobium resonant bar antenna. At low coupling the observed behaviour is found to be in good agreement with theory. At higher coupling, the behaviour is complicated by other effects. The authors discuss how these parametric effects may be used to advantage when suitably controlled. ¬© 1990 IOP Publication Ltd.</t>
  </si>
  <si>
    <t>Journal of Physics D: Applied Physics</t>
  </si>
  <si>
    <t>8682074600;7005135152;22974326500</t>
  </si>
  <si>
    <t>Linthorne, N. P.;Veitch, P. J.;Blair, D. G.</t>
  </si>
  <si>
    <t>Interaction of a parametric transducer with a resonant bar gravitational radiation detector</t>
  </si>
  <si>
    <t>10.1088/0022-3727/23/1/001</t>
  </si>
  <si>
    <t>2-s2.0-0025209488</t>
  </si>
  <si>
    <t>R01GM021827</t>
  </si>
  <si>
    <t>['¬© 1990', 'triton x', 'structural similarity', 'prochlorothrix antibody', 'polyclonal antibodies', 'phycologia 14', 'partitioned p', 'modified forms', 'major lhc', 'maize could', 'lond .)', 'immunoblotting experiments', 'ii chl', 'gene product', 'escherichia coli', 'different genes', 'data confirm', 'binding protein', 'b antenna', '30 kda', '264 ).', '160 ).', '114 phase']</t>
  </si>
  <si>
    <t>Antenna proteins | Chlorophyll | Photosynthesis | Prochlorophyte | Thylakoid</t>
  </si>
  <si>
    <t>Polyclonal antibodies were prepared against the major antenna chlorophyll (Chl) a/b-binding protein from the prokaryote Prochlorothrix hollandica (Burger-Wiersma et al. (1986) Nature (Lond.) 320, 262-264). Immunoblotting experiments on Triton X-114 phase-partitioned P. hollandica thylakoids revealed that the antibody recognizes intrinsic membrane polypeptides of 33 and 30 kDa, and immunocytochemistry of P. hollandica thin sections showed that the antibody preferentially decorates the thylakoid. The antibody was immunopurified against a LacZ fusion protein produced in Escherichia coli by an immunopositive phage clone retrieved from a ŒªZAP expression library. This purified antibody cross-reacted to both the 33 and 30 kDa polypeptides, indicating that these proteins are either structurally related products of different genes, or modified forms of the same gene product. Whereas immunological crossreactivity of Prochlorothrix antibody to the major LHC-II Chl a/b antenna of maize could not be detected, the immunopurified antibody reacted strongly to the major 34 kDa Chl a/b antenna protein from the prokaryote Prochloron sp. (Lewin (1975) Phycologia 14, 153-160). These data confirm the structural similarity of the prochlorophyte photosynthetic antenna systems. ¬© 1990.</t>
  </si>
  <si>
    <t>99-105</t>
  </si>
  <si>
    <t>FEMS Microbiology Letters</t>
  </si>
  <si>
    <t>60018475;60018475;60028629;60028629</t>
  </si>
  <si>
    <t>7004682381;57196558910;7401446434;57195342181</t>
  </si>
  <si>
    <t>Bullerjahn, George S.;Jensen, Timothy C.;Sherman, Debra M.;Sherman, Louis A.</t>
  </si>
  <si>
    <t>West Lafayette;Bowling Green</t>
  </si>
  <si>
    <t>College of Science;Bowling Green State University</t>
  </si>
  <si>
    <t>60028629;60018475</t>
  </si>
  <si>
    <t>Bullerjahn G.S.</t>
  </si>
  <si>
    <t>Immunological characterization of the Prochlorothrix hollandica and Prochloron sp. chlorophyll a/b antenna proteins</t>
  </si>
  <si>
    <t>0378-1097(90)90176-Q</t>
  </si>
  <si>
    <t>10.1016/0378-1097(90)90176-Q</t>
  </si>
  <si>
    <t>2-s2.0-0025707228</t>
  </si>
  <si>
    <t>['¬© 1990', 'perot cavity']</t>
  </si>
  <si>
    <t>A laser interferometric gravitational antenna is proposed with a nonlinear active optical medium inside the Fabry-Perot cavity. The enhancing of sensivity takes place due to internal parametric amplification of the signal. ¬© 1990.</t>
  </si>
  <si>
    <t>353-356</t>
  </si>
  <si>
    <t>Physics Letters A</t>
  </si>
  <si>
    <t>60029225;60007457</t>
  </si>
  <si>
    <t>7005584223;7101836147</t>
  </si>
  <si>
    <t>Kulagin, V. V.;Rudenko, V. N.</t>
  </si>
  <si>
    <t>Russian Federation;Russian Federation</t>
  </si>
  <si>
    <t>Moscow;Moscow</t>
  </si>
  <si>
    <t>Kotelnikov Institute of Radioengineering and Electronics (IRE) of Russian Academy of Sciences;Lomonosov Moscow State University</t>
  </si>
  <si>
    <t>Kulagin V.</t>
  </si>
  <si>
    <t>Laser interferometric gravitational antenna with nonlinear optical element</t>
  </si>
  <si>
    <t>0375-9601(90)90370-4</t>
  </si>
  <si>
    <t>10.1016/0375-9601(90)90370-4</t>
  </si>
  <si>
    <t>2-s2.0-4243807343</t>
  </si>
  <si>
    <t>['‚ äô', 'three concentrations', 'star formation', 'overlap region', 'ngc 4039', 'ngc 4038', 'molecular gas', 'disks overlap', 'concentrated gas', 'completely depleted', 'co emission', 'approximately 1', 'antennae ")', '10 œºm']</t>
  </si>
  <si>
    <t>Galaxies: individual (NGC 4038/9) | Galaxies: interactions | Galaxies: interstellar matter | Stars: formation</t>
  </si>
  <si>
    <t>High-resolution (6‚Ä≥) CO observations of the merging galaxies NGC 4038/39 (the "Antennae") have been made with the Owens Valley Millimeter Wave Interferometer. Three concentrations of CO emission were detected. In addition to masses of a few √ó 108 M‚äô at each nucleus, approximately 1.2 √ó 109 M‚äô of molecular gas was discovered in a 32‚Ä≥ √ó 22‚Ä≥ region where the two galaxies overlap. Within this region are four distinct clumps. These coincide with Ha, 10 Œºm, and radio continuum peaks, suggesting that they are extremely active sites of star formation. The galaxy interaction appears to have concentrated gas at the nuclei of NGC 4038 and NGC 4039 and to have engendered enhanced star formation activity in the region where their disks overlap. From estimates of the SFR in this overlap region, we suggest that the gas will be completely depleted in 2.4 √ó 108 yr.</t>
  </si>
  <si>
    <t>492-496</t>
  </si>
  <si>
    <t>122904374-60032179;60031581;60031581;60031581</t>
  </si>
  <si>
    <t>35417736300;35405178900;35401143000;7005476593</t>
  </si>
  <si>
    <t>Stanford, S. A.;Sargent, A. I.;Sanders, D. B.;Scoville, N. Z.</t>
  </si>
  <si>
    <t>Madison;Pasadena;Falls</t>
  </si>
  <si>
    <t>University of Wisconsin-Madison;California Institute of Technology;University of Wisconsin</t>
  </si>
  <si>
    <t>60032179;60031581;122904374</t>
  </si>
  <si>
    <t>Stanford S.A.</t>
  </si>
  <si>
    <t>CO aperture synthesis of NGC 4038/39 (ARP 244)</t>
  </si>
  <si>
    <t>10.1086/168334</t>
  </si>
  <si>
    <t>2-s2.0-0000411284</t>
  </si>
  <si>
    <t>['three generations', 'significantly reduced', 'severely affected', 'selenium deprivation', 'second antennae', 'sarcoplasmic reticulum', 'protects cells', 'peroxidic damage', 'parthenogenetic eggs', 'parent daphnids', 'muscle fibrils', 'like alterations', 'giant lysosomes', 'daphnia magna', 'complete lysis', 'characteristic features', 'animals deprived']</t>
  </si>
  <si>
    <t>Crustacea | Culture medium | Cytopathology | Daphnia magna | Selenium deficiency | Ultrastructure</t>
  </si>
  <si>
    <t>The effect of selenium deprivation on Daphnia magna was examined under controlled rearing conditions in a synthetic culture medium. After three generations, fertility was significantly reduced in deprived (Se-) animals. Growth and mortality of parent daphnids and development of parthenogenetic eggs were not affected during this period. In the fourth generation Se- daphnids rejected parts of their second antennae. At the ultrastructural level antennal muscle tissue was severely affected. Animals deprived of selenium had mitochondria and sarcoplasmic reticulum with myelin-like alterations. Giant lysosomes were present and complete lysis of muscle fibrils was observed in antennal muscle cells. These alterations are characteristic features of peroxidic damage in tissues. This interpretation is consistent with the function of selenium as a constituent of the enzyme glutathione peroxidase which protects cells from peroxidation. Selenium should be included in synthetic culture media for daphnids. ¬© 1990 Springer-Verlag.</t>
  </si>
  <si>
    <t>25-33</t>
  </si>
  <si>
    <t>0033183X</t>
  </si>
  <si>
    <t>Protoplasma</t>
  </si>
  <si>
    <t>Elendt, B. P.</t>
  </si>
  <si>
    <t>Heidelberg</t>
  </si>
  <si>
    <t>Universit√§t Heidelberg</t>
  </si>
  <si>
    <t>Selenium deficiency in Crustacea - An ultrastructural approach to antennal damage in Daphnia magna Straus</t>
  </si>
  <si>
    <t>10.1007/BF01349532</t>
  </si>
  <si>
    <t>2-s2.0-0001872624</t>
  </si>
  <si>
    <t>['trigonometric equations', 'thrust production', 'thrust generated', 'swimmers indicate', 'speed films', 'small contributions', 'polynomial fits', 'numerical analysis', 'net cost', 'model results', 'model based', 'mechanical efficiency', 'leg motions', 'jump distances', 'followed differences', 'crustacean swimming', 'cephalothorax length', 'body size', 'best described', '70 %),', '6 mm', '30 %)', '1 km']</t>
  </si>
  <si>
    <t>High-speed films of swimming Acanthocyclops robustus were used to test a crustacean swimming-model based on numerical analysis of thrust production. Predicted body velocities and jump distances were usually within 75% of those observed. Most of the thrust which propels. A. robustus is produced by movements of the 2nd, 3rd, and 4th thoracic swimming legs, with only small contributions from the first thoracic swimming legs. A model analyzed without the first antennae suggested that the antennae do not produce significant thrust. The leg and antennal movements could be described with trigonometric equations (cosine curves), but were best described by polynomial fits of position vs time data from the films. Patterns of swimming velocity varied among four episodes that were modeled, and followed differences in swimming-leg motions. Model results for the small (cephalothorax length = 0.6 mm) cyclopoid A. robustus and those which have been reported for the large calanoid copepod Pleuromamma xiphias and other swimmers indicate that mechanical efficiency (30%) does not scale with body size, whereas jump distance (one body length), proportion of thrust generated by hydrodynamic added mass (70%), and net cost of transport, Cp (40 to 109 cal g-1 km-1) do. ¬© 1990 Springer-Verlag.</t>
  </si>
  <si>
    <t>83-91</t>
  </si>
  <si>
    <t>Marine Biology</t>
  </si>
  <si>
    <t>100514254;60000401;60030822</t>
  </si>
  <si>
    <t>24501048400;6504768440;7003674388</t>
  </si>
  <si>
    <t>Morris, M. J.;Kohlhage, K.;Gust, G.</t>
  </si>
  <si>
    <t>St Petersburg;Munster;Dunedin</t>
  </si>
  <si>
    <t>University of South Florida St. Petersburg;Westf√§lische Wilhelms-Universit√§t M√ºnster;Ocean Optics Inc.</t>
  </si>
  <si>
    <t>60030822;60000401;100514254</t>
  </si>
  <si>
    <t>Morris M.</t>
  </si>
  <si>
    <t>Mechanics and energetics of swimming in the small copepod Acanthocyclops robustus (Cyclopoida)</t>
  </si>
  <si>
    <t>10.1007/BF01313245</t>
  </si>
  <si>
    <t>2-s2.0-0025010947</t>
  </si>
  <si>
    <t>['receiving conditions', 'phase center', 'optimum location', 'optical lengths', 'known geometry', 'focusing system', 'conventional method']</t>
  </si>
  <si>
    <t>In practice, the problem of determinig the optimum location of the phase center (PC) and exciter orientation frequently arises, for a known geometry of the focusing system and a fixed phase distribution in the aperture. The conventional method of solving this problem in the geometrical optics approximation reduces to minimizing a functional of the difference in the optical lengths of the beams in a focusing system. In this paper we propose another approach to solving this problem. We consider an antenna under receiving conditions.</t>
  </si>
  <si>
    <t>117-119</t>
  </si>
  <si>
    <t>6603940464;36960610800</t>
  </si>
  <si>
    <t>Bondareva, O. M.;Grigor'yev, A. I.</t>
  </si>
  <si>
    <t>Bondareva O.</t>
  </si>
  <si>
    <t>Calculation of the optimum location of an exciter in mirror and lens antennas</t>
  </si>
  <si>
    <t>2-s2.0-0025376711</t>
  </si>
  <si>
    <t>['wave method', 'radiation fields', 'physical optics', 'new formulation', 'mirror antennas', 'edge mirrors', 'detailed formulas']</t>
  </si>
  <si>
    <t>Recommendations are made for using the boundary-wave method in the new formulation by Ufimtsev to refine the radiation fields of mirror antennas, found by the method of physical optics. Detailed formulas for calculations are presented and an algorithm for thin-edge mirrors is described.</t>
  </si>
  <si>
    <t>99-102</t>
  </si>
  <si>
    <t>57190978033;6505851257</t>
  </si>
  <si>
    <t>Somov, V. A.;Vyaz'mitinova, S. S.</t>
  </si>
  <si>
    <t>Somov V.</t>
  </si>
  <si>
    <t>Application of the boundary-wave method for the numerical analysis of mirror antennas</t>
  </si>
  <si>
    <t>2-s2.0-0025376797</t>
  </si>
  <si>
    <t>['quantitative estimates', 'operational effectiveness', 'obtained experimentally']</t>
  </si>
  <si>
    <t>Results are obtained experimentally from a comparison of the operational effectiveness of a multihop SW radio link using inphase antennas with various radiation patterns. Quantitative estimates are presented.</t>
  </si>
  <si>
    <t>95-98</t>
  </si>
  <si>
    <t>6603042257;6602209365;7005716049</t>
  </si>
  <si>
    <t>Zhil'tsov, A. U.;Korolenkov, A. V.;Chernov, Yu A.</t>
  </si>
  <si>
    <t>Zhil'tsov A.</t>
  </si>
  <si>
    <t>Comparative effectiveness of short-wave inphase antennas operating on a marine multihop route</t>
  </si>
  <si>
    <t>2-s2.0-0025376816</t>
  </si>
  <si>
    <t>['known one', 'external sources', 'dimensional method', 'angular coordinates']</t>
  </si>
  <si>
    <t>A two-dimensional method is proposed for estimating the angular coordinates of external sources, which is a generalization of the well-known one-dimensional method.</t>
  </si>
  <si>
    <t>102-104</t>
  </si>
  <si>
    <t>57225400667;6507106046</t>
  </si>
  <si>
    <t>Gershman, A. B.;Ugrinovskiy, R. A.</t>
  </si>
  <si>
    <t>Gershman A.B.</t>
  </si>
  <si>
    <t>Estimation of the angular coordinates of radiation sources by means of an. Antenna array with unknown global geometry</t>
  </si>
  <si>
    <t>2-s2.0-0025377026</t>
  </si>
  <si>
    <t>['rectangular aperture', 'radiation pattern', 'noise variance']</t>
  </si>
  <si>
    <t>The emission of a steady-state noise signal by a rectangular aperture is analyzed. The results of a calculation of the radiation pattern from the noise variance for various aperture excitation laws are presented.</t>
  </si>
  <si>
    <t>104-107</t>
  </si>
  <si>
    <t>Maslov, O. N.</t>
  </si>
  <si>
    <t>Maslov O.</t>
  </si>
  <si>
    <t>Field of an aperture emitter of a steady-state noise signal</t>
  </si>
  <si>
    <t>2-s2.0-0025377057</t>
  </si>
  <si>
    <t>['various directions', 'given direction', 'emission maximum']</t>
  </si>
  <si>
    <t>A procedure for designing an antenna with a plane impedance reflector that provides maximum emission in a given direction is considered. The synthesized radiation pattern is determined. Calculated radiation patterns are presented for various directions of the emission maximum and when the exciter is displaced from the focus.</t>
  </si>
  <si>
    <t>92-95</t>
  </si>
  <si>
    <t>6602321120;6603061340</t>
  </si>
  <si>
    <t>Yukhanov, Yu V.;Koshikid'ko, V. G.</t>
  </si>
  <si>
    <t>Yukhanov Y.</t>
  </si>
  <si>
    <t>Synthesis of an antenna with a plane impedance reflector</t>
  </si>
  <si>
    <t>2-s2.0-0025377058</t>
  </si>
  <si>
    <t>['phased array', 'metal waveguides', 'horizontal plane', 'feed network', 'corporate feed', 'beam scanning', '70 ghz']</t>
  </si>
  <si>
    <t>dielectric rod antenna | dielectric waveguides | ferrite phase shifter | millimeter waves | phased array</t>
  </si>
  <si>
    <t>A phased array is presented at a frequency of 70 GHz, consisting of a corporate feed, ferrite phase shifters and dielectric rod antennas. Metal waveguides were utilized to construct the feed network, whereas a special dielectric waveguide structure was employed for the ferrite phase shifter and dielectric rod antenna. Beam scanning can be performed electronically controlled in the horizontal plane. ¬© 1990 Plenum Publishing Corporation.</t>
  </si>
  <si>
    <t>International Journal of Infrared and Millimeter Waves</t>
  </si>
  <si>
    <t>Gl√∂ckler, Roman</t>
  </si>
  <si>
    <t>Erlangen</t>
  </si>
  <si>
    <t>Friedrich-Alexander-Universit√§t Erlangen-N√ºrnberg</t>
  </si>
  <si>
    <t>Gl√∂ckler R.</t>
  </si>
  <si>
    <t>Phased array for millimeter wave frequencies</t>
  </si>
  <si>
    <t>10.1007/BF01010509</t>
  </si>
  <si>
    <t>2-s2.0-0025383548</t>
  </si>
  <si>
    <t>['stations located', 'retrieval activities', 'guided vehicles', 'food processor', 'distribution facility', 'board microcomputers', 'article discusses', 'agvs communicate', 'agv antennas']</t>
  </si>
  <si>
    <t>The article discusses how a fruit and food processor is using an integrated material handling system featuring automated guide vehicles to move massive amounts of cans of product in, out and around its warehouse and distribution facility. The extension of the computerized warehouse control system into a totally integrated material handling system has been aided by the addition of sideload forklift automated-guided vehicles. The AGVs communicate with the host computer via on-board microcomputers, as well as production floor data concentrators, which translate digital messages into radio frequencies acceptable to AGV antennas. Direction and elevation commands pertaining to storage and retrieval activities are communicated to the AGVs from stations located in the various warehouse zones.</t>
  </si>
  <si>
    <t>28-29</t>
  </si>
  <si>
    <t>0748948X</t>
  </si>
  <si>
    <t>Manufacturing Systems</t>
  </si>
  <si>
    <t>Dutton, Barbara</t>
  </si>
  <si>
    <t>Dutton B.</t>
  </si>
  <si>
    <t>Moving mountains of fruit</t>
  </si>
  <si>
    <t>2-s2.0-0025383727</t>
  </si>
  <si>
    <t>['paper presents', 'mechanical requirements', 'main results', 'electrical performance', 'electrical design', 'dichroic structure']</t>
  </si>
  <si>
    <t>The paper presents the main results of the electrical design of a space qualified dichroic subreflector. Emphasis is put on the impact of the technological and mechanical requirements on both design and electrical performance of the dichroic structure.</t>
  </si>
  <si>
    <t>13-15</t>
  </si>
  <si>
    <t>CSELT Technical Reports</t>
  </si>
  <si>
    <t>60009628;60009628</t>
  </si>
  <si>
    <t>6603727034;6701447666</t>
  </si>
  <si>
    <t>Bresciani, D.;Contu, S.</t>
  </si>
  <si>
    <t>Turin</t>
  </si>
  <si>
    <t>Centro Studi e Laboratori Telecomunicazioni, Turin</t>
  </si>
  <si>
    <t>Bresciani D.</t>
  </si>
  <si>
    <t>Technological requirements in the electrical design of dichroic antennas</t>
  </si>
  <si>
    <t>2-s2.0-0025383911</t>
  </si>
  <si>
    <t>['wide range', 'waveguide mounts', 'v characteristics', 'sis junctions', 'sin junctions', 'real ones', 'quantum theory', 'port approximation']</t>
  </si>
  <si>
    <t>millimetre-waves | quantum mixer theory | SIN-mixer | SIS-mixer</t>
  </si>
  <si>
    <t>Tucker's quantum theory of mixing (in the 3-port approximation) is employed to calculate the gain over a wide range of frequencies of model mixers employing SIS and SIN junctions with both real and ideal I-V characteristics. A comparison is made between the performance of junctions in waveguide and open antenna mounts. It is concluded that ideal junctions give gain 1.5 to 2 times higher than real ones, SIS junctions have gain approximately three times greater than otherwise similar SIN junctions, and that junction areas need to be typically three times smaller in open antenna structures to provide comparable gain to those in waveguide mounts. ¬© 1990 Plenum Publishing Corporation.</t>
  </si>
  <si>
    <t>60010818;60010818;60010818</t>
  </si>
  <si>
    <t>7403126222;6504196238;7006387341</t>
  </si>
  <si>
    <t>Davies, S. R.;Shafiee, R.;Little, L. T.</t>
  </si>
  <si>
    <t>Davies S.</t>
  </si>
  <si>
    <t>Simulated performance of SIS and SIN junctions as heterodyne receivers in waveguide and open antenna mixer mounts</t>
  </si>
  <si>
    <t>10.1007/BF01010507</t>
  </si>
  <si>
    <t>2-s2.0-0025385624</t>
  </si>
  <si>
    <t>['theoretical patterns', 'short discussion', 'planar antennas', 'microbolometer detectors', 'fabrication details', 'dielectric stack', 'briefly discuss']</t>
  </si>
  <si>
    <t>We have constructed a planar, monolithic twin slot antenna integrated with a bismuth microbolometer detector for operation near 94 GHz. In this paper, we briefly discuss the theory of operation for planar antennas on a dielectric stack. We then cover the fabrication details, including a short discussion of a photoresist bridge technique used to fabricate the microbolometer detectors. Measured receiver gain beam patterns are then compared with theoretical patterns for a number of cases. ¬© 1990 Plenum Publishing Corporation.</t>
  </si>
  <si>
    <t>111-131</t>
  </si>
  <si>
    <t>60013372;60013372;60013372;60013372;60013372</t>
  </si>
  <si>
    <t>7006258203;16454983700;6601981537;7006694199;36041035600</t>
  </si>
  <si>
    <t>Wentworth, S. M.;Rogers, R. L.;Heston, J. G.;Neikirk, D. P.;Itoh, T.</t>
  </si>
  <si>
    <t>Millimeter wave twin slot antennas on layered substrates</t>
  </si>
  <si>
    <t>10.1007/BF01010510</t>
  </si>
  <si>
    <t>2-s2.0-0025385683</t>
  </si>
  <si>
    <t>['using elf', 'trailing aerial', 'surface fwa', 'submerged submarines', 'submarine communications', 'speed restriction', 'royal navy', 'restriction increases', 'reception maintained', 'presently underway', 'necessary reduction', 'many thousands', 'elf system', 'active research', 'achieved without', '100 hz']</t>
  </si>
  <si>
    <t>ELF - (Extremely Low Frequency) - communications is currently in service with the United States Navy and is presently under consideration by the Royal Navy for use as a 'Bellringer' to submerged submarines. Active research is presently underway in the ARE - (Admiralty Research Establishment) - programme. Using ELF - with frequencies below 100 Hz - ranges of many thousands of miles can be achieved without the submarine being near the surface. With present VLF systems a surface FWA (floating wire antenna) or near surface aerial is essential to enable submarine reception which requires a necessary reduction in speed. This restriction increases the possibility of detection of submarines and thus their vulnerability. With ELF, a trailing aerial can be streamed down to full operational depths and reception maintained, without any speed restriction. The advantages and disadvantages of an ELF system for submarine communications are summarised.</t>
  </si>
  <si>
    <t>0141061X</t>
  </si>
  <si>
    <t>Electronic technology London</t>
  </si>
  <si>
    <t>Guthrie, G.</t>
  </si>
  <si>
    <t>Guthrie G.</t>
  </si>
  <si>
    <t>ELF. Future submarine communications</t>
  </si>
  <si>
    <t>2-s2.0-0025386684</t>
  </si>
  <si>
    <t>['without requiring', 'trucking industry', 'storing data', 'processing network', 'national system', 'mounted transponder', 'government agencies', 'either ground', 'data communications', 'associated antennae']</t>
  </si>
  <si>
    <t>The Crescent demonstration project, scheduled to begin this October, will evaluate the Heavy Vehicle Electronic License Plate (HELP) system. HELP combines automatic vehicle identification (AVI), automatic vehicle classification (AVC) and weigh-in-motion (WIM) technologies with a data communications and processing network. The aim is to create a national system for monitoring and managing heavy vehicle traffic that could be used by government agencies and the trucking industry. AVI techniques uniquely identify vehicles as they pass specific points on the highway, without requiring any action by the driver or an observer. Systems can be either ground-based or satellite-based. Ground-based systems typically consist of a vehicle-mounted transponder, a roadside reader unit and associated antennae, and systems for transmitting, analyzing and storing data.</t>
  </si>
  <si>
    <t>64-65</t>
  </si>
  <si>
    <t>Civil engineering New York, N.Y.</t>
  </si>
  <si>
    <t>57198400447;57199040418</t>
  </si>
  <si>
    <t>Hill, Chris;Davies, Peter</t>
  </si>
  <si>
    <t>Hill C.</t>
  </si>
  <si>
    <t>Help is on the way</t>
  </si>
  <si>
    <t>2-s2.0-0025387249</t>
  </si>
  <si>
    <t>['iris polarizer', 'experimental results', 'equivalent network', 'electromagnetic model', 'design criteria', 'coaxial horns']</t>
  </si>
  <si>
    <t>The electromagnetic model and the design criteria of an iris polarizer for coaxial horns are presented. The parameters of a T-equivalent network are derived for each iris, which is characterized with the Generalized Scattering Matrix evaluated by means of the Mode Matching Technique. The accuracy of the electromagnetic model is confirmed by the comparsion between theoretical and experimental results. The performance of a compact five irises polarizer, designed, manufactured and tested are presented.</t>
  </si>
  <si>
    <t>17-20</t>
  </si>
  <si>
    <t>60009628;60009628;60009628;60009628</t>
  </si>
  <si>
    <t>6603386552;6506993667;7003727471;6701572321</t>
  </si>
  <si>
    <t>Figlia, G.;Forigo, D.;Mercurio, F.;Savini, D.</t>
  </si>
  <si>
    <t>Figlia G.</t>
  </si>
  <si>
    <t>Circular polarizer for coaxial horns</t>
  </si>
  <si>
    <t>2-s2.0-0025387924</t>
  </si>
  <si>
    <t>['scattered field', 'sampling functions', 'radiation pattern', 'radiated field', 'precise way', 'new method', 'limited number', 'basic idea', 'antenna directivity', 'analytical integration', 'allows us']</t>
  </si>
  <si>
    <t>A new method to evaluate the directivity of an antenna is presented. The basic idea is to express the radiated field in terms of sampling functions and then to evaluated the directivity by means of an analytical integration on the radiation pattern; a final simple expression is derived. It allows us to evaluate the antenna directivity in a very precise way, starting from the measurement of the scattered field in a limited number of points.</t>
  </si>
  <si>
    <t>21-23</t>
  </si>
  <si>
    <t>6603727034;6603821849</t>
  </si>
  <si>
    <t>Bresciani, D.;Lazzara, S.</t>
  </si>
  <si>
    <t>Fast method to evaluate the directivity of an antenna</t>
  </si>
  <si>
    <t>2-s2.0-0025388757</t>
  </si>
  <si>
    <t>164-167</t>
  </si>
  <si>
    <t>Measurement Techniques</t>
  </si>
  <si>
    <t>7103313639;6701453221</t>
  </si>
  <si>
    <t>Tishchenko, V. A.;Tokatly, V. I.</t>
  </si>
  <si>
    <t>Tishchenko V.</t>
  </si>
  <si>
    <t>Method of certifying field intensity meters with stub antennas at frequencies below 150 kHz</t>
  </si>
  <si>
    <t>10.1007/BF00866278</t>
  </si>
  <si>
    <t>2-s2.0-34249956413</t>
  </si>
  <si>
    <t>SFB 171</t>
  </si>
  <si>
    <t>['¬© 1990', 'vitro conditions', 'trapping yields', 'trapping times', 'technique lies', 'singlet annihilation', 'recent studies', 'quantitative treatment', 'picosecond flashes', 'photosynthetic units', 'photosynthetic membranes', 'noise ratio', 'nanosecond flashes', 'molecular parameters', 'measure electrically', 'gradient technique', 'gradient photovoltage', 'good signal', 'experimental examples', 'excitation dynamics', 'energy transfer', 'antenna pigments']</t>
  </si>
  <si>
    <t>Light gradient | Photosynthesis | Photovoltage | Reaction center</t>
  </si>
  <si>
    <t>The light-gradient technique is a method to measure electrically the primary photosynthetic charge separation under in vivo and in vitro conditions. The importance of the technique lies in the high time resolution and the good signal-to-noise ratio that can be obtained in the presence of antenna pigments. Although the effect has been known for almost 20 years, there is little theoretical basis for it. The analysis of recent studies on trapping times and trapping yields in various photosynthetic organisms, however, requires a quantitative treatment. Here we derive a theory that describes the basic experimental observations of the light-gradient photovoltage and that correlates the photovoltage with the fraction of reaction centers closed by nanosecond flashes, picosecond flashes, and trains of picosecond flashes. Furthermore, the effect of singlet-singlet annihilation in the case of picosecond flashes, the effect of energy transfer between photosynthetic units, and the time-course of the photovoltage in the case of nanosecond flashes measured with high time resolution are analyzed with respect to molecular parameters that govern the excitation dynamics in photosynthetic membranes. Some experimental examples for the predictions of the theory are given. ¬© 1990.</t>
  </si>
  <si>
    <t>304-312</t>
  </si>
  <si>
    <t>7004055809;57202396392</t>
  </si>
  <si>
    <t>Leibl, W.;Trissl, H. W.</t>
  </si>
  <si>
    <t>Leibl W.</t>
  </si>
  <si>
    <t>Relationship between the fraction of closed photosynthetic reaction centers and the amplitude of the photovoltage from light-gradient experiments</t>
  </si>
  <si>
    <t>10.1016/0005-2728(90)90035-3</t>
  </si>
  <si>
    <t>2-s2.0-0025062478</t>
  </si>
  <si>
    <t>Neotropical Ornithological Society</t>
  </si>
  <si>
    <t>NOS</t>
  </si>
  <si>
    <t>['¬© 1990', 'two species', 'starting material', 'spectral properties', 'sodium cholate', 'similar results', 'reaction center', 'observations indicate', 'molecular masses', 'membranes used', 'isolated complexes', 'heliobacterium chlorum', 'heliobacillus mobilis', 'fully retained', 'fluoresence emission', 'exclusion hplc', 'elution volume', 'detergent sulfobetaine', 'completely conserved', '94 kda', '335 kda', '100 kda']</t>
  </si>
  <si>
    <t>(H. chlorum) (Hb. mobilis) | Antenna-reaction center complex | Bacteriochlorophyll g | Electron transport | Energy transfer</t>
  </si>
  <si>
    <t>Antenna-reaction center complexes were prepared by incubation of membranes of Heliobacterium chlorum and Heliobacillus mobilis with the detergent sulfobetaine-12, followed by sucrose gradient centrifugation in the presence of sulfobetaine-12 and sodium cholate. Similar results were obtained with n-octyl Œ≤-d-glucopyranoside. Further purification was obtained by size-exclusion HPLC. From the elution volume, the molecular masses for the purified complexes solubilized with sulfobetaine-12 were estimated to be 335 kDa for both species, not corrected for the weight of the associated detergent molecules. SDS-polyacrylamide gel electrophoresis showed the presence of a dominant peptide located at 94 kDa, together with minor and variable bands near 50 kDa and above 100 kDa. The spectral properties of the isolated complexes were very similar for the two species and also almost identical to those of the membranes used as starting material. Fluoresence emission and excitation spectra showed efficient energy transfer within the complexes. The reaction center activity, measured by the yield and extent of photo-oxidation of the primary electron donor P-798, was completely conserved. These observations indicate that the structure of the antenna and of the reaction center was fully retained during solubilization and isolation. It is concluded that the complexes probably contain the complete pigment complement of a single photosynthetic unit, together with the associated reaction center. Although the estimated molecular weights of the antenna-reaction center complexes are similar to that of the Photosystem I core, the peptide composition appears to suggest a basically different structure. ¬© 1990.</t>
  </si>
  <si>
    <t>223-230</t>
  </si>
  <si>
    <t>60003878;60003878;60003878</t>
  </si>
  <si>
    <t>6603444401;6701846565;7004456032</t>
  </si>
  <si>
    <t>van de Meent, Erik Jan;Kleinherenbrink, Frank A.M.;Amesz, Jan</t>
  </si>
  <si>
    <t>Sterrewacht Leiden</t>
  </si>
  <si>
    <t>van de Meent E.</t>
  </si>
  <si>
    <t>Purification and properties of an antenna-reaction center complex from heliobacteria</t>
  </si>
  <si>
    <t>000527289090024X</t>
  </si>
  <si>
    <t>10.1016/0005-2728(90)90024-X</t>
  </si>
  <si>
    <t>2-s2.0-0025136715</t>
  </si>
  <si>
    <t>['¬© 1990', 'theoretical curves', 'singlet annihilation', 'rcs closed', 'quenching efficiency', 'primary photochemistry', 'picosecond flash', 'photosynthetic units', 'lake model', 'irreversible trapping', 'homogeneous antenna', 'general equations', 'fast equilibration', 'den hollander', 'closed rcs', 'bimolecular singlet', 'analyse time', 'acta 725']</t>
  </si>
  <si>
    <t>Energy transfer | Exciton annihilation | Photosynthesis | Purple bacterium</t>
  </si>
  <si>
    <t>General equations are formulated to describe the competition between primary photochemistry (trapping) by photosynthetic reaction centers (RCs) and bimolecular singlet-singlet annihilation which occur upon excitation with picosecond laser flashes. These equations are solved under the assumption of fast equilibration and free energy migration between photosynthetic units (lake model) with homogeneous antenna and of irreversible trapping (the initial charge separation does not repopulate an excited state). The yield and the kinetics of fluorescence and of trapping are calculated as a function of the energy of the picosecond flash and of the fraction of RCs closed before excitation. Theoretical curves are adjusted to fluorescence yield measurements in the purple bacterium Rhodospirillum rubrum (Bakker, J.C.G., Van Grondelle, R. and Den Hollander, W.T.F. (1983) Biochim. Biophys. Acta 725, 508-518) and are used to analyse time-resolved photovoltage measured on Rhodobacter sphaeroides R26.1 whole cells. From these analyses, a parameter that relates the competition between trapping and annihilation as well as the ratio of the quenching efficiency for open and closed RCs are determined. ¬© 1990.</t>
  </si>
  <si>
    <t>295-303</t>
  </si>
  <si>
    <t>60019615;60019615;60019615-60014168;60009731;60009731;60019615</t>
  </si>
  <si>
    <t>16439434700;6701501074;56032452500;7004055809;57202396392;24310010600</t>
  </si>
  <si>
    <t>Deprez, J.;Paillotin, G.;Dobek, A.;Leibl, W.;Trissl, H. W.;Breton, J.</t>
  </si>
  <si>
    <t>France;Poland;Germany</t>
  </si>
  <si>
    <t>Gif-sur-Yvette;Poznan;Osnabruck</t>
  </si>
  <si>
    <t>CEA Saclay;Uniwersytet im. Adama Mickiewicza w Poznaniu;Universit√§t Osnabr√ºck</t>
  </si>
  <si>
    <t>60019615;60014168;60009731</t>
  </si>
  <si>
    <t>Deprez J.</t>
  </si>
  <si>
    <t>Competition between energy trapping and exciton annihilation in the lake model of the photosynthetic membrane of purple bacteria</t>
  </si>
  <si>
    <t>10.1016/0005-2728(90)90034-2</t>
  </si>
  <si>
    <t>2-s2.0-0025181476</t>
  </si>
  <si>
    <t>American Friends Service Committee</t>
  </si>
  <si>
    <t>F49620-87-C-0048</t>
  </si>
  <si>
    <t>['¬© 1990', 'work reported', 'spatial distribution', 'qualitative aspects', 'previously obtained', 'precise estimates', 'optimum gain', 'noise field', 'error estimates']</t>
  </si>
  <si>
    <t>Precise estimates were previously obtained for the error in the optimum gain of an antenna array arising from errors in the measured noise covariance matrix. It was observed that the error estimates are functions of the character and spatial distribution of the noise field. The purpose of the work reported in what follows is to analyze this dependence of the previous results upon the quantitative and qualitative aspects of the noise field. ¬© 1990.</t>
  </si>
  <si>
    <t>373-378</t>
  </si>
  <si>
    <t>0022460X</t>
  </si>
  <si>
    <t>Journal of Sound and Vibration</t>
  </si>
  <si>
    <t>Byrnes, J. S.</t>
  </si>
  <si>
    <t>Sharon</t>
  </si>
  <si>
    <t>Prometheus Inc</t>
  </si>
  <si>
    <t>Byrnes J.S.</t>
  </si>
  <si>
    <t>Error estimates resulting from the norms of certain noise covariance matrices</t>
  </si>
  <si>
    <t>0022460X90904515</t>
  </si>
  <si>
    <t>10.1016/0022-460X(90)90451-5</t>
  </si>
  <si>
    <t>2-s2.0-0025702757</t>
  </si>
  <si>
    <t>nderforschungsbere3ic1h2</t>
  </si>
  <si>
    <t>['¬© 1990', 'trimeric forms', 'protein complexes', 'octyl glucoside', 'monomeric complex', 'hplc anion', 'high concentrations', 'filtration hplc', 'exchange column', 'elevated temperature', 'electron microscopy', 'detergent shell', 'denaturing conditions', 'alkaline ph', '4 nm']</t>
  </si>
  <si>
    <t>(Synechococcus) | Chlorophyll a 1 | Electron microscopy | HPLC | Photosystem I | Reaction center complex</t>
  </si>
  <si>
    <t>Photosystem I preparations from the cyanobacterium Synechococcus sp. were treated with high concentrations of Tris and octyl glucoside at alkaline pH and elevated temperature. A sucrose density gradient yielded three pigment-protein complexes; these were further purified on a HPLC anion-exchange column. In contrast to SDS-PAGE under non-denaturing conditions, this method produces homogeneous, highly active PS I particles in large quantities using mild solubilization conditions. Gel-filtration HPLC, SDS-PAGE, antenna Chl Chl a1 ratio and electron microscopy images suggest that the three complexes represent monomeric, dimeric and trimeric forms of a minimal reaction center I unit. The size of this monomeric complex is 15.3 √ó 10.6 √ó 6.4 nm (length √ó width √ó height) as determined by electron microscopy. The apparent molecular mass - including 65 antenna chlorophylls per Chl a1, but excluding the detergent shell - is estimated by three different methods to be (235 ¬± 25) kDa. ¬© 1990.</t>
  </si>
  <si>
    <t>415-424</t>
  </si>
  <si>
    <t>60011604;60011604;60008644;60011604</t>
  </si>
  <si>
    <t>7003290055;56036380500;7007149974;55667080600</t>
  </si>
  <si>
    <t>R√∂gner, M.;M√ºhlenhoff, U.;Boekema, E. J.;Witt, H. T.</t>
  </si>
  <si>
    <t>Technical University of Berlin;Fritz Haber Institute of the Max Planck Society</t>
  </si>
  <si>
    <t>60011604;60008644</t>
  </si>
  <si>
    <t>R√∂gner M.</t>
  </si>
  <si>
    <t>Mono-, di- and trimeric PS I reaction center complexes isolated from the thermophilic cyanobacterium Synechococcus sp. Size, shape and activity</t>
  </si>
  <si>
    <t>000527289090074E</t>
  </si>
  <si>
    <t>10.1016/0005-2728(90)90074-E</t>
  </si>
  <si>
    <t>2-s2.0-0025093577</t>
  </si>
  <si>
    <t>N WO</t>
  </si>
  <si>
    <t>['¬© 1990', 'width œîb', 'usa 79', 'two acceptors', 'triplet signal', 'temperature epr', 'sulphur cluster', 'secondary donor', 'reducing conditions', 'photosystem ii', 'partially reduced', 'magnetic interaction', 'line signal', 'heliobacterium chlorum', 'experimental results', 'epr signal', 'complex behaviour', 'charge distribution', 'acta 810', '384 ).', '05 mt', '00 region', '00 acceptors']</t>
  </si>
  <si>
    <t>(H. chlorum) | Acceptor | Electron transfer | EPR | Photosynthesis | Triplet</t>
  </si>
  <si>
    <t>The photosynthetic electron transfer chain of Heliobacterium chlorum has been studied by low-temperature EPR under different redox conditions. The EPR signal of the oxidized primary donor P-798+ was a near-gaussian, with width ŒîB = 1.05 mT, corroborating the result of Prince et al. (Prince, R.C., Gest, H. and Blankenship, R.E. (1985) Biochim. Biophys. Acta 810, 377-384). Under reducing conditions a complex behaviour in the g = 2.00 region was found, which is interpreted as being due to at least two acceptors besides the iron-sulphur cluster. Simulations with a bacteriochlorophyll and a quinone as acceptors agree well with the experimental results, when it was assumed that they are both partially reduced, either because of reaction centre heterogeneity or because of frozen-in charge distribution over the two acceptors. In addition to these g = 2.00 acceptor signals a triplet signal is present, composed of an antenna- and a reaction centre triplet with zero-field splitting parameters |D| = 240 ¬∑ 10-4 and 226 ¬∑ 10-4 (¬±10 ¬∑ 10-4) cm-1, and |E| = 88 ¬∑ 10-4 and 74 ¬∑ 10-4 (¬±10 ¬∑ 10-4) cm-1, respectively. Furthermore a split-line signal was found, which is very similar to that found in Photosystem II (Rutherford, A.W. and Thurnauer, M.C. (1982) Proc. Natl. Acad. Sci. USA 79, 7283-7287), attributed to a magnetic interaction between a secondary donor and one of the g = 2.00 acceptors. ¬© 1990.</t>
  </si>
  <si>
    <t>471-481</t>
  </si>
  <si>
    <t>Fischer, Monika R.</t>
  </si>
  <si>
    <t>Fischer M.</t>
  </si>
  <si>
    <t>Photosynthetic electron transfer in Heliobacterium chlorum studied by EPR spectroscopy</t>
  </si>
  <si>
    <t>000527289090081E</t>
  </si>
  <si>
    <t>10.1016/0005-2728(90)90081-E</t>
  </si>
  <si>
    <t>2-s2.0-0025138328</t>
  </si>
  <si>
    <t>DE-FG02-88ER-13969</t>
  </si>
  <si>
    <t>['¬© 1990', 'whole cells', 'strong reductants', 'sodium dithionite', 'reduced low', 'redox state', 'redox potential', 'redox effect', 'reaction center', 'purified chlorosomes', 'oxidized state', 'isolated membranes', 'inefficient quencher', 'highly sensitive', 'fluorescence arising', 'exogenous reductants', 'excitation spectrum', 'energy transfer', 'effect may', 'directly mediated', 'control mechanism', 'contains chlorosomes', 'contain low', 'chlorosomes contain', 'chlorosome baseplate', 'chlorosome antennas', 'chlorobium limicola', 'bacteriochlorophyll c', 'antenna complexes', 'aerobic conditions', 'absorption spectrum']</t>
  </si>
  <si>
    <t>(Chlorobium limicola) | (Chlorobium vibrioforme) | (Chloroflexus aurantiacus) | Antenna | Energy transfer | Fluorescence | Green bacterium | Photosynthesis</t>
  </si>
  <si>
    <t>The efficiency of energy transfer in chlorosome antennas in the green sulfur bacteria Chlorobium vibrioforme and Chlorobium limicola was found to be highly sensitive to the redox potential of the suspension. Energy transfer efficiencies were measured by comparing the absorption spectrum of the bacteriochlorophyll c or d pigments in the chlorosome to the excitation spectrum for fluorescence arising from the chlorosome baseplate and membrane-bound antenna complexes. The efficiency of energy transfer approaches 100% at low redox potentials induced by addition of sodium dithionite or other strong reductants, and is lowered to 10-20% under aerobic conditions or after addition of a variety of membrane-permeable oxidizing agents. The redox effect on energy transfer is observed in whole cells, isolated membranes and purified chlorosomes, indicating that the modulation of energy transfer efficiency arises within the antenna complexes and is not directly mediated by the redox state of the reaction center. It is proposed that chlorosomes contain a component that acts as a highly quenching center in its oxidized state, but is an inefficient quencher when reduced by endogenous or exogenous reductants. This effect may be a control mechanism that prevents cellular damage resulting from reaction of oxygen with reduced low-potential electron acceptors found in the green sulfur bacteria. The redox modulation effect is not observed in the green gliding bacterium Chloroflexus aurantiacus, which contains chlorosomes but does not contain low-potential electron acceptors. ¬© 1990.</t>
  </si>
  <si>
    <t>457-463</t>
  </si>
  <si>
    <t>60003892;60003892;60003892</t>
  </si>
  <si>
    <t>57191399111;7005522646;57203046340</t>
  </si>
  <si>
    <t>Wang, Jian;Brune, Daniel C.;Blankenship, Robert E.</t>
  </si>
  <si>
    <t>Tempe</t>
  </si>
  <si>
    <t>Arizona State University</t>
  </si>
  <si>
    <t>Effects of oxidants and reductants on the efficiency of excitation transfer in green photosynthetic bacteria</t>
  </si>
  <si>
    <t>000527289090079J</t>
  </si>
  <si>
    <t>10.1016/0005-2728(90)90079-J</t>
  </si>
  <si>
    <t>2-s2.0-0025156866</t>
  </si>
  <si>
    <t>['¬© 1990', 'usx family', 'ubx deletions', 'transformed antennae', 'transformations generated', 'segmental identities', 'proteins via', 'pns transformations', 'identity functions', 'embryonic transformations', 'embryonic cuticle', 'cuticle transformations', 'containing portion', 'contained within', 'chimeric ultrabithorax']</t>
  </si>
  <si>
    <t>Expression of Ultrabithorax (UBX) proteins via a heat-inducible promoter generated homeotic transformations of segmental identities in the embryonic cuticle and peripheral nervous system (PNS) of Drosophila and transformed antennae into legs in the adult. The embryonic transformations were used to determine the identity functions of members of the USX family and UBX mutant forms. Whereas UBX forms I and IV each induced the cuticle transformations, only form I induced the PNS transformations. Analysis of the transformations generated by UBX deletions and by a chimeric Ultrabithorax-Antennapedia protein demonstrated that the majority of the UBX identity Information is contained within the C-terminal, homeodomain-containing portion of the protein. Implications of these results for how homeotic proteins select particular metameric identities are discussed. ¬© 1990.</t>
  </si>
  <si>
    <t>597-610</t>
  </si>
  <si>
    <t>Cell</t>
  </si>
  <si>
    <t>60032838;60032838</t>
  </si>
  <si>
    <t>7401908142;7005017699</t>
  </si>
  <si>
    <t>Mann, Richard S.;Hogness, David S.</t>
  </si>
  <si>
    <t>Stanford</t>
  </si>
  <si>
    <t>Stanford University School of Medicine</t>
  </si>
  <si>
    <t>Mann R.S.</t>
  </si>
  <si>
    <t>Functional dissection of ultrabithorax proteins in D. melanogaster</t>
  </si>
  <si>
    <t>0092-8674(90)90663-Y</t>
  </si>
  <si>
    <t>10.1016/0092-8674(90)90663-Y</t>
  </si>
  <si>
    <t>2-s2.0-0025017612</t>
  </si>
  <si>
    <t>['xanthophyll epoxides', 'violaxanthin de', 'term exposure', 'several days', 'saturating light', 'pronounced difference', 'photosystem ii', 'pfd ).', 'oxygenated derivatives', 'maximum yield', 'light stress', 'light became', 'lesser extent', 'high light', 'high capacity', 'green phycobionts', 'greater susceptibility', 'free blue', 'following treatment', 'fluorescence induced', 'chlorophyll fluorescence', 'antenna chlorophyll']</t>
  </si>
  <si>
    <t>Carotenoids | Chlorophyll fluorescence | Chlorophyta | Cyanobacteria | Energy dissipation | Lichens | Light stress | Photoinhibition in phycobionts | Phycobiont | Zeaxanthin</t>
  </si>
  <si>
    <t>Green algal lichens, which were able to form zeaxanthin rapidly via the de-epoxidation of violaxanthin, exhibited a high capacity to dissipate excess excitation energy nonradiatively in the antenna chlorophyll as indicated by the development of strong nonphotochemical quenching of chlorophyll fluorescence (FM, the maximum yield of fluorescence induced by pulses of saturating light) and, to a lesser extent, FO (the yield of instantaneous fluorescence). Blue-green algal lichens which did not contain any zeaxanthin were incapable of such radiationless energy dissipation and were unable to maintain the acceptor of photosystem II in a low reduction state upon exposure to excessive photon flux densities (PFD). Furthermore, following treatment of the thalli with an inhibitor of the violaxanthin de-epoxidase, dithiothreitol, the response of green algal lichens to light became very similar to that of the blue-green algal lichens. Conversely, blue-green algal lichens which had accumulated some zeaxanthin following long-term exposure to higher PFDs exhibited a response to light which was intermediate between that of zeaxanthin-free blue-green algal lichens and zeaxanthin-containing green algal lichens. Zeaxanthin can apparently be formed in blue-green algal lichens (which lack the xanthophyll epoxides, i.e. violaxanthin and antheraxanthin) as part of the normal biosynthetic pathway which leads to a variety of oxygenated derivatives of Œ≤-carotene during exposure to high light over several days. We conclude that the pronounced difference in the capacity for photoprotective energy dissipation in the antenna chlorophyll between (zeaxanthin-containing0 green algal lichens and (zeaxanthin-free) blue-green algal lichens is related to the presence or absence of zeaxanthin, and that this difference can explain the greater susceptibility to high-light stress in lichens with blue-green phycobionts. ¬© 1990 Springer-Verlag.</t>
  </si>
  <si>
    <t>582-589</t>
  </si>
  <si>
    <t>Planta</t>
  </si>
  <si>
    <t>60012689;60012689;60012689;60012689;60012689</t>
  </si>
  <si>
    <t>7003992248;7401725101;35580687300;7006532114;7006004554</t>
  </si>
  <si>
    <t>Demmig-Adams, Barbara;Adams, William W.;Czygan, Franz C.;Schreiber, Ulrich;Lange, Otto L.</t>
  </si>
  <si>
    <t>Wurzburg</t>
  </si>
  <si>
    <t>Julius-Maximilians-Universit√§t W√ºrzburg</t>
  </si>
  <si>
    <t>Differences in the capacity for radiationless energy dissipation in the photochemical apparatus of green and blue-green algal lichens associated with differences in carotenoid composition</t>
  </si>
  <si>
    <t>10.1007/BF02411457</t>
  </si>
  <si>
    <t>2-s2.0-0000228041</t>
  </si>
  <si>
    <t>['œ ≤', 'ubiquinone 8', 'type hemes', 'rhodocyclus gelatinosus', 'reaction center', 'quinone analysis', 'protein complexes', 'one hand', 'menaquinone 8', 'four c', 'charge recombination', 'b875 pigment', '6 kda', '28 kda', '10 ms']</t>
  </si>
  <si>
    <t>antenna complex | photochemical activity | purple bacteria | quinones | reaction center</t>
  </si>
  <si>
    <t>Reaction center-B875 pigment-protein complexes were purified from Rhodocyclus gelatinosus. The proteic components consist of 7-8 polypeptides among which some were identified by their apparent molecular weights: the light harvesting B875 polypeptides Œ± and Œ≤ of 8 and 6 kDa, reaction center L (23 kDa), M (28 kDa) and H (34 kDa), cytochrome c (43 kDa). Four c-type hemes were found per reaction center. Flash-induced absorbance changes showed the presence of both QA and QB in the complex. Charge recombination times were determined to be: 1.16¬±0.2 (n=30) for P+QAQB- and 7-10 ms for P+QA- in presence of herbicides. From quinone analysis on one hand and kinetics of charge recombination on the other hand, we proposed that in the reaction center of Rhodocyclus gelatinosus QA is menaquinone 8 and QB is ubiquinone 8. ¬© 1990 Kluwer Academic Publishers.</t>
  </si>
  <si>
    <t>249-255</t>
  </si>
  <si>
    <t>Photosynthesis Research</t>
  </si>
  <si>
    <t>60008134;60008134;60008134</t>
  </si>
  <si>
    <t>6602818994;7005269601;56616617400</t>
  </si>
  <si>
    <t>Agalidis, Ileana;Rivas, Emilio;Reiss-Husson, F.</t>
  </si>
  <si>
    <t>CNRS Centre National de la Recherche Scientifique</t>
  </si>
  <si>
    <t>Agalidis I.</t>
  </si>
  <si>
    <t>Reaction center light harvesting B875 complexes from Rhodocyclus gelatinosus: characterization and identification of quinones</t>
  </si>
  <si>
    <t>10.1007/BF00034855</t>
  </si>
  <si>
    <t>2-s2.0-0000592147</t>
  </si>
  <si>
    <t>['surfaces accessible', 'structural basis', 'step model', 'solely responsible', 'red shift', 'rate constants', 'pigment interactions', 'pigment band', 'ph 2', 'oligomeric bacteriopheophytin', 'membrane fragments', 'kinetic analysis', 'ir absorption', 'intact complex', 'initial loss', 'harvesting complex', 'harvesting antenna', 'gives rise', 'conservative nature', 'characteristic near', 'cd spectrum', 'b875 light', 'approximately one', '880 nm', '876 nm', '850 light', '37 min', '11 min']</t>
  </si>
  <si>
    <t>(Rhodobacter sphaeroides) | absorption spectra | antenna bacteriochlorophyll-protein complex | bacterial photosynthesis | photosynthetic membranes</t>
  </si>
  <si>
    <t>The structural basis for the spectral red shift in the near-IR absorption band of the B875 light-harvesting complex was examined by treatment of membranes from Rhodobacter sphaeroides M21 with acid. This mutant strain lacks the overlapping spectral bands of the B800-850 light-harvesting antenna and gives rise to membrane fragments with both surfaces accessible to protons. At pH 2.2, about half the absorption at 876 nm was converted within 10 min to a 'free' pigment band; the remaining absorption appeared at 880 nm and shifted to ‚àº845 nm over the next three hours. These spectral shifts could not be reversed by alkali. Approximately one-third of the characteristic near-IR CD signal of B875 was also lost initially and replaced by a broad trough centered near 854 nm. Thereafter, the CD spectrum was dominated by the strong conservative signal of the 845 nm absorbing component which was attributed to an oligomeric bacteriopheophytin a species, probably a dimer. A kinetic analysis of the acid-induced absorption changes suggested a multi-step model with rate constants of 0.37 min-1 for the initial rapid change and 0.05 and 0.11 min-1 for the respective subsequent steps. The non-conservative nature of the near-IR CD spectrum of the intact complex, together with the spectral changes observed after the initial loss of near-IR absorption and CD, suggest that pigment-pigment interactions are not solely responsible for the red shift in this complex. ¬© 1990 Kluwer Academic Publishers.</t>
  </si>
  <si>
    <t>60119141;60119141</t>
  </si>
  <si>
    <t>7004230215;7006668582</t>
  </si>
  <si>
    <t>Sturgis, James N.;Niederman, Robert A.</t>
  </si>
  <si>
    <t>New Brunswick</t>
  </si>
  <si>
    <t>Rutgers University‚ÄìNew Brunswick</t>
  </si>
  <si>
    <t>Sturgis J.</t>
  </si>
  <si>
    <t>Acid denaturation of the B875 light-harvesting complex in membranes of Rhodobacter sphaeroides</t>
  </si>
  <si>
    <t>10.1007/BF00034854</t>
  </si>
  <si>
    <t>2-s2.0-0001792703</t>
  </si>
  <si>
    <t>['zz males', 'ze males', 'z isomers', 'two ways', 'thus providing', 'three strains', 'tested compounds', 'tda ),', 'tba ).', 'strain differences', 'response relationships', 'response relationship', 'repetitive stimulation', 'relative eag', 'postexcision deterioration', 'ostrinia nubilalis', 'old adults', 'ol acetate', 'observed decreases', 'natural pheromone', 'moderate dose', 'meaningful dose', 'males derived', 'isomeric forms', 'extended duration', 'ee strain', 'ee males', 'ee antennae', 'eag responses', 'eag response', 'eag amplitude', 'e .,', 'e )-', 'determine whether', 'descending order', 'daptation required', 'cpa ),', 'antennal response', '18 ).', '10 œºg', '10 min']</t>
  </si>
  <si>
    <t>11-tetradecen-1-ol acetate | Adaptation | chemoreception | electroantennogram | European corn borer | genetic strains | Lepidoptera | Ostrinia nubilalis | Pyralidae | sex pheromone</t>
  </si>
  <si>
    <t>Experiments were conducted to (1) determine whether the electroantennogram (EAG) can detect differences among the responses of antennae from males derived from the three strains of Ostrinia nubilalis (H√ºbner), and (2) characterize the EAG responses of each strain to isomeric forms of the natural pheromone, (E)- and (Z)-11-tetradecen-1-ol acetate (TDA), and analogs possessing differences in the terminal alkyl group, cyclopropyl (CPA), or tert-butyl (TBA). EAG responses differed among the strains in two ways: (1) Antennae from ZZ males always produced an EAG to (Z)-TDA with an extended duration of response. This "signature" EAG response was found to be unique to the antennal response of ZZ males to (Z)-TDA, thus providing a relatively easy method of distinguishing live ZZ males from EE or ZE males. Correlated with this longer EAG response was a longer disadaptation time, i.e., the EAG response of ZZ antennae disadapted more slowly (ca. 10 min) than the response of EE antennae. (2) Strain differences in the relative EAG amplitudes to isomers and analogs were observed at the stimulus amounts eliciting the peak EAG amplitude as follows: TDA ‚â• CPA &gt; TBA for ZZ males and both isomers; TDA &gt; CPA ‚â• TBA and CPA ‚â• TDA &gt; TBA for EE males and the E and Z isomers, respectively; CPA &gt; TBA ‚â• TDA for ZE males and both isomers. Dose-response relationships were seen for all compounds if amplitude ("peak height") of the EAG was used as a measure of response. However, if width of the EAG at half the peak height ("peak width") was used, then only the ZZ antennal response to (Z)-TDA resulted in a meaningful dose-response relationship. For all strains, the EAG amplitudes elicited by the Z isomers of any of the tested compounds were greater than those elicited by the corresponding E isomers. Therefore, correlations between the relative EAG and upwind flight responses were observed in the ZZ (r = 0.86) and ZE (r = 0.80) strains but were not correlated in the EE strain (r = 0.18). Temporal studies showed that adaptation, not postexcision deterioration, was responsible for the observed decreases in the EAG amplitude after repetitive stimulation or after stimulation with amounts in a descending order. Disa-daptation required at least 20 min for a moderate dose (10 Œºg for 1 sec). Developmental studies showed that antennae from 2-day-old adults had the greatest EAG response. ¬© 1990 Plenum Publishing Corporation.</t>
  </si>
  <si>
    <t>773-790</t>
  </si>
  <si>
    <t>Journal of Chemical Ecology</t>
  </si>
  <si>
    <t>60024997;60024997</t>
  </si>
  <si>
    <t>6603236860;7101747163</t>
  </si>
  <si>
    <t>Fescemyer, Howard W.;Hanson, Frank E.</t>
  </si>
  <si>
    <t>Baltimore</t>
  </si>
  <si>
    <t>University of Maryland, Baltimore County (UMBC)</t>
  </si>
  <si>
    <t>Fescemyer H.W.</t>
  </si>
  <si>
    <t>Male european corn borer, Ostrinia nubilalis (H√ºbner), antennal responses to analogs of its sex pheromone - Strain, electroantennogram, and behavior relationships</t>
  </si>
  <si>
    <t>10.1007/BF01016488</t>
  </si>
  <si>
    <t>2-s2.0-0005765165</t>
  </si>
  <si>
    <t>['web hub', 'strands slide', 'pull away', 'orb web', 'lacewing usually', 'hub attacking', 'hairy wings', 'green lacewings', 'flight direction', 'finding emphasizes', 'falls free', 'escape improve', 'covered wings', 'chrysopid may', 'capture success', 'antenna climb', 'antenna cannot', '7 ),', '5b ).', '5a ).', '1 ).']</t>
  </si>
  <si>
    <t>Araneidae | Chrysopidae | escape behavior | lacewings | orb webs | prey capture | spiders</t>
  </si>
  <si>
    <t>When green lacewings (Neuroptera: Chrysopidae) fly into spider orb webs, they often simply reverse their flight direction and pull away (Table I). If a lacewing is trapped, it uses a specialized escape behavior. It first cuts away the sticky strands entangling head, feet, and antennae. If an antenna cannot be freed by tugging, it uses an "antenna climb" (Fig. 5A). After its body is free, the lacewing remains suspended by its hair-covered wings, which are held in a characteristic cruciform position (Fig. 5B). Orb web sticky strands adhere poorly to the hairy wings (Fig. 7), so the chrysopid may just wait until the strands slide off and it falls free. If placed in an orb web when the spider is at the web hub and ready to attack, a lacewing usually does not have time to escape (Fig. 1). When the spider is at the hub but eating, the chances of escape improve, and when the spider is away from the hub attacking other prey, nearly all lacewings in our experiment were able to escape. This finding emphasizes the importance of the spider's activity in its capture success. ¬© 1990 Plenum Publishing Corporation.</t>
  </si>
  <si>
    <t>143-157</t>
  </si>
  <si>
    <t>60003500;60007776</t>
  </si>
  <si>
    <t>7003730183;57203057689</t>
  </si>
  <si>
    <t>Masters, W. Mitchell;Eisner, Thomas</t>
  </si>
  <si>
    <t>Ithaca;Columbus</t>
  </si>
  <si>
    <t>Cornell University;The Ohio State University</t>
  </si>
  <si>
    <t>60007776;60003500</t>
  </si>
  <si>
    <t>Masters W.M.</t>
  </si>
  <si>
    <t>The escape strategy of green lacewings from orb webs</t>
  </si>
  <si>
    <t>10.1007/BF01417908</t>
  </si>
  <si>
    <t>2-s2.0-0006080569</t>
  </si>
  <si>
    <t>['two dorsal', 'suboesophageal ganglion', 'deutocerebral part']</t>
  </si>
  <si>
    <t>antennae | DUM neurones | Insects | nervous system | suboesophageal ganglion</t>
  </si>
  <si>
    <t>The muscles which move the antennae of locusts and crickets are innervated by motoneurones of the deutocerebral part of the brain. In addition, these muscles receive axon collaterals of two dorsal, unpaired, median (DUM) neurones which are located in the suboesophageal ganglion. These DUM neurones also send axons towards the retrocerebral glandular complex. ¬© 1990 Birkh√§user Verlag.</t>
  </si>
  <si>
    <t>259-261</t>
  </si>
  <si>
    <t>Experientia</t>
  </si>
  <si>
    <t>60019722;60019722;60019722</t>
  </si>
  <si>
    <t>16183649300;6508098046;7005736995</t>
  </si>
  <si>
    <t>Br√§unig, P.;Allg√§uer, C.;Honegger, H. W.</t>
  </si>
  <si>
    <t>Br√§unig P.</t>
  </si>
  <si>
    <t>Suboesophageal DUM neurones are part of the antennal motor system of locusts and crickets</t>
  </si>
  <si>
    <t>10.1007/BF01951758</t>
  </si>
  <si>
    <t>2-s2.0-0025304616</t>
  </si>
  <si>
    <t>['œªmax ca', '¬© 1990', 'rights reserved', 'pure r', 'position shift', 'performing methylations', 'named c', 'living cells', 'larger aggregates', 'intrinsic nature', 'giving rise', 'even 4', 'bacteriochlorophylls e', 'bacteriochlorophylls c', 'antenna system', 'absorption maximum', 'absolute configuration', '728 nm', '20 respond']</t>
  </si>
  <si>
    <t>The bacteriochlorophyll d producing photosynthetic green sulfur bacteria Chlorobium vibrioforme forma thiosulfatophilum strain NCIB 8327 and C. vibrioforme strain Bl-20 respond to reduced light conditions in culture by performing methylations at the 4- and 5-substituents, for example, converting the 4-Et into 4-n-Pr, 4-i-Bu, and even 4-neoPn. During this process, the absorption maximum in living cells of C. vibrioforme strain Bl-20 red shifts from 714 to about 728 nm. Eventually, the C. vibrioforme forma thiosulfatophilum strain NCIB 8327 culture carries out a Œ¥-methylation to produce the bacteriochlorophylls c (Œªmax ca. 750 nm); the new UC Davis bacteriochlorophyll c culture is named C. vibrioforme forma thiosulfatophilum strain D. It is possible that the homologation process increases hydrophobic interactions between individual BChl molecules, giving rise to larger aggregates in the antenna system. Alternatively, the additional methyl units attached to the 4-position shift the absolute configuration of the 2-(l-hydroxyethyl) group from pure R in the case of 4-Et to pure S in the case of 4-neoPn, which in turn might determine the size of the in vivo aggregates due to the intrinsic nature of the pigment protein system. It is suggested that the bacteriochlorophylls c from Chloroflexus aurantiacus strain J-10-fl and the bacteriochlorophylls e from Chlorobium phaeovibrioides might have undergone similar meso methylation as a response to external environmental pressure such as low light intensity. ¬© 1990, American Chemical Society. All rights reserved.</t>
  </si>
  <si>
    <t>4340-4348</t>
  </si>
  <si>
    <t>Biochemistry</t>
  </si>
  <si>
    <t>60014439;60025525;60014439;60014439</t>
  </si>
  <si>
    <t>7801411187;7005785996;35586453800;56964670200</t>
  </si>
  <si>
    <t>Bobe, Frank W.;Pfennig, Norbert;Swanson, Kristin L.;Smith, Kevin M.</t>
  </si>
  <si>
    <t>Konstanz;Davis</t>
  </si>
  <si>
    <t>Universit√§t Konstanz;University of California, Davis</t>
  </si>
  <si>
    <t>60025525;60014439</t>
  </si>
  <si>
    <t>Bobe F.</t>
  </si>
  <si>
    <t>Red Shift of Absorption Maxima in Chlorobiineae through Enzymic Methylation of Their Antenna Bacteriochlorophylls</t>
  </si>
  <si>
    <t>10.1021/bi00470a012</t>
  </si>
  <si>
    <t>2-s2.0-0025323481</t>
  </si>
  <si>
    <t>['sexual behavior', 'sensitive neurons', 'sensillum trichodea', 'receptor neuron', 'ol acetate']</t>
  </si>
  <si>
    <t>(Z)-tetradecenyl acetate | insect | olfactory | Sensillum</t>
  </si>
  <si>
    <t>A newly discovered third class of sensillum trichodea on the antenna of Trichoplusia ni contains an olfactory receptor neuron that responds to (Z)-9-tetradecen-1-ol acetate at 1√ó10-18 M. The threshold of this neuron is 100-1000 times lower than the thresholds of two previously described pheromone-sensitive neurons that detect (Z)-7-dodecen-1-ol acetate and (Z)-7-tetradecen-1-ol acetate. The sensitivity and selectivity of this receptor neuron is evidence that (Z)-9-tetradecen-1-ol acetate may be important for sexual behavior. ¬© 1990 Birkh√§user Verlag.</t>
  </si>
  <si>
    <t>257-259</t>
  </si>
  <si>
    <t>60103678;60103678</t>
  </si>
  <si>
    <t>7402465354;7004006558</t>
  </si>
  <si>
    <t>Mayer, M. S.;Mankin, R. W.</t>
  </si>
  <si>
    <t>Gainesville</t>
  </si>
  <si>
    <t>USDA Agricultural Research Service, Gainesville</t>
  </si>
  <si>
    <t>Mayer M.S.</t>
  </si>
  <si>
    <t>A new Trichoplusia ni antennal receptor neuron that responds to attomolar concentrations of a minor pheromone component</t>
  </si>
  <si>
    <t>10.1007/BF01951757</t>
  </si>
  <si>
    <t>2-s2.0-0025332014</t>
  </si>
  <si>
    <t>['¬© 1990', 'single culture', 'rights reserved', 'macrocycle synthesis', 'light intensity', 'homologue composition', 'glycine providing', 'glutamate providing', 'extra homologation', 'evidence showing', 'directly proportional', 'demonstrated operation', 'changes within', 'bacteriochlorophyll c', 'bacteria appear', 'antenna bacteriochlorophylls', 'adenosylmethionine ).']</t>
  </si>
  <si>
    <t>Administration of carbon-13 and carbon-14 labeled glutamate, glycine, and methionine to Chlorobium vibrioforme forma thiosulfatophilum strain D have demonstrated operation of the C5 and C1 metabolic pathways in bacteriochlorophyll c and bacteriochlorophyll d biosynthesis in this organism, with glutamate providing the Œ¥-aminolevulinic acid for macrocycle synthesis and glycine providing the source of the extra homologation at the 4-, 5-, and Œ¥-positions (via S-adenosylmethionine). Further evidence showing that the bacteria appear to adjust the homologue composition of their antenna bacteriochlorophylls in response to varying growth conditions is presented. Timing of these changes within a single culture is consistent with a light adaptation mechanism, which predicts that degree of alkylation is directly proportional to light intensity in the culture; other factors influencing pigment composition during the lifespan of a single culture may also be operating, and these are discussed. ¬© 1990, American Chemical Society. All rights reserved.</t>
  </si>
  <si>
    <t>4348-4355</t>
  </si>
  <si>
    <t>60014439;60014439</t>
  </si>
  <si>
    <t>6505848938;56964670200</t>
  </si>
  <si>
    <t>Huster, Michael S.;Smith, Kevin M.</t>
  </si>
  <si>
    <t>Huster M.</t>
  </si>
  <si>
    <t>Biosynthetic Studies of Substituent Homologation in Bacteriochlorophylls c and d</t>
  </si>
  <si>
    <t>10.1021/bi00470a013</t>
  </si>
  <si>
    <t>2-s2.0-0025366694</t>
  </si>
  <si>
    <t>['local maxima', 'linear polarization', 'higher harmonics']</t>
  </si>
  <si>
    <t>The conditions for the occurrence of the main and local maxima for higher harmonics in the spectrum of a strip-type array excited by a uniform plane wave with linear polarization are obtained.</t>
  </si>
  <si>
    <t>131-133</t>
  </si>
  <si>
    <t>Khoroshun, V. V.</t>
  </si>
  <si>
    <t>Khoroshun V.</t>
  </si>
  <si>
    <t>Optimization of the spectral characteristics of strip-type arrays</t>
  </si>
  <si>
    <t>2-s2.0-0025389284</t>
  </si>
  <si>
    <t>['coaxial radiators']</t>
  </si>
  <si>
    <t>Results of a calculation of the characteristics of coaxial radiators in plane phased antenna arrays are presented.</t>
  </si>
  <si>
    <t>129-131</t>
  </si>
  <si>
    <t>7202667195;7004205149</t>
  </si>
  <si>
    <t>Filippov, V. S.;Chulkov, V. I.</t>
  </si>
  <si>
    <t>Filippov V.</t>
  </si>
  <si>
    <t>Characteristics of coaxial waveguide radiators in plane phased antenna arrays</t>
  </si>
  <si>
    <t>2-s2.0-0025389495</t>
  </si>
  <si>
    <t>['transmitting antenna', 'transmission antenna', 'problem may', 'partial solution', 'one stack', 'nearly circular', 'horizontal plane', 'free space', 'feeder systems', 'experimental investigations', 'complete solution', 'broadband antennas', '1 ].']</t>
  </si>
  <si>
    <t>Present-day transmitting television (TV) centers in the USSR are solving the highly topical problem of increasing the number of transmitted programs generated by TV and USW FM broadcasting. The solution of this problem is hindered by complexity of locating additional antennas on existing supports due to unavailability of free space on them. To be sure, a partial solution is application of a frequency filling system of the 'Kvadrat' type for the transmission antenna-feeder systems [1]. A more complete solution of the problem may be achieved by means of broadband antennas. The authors present results of computational and experimental investigations of a transmitting antenna in the 66-108 MHz band, whose radiation pattern (RP) in the horizontal plane is nearly circular. One stack of this antenna contains four radiators placed around a support.</t>
  </si>
  <si>
    <t>35-38</t>
  </si>
  <si>
    <t>6506477117;7003586086;6505694471;6504603870;57192441006;6505659541;7003563011</t>
  </si>
  <si>
    <t>Anfilov, Ye A.;Denisova, S. V.;Duzhich, L. P.;Kon, G. A.;Kuznetsov, V. D.;Nikanorov, G. K.;Nosov, Yu N.</t>
  </si>
  <si>
    <t>Anfilov Y.A.</t>
  </si>
  <si>
    <t>Wideband transmitting USW FM TV antenna in the 66-108 MHz band</t>
  </si>
  <si>
    <t>2-s2.0-0025389708</t>
  </si>
  <si>
    <t>['widely used', 'waveguide summing', 'wavefuide ssd', 'switching devices', 'ssd may', 'several transmitters', 'purpose devices', 'particularly important', 'loads ),', 'known similar', 'functional capability', 'described ssd', 'compact compared', 'basic ones', 'ballast load', 'adding powers']</t>
  </si>
  <si>
    <t>Waveguide summing-switching devices(SSD) are widely used in contemporary microwave communications systems. Such SSD are used for adding powers of two (or more) coherent signal transmitters, as well as for switching. SSD may be used to direct a signal from one or several transmitters to an antenna (antennas) or to ballast load (loads), to connect a reserve transmitter instead of any of the basic ones, and to connect each transmitter with the ballast load during repairs or maintenance. In this paper, we consider two variants of wavefuide SSD that are different in terms of construction and functional capability. The described SSD are compact compared to well-known similar-purpose devices, which is particularly important when using these in small-size mobile communications units.</t>
  </si>
  <si>
    <t>38-40</t>
  </si>
  <si>
    <t>6603785392;7005846554;6506973256;6503993427;6506227349</t>
  </si>
  <si>
    <t>Model, A. M.;Antonenko, V. M.;Berlyavskiy, I. Z.;Krutnikov, V. I.;Chubis, V. I.</t>
  </si>
  <si>
    <t>Model A.</t>
  </si>
  <si>
    <t>Rotor-type waveguide summing-switching devices</t>
  </si>
  <si>
    <t>2-s2.0-0025389841</t>
  </si>
  <si>
    <t>['white noise', 'receiving channels', 'radiation pattern', 'harmonic type', 'antenna array']</t>
  </si>
  <si>
    <t>The quality of adaptive spatial signal processing is considered as a function of the nonidentical pulsed characteristics of the receiving channels of an antenna array. Relations are found for signals of the 'white noise' and harmonic type, which connect the 'depth of the zero' of the radiation pattern, the number of receiving channels, and the level of pulsed characteristic distortions.</t>
  </si>
  <si>
    <t>7006584914;6602279572;6505657136</t>
  </si>
  <si>
    <t>Vasin, V. I.;Kaplun, I. V.;Pyatibratov, V. V.</t>
  </si>
  <si>
    <t>Vasin V.</t>
  </si>
  <si>
    <t>Evaluation of the quality of adaptive spatial processing taking into account signal decorrelation in the receiving channels of the antenna array</t>
  </si>
  <si>
    <t>2-s2.0-0025389891</t>
  </si>
  <si>
    <t>['tv stations', 'tv broadcasting', 'reliable information', 'radiation patterns', 'performance effectively', 'particular concerning', 'paper propose', 'measuring procedure', 'give results', 'experimental investigation', 'ata radio', 'antennas erected', 'aartvts ).']</t>
  </si>
  <si>
    <t>As a rule, high-power transmitting antennas of TV stations to a large extent determine the quality of TV broadcasting. Acquisition of reliable information in particular concerning the shape of the radiation patterns (RP) of these antennas when installing them, as well as in operation, enables their performance effectively to be controlled. The authors of this paper propose a measuring procedure and give results of an experimental investigation of the RP of antennas erected at the Alma-Ata Radio-TV transmitting station (AARTVTS).</t>
  </si>
  <si>
    <t>18-23</t>
  </si>
  <si>
    <t>6507108591;6503947846;7005867162</t>
  </si>
  <si>
    <t>Dribinskiy, Ya L.;Dribinskaya, L. V.;Pavlova, O. P.</t>
  </si>
  <si>
    <t>Dribinskiy Y.</t>
  </si>
  <si>
    <t>Measurement of TV transmitting antenna radiation patterns</t>
  </si>
  <si>
    <t>2-s2.0-0025389917</t>
  </si>
  <si>
    <t>['transmitted signal', 'transmission phase', 'successfully compared', 'space communications', 'simulation results', 'schottky diodes', 'paper describes', 'mmic .).', 'measured performances', 'makes use', 'gate fet', 'capacitance variation', 'attenuator uses', '27 db']</t>
  </si>
  <si>
    <t>Active antenna | Centimetric wave | Circuit design | Microwave attenuator | Microwave phase shifter | Monolithic integrated circuit</t>
  </si>
  <si>
    <t>This paper describes the realization of gain and phase control function in GaAs microwave monolithic integrated circuit (mmic.). The measured performances are successfully compared with simulation results. The attenuator uses a dual-gate fet in order to adjust the level of the transmitted signal. The obtained dynamic range is 27 dB. The phase-shifter is made up of T and œÄ networks connected in series and makes use of the capacitance variation of Schottky diodes to change the transmission phase. The phase shift reaches 115¬∞ at its maximum. Both circuits have been developed for a C-band beam forming network project for space communications. ¬© 1990 Springer-Verlag.</t>
  </si>
  <si>
    <t>224-230</t>
  </si>
  <si>
    <t>Annales Des T√©l√©communications</t>
  </si>
  <si>
    <t>60019894;60019894;60019894</t>
  </si>
  <si>
    <t>6603836104;35546726400;6603225350</t>
  </si>
  <si>
    <t>Roques, Daniel;Cazaux, Jean Louis;Pouysegur, Michel</t>
  </si>
  <si>
    <t>Roques D.</t>
  </si>
  <si>
    <t>GaAs MMIC control functions for 3.7-4.2 GHz band active antenna</t>
  </si>
  <si>
    <t>10.1007/BF02995157</t>
  </si>
  <si>
    <t>2-s2.0-0025400925</t>
  </si>
  <si>
    <t>['subreflector mounting', 'satellite communications', 'requirement affects', 'reducing sidelobes', 'profile accuracy', 'main reflector', 'high gain', 'hence priority', 'growing number', 'early years', 'decrease interference', 'aperture efficiency', 'aperture ),', 'amplitude distribution', 'adjacent satellites']</t>
  </si>
  <si>
    <t>During the early years of satellite communications the specifications for earth station antennas placed the emphasis on high gain and aperture efficiency. Since then, however, the growing number of satellites in orbit has resulted in narrower angular separation and hence priority being given to reducing sidelobes in order to decrease interference to adjacent satellites. This requirement affects the amplitude distribution at the main reflector (aperture), the subreflector mounting, the profile accuracy and the size of the reflectors, factors which have to be taken into account when designing the earth station antennas.</t>
  </si>
  <si>
    <t>48-51</t>
  </si>
  <si>
    <t>Telcom Report (English Edition)</t>
  </si>
  <si>
    <t>60028673;60028673</t>
  </si>
  <si>
    <t>7005875020;6506306124</t>
  </si>
  <si>
    <t>Brunner, Anton;Thiere, Helmuth</t>
  </si>
  <si>
    <t>Brunner A.</t>
  </si>
  <si>
    <t>Custom-designed satellite communications</t>
  </si>
  <si>
    <t>2-s2.0-0025401117</t>
  </si>
  <si>
    <t>['transmitter multiplexers', 'tio4 materials', 'temperature dependencies', 'practical applications', 'new techniques', 'microwave components', 'key element', 'discussed together', 'dielectric constants', 'dielectric characteristics']</t>
  </si>
  <si>
    <t>Dielectric resonator ceramics have been growing in importance as a key element for microwave components; they reduce the size of a component without degrading the Q value seriously. In this paper, the dielectric characteristics of five basic resonator materials with dielectric constants of 21, 25, 30, 38 and 90 are reported. The frequency and temperature dependencies of these materials and the third harmonic distortion level of (Zr, Sn)TiO4 materials are shown. Practical applications for mobile communication systems such as miniaturized antenna duplexers, transmitter multiplexers for cellular base stations and voltage controlled oscillators are discussed together with new techniques and designs for each application. The materials are MgTiO3-CaTiO3, Ba(Sn, Mg, Ta)O3, Ba(Zr, Zn, Ta)O3, (Zr, Sn)TiO4 and BaO-PbO-Nd2O3-TiO2.</t>
  </si>
  <si>
    <t>39-43</t>
  </si>
  <si>
    <t>British ceramic. Transactions and journal</t>
  </si>
  <si>
    <t>60017386;60017386;60017386;60017386</t>
  </si>
  <si>
    <t>7004492464;35411438300;7403118408;36747370400</t>
  </si>
  <si>
    <t>Wakino, Kikuo;Nishikawa, Toshio;Ishikawa, Youhei;Tamura, Hiroshi</t>
  </si>
  <si>
    <t>Nagaokakyo</t>
  </si>
  <si>
    <t>Murata Manufacturing Co., Ltd.</t>
  </si>
  <si>
    <t>Wakino K.</t>
  </si>
  <si>
    <t>Dielectric resonator materials and their applications for mobile communication systems</t>
  </si>
  <si>
    <t>2-s2.0-0025401152</t>
  </si>
  <si>
    <t>['technology established', 'present status', 'emss programme', 'based upon']</t>
  </si>
  <si>
    <t>Based upon the technology established in the steps of developing the AES and High/Low gain SATCOM antenna subsystem in the ETS-V/EMSS programme and the INMARSAT Japan phase I programme, an Aeronautical satellite communication system is now being developed by TOYOCOM, which is to conform to the requirements of INMARSAT as well as those to be defined in the Arinc characteristics 741. The purpose of this paper is to describe a result of this development and its present status with the emphasis on its High gain antenna subsystem.</t>
  </si>
  <si>
    <t>119-131</t>
  </si>
  <si>
    <t>Space Communications</t>
  </si>
  <si>
    <t>Hirata, Toshikiyo</t>
  </si>
  <si>
    <t>Kanagawa</t>
  </si>
  <si>
    <t>Toyo Communication Equipment Co., Ltd.</t>
  </si>
  <si>
    <t>Hirata T.</t>
  </si>
  <si>
    <t>Development status of Aeronautical satellite communication system at TOYOCOM Japan</t>
  </si>
  <si>
    <t>2-s2.0-0025402256</t>
  </si>
  <si>
    <t>['tm modes', 'properly taking', 'propagation problem', 'numerical results', 'new devices', 'mode coupling', 'electromagnetic waves', 'distributed reflectors', 'dispersion characteristics']</t>
  </si>
  <si>
    <t>The scattering and guidance of electromagnetic waves from a two-dimensionally (2D) periodic metal grating structure are investigated here. With the spectral domain analysis the dispersion characteristics for this structure are obtained. Properly taking into account the hybrid mode nature of the propagation problem the effects of mode coupling between TE and TM modes are examined. Numerical results will provide us valuable information for the design of new devices in 2D periodic structure, particularly in millimeter-wave frequency range, such as antennas, filters, couplers and distributed reflectors. ¬© 1990 Plenum Publishing Corporation.</t>
  </si>
  <si>
    <t>451-461</t>
  </si>
  <si>
    <t>60003970;60003970</t>
  </si>
  <si>
    <t>57199836088;55926005500</t>
  </si>
  <si>
    <t>Wu, T. H.;Chen, K. S.</t>
  </si>
  <si>
    <t>Hangzhou</t>
  </si>
  <si>
    <t>Zhejiang University</t>
  </si>
  <si>
    <t>Wu T.</t>
  </si>
  <si>
    <t>Analysis of the scattering and guidance of a two-dimensionally periodic metal grating structure by spectral domain method</t>
  </si>
  <si>
    <t>10.1007/BF01010442</t>
  </si>
  <si>
    <t>2-s2.0-0025403167</t>
  </si>
  <si>
    <t>Mikhalev, L. A.</t>
  </si>
  <si>
    <t>Mikhalev L.A.</t>
  </si>
  <si>
    <t>Active dipole antennas to measure radio interference field intensities in the near zone</t>
  </si>
  <si>
    <t>10.1007/BF00865197</t>
  </si>
  <si>
    <t>2-s2.0-0025466609</t>
  </si>
  <si>
    <t>261-263</t>
  </si>
  <si>
    <t>Rumyantsev, R. I.</t>
  </si>
  <si>
    <t>Rumyantsev R.</t>
  </si>
  <si>
    <t>Improving the accuracy of scanners used to measure far-field antenna parameters</t>
  </si>
  <si>
    <t>10.1007/BF00865196</t>
  </si>
  <si>
    <t>2-s2.0-0025467250</t>
  </si>
  <si>
    <t>236-243</t>
  </si>
  <si>
    <t>Mechanics of Composite Materials</t>
  </si>
  <si>
    <t>6602775831;6506159236</t>
  </si>
  <si>
    <t>Vorobei, V. V.;Voitkov, N. I.</t>
  </si>
  <si>
    <t>Vorobei V.</t>
  </si>
  <si>
    <t>Certain applied problems of the mechanics of dimensionally stable structures made of composites</t>
  </si>
  <si>
    <t>10.1007/BF00612326</t>
  </si>
  <si>
    <t>2-s2.0-0025482075</t>
  </si>
  <si>
    <t>['vesicles situated', 'shock waves', 'serve merely', 'objects resonate', 'extreme tip', 'exploratory behaviour', 'drum sticks', 'distal segment', 'acoustical inspection']</t>
  </si>
  <si>
    <t>acoustic probing | drumming | Parasito√Ød | sound analysis</t>
  </si>
  <si>
    <t>When females of Pimpla instigator inspect objects as possible oviposition sites, they use their antennae to make the objects resonate. The antennae are not used as drum sticks, but serve merely to transmit shock waves generated within the female's body. Transmission of the shock waves to the substrate is mediated through vesicles situated at the extreme tip of the distal segment of each antenna. The present results support the hypothesis that acoustical inspection of the environment is a part of the exploratory behaviour of this insect. ¬© 1990 Lavoisier Abonnements.</t>
  </si>
  <si>
    <t>127-139</t>
  </si>
  <si>
    <t>Entomophaga</t>
  </si>
  <si>
    <t>Henaut, A.</t>
  </si>
  <si>
    <t>Centre de G√©n√©tique Mol√©culaire</t>
  </si>
  <si>
    <t>Henaut A.</t>
  </si>
  <si>
    <t>Study of the sound produced by Pimpla instigator [Hymenoptera, Ichneumonidae] during host selection</t>
  </si>
  <si>
    <t>10.1007/BF02374309</t>
  </si>
  <si>
    <t>2-s2.0-0025645121</t>
  </si>
  <si>
    <t>['reaction centers', 'rcs ).', 'purple bacteria', 'psus ).', 'molecular structure', 'limited type', 'excitation delivery', 'antenna bchls']</t>
  </si>
  <si>
    <t>energy migration | excitation trapping | photosynthetic unit</t>
  </si>
  <si>
    <t>A criterion has been evolved for distinguishing between migration- and trapping-limited photosynthetic units (PSUs). Its application to purple bacteria has proved their PSUs to be of trapping-limited type. It means that any improvements of the molecular structure of their PSUs cannot noticeably increase the overall rate constant of excitation delivery from antenna BChls to reaction centers (RCs). ¬© 1990 Kluwer Academic Publishers.</t>
  </si>
  <si>
    <t>283-289</t>
  </si>
  <si>
    <t>Borisov, A. Y.</t>
  </si>
  <si>
    <t>Lomonosov Moscow State University</t>
  </si>
  <si>
    <t>Borisov A.</t>
  </si>
  <si>
    <t>Energy migration in purple bacteria. The criterion for discrimination between migration- and trapping-limited photosynthetic units</t>
  </si>
  <si>
    <t>10.1007/BF00034858</t>
  </si>
  <si>
    <t>2-s2.0-0039584346</t>
  </si>
  <si>
    <t>['¬© 1990', 'strongly influenced', 'show differences', 'rhodella violacea', 'revision either', 'redox potential', 'redox center', 'reaction center', 'quantum yield', 'possible decrease', 'porphyridium purpureum', 'porphyra yezoensis', 'ph 7', 'observable differences', 'medium indicates', 'light 1', 'largely protects', 'l1 preillumination', 'functional decoupling', 'dependent regulation', 'clear dependence', 'always faster', 'activity upon', 'actinic l1', 'acta 973', '720 nm', '452 nm', '140 mv', '137 ).', '10 mm']</t>
  </si>
  <si>
    <t>(Red algae) | Cytochrome f photooxidation | Excitation energy distribution | Light state transition | P700 photooxidation | Photosystem I</t>
  </si>
  <si>
    <t>Several red algae show a light-dependent regulation of the apparent quantum yield of PS I (Rehm, A.M., G√ºlzow, M. and Ried, A. (1989) Biochim. Biophys. Acta 973, 131-137). The induction of a reduced quantum yield of PS I by light 1 (L1) (exciting preferably chlorophyll) and its revision either in L2 (exciting the phycobiliproteins) or in darkness show different characteristics in Porphyra yezoensis, Rhodella violacea and Porphyridium purpureum. The process of induction, however, is always faster than its reversion. The ability to regulate the quantum yield of PS I is strongly influenced by temperature, not by NH4CI. The 77 K fluorescence spectra of PS I in L1 (452 nm) do not show differences after pretreatment in L1, L2 or darkness which could be correlated with an altered quantum yield of PS I. Also, the wavelength of the actinic L1 (694-720 nm) has no influence on the observable differences in P-700 and cytochrome f oxidation after preillumination with L1 or L2. These data are interpreted as evidence against a possible decrease of the apparent quantum yield of PS I as a consequence of a functional decoupling of antenna and reaction center of PS I. The fact that in thylakoids the addition of ascorbate (2-10 mM) largely protects from a reduction of the apparent quantum yield of PS I by L1 preillumination and the clear dependence of the PS I activity upon the redox potential of the medium indicates a control of the quantum yield of PS I by a thylakoidal redox component accessible to external redox components. The redox midpoint potential of this component is + 140 mV at pH 7.8. This redox center does not participate in linear electron transport between the photosystems and is located nearby PS I. ¬© 1990.</t>
  </si>
  <si>
    <t>127-135</t>
  </si>
  <si>
    <t>60007762;60007762;60007762;60007762</t>
  </si>
  <si>
    <t>7003772710;7003309235;7005368215;6602529217</t>
  </si>
  <si>
    <t>Rehm, A. M.;G√ºlzow, M.;Marquardt, J.;Ried, A.</t>
  </si>
  <si>
    <t>Rehm A.</t>
  </si>
  <si>
    <t>Changes in the photosynthetic apparatus of red algae induced by spectral alteration of the light field. II. Further characterization of the light-dependent regulation of the apparent quantum yield of PS I</t>
  </si>
  <si>
    <t>000527289090015V</t>
  </si>
  <si>
    <t>10.1016/0005-2728(90)90015-V</t>
  </si>
  <si>
    <t>2-s2.0-0025273967</t>
  </si>
  <si>
    <t>['¬© 1990', 'vesicles population', 'variable fluorescence', 'thylakoid vesicles', 'thylakoid membrane', 'subpopulations differed', 'results suggest', 'results lend', 'relative content', 'rapid rise', 'qualitative composition', 'protein complexes', 'previous work', 'phase partition', 'partition region', 'oxygen evolution', 'lhcii increased', 'larger ratio', 'grana partitions', 'gel electrophoresis', 'different subpopulations', 'different domains', 'antenna size', 'acta 936', '221 ).', '.- g']</t>
  </si>
  <si>
    <t>(Sonication) | (Spinach chloroplasts) | Antenna size | Phase partition | Photosystem II | Thylakoid membrane</t>
  </si>
  <si>
    <t>The antenna size of different thylakoid membrane vesicles originating from grana partitions and enriched in PS IIŒ± was determined by measuring the kinetics of the variable fluorescence and by gel electrophoresis of pigment-protein complexes. Inside-out thylakoid vesicles were fractionated by sonication and phase partition and separated into different subpopulations of PS IIŒ± vesicles. The kinetics of the rise in the variable fluorescence of these subpopulations differed, demonstrating a heterogeneity in functional antenna size among the PS IIŒ±. Analysis by gel electrophoresis showed that the fractions which have a more rapid rise in variable fluorescence, and hence a larger functional antenna size, also had a larger ratio of LHCII/PS II core polypeptides. The relative content of the 25 kDa polypeptide of LHCII increased with antenna size. There is thus a heterogeneity both with respect to the quantitative and the qualitative composition of the antenna of PS IIŒ±. The results suggest that in vivo there are different domains in the partition region of the thylakoid membrane which have different average antenna size of PS IIŒ±. The results lend further support to previous work in which heterogeneity of the antenna size of PS IIŒ± of the same types of vesicles population was demonstrated by light saturation curves of oxygen evolution (Albertsson, P.-√Ö. and Yu S.-G. (1988) Biochim. Biophys. Acta 936, 215-221). ¬© 1990.</t>
  </si>
  <si>
    <t>137-140</t>
  </si>
  <si>
    <t>60029170;60029170;60029170</t>
  </si>
  <si>
    <t>7005280402;7405732032;7005372912</t>
  </si>
  <si>
    <t>Albertsson, Per √Öke;Yu, Shi Gui;Larsson, Ulla K.</t>
  </si>
  <si>
    <t>Albertsson P.</t>
  </si>
  <si>
    <t>Heterogeneity in Photosystem II&lt;inf&gt;Œ±&lt;/inf&gt;. Evidence from fluorescence and gel electrophoresis experiments</t>
  </si>
  <si>
    <t>0005-2728(90)90016-W</t>
  </si>
  <si>
    <t>10.1016/0005-2728(90)90016-W</t>
  </si>
  <si>
    <t>2-s2.0-0025344453</t>
  </si>
  <si>
    <t>['rise time', 'relative sensitivity', 'radiation efficiency', 'physical mechanism', 'photoconducting materials', 'indium phosphide', 'fall time', 'damaged silicon']</t>
  </si>
  <si>
    <t>The radiation efficiency and physical mechanism for the generation of subpicosecond electromagnetic pulses from large-aperture photoconducting antennas are evaluated. The rise time of the photocurrent is found to be more important than the fall time in determining the relative sensitivity of photoconducting materials. Indium phosphide is found to be almost 10 times more sensitive than radiation-damaged silicon-on-sapphire. ¬© 1990 Optical Society of America.</t>
  </si>
  <si>
    <t>323-325</t>
  </si>
  <si>
    <t>Optics Letters</t>
  </si>
  <si>
    <t>60030162;60030162;60030162;60030162</t>
  </si>
  <si>
    <t>6701531352;24325456000;7410280543;7003905455</t>
  </si>
  <si>
    <t>Darrow, J. T.;Hu, B. B.;Zhang, X. C.;Auston, D. H.</t>
  </si>
  <si>
    <t>Columbia University</t>
  </si>
  <si>
    <t>Darrow J.</t>
  </si>
  <si>
    <t>Subpicosecond electromagnetic pulses from large-aperture photoconducting antennas</t>
  </si>
  <si>
    <t>10.1364/OL.15.000323</t>
  </si>
  <si>
    <t>2-s2.0-84975561173</t>
  </si>
  <si>
    <t>['tissue extracts', 'separated proteins', 'pi 4', 'molecular subunits', 'leg tissues', 'isoelectric points', 'heliothis virescens', 'fluorescence autoradiograms', 'detected using', 'detected primarily', 'covalently modify', 'covalent modification', 'catalyzed oxidation', 'ao activity', 'antennal extracts', 'aldh enzymes', 'aldh activity', 'aldehyde dehydrogenase']</t>
  </si>
  <si>
    <t>Aldehyde dehydrogenase (ALDH) and oxidase (AO) enzymes from the tissue extracts of male and female tobacco budworm moth (Heliothis virescens) were identified after electrophoretic protein separation. AO activity was visualized using formazan- or horseradish ediated staining coupled to the AO-catalyzed oxidation of benzaldehyde. A set of six soluble AO enzymes with isoelectric points from pI 4.6 to 5.3 were detected primarily in the antennal extracts. Partially purified antennal AO enzymes also oxidized both (Z)-9-tetradecenal and (Z)-11-hexadecenal, the two major pheromone components of this moth. ALDH activity was detected using a tritium-labeled affinity reagent based on a known irreversible inhibitor of this enzyme. This labeled vinyl ketone, [3H](Z)-1,11-hexadecadien-3-one, was synthesized and used to covalently modify the soluble ALDH enzymes from tissue extracts. Molecular subunits of potential ALDH enzymes were visualized in the fluorescence autoradiograms of sodium dodecyl sulfate-polyacrylamide gel electrophoresis-separated proteins of the antenna, head, and leg tissues. Covalent modification of these protein subunits decreased specifically in the presence of excess pheromone aldehyde or benzaldehyde. Labeled vinyl ketones are thus novel tools for the identification of molecular subunits of ALDH enzymes.</t>
  </si>
  <si>
    <t>3094-3101</t>
  </si>
  <si>
    <t>Journal of Biological Chemistry</t>
  </si>
  <si>
    <t>Tasayco, M. L.;Prestwich, G. D.</t>
  </si>
  <si>
    <t>A specific affinity reagent to distinguish aldehyde dehydrogenases and oxidases. Enzymes catalyzing aldehyde oxidation in an adult moth</t>
  </si>
  <si>
    <t>2-s2.0-0025219222</t>
  </si>
  <si>
    <t>['¬© 1990', 'rights reserved', 'protein complexes', 'interior architecture', 'fixed ratio', 'first case', 'excludes non', 'direct chromophore', 'covalent chromophore', 'chlorophyll c', 'bchl c', 'antennae constitute']</t>
  </si>
  <si>
    <t>Bacteriochlorophyll c Aggregates | Chloroflexus aurantiacus | Chlorosomes | Photosynthetic Antennae</t>
  </si>
  <si>
    <t>The interior of chlorosomes, the main antenna system of the photosynthesizing bacterium Chloroflexus aurantiacus, is shown to contain no proteins in a fixed ratio to BChl c and in amounts that could be significant of direct chromophore-protein complexes. This excludes non-covalent chromophore-protein complexing ‚Äì that has so far been found in all other antennae ‚Äì as the main organizational principle of the interior architecture for chlorosomes of chlorophyll C. aurantiacus. Rather, these antennae constitute the first case of a chromophore-chromophore aggregate functioning as a photosynthetic light harvesting system. ¬© 1990, Walter de Gruyter. All rights reserved.</t>
  </si>
  <si>
    <t>60072285;60072285;60072285</t>
  </si>
  <si>
    <t>35501122300;57081586300;7006711511</t>
  </si>
  <si>
    <t>Holzwarth, Alfred R.;Gnebenow, Kai;Schaffner, Kurt</t>
  </si>
  <si>
    <t>Holzwarth A.</t>
  </si>
  <si>
    <t>A photosynthetic antenna system which contains a protein-free chromophore aggregate</t>
  </si>
  <si>
    <t>10.1515/znc-1990-3-410</t>
  </si>
  <si>
    <t>2-s2.0-0000651686</t>
  </si>
  <si>
    <t>['two compounds', 'three types', 'third type', 'subtle effects', 'sensory cells', 'sensilla showed', 'sem ).', 'receptor responses', 'receptor neurons', 'produced components', 'pheromone component', 'oh ),', 'neurons responded', 'major components', 'major component', 'made primarily', 'involved primarily', 'interspecific cue', 'important components', 'heliothis virescens', 'electrophysiological recordings', 'eleclrophysiological recordings', 'different lengths', 'crosswise rows', 'behavioral responses', 'al ).', 'a1 ).', '58 %)']</t>
  </si>
  <si>
    <t>(Z)-11-hexadecen-1-ol | (Z)-11-hexadecenal | (Z)-7-hexadecenal | (Z)-9-hexadecenal | (Z)-9-tetradecenal | EAG | Heliothis virescens | hexadecanal | Lepidoptera | Noctuidae | olfactory receptor cells | pheromones | single-cell recordings | Tobacco budworm moth</t>
  </si>
  <si>
    <t>Eleclrophysiological recordings from single olfactory receptor cells were carried out in the male tobacco budworm moth, Heliothis virescens. Recordings were made primarily from the sensilla trichodea type 1, which are located in the characteristic circumferential rows on the antennae. They possess the longest sensilla hairs as revealed by scanning electron microscopy (SEM). The sensory cells of these sensilla responded specifically to pheromones. Only three types of receptor neurons were found, each tuned to one of the female-produced components. The majority (58%) of the neurons were tuned to the major component (Z)-11-hexadecenal (Z11-16:A1). Another large group (27%) responded specifically to stimulation with (Z)-9-tetradecenal (Z9-14: Al). These two compounds are the most important components of the pheromones as judged by their influence on the behavioral responses of the males. The third type of neurons responded specifically to (Z)-11-hexadecen-1-ol (Z11-16: OH), which may act either as a pheromone component or as an interspecific cue. None of the receptor neurons in the long sensilla trichodea responded specifically to the minor aldehyde components of the pheromone, which have subtle effects on behavior. Mixture experiments provided no evidence that minor components influence the receptor responses to the major components. Olfactory sensilla outside the crosswise rows were also characterized morphologically by SEM. Included in these were sensilla of different lengths, corresponding to a classification as s. basiconica and s. trichodea type 2. Electrophysiological recordings from these sensilla showed that they are involved primarily in host odor reception. However, a few of these neurons responded to pheromones. ¬© 1990 Plenum Publishing Corporation.</t>
  </si>
  <si>
    <t>1331-1347</t>
  </si>
  <si>
    <t>60013141;60013141</t>
  </si>
  <si>
    <t>6507105227;6701730347</t>
  </si>
  <si>
    <t>Almaas, T. J.;Mustaparta, H.</t>
  </si>
  <si>
    <t>Almaas T.</t>
  </si>
  <si>
    <t>Pheromone reception in tobacco budworm moth, heliothis virescens</t>
  </si>
  <si>
    <t>10.1007/BF01021030</t>
  </si>
  <si>
    <t>2-s2.0-0001449113</t>
  </si>
  <si>
    <t>['transport reaction', 'transfer reaction', 'thylakoid membrane', 'synthesize chlorophyll', 'reinhardtii revealed', 'reinhardtii cells', 'reducing form', 'qb electron', 'ps ii', 'peripheral complement', 'peripheral antenna', 'peripheral ).', 'nonreducing form', 'mature form', 'lhc ii', 'latter contained', 'functional antenna', 'facultative heterotroph', 'energetically uncoupled', 'energetically coupled', 'dependent activation', '30 min', '250 chl', '130 chl']</t>
  </si>
  <si>
    <t>green algae | Photosystem II heterogeneity | PS II activation pathway | PS II antenna size | Q -nonreducing centers B | thylakoid membrane</t>
  </si>
  <si>
    <t>The green alga Chlamydomonas reinhardtii is a facultative heterotroph and, when cultured in the presence of acetate, will synthesize chlorophyll (Chl) and photosystem (PS) components in the dark. Analysis of the thylakoid membrane composition and function in dark grown C. reinhardtii revealed that photochemically competent PS II complexes were synthesized and assembled in the thylakoid membrane. These PS II centers were impaired in the electron-transport reaction from the primary-quinone electron acceptor, QA, to the secondary-quinone electron acceptor, QB (QB-nonreducing centers). Both complements of the PS II Chl a-b light harvesting antenna (LHC II-inner and LHC II-peripheral) were synthesized and assembled in the thylakoid membrane of dark grown C. reinhardtii cells. However, the LHC II-peripheral was energetically uncoupled from the PS II reaction center. Thus, PS II units in dark grown cells had a Œ≤-type Chl antenna size with only 130 Chl (a and b) molecules (by definition, PS IIŒ≤ units lack LHC II-peripheral). Illumination of dark grown C. reinhardtii caused pronounced changes in the organization and function of PS II. With a half-time of about 30 min, PS II centers were converted froma QB-nonreducing form in the dark, to a QB-reducing form in the light. Concomitant with this change, PS IIŒ≤ units were energetically coupled with the LHC II-peripheral complement in the thylakoid membrane and were converted to a PS IIŒ± form. The functional antenna of the latter contained more than 250 Chl(a+b) molecules. The results are discussed in terms of a light-dependent activation of the QA-QB electron-transfer reaction which is followed by association of the PS IIŒ≤ unit with a LHC II-peripheral antenna and by inclusion of the mature form of PS II (PS IIŒ±) in the membrane of the grana partition region. ¬© 1990 Kluwer Academic Publishers.</t>
  </si>
  <si>
    <t>60025038;60025038;60025038</t>
  </si>
  <si>
    <t>7006807018;6602395622;57203081985</t>
  </si>
  <si>
    <t>Guenther, Jeanne E.;Nemson, Jeff A.;Melis, Anastasios</t>
  </si>
  <si>
    <t>Guenther J.</t>
  </si>
  <si>
    <t>Development of Photosystem II in dark grown Chlamydomonas reinhardtii. A light-dependent conversion of PS II&lt;inf&gt;Œ≤&lt;/inf&gt;, Q&lt;inf&gt;B&lt;/inf&gt;-nonreducing centers to the PS II&lt;inf&gt;Œ±&lt;/inf&gt;, Q&lt;inf&gt;B&lt;/inf&gt;-reducing form</t>
  </si>
  <si>
    <t>10.1007/BF00032642</t>
  </si>
  <si>
    <t>2-s2.0-0002203072</t>
  </si>
  <si>
    <t>['stamen patches', 'spectral purity', 'near orientation', 'naive bumblebees', 'landing reaction', 'guide colour', 'greatest number', 'flower dummy', 'flower dummies', 'dominant wavelength', 'detectable influence', 'corolla colour', 'colour contrast', 'centripetally increasing', 'based upon', 'approach toward', 'antennae reactions', 'antennae contact']</t>
  </si>
  <si>
    <t>Bombus | Colour saturation | Flower signals | Innate releasing mechanism | Spectral purity</t>
  </si>
  <si>
    <t>Innate behavioural reactions, i.e. reactions of untrained, flower-naive bumblebees (Bombus terrestris L., B. lucorum L.; Apidae) were observed in flower dummy experiments. It was proven that an innate releasing mechanism responds to optical flower signals: the spectral purity of 'corolla colour' was found to be crucial for far attraction toward flower dummies. During the subsequent near orientation, that is when a bumblebee finally reaches a flower dummy, the bumblebee's antennae contact the part of highest spectral purity while the bee is still in flight. 'Guides' such as 'stamen patches' present in the center of flower dummies are used only for near orientation. Flower dummies receiving the greatest number of antennae reactions at the guide were always those with low spectral purity in the surrounding background colour, high spectral purity at the corolla colour and highest spectral purity at the guide colour. In contrast, dominant wavelength and intensity of flower dummy colours had no detectable influence on innate behavioural reactions, while colour contrast had some. These results are interpreted as follows: orientation toward guides is based upon a gradient of centripetally increasing, bee-subjective colour saturation which directs the bumblebee's approach toward the center of the flower dummy where additional factors may contribute to stimulating the landing reaction. ¬© 1990 Springer-Verlag.</t>
  </si>
  <si>
    <t>827-834</t>
  </si>
  <si>
    <t>Journal of Comparative Physiology A</t>
  </si>
  <si>
    <t>Lunau, Klaus</t>
  </si>
  <si>
    <t>Lunau K.</t>
  </si>
  <si>
    <t>Colour saturation triggers innate reactions to flower signals: Flower dummy experiments with bumblebees</t>
  </si>
  <si>
    <t>10.1007/BF00187329</t>
  </si>
  <si>
    <t>2-s2.0-0025002281</t>
  </si>
  <si>
    <t>['synaptic contacts', 'stained neurons', 'projection neurons', 'monosynaptic contacts', 'individual gaba', 'immunoreactive neurons', 'immunohistochemical labeling', 'glomerular neuropil', 'characteristic contacts', 'antennal lobes', 'afferent fibers']</t>
  </si>
  <si>
    <t>Synaptic contacts between GABA-immunoreactive neurons, antennal receptor fibers and non-GABA-immunoreactive neurons in the glomerular neuropil of the antennal lobes have been identified by means of a combination of (i) immunohistochemical labeling and (ii) labeling of afferent fibers of the antenna by experimentally induced degeneration. Characteristic contacts of these neurons are: a) Serially arranged polysynaptic contacts between degenerated antennal fibers, GABA-immunoreactive neurons and non-GABA-immunoreactive neurons. b) Monosynaptic contacts between degenerated antennal fibers and non-GABA-immunoreactive neurons. c) Reciprocal synaptic contacts between immunostained and non-stained neurons and synaptic contacts between individual GABA-immunoreactive neurons. d) Synaptic output contacts of GABA-immunoreactive neurons with degenerated antennal fibers. GABA-immunoreactive neuron profiles in the glomeruli are assigned to multiglomerular local interneurons (Distler 1989a); non-immunolabeled profiles may be assigned to projection neurons and other not yet identified interneurons. ¬© 1990 Springer-Verlag.</t>
  </si>
  <si>
    <t>617-626</t>
  </si>
  <si>
    <t>1432119X</t>
  </si>
  <si>
    <t>Histochemistry</t>
  </si>
  <si>
    <t>Distler, P.</t>
  </si>
  <si>
    <t>Regensburg</t>
  </si>
  <si>
    <t>Universit√§t Regensburg</t>
  </si>
  <si>
    <t>Distler P.</t>
  </si>
  <si>
    <t>GABA-immunohistochemistry as a label for identifying types of local interneurons and their synaptic contacts in the antennal lobes of the American cockroach</t>
  </si>
  <si>
    <t>10.1007/BF00272204</t>
  </si>
  <si>
    <t>2-s2.0-0025270632</t>
  </si>
  <si>
    <t>['stimulatory effect', 'resistant analogs', 'phospholipase c', 'pheromone action', 'periplaneta americana', 'gdp analogs', 'enzyme activity', 'designed specificity', 'dependent manner', 'completely blocked', 'catalyzed adp', 'bacterial toxin', 'antennal preparations']</t>
  </si>
  <si>
    <t>G-protein | Olfaction | Periplaneta | Periplanone | Phospholipase</t>
  </si>
  <si>
    <t>Phospholipase C in the antennae of Periplaneta americana was stimulated by pheromones in a GTP-dependent manner. The enzyme activity was potentiated by hydrolysis-resistant analogs of GTP and decreased by GDP analogs. Guanine nucleotide binding regulatory proteins (G-proteins) in antennal preparations were identified by bacterial toxin-catalyzed ADP-ribosylation and immunoreactivity with antibodies of designed specificity. The stimulatory effect of pheromones on inositol phosphate formation was completely blocked by pertussis toxin suggesting that the pheromone action was mediated via specific G-proteins. ¬© 1990 Springer-Verlag.</t>
  </si>
  <si>
    <t>99-103</t>
  </si>
  <si>
    <t>1432136X</t>
  </si>
  <si>
    <t>Journal of Comparative Physiology B</t>
  </si>
  <si>
    <t>7003692909;6603037070;7103041183</t>
  </si>
  <si>
    <t>Boekhoff, I.;Raming, K.;Breer, H.</t>
  </si>
  <si>
    <t>Pheromone-induced stimulation of inositol-trisphosphate formation in insect antennae is mediated by G-proteins</t>
  </si>
  <si>
    <t>10.1007/BF00258768</t>
  </si>
  <si>
    <t>2-s2.0-0025374734</t>
  </si>
  <si>
    <t>['various values', 'spatial filtering', 'spatial filter', 'interference characteristics', 'external characteristics', 'computer modeling', 'also presented']</t>
  </si>
  <si>
    <t>A method is proposed for spatial filtering which reduces random errors in information measuring systems (IMS) for measuring the external characteristics of antennas in terms of the field in the aperture. Results are presented of measurements of interference characteristics in IMS. The results of computer modeling of the operation of a spatial filter for various values of the interference characteristics are also presented.</t>
  </si>
  <si>
    <t>Spatial filtering of interference when making measurements in the near field of an antenna</t>
  </si>
  <si>
    <t>2-s2.0-0025405927</t>
  </si>
  <si>
    <t>['transfer constant', 'shaping circuit', 'experimental investigations', 'analyzed using', 'acoustoelectronic pattern']</t>
  </si>
  <si>
    <t>The operation of an acoustoelectronic pattern-shaping circuit based on surface acoustic waves (SAWs) is analyzed using an angular spectrum method. Relations are obtained which determine the device's transfer constant. The results of theoretical and experimental investigations of a pattern-shaping circuit are presented.</t>
  </si>
  <si>
    <t>137-141</t>
  </si>
  <si>
    <t>6701546368;7004471853;7004312487</t>
  </si>
  <si>
    <t>Kartashev, V. G.;Kuz'min, S. V.;Skachkov, V. L.</t>
  </si>
  <si>
    <t>Kartashev V.</t>
  </si>
  <si>
    <t>Diffraction in pattern-shaping circuits based on multibranch saw delay lines</t>
  </si>
  <si>
    <t>2-s2.0-0025406072</t>
  </si>
  <si>
    <t>['scattering characteristics', 'required value', 'repeater sc', 'radio link', 'power relations', 'normalized values', 'moving repeater', 'modulating effect', 'high degree', 'base may', 'antenna directivity']</t>
  </si>
  <si>
    <t>A possibility of estimating the scattering characteristics (SC) of a moving repeater in a radio link is considered. The conditions under which the modulating effect of the antenna directivity on the repeated signal may be neglected are considered. Calculations have shown that the normalized values of the matched filter responses describe, with high degree of accuracy, the values of the repeater SC. The required value of the spread spectrum signals (SSS) base may be estimated from an analysis of the power relations in the radio link.</t>
  </si>
  <si>
    <t>7006577066;57197322556</t>
  </si>
  <si>
    <t>Tishchenko, A. M.;Fedorov, N. N.</t>
  </si>
  <si>
    <t>Tishchenko A.</t>
  </si>
  <si>
    <t>Estimate of the scattering characteristics of a passive repeater in a radio link</t>
  </si>
  <si>
    <t>2-s2.0-0025406113</t>
  </si>
  <si>
    <t>['weighting factors', 'various methods', 'spectral width', 'incoming signal', 'broadband signal', 'azimuthal angle']</t>
  </si>
  <si>
    <t>The possibility of estimating the azimuthal angle of incidence of a broadband signal by means of adaptive antenna systems is considered. The effect of the spectral width of an incoming signal on the estimate of its direction of incidence is studied for various methods of constructing the weighting factors.</t>
  </si>
  <si>
    <t>80-83</t>
  </si>
  <si>
    <t>6602100380;36961592200;6506847635</t>
  </si>
  <si>
    <t>Komarovich, V. F.;Nikitchenko, V. V.;Vikhlyantsev, P. S.</t>
  </si>
  <si>
    <t>Komarovich V.</t>
  </si>
  <si>
    <t>Analysis of the effect of signal bandwidth on the estimate of its spatial parameters</t>
  </si>
  <si>
    <t>2-s2.0-0025406423</t>
  </si>
  <si>
    <t>['systemic changes', 'proposed principle', 'principle considered', 'negative feedback', 'mw bands', 'mode method', 'matching frequency', 'experimental investigations', 'device circuit']</t>
  </si>
  <si>
    <t>The principle of systemic changes in the matching frequency of the signal source internal resistance and the optimum amplifier noise resistance applicable to broadband active magnetic antennas are considered. The device circuit and results of experimental investigations are presented. The principle considered for designing multiband broadband active magnetic antennas with a mode method of varying the matching frequency of the signal source Zg to the input transistor Rg opt within each frequency band ensures constancy of the depth of negative feedback. The practical circuit presented for an active magnetic antenna for the LW and MW bands and the results of experimental investigations confirm the effectiveness of the proposed principle of constructing such antennas.</t>
  </si>
  <si>
    <t>108-109</t>
  </si>
  <si>
    <t>Kurochkin, A. Ye</t>
  </si>
  <si>
    <t>Kurochkin A.</t>
  </si>
  <si>
    <t>Broadband active magnetic antenna</t>
  </si>
  <si>
    <t>2-s2.0-0025406444</t>
  </si>
  <si>
    <t>['upper layer', 'tapered section', 'slow waves', 'slot coupling', 'satellite broadcasting', 'paper discusses', 'mass produced', 'made thinner', 'lower layer', 'layered waveguide', 'half wavelength', 'filling method', 'feed circuit', 'dielectric materials', 'condition required', 'become necessary', '76 percent', '3 dbi']</t>
  </si>
  <si>
    <t>The radial line slot antenna (RLSA) is a planar antenna developed for reception of satellite broadcasting. Extremely good performance including the gain of 36.3 dBi and the efficiency of 76 percent has already been realized. As the analysis of the slot coupling and the development of the transformer for a converter have been advanced, it has become necessary to design the feed line including the thickness of the waveguide so that the antenna can be made thinner and mass produced. This paper discusses a design of the two-layered waveguide for feeding the RLSA and analyzes the reflection from an E-bend so that the condition required for thickness of the two-layered waveguide is determined. In addition, a feed circuit is proposed which has a tapered section of a length of one-half wavelength at the lower layer to increase the degrees of freedom in design. Further, the effect of the dielectric materials to be filled in the upper layer for slow waves is discussed. Its filling method is studied.</t>
  </si>
  <si>
    <t>109-115</t>
  </si>
  <si>
    <t>55419691000;7005774847;35495699200;7201747933</t>
  </si>
  <si>
    <t>Endo, Katsuya;Natori, Makoto;Ando, Makoto;Goto, Naohisa</t>
  </si>
  <si>
    <t>Endo K.</t>
  </si>
  <si>
    <t>Waveguide design of a radial line slot antenna</t>
  </si>
  <si>
    <t>2-s2.0-0025406625</t>
  </si>
  <si>
    <t>['solution wherein', 'received signal', 'paper proposes', 'numerical analysis', 'international conference', 'interference caused', 'frequency divisions', 'apparent efficiency', 'adjustments made']</t>
  </si>
  <si>
    <t>As a result of adjustments made in countries neighboring Japan in response to an international conference to reestablish the frequency spectrum usage, frequency divisions were made and medium-frequency divisions for Japan were rearranged. The interference caused by this rearrangement has been considerable. Prompted by the Ministry of Posts, a medium-frequency relay commission was established to study this problem. One suggestion put forth by the commission was the use of helical loaded antennas along with other low-cost small antennas. This paper proposes a solution wherein the field of the received signal is increased. Also, a numerical analysis and experiments to determine the apparent efficiency of these antennas are presented. The theoretical and measured data show good agreement.</t>
  </si>
  <si>
    <t>76-80</t>
  </si>
  <si>
    <t>117249317;117249317</t>
  </si>
  <si>
    <t>56301998600;56127629700</t>
  </si>
  <si>
    <t>Nakamura, Kotaro;Nakamura, Tetsuo</t>
  </si>
  <si>
    <t>Denki Kogyo Co., Ltd</t>
  </si>
  <si>
    <t>Helical loaded monopole antenna</t>
  </si>
  <si>
    <t>2-s2.0-0025406684</t>
  </si>
  <si>
    <t>['weight restriction', 'shared used', 'satellite tower', 'reflector surface', 'primary radiator', 'paper describes', 'microstrip array', 'made easier', 'ghz band', 'element spacing', 'element rows', 'edge gain', 'borne antenna', 'band satellite']</t>
  </si>
  <si>
    <t>This paper describes an S-band satellite-borne antenna for a large-capacity communications satellite. Due to weight restriction, shared used of the reflector surface is needed. In the present antenna system, the 3.5 mœÜ reflector surface is used both for the 20-GHz band and the S-band. A microstrip array is used as the primary radiator of the S-band so that loading on the satellite tower is made easier. The relationship of the edge gain with the number of element rows and the element spacing is determined. From this result, it is shown that 12 element configurations per beam are suitable in the present antenna system.</t>
  </si>
  <si>
    <t>91-98</t>
  </si>
  <si>
    <t>57206124011;6603786095;7404482427</t>
  </si>
  <si>
    <t>Kondo, Akira;Itanami, Takao;Abe, Hidehiko</t>
  </si>
  <si>
    <t>Kondo A.</t>
  </si>
  <si>
    <t>Design of high-gain S-band multibeam antenna for ETS-VI</t>
  </si>
  <si>
    <t>2-s2.0-0025406842</t>
  </si>
  <si>
    <t>['various experiments', 'v ).', 'transmission performances', 'test period', 'satellite used', 'quality estimation', 'paper describes', 'many organizations', 'communication equipment']</t>
  </si>
  <si>
    <t>Research and development of aeronautical satellite communication systems recently has received wide attention from many organizations all over the world. This paper describes the world's first aeronautical experiments to be conducted in L-band frequencies using commercial aircraft. A newly developed airborne antenna having electronically steerable beams and communication equipment was installed in a B-747F freighter flying over transoceanic flight routes. The satellite used in these experiments is the Engineering Test Satellite-Five (ETS-V). During the test period, various experiments were conducted such as antenna pattern measurements, transmission performances and voice-quality estimation.</t>
  </si>
  <si>
    <t>99-108</t>
  </si>
  <si>
    <t>60092258;60092258;60092258;60092258</t>
  </si>
  <si>
    <t>57206128771;35501540000;36950526800;35560533200</t>
  </si>
  <si>
    <t>Hase, Yoshihiro;Wakana, Hiromitu;Taira, Shinichi;Ohmori, Shingo</t>
  </si>
  <si>
    <t>Hase Y.</t>
  </si>
  <si>
    <t>Experiments on aeronautical satellite communications using ETS-V</t>
  </si>
  <si>
    <t>2-s2.0-0025408393</t>
  </si>
  <si>
    <t>['two problems', 'studied first', 'reception quality', 'radiating element', 'narrow bandwidth', 'loss operation', 'layer structure', 'feed line', 'broadband low', 'array size', 'antenna substrate', 'antenna efficiency', 'also degradation']</t>
  </si>
  <si>
    <t>In a satellite broadcast receiving antenna made using printed antenna technology the narrow bandwidth of the radiating element and the reduction of efficiency by the loss in the feed line are problems. The latter in particular is significant as the array size is increased. It not only causes the reduction of antenna efficiency, but also degradation of G/T and reception quality. In this paper, these two problems are studied first from the viewpoint of the thickness of the antenna substrate and conditions are derived for a optimum substrate thickness for broadband low-loss operation. Further, a two-layer structure is proposed as a configuration for a broadband low-loss antenna satisfying these two conditions simultaneously.</t>
  </si>
  <si>
    <t>81-90</t>
  </si>
  <si>
    <t>60103907;60103907</t>
  </si>
  <si>
    <t>7402736806;6602515710</t>
  </si>
  <si>
    <t>Murata, Takao;Ohmaru, Kenji</t>
  </si>
  <si>
    <t>Nippon Hoso Kyokai</t>
  </si>
  <si>
    <t>Murata T.</t>
  </si>
  <si>
    <t>Printed antenna with two-layer structure for satellite broadcast reception</t>
  </si>
  <si>
    <t>2-s2.0-0025411734</t>
  </si>
  <si>
    <t>['value consistent', 'strong correlations', 'sensor data', 'second spacecraft', 'poor observability', 'monte carlo', 'lower orbit', 'inflight calibration', 'improved significantly', 'gimbaled antenna', 'general approach', 'excellent agreement', 'ephemeris errors', 'earth sensor', 'data need', 'data geometry', 'covariance analyses', 'considered explicitly', 'conceptual spacecraft', 'collection intervals', 'calibration models', 'calibration method', 'calibration errors', 'calibration accuracy', 'attitude data', '01 deg']</t>
  </si>
  <si>
    <t>A general approach to the inflight calibration of attitude sensors using scalar observations is described. The calibration method does not require attitude computation or modeling and thus places minimal restrictions on the data geometry and collection intervals. The data need not be contiguous and may span days or weeks. Calibration models are derived for spinning, non-spinning, and gimbaled attitude sensors. Ephemeris errors are considered explicitly and shown to limit calibration accuracy. The approach is applied to a conceptual spacecraft which has an Earth sensor, spinning Sun sensor, fixed-head star tracker, and a gimbaled communications link with a second spacecraft in a lower orbit. For the example, using 24 hours of sensor data, most calibration errors were reduced to a value consistent with the ephemeris errors, about 0.01 deg. Larger calibration errors for the gimbaled antenna and star tracker pitch angles are attributed to strong correlations and poor observability, respectively. The attitude data were used to solve for calibration and ephemeris state parameters simultaneously, but the calibration accuracy was not improved significantly. Excellent agreement between Monte Carlo and covariance analyses was obtained.</t>
  </si>
  <si>
    <t>201-213</t>
  </si>
  <si>
    <t>Journal of the Astronautical Sciences</t>
  </si>
  <si>
    <t>Lerner, G. M.</t>
  </si>
  <si>
    <t>Washington Systems Engineering</t>
  </si>
  <si>
    <t>Lerner G.M.</t>
  </si>
  <si>
    <t>Attitude sensor calibration using scalar observations</t>
  </si>
  <si>
    <t>2-s2.0-0025414042</t>
  </si>
  <si>
    <t>['turbulent cells', 'transmission coefficients', 'point receivers', 'paper describes', 'operating frequency', 'model yields', 'earth links', 'deterministic model', 'atmospheric turbulences', 'also evaluated', '100 ghz']</t>
  </si>
  <si>
    <t>The paper describes a deterministic model for the effects of atmospheric turbulences on satellite-earth links from 1 to 100 GHz. Turbulent cells are considered as dielectric volumes crossing the Fresnel's zones of the link. The transmission coefficients are calculated for point receivers as well as for actual aperture antennas. The model yields a transfer function submitted to the influence of the equivalent dielectric constant, the thickness, size, and geometry of the cells, the size of the antenna, and the operating frequency. The resulting group delay is also evaluated, as well as the impulse and step-responses. ¬© 1990 Plenum Publishing Corporation.</t>
  </si>
  <si>
    <t>519-532</t>
  </si>
  <si>
    <t>60000874;60000874</t>
  </si>
  <si>
    <t>6603820262;7003549059</t>
  </si>
  <si>
    <t>Vanhoenacker, D.;Vander Vorst, A.</t>
  </si>
  <si>
    <t>Louvain-la-Neuve</t>
  </si>
  <si>
    <t>Universit√© Catholique de Louvain</t>
  </si>
  <si>
    <t>Vanhoenacker D.</t>
  </si>
  <si>
    <t>A multipath model for atmospheric scintillations at microwaves and millimeter waves</t>
  </si>
  <si>
    <t>10.1007/BF01009577</t>
  </si>
  <si>
    <t>2-s2.0-0025414179</t>
  </si>
  <si>
    <t>['proper design', 'paper reports', 'isofrequency beams', 'good isolation', 'feed array', 'cluster element']</t>
  </si>
  <si>
    <t>The paper reports on the design of a feed array for a multibeam satellite antenna. The work has been carried out in the frame of the ESA program LOAD-10. The prescribed European coverage is obtained as a superposition of 15 circular spots, using four frequency subbands. Good isolation between isofrequency beams is achieved by means of a proper design of each cluster element.</t>
  </si>
  <si>
    <t>35859198300;6602149280</t>
  </si>
  <si>
    <t>Mantica, P. G.;Pagana, E.</t>
  </si>
  <si>
    <t>Mantica P.</t>
  </si>
  <si>
    <t>Feed array for a European multibeam antenna</t>
  </si>
  <si>
    <t>2-s2.0-0025414405</t>
  </si>
  <si>
    <t>['vast areas', 'radio broadcasting', 'improved knowledge', 'important developments', 'facilitate long', 'distance transmission', 'distance reception', 'direct broadcasting', 'digital technology', 'better understanding', 'author reviews', 'antenna characteristics']</t>
  </si>
  <si>
    <t>The author reviews the history of sound broadcasting starting from the discovery of radio and projects on the future of radio broadcasting. Firstly, improved knowledge of radio-wave propagation mechanisms, which together with a better understanding of antenna characteristics, will facilitate long-distance reception, and secondly, the use of satellites, not only for long-distance transmission of sound broadcasting signals, but also for direct broadcasting to vast areas, in particular to regions with no roads or electric power supply, and for reception with portable receivers installed in vehicles. Probably the most important developments which may be anticipated in the future, however, will be associated with the enhanced sound quality thanks to the introduction of digital technology and lasers.</t>
  </si>
  <si>
    <t>0497137X</t>
  </si>
  <si>
    <t>Telecommunication Journal</t>
  </si>
  <si>
    <t>Terzani, C.</t>
  </si>
  <si>
    <t>Terzani C.</t>
  </si>
  <si>
    <t>Future of sound broadcasting</t>
  </si>
  <si>
    <t>2-s2.0-0025415947</t>
  </si>
  <si>
    <t>['time policy', 'spacecraft consisting', 'spacecraft caused', 'rigid platform', 'persistent disturbances', 'numerical example', 'integral control', 'implies bang', 'given number', 'flexible antennas', 'elastic vibration', 'dependent terms', 'body motions', 'bang control']</t>
  </si>
  <si>
    <t>This paper is concerned with the problem of reorienting the line of sight of a given number of flexible antennas in a spacecraft. The maneuver of the antennas is carried out according to a minimum-time policy, which implies bang-bang control. Regarding the maneuver angular motion of the antennas as known, the equations of motion contain time-dependent terms in the form of coefficients and persistent disturbances. The control of the elastic vibration and of the rigid-body motions of the spacecraft caused by the maneuver is implemented by means of a proportional-plus-integral control. The approach is demonstrated by means of a numerical example in which a spacecraft consisting of a rigid platform and two maneuvering flexible antennas is controlled.</t>
  </si>
  <si>
    <t>187-199</t>
  </si>
  <si>
    <t>Control of spacecraft with multi-targeted flexible antennas</t>
  </si>
  <si>
    <t>2-s2.0-0025417472</t>
  </si>
  <si>
    <t>333-337</t>
  </si>
  <si>
    <t>Radiophysics and Quantum Electronics</t>
  </si>
  <si>
    <t>57220358034;6603747137</t>
  </si>
  <si>
    <t>Mal'tsev, A. A.;Serebryakov, G. V.</t>
  </si>
  <si>
    <t>Mal'tsev A.A.</t>
  </si>
  <si>
    <t>Analysis of an adaptive antenna array with a reversible subaperture under the influence of correlated noise</t>
  </si>
  <si>
    <t>10.1007/BF01046977</t>
  </si>
  <si>
    <t>2-s2.0-34249961585</t>
  </si>
  <si>
    <t>['simplify optimizations', 'scattering characteristics', 'ray parameters', 'radome parameters', 'many kinds', 'electromagnetic transmission', 'cylindrical single', 'computation accuracy']</t>
  </si>
  <si>
    <t>Antenna | Complex ray | Electromagnetic scattering | Radome</t>
  </si>
  <si>
    <t>Electromagnetic transmission and scattering characteristics of radome may conveniently be analyzed by complex ray paraxial approximation and collective ray methods. As an example, a 2-D cylindrical single-layered dielectric radome is analyzed and calculated in this investigation, including radome transmission coefficient, radar angular track performance and radar cross section of radomes, as well as the effect of ray parameters and antenna-radome parameters on computation accuracy. It is shown that this method can be used to simplify optimizations for many kinds of radomes. ¬© 1990 Science Press.</t>
  </si>
  <si>
    <t>135-142</t>
  </si>
  <si>
    <t>Yingzheng, Ruan</t>
  </si>
  <si>
    <t>Yingzheng R.</t>
  </si>
  <si>
    <t>Approximate complex ray analysis of two-dimensional radome</t>
  </si>
  <si>
    <t>10.1007/BF02778568</t>
  </si>
  <si>
    <t>2-s2.0-51649151270</t>
  </si>
  <si>
    <t>['¬© 1990', 'wavelength side', 'wavelength forms', 'transfer microparameters', 'transfer maximum', 'shorter wavelengths', 'reaction centres', 'maximum transfer', 'lhcii suggest', 'grana preparation', 'excitation wavelength', 'energy transfer', 'chl b', 'best accommodated', 'antenna component', '701 nm', '683 nm', '682 nm', '680 nm', '678 nm']</t>
  </si>
  <si>
    <t>Antenna model | Excitation energy transfer | Fluorescence induction | Photosystem II</t>
  </si>
  <si>
    <t>Excitation energy transfer from Photosystem II antenna to reaction centres as a function of excitation wavelength, between 646-701 nm, was studied by analysis of the fluorescence quenching efficiency of RCs in both a BBY-grana preparation and thylakoids of the chlorina barley mutant lacking LHCPII. For BBY-grana, maximum transfer was observed with an excitation wavelength slightly greater than 680 nm, with significant decreases occurring for both longer and shorter wavelengths. The data are analysed in terms of the chlorophyll spectral forms as determined by asymmetric gaussian deconvolution of room temperature absorption spectra. For the short-wavelength side of the transfer maximum (646-682 nm) the following relative transfer efficiencies have been determined: 684 &gt; 670 &gt; 650; 678 &gt; 661; 684 &gt; 678 nm. Energy transfer between Photosystem II units is shown to increase with decreasing absorption wavelength below 683 nm. Thus, the above relative transfer efficiencies are associated with transfer to reaction centres within Photosystem II units and not between PS II units. The data are discussed in terms of alternative antenna models. It is argued that they are best accommodated by a model in which the antenna spectral forms have no particular macroscopic distribution with respect to RCs and in which the lower-wavelength-absorbing spectral forms may function as 'antitraps' for the longer-wavelength forms as determined by the transfer microparameters. Analysis of the gaussian band associated with Chl b in BBY-grana and LHCII suggest that this antenna component has a low-transition dipole strength within Photosystem II antenna complexes. It is suggested that this will enhance the role of Chl b as an 'antitrap' for excited states associated with the longer-wavelength-absorbing chlorophyll species. ¬© 1990.</t>
  </si>
  <si>
    <t>259-265</t>
  </si>
  <si>
    <t>7201971898;7006530694;6701308180</t>
  </si>
  <si>
    <t>Jennings, Robert C.;Zucchelli, Giuseppe;Garlaschi, Flavio M.</t>
  </si>
  <si>
    <t>Jennings R.</t>
  </si>
  <si>
    <t>Excitation energy transfer from the chlorophyll spectral forms to Photosystem II reaction centres: A fluorescence induction study</t>
  </si>
  <si>
    <t>0005-2728(90)90067-E</t>
  </si>
  <si>
    <t>10.1016/0005-2728(90)90067-E</t>
  </si>
  <si>
    <t>2-s2.0-0025318977</t>
  </si>
  <si>
    <t>['¬© 1990', 'two forms', 'time resolution', 'significantly less', 'rise term', 'rhodobacter sphaeroides', 'reaction center', 'physiological temperature', 'kinetic analysis', 'initial time', 'fast transfer', 'energy transfer', 'dominant even', 'different classes', 'antenna pigment', 'antenna complexes', 'also found', '870 nm']</t>
  </si>
  <si>
    <t>(Erythrobacter sp. strain OCh 114) | Bacteriochlorophyll | Energy transfer | Fluorescence | Photosynthesis | Picosecond spectroscopy</t>
  </si>
  <si>
    <t>Excitation energy flow in the aerobic photosynthetic bacterium Erythrobacter sp. strain OCh 114 was investigated at physiological temperature by the time-resolved fluorescence spectroscopy in the picosecond time range. This bacterium has two forms of bacteriochlorophyll (Bchl) on separate antenna complexes absorbing around 806 nm (B806) and 870 nm (B870); however, B850 is not detected in this species. Upon selective excitation of B806, the fluorescence from B870 was dominant even in the initial time, indicating that energy transfer from B806 to B870 complexes occurred within the time resolution of the apparatus (6 ps). This fast transfer was confirmed by the fact that no rise term was resolved by the kinetic analysis of the fluorescence from B870. The fast energy transfer suggests tight association between the different classes of antenna complexes. The antenna pigment with energy level lower than that of reaction center was also found in this species (B888) as in some purple photosynthetic bacteria. Its content was estimated to be at most 3 Bchl per reaction center, which is significantly less than that in Rhodobacter sphaeroides. ¬© 1990.</t>
  </si>
  <si>
    <t>266-271</t>
  </si>
  <si>
    <t>60005038;60033235;60005038;60028586</t>
  </si>
  <si>
    <t>35556033100;24586425300;7006772993;7006461138</t>
  </si>
  <si>
    <t>Shimada, Keizo;Yamazaki, Iwao;Tamai, Naoto;Mimuro, Mamoru</t>
  </si>
  <si>
    <t>Okazaki;Okazaki;Hachioji</t>
  </si>
  <si>
    <t>National Institutes of Natural Sciences - Institute for Molecular Science;National Institutes of Natural Sciences - National Institute for Basic Biology;Tokyo Metropolitan University</t>
  </si>
  <si>
    <t>60033235;60028586;60005038</t>
  </si>
  <si>
    <t>Shimada K.</t>
  </si>
  <si>
    <t>Excitation energy flow in a photosynthetic bacterium lacking B850. Fast energy transfer from B806 to B870 in Erythrobacter sp. strain OCh 114</t>
  </si>
  <si>
    <t>000527289090068F</t>
  </si>
  <si>
    <t>10.1016/0005-2728(90)90068-F</t>
  </si>
  <si>
    <t>2-s2.0-0025320426</t>
  </si>
  <si>
    <t>013000090,1 302064</t>
  </si>
  <si>
    <t>['¬© 1990', 'transfer time', 'new component', 'minor component', 'minor band', 'intact cells', 'f683 correspond', 'excitation conditions', 'energy flow', 'energy acceptor', 'decay kinetics', 'comparable component', 'chl c', 'characteristic band', 'also indicate', 'acceptor chl', '684 nm', '673 nm', '20 ps']</t>
  </si>
  <si>
    <t>(P. tamarensis) | Dinoflagellate | Energy transfer | Fluorescence spectroscopy | Peridinin | Photosynthesis</t>
  </si>
  <si>
    <t>Excitation energy flow in intact cells of the marine dinoflagellate Protogonyaulax tamarensis was studied by steady-state and time-resolved fluorescence spectroscopy in the picosecond time range. At 15¬∞C, one dominant emission band was found at 684 nm (F684) with a minor band at 673 nm (F673), irrespective of the excitation conditions of Chl a, Chl c and peridinin. The 684 nm emission was DCMU-sensitive. At -196¬∞C, four major emission bands originating from Chl a were resolved at F670, F683, F689 and F698, as well as a minor component at F724. The F670 and F683 correspond, respectively, to the F673 and F684 at 15¬∞C. F689 was the strongest and assigned to a comparable component at F695, a characteristic band of CP-47. F698 and F724 were assigned to Photosystem (PS) I Chl a. When peridinin was excited, the F670 increased selectively, indicating that it is the energy acceptor of peridinin. Time-resolved fluorescence spectra at -196¬∞C revealed all the components above as well as a new component at F709. Upon the excitation of peridinin, the rise and decay kinetics of the component bands clearly showed the energy flow in the order of F670, F683 and F689, and also indicate that the energy is distributed to PS I antenna complexes via F683 (spill-over) but not through F689. Chl c does not mediate the energy flow from peridinin to Chl a. The transfer time from peridinin to the acceptor Chl a (F670) was estimated to be shorter than 20 ps at -196¬∞C. Based on these results, a model for the energy flow in P. tamarensis was proposed. ¬© 1990.</t>
  </si>
  <si>
    <t>280-287</t>
  </si>
  <si>
    <t>60028586;60033235;60025272;60033235</t>
  </si>
  <si>
    <t>7006461138;7006772993;7102623015;24586425300</t>
  </si>
  <si>
    <t>Mimuro, Mamoru;Tamai, Naoto;Ishimaru, Takashi;Yamazaki, Iwao</t>
  </si>
  <si>
    <t>Okazaki;Okazaki;Tokyo</t>
  </si>
  <si>
    <t>National Institutes of Natural Sciences - Institute for Molecular Science;National Institutes of Natural Sciences - National Institute for Basic Biology;The University of Tokyo</t>
  </si>
  <si>
    <t>60033235;60028586;60025272</t>
  </si>
  <si>
    <t>Mimuro M.</t>
  </si>
  <si>
    <t>Characteristic fluorescence components in photosynthetic pigment system of a marine dinoflagellate, Protogonyaulax tamarensis, and excitation energy flow among them. Studies by means of steady-state and time-resolved fluorescence spectroscopy</t>
  </si>
  <si>
    <t>000527289090070K</t>
  </si>
  <si>
    <t>10.1016/0005-2728(90)90070-K</t>
  </si>
  <si>
    <t>2-s2.0-0025343439</t>
  </si>
  <si>
    <t>['¬© 1990', 'z peaks', 'z peak', 'values reported', 'theoretical model', 'tended towards', 'temperature within', 'subsequently exchanged', 'stage œîm', 'single exponential', 'responses could', 'resolved response', 'remained unchanged', 'range 5', 'primary donor', 'previously reported', 'populating process', 'populated exclusively', 'polarisation pattern', 'peaks ),', 'negligible microwave', 'millisecond time', 'microwave power', 'light intensity', 'ky 965', 'induced population', 'extremely sensitive', 'excitation light', 'epr kinetics', 'distinctly shorter', 'cytochrome b', 'cryogenic temperatures', '514 nm', '300 mw', '20 k']</t>
  </si>
  <si>
    <t>ESR | Microwave power | Millisecond decay kinetics | Photosystem II | Reaction center | Triplet state</t>
  </si>
  <si>
    <t>The D1/D2-cytochrome b-559 PS II reaction centre was isolated using Triton X-100, and this detergent was subsequently exchanged for dodecyl Œ≤-maltoside. This preparation is stable in the dark, and at cryogenic temperatures in the light. The isolated PS II reaction centre showed a steady-stage Œîm = 1 EPR spectrum of a chlorophyll triplet state, at temperatures under 20 K. Its polarisation pattern was AEEAAE, characteristic of the molecular triplet state of the primary donor (3P680) populated exclusively in the T0 level via the 3RP. Increasing the temperature within the range 5-20 K caused a decrease in EPR signal intensity (the z peak being initially more sensitive than the x or y peaks), but the polarisation pattern remained unchanged. The millisecond time-resolved response of the intensity of the x, y and z peaks to a light excitation step pulse was measured, and the light-on and -off responses could all be described by a single exponential at low (‚â§ 30 ŒºW) microwave power and low (‚â§ 100 mW) light intensity. The values of the decay rate constants, kx, ky and kz, extrapolated to zero microwave power, were compared with values reported for PS II preparations of larger antenna size. The value for kx, 605 s-1, was distinctly shorter than those previously reported, and tended towards that reported for biligated monomeric Chl a in methyltetrahydrofuran. kx was found to be extremely sensitive to microwave power. The value for kz was 185 s-1, and that for ky 965 s-1. A second exponential component was seen in the kinetics of the y and z peaks at high microwave power due to a non-negligible microwave-induced population of the T¬±1 levels. The decay rate constants were all independent of the wavelength (458 or 514 nm) and intensity (50-300 mW) of the excitation light. They remained unchanged when the steady-state EPR signal intensity was reduced by 50% by increasing the temperature. This was taken to indicate that the effect of temperature was on the populating process. A theoretical model has been developed which can explain most of the effects of microwave power on the EPR kinetics. ¬© 1990.</t>
  </si>
  <si>
    <t>235-243</t>
  </si>
  <si>
    <t>60004156;60015150;60015150;60004156</t>
  </si>
  <si>
    <t>7006993297;7004313311;57202529441;7003523760</t>
  </si>
  <si>
    <t>Searle, Geoffrey F.W.;Telfer, Alison;Barber, James;Schaafsma, Tjeerd J.</t>
  </si>
  <si>
    <t>United Kingdom;Netherlands</t>
  </si>
  <si>
    <t>London;Wageningen</t>
  </si>
  <si>
    <t>Imperial College London;Wageningen University &amp; Research</t>
  </si>
  <si>
    <t>60015150;60004156</t>
  </si>
  <si>
    <t>Searle G.F.W.</t>
  </si>
  <si>
    <t>Millisecond time-resolved EPR of the spin-polarised triplet in the isolated Photosystem II reaction centre</t>
  </si>
  <si>
    <t>0005-2728(90)90064-B</t>
  </si>
  <si>
    <t>10.1016/0005-2728(90)90064-B</t>
  </si>
  <si>
    <t>2-s2.0-0025356897</t>
  </si>
  <si>
    <t>['œ ±,', 'œ ±', 'yielded values', 'thousand kilometers', 'plasma microscales', 'ostriker model', 'law index', 'irregularities responsible', 'ionized medium', 'interstellar scintillation', 'interstellar medium', 'inner scale', 'inferred value', 'hundred kilometers', 'host plasma', 'extended envelopes', 'considerably smaller', 'antennas making', 'angular separation', '200 km']</t>
  </si>
  <si>
    <t>Interstellar matter | Nebulae: H II regions | Plasmas | Turbulence</t>
  </si>
  <si>
    <t>Several recent radio astronomical observations (primarily interferometer visibility measurements) have yielded values of Œ±, the power-law index of the interstellar density power spectrum. An examination of these observational results shows that the inferred value of Œ± depends on the angular separation of the antennas making the measurement. For antenna separations greater than a few thousand kilometers, the value of Œ± is equivalent to the "Kolmogorov" value of 3.67. For baselines of a few hundred kilometers or less, the inferred Œ± approaches 4.0. We point out that these observations are as expected if the interstellar density spectrum is Kolmogorov, with an inner scale of 50-200 km. Such a scale is comparable to plasma microscales (such as the ion Larmor radius or the ion inertial length) for either the warm ionized component of the McKee-Ostriker model of the interstellar medium, or the extended envelopes of prominent H regions reported by Lockman and Anantharamaiah. The observed inner scale is considerably smaller than plasma microscales in the hot intercloud phase of the interstellar medium. We conclude that the host plasma for the irregularities responsible for interstellar scintillation is either the McKee-Ostriker warm ionized component, the envelopes of H II regions, or some ionized medium with similar physical characteristics.</t>
  </si>
  <si>
    <t>1 PART 2</t>
  </si>
  <si>
    <t>60024324;60029241</t>
  </si>
  <si>
    <t>7006799683;7003551166</t>
  </si>
  <si>
    <t>Spangler, Steven R.;Gwinn, Carl R.</t>
  </si>
  <si>
    <t>Santa Barbara;Iowa City</t>
  </si>
  <si>
    <t>University of California, Santa Barbara;University of Iowa</t>
  </si>
  <si>
    <t>60029241;60024324</t>
  </si>
  <si>
    <t>Spangler S.R.</t>
  </si>
  <si>
    <t>Evidence for an inner scale to the density turbulence in the interstellar medium</t>
  </si>
  <si>
    <t>10.1086/185700</t>
  </si>
  <si>
    <t>2-s2.0-0038756455</t>
  </si>
  <si>
    <t>['vertebrate integrins', 'vein defects', 'smaller lethal', 'ps integrins', 'ps antigens', 'proper arrangement', 'photoreceptor cells', 'myospheroid gene', 'mutant alleles', 'integrins containing', 'development especially', 'demonstrating roles', 'defects observed', 'close apposition', 'aberrant development']</t>
  </si>
  <si>
    <t>Drosophila | Eye-antennae disc | Integrin | Lethal(1)myospheroid gene | Mosaics | Photoreceptor</t>
  </si>
  <si>
    <t>The common Œ≤ subunit of the PS antigens of Drosophila is homologous with vertebrate integrins and is encoded by the lethal(1)myospheroid gene. We have generated flies mosaic for wild-type and mutant alleles of lethal(1)myospheroid using adult gynandromorphs and radiation-induced somatic crossing over. The defects observed in the gynandromorphs demonstrate widespread requirements for PS integrins during development especially in ventrally derived structures, which also show strong expression of PSŒ≤ integrin. Smaller lethal(1)myospheroid clones induced during larval development result in blister and vein defects in the wings and aberrant development of photoreceptor cells, demonstrating roles for PS integrins during development of both wings and eyes. PS integrins are required for the close apposition of the dorsal and ventral wing epithelia and for the proper arrangement of photoreceptor cells. However, many other adhesive and morphogenetic processes proceed normally in the absence of integrins containing the Œ≤ subunit encoded by lethal(1)myospheroid.</t>
  </si>
  <si>
    <t>391-402</t>
  </si>
  <si>
    <t>Development</t>
  </si>
  <si>
    <t>60022195;60022195;60022195;60022195</t>
  </si>
  <si>
    <t>7003754457;6603718126;7006176905;7102583337</t>
  </si>
  <si>
    <t>Zusman, S.;Patel-King, R. S.;Ffrench-Constant, C.;Hynes, R. O.</t>
  </si>
  <si>
    <t>Zusman S.</t>
  </si>
  <si>
    <t>Requirements for integrins during Drosophila development</t>
  </si>
  <si>
    <t>2-s2.0-0025230513</t>
  </si>
  <si>
    <t>Verband der Chemischen Industrie</t>
  </si>
  <si>
    <t>SFB 143</t>
  </si>
  <si>
    <t>VCI</t>
  </si>
  <si>
    <t>['œ ±-', '¬© 1990', 'unique chromophore', 'two exponentials', 'two chromophores', 'revised procedures', 'respective monomers', 'prepared according', 'may persist', 'mastigocladus laminosus', 'heterogeneity among', 'detergent mixtures', 'cyanobacterial antennas', 'case could']</t>
  </si>
  <si>
    <t>aggregation | Cyanobacteria | energy transfer. | fluorescence kinetics | fluorescence polarization | photosynthesis | phycobiliproteins | phycocyanin | subunit</t>
  </si>
  <si>
    <t>The Œ±- and Œ≤-subunits of C-phycocyanin from Mastigocladus laminosus were prepared according to revised procedures. Both subunits are isolated as dimers, which can be dissociated into monomers with detergent mixtures. The fluorescence decay kinetics are similar for the respective monomers and dimers. In no case could they be fitted by only one (Œ±-subunit) or two exponentials (Œ≤-subunit) which are predicted by theory for samples with a unique chromophore-protein arrangement containing one and two chromophores, respectively. It is suggested that there exists a heterogeneity among the chromophores of the subunits, which may persist in the highly aggregated complexes present in cyanobacterial antennas. ¬© 1990.</t>
  </si>
  <si>
    <t>151-165</t>
  </si>
  <si>
    <t>100501072;100501072;100501072;60019722;60019722</t>
  </si>
  <si>
    <t>55458487300;24301985100;57216047370;15131659800;7401903425</t>
  </si>
  <si>
    <t>Fischer, R.;Gottstein, J.;Scheer, H.;Geiselhart, P.;Schneider, S.</t>
  </si>
  <si>
    <t>Munich;Munich</t>
  </si>
  <si>
    <t>Technical University of Munich;Botanisches Institut der Universit√§t</t>
  </si>
  <si>
    <t>60019722;100501072</t>
  </si>
  <si>
    <t>Fischer R.</t>
  </si>
  <si>
    <t>Picosecond time-resolved fluorescence of phycobiliproteins: Subunits of phycocyanin from Mastigocladus laminosus</t>
  </si>
  <si>
    <t>101113449080003G</t>
  </si>
  <si>
    <t>10.1016/1011-1344(90)80003-G</t>
  </si>
  <si>
    <t>2-s2.0-0344988758</t>
  </si>
  <si>
    <t>['¬© 1990', 'virgo project', 'virgo interferometer', 'upper limit', 'two items', 'related problems', 'high frequency', 'gravitational wave', 'generation results', 'also presented', 'absolute noise', '2 ],', '1000 hz', '10 hz', '/‚ àöhz']</t>
  </si>
  <si>
    <t>The status of advancement of the VIRGO Project is presented: the first-generation results from the Pisa seismic noise super attenuator give an upper limit to the noise transfer function of 2 √ó 10-8 at 10 Hz. The upper limit to the absolute noise of the 400 kg test mass at 10 Hz has been measured to be 1.5 √ó 10-13 m/‚àöHz. The scheme and the related problems of the VIRGO interferometer, which is supposed to work down to 10 Hz, are also presented. At the 3rd Pisa Meeting in 1986 we presented the idea of what could be a very efficient seismic noise reduction system able to give a sensitivity h ‚àº 10-25 at 10 Hz, in a 3 km interferometer for 1 year integration time. Now we have two new facts to present: the first is that the attenuation has been built, is working in Pisa, and shows remarkable characteristics. The second is the Italian-French interferometer VIRGO [1,2], a 3 km long antenna for low and high frequency (10-1000 Hz) gravitational wave (GW) detection. These two items will be presented in this article. ¬© 1990.</t>
  </si>
  <si>
    <t>518-525</t>
  </si>
  <si>
    <t>Nuclear Inst. and Methods in Physics Research, A</t>
  </si>
  <si>
    <t>60028868;60028868;60028868;60028868;60028868;60028868;60028868;60008134;60008134;60008134;60008134;60008134;60008134;60008134;60008134;60017293;60017293;60017293;60017293;60001422;60001422;60001422;60001422;60001422;60007061;60007061;60007061;60007061;60007061;60003674;60003674;60003674;60003674;60000745;60021199;60021199;60021199</t>
  </si>
  <si>
    <t>35227009000;6603424528;7004046447;22943966700;23015157600;57189876378;7003569996;7003573392;6602879536;7004310344;7005722387;7801592510;6603343183;35227981500;57223680419;7101880997;7003777189;56262970900;7202429853;7004520723;24368153000;16476173300;6506338184;6603280537;36730505400;7101714713;7007062484;35223700800;36667377400;7005026081;26643375800;6602657989;24369156000;35225772100;16486670300;6602162239;57214370044</t>
  </si>
  <si>
    <t>Bradaschia, C.;Del Fabbro, R.;Di Virgilio, A.;Giazotto, A.;Kautzky, H.;Montelatici, V.;Passuello, D.;Brillet, A.;Cregut, O.;Hello, P.;Man, C. N.;Manh, P. T.;Marraud, A.;Shoemaker, D.;Vinet, J. Y.;Barone, F.;Di Fiore, L.;Milano, L.;Russo, G.;Aguirregabiria, J. M.;Bel, H.;Duruisseau, J. P.;Le Denmat, G.;Tourrenc, Ph;Capozzi, M.;Longo, M.;Lops, M.;Pinto, I.;Rotoli, G.;Damour, T.;Bonazzola, S.;Marck, J. A.;Gourghoulon, Y.;Holloway, L. E.;Fuligni, F.;Iafolla, V.;Natale, G.</t>
  </si>
  <si>
    <t>Italy;Italy;Italy;France;Italy;France;France;United States</t>
  </si>
  <si>
    <t>Pisa;Rome;Naples;Paris;Salerno;Paris;Paris;Urbana</t>
  </si>
  <si>
    <t>Universit√† di Pisa;Consiglio Nazionale delle Ricerche;Universit√† degli Studi di Napoli Federico II;CNRS Centre National de la Recherche Scientifique;Universit√† degli Studi di Salerno;L'Observatoire de Paris;Sorbonne Universite;University of Illinois Urbana-Champaign</t>
  </si>
  <si>
    <t>60028868;60021199;60017293;60008134;60007061;60003674;60001422;60000745</t>
  </si>
  <si>
    <t>Bradaschia C.</t>
  </si>
  <si>
    <t>The VIRGO Project: A wide band antenna for gravitational wave detection</t>
  </si>
  <si>
    <t>0168-9002(90)91525-G</t>
  </si>
  <si>
    <t>10.1016/0168-9002(90)91525-G</t>
  </si>
  <si>
    <t>2-s2.0-33846659644</t>
  </si>
  <si>
    <t>['whereas blends', 'two populations', 'turnip moth', 'tetradecenyl acetate', 'swedish type', 'swedish populations', 'sensitive receptors', 'respective populations', 'receptor frequencies', 'produced pheromone', 'preferentially attracted', 'physiological response', 'percentage composition', 'male electro', 'male antennae', 'larger amounts', 'individuals could', 'gland extracts', 'either swedish', 'dodecenyl acetate', 'decenyl acetate', 'bulgarian type', 'bulgaria differed', 'asian populations', 'agrotis segetum']</t>
  </si>
  <si>
    <t>(Z)-5-decenyl acetate | (Z)-7-dodecenyl acetate | (Z)-9-tetradecenyl acetate | Agrotis segetum | field trapping | gas chromatography | Lepidoptera | Noctuidae | olfactory receptors | population variation | Sex pheromone | single sensillum response</t>
  </si>
  <si>
    <t>The female sex pheromone composition and the male electro-physiological response with respect to the three main sex pheromone components, (Z)-5-decenyl acetate, (Z)-7-dodecenyl acetate, and (Z)-9-tetradecenyl acetate, were investigated in populations of Agrotis segetum from Armenia and Bulgaria. The percentage composition of the female-produced pheromone was 1:52:47 and 1:42:57 for the respective populations. Corresponding male receptor frequencies were 9:90:1 and 6:92:2. EAG response profiles of the male antennae were similar for the two populations. The populations from Armenia and Bulgaria differed from the earlier investigated French and Swedish populations, which have larger amounts of (Z)-5-decenyl acetate in gland extracts and have a majority of (Z)-5-decenyl acetate-sensitive receptors. Investigation of receptor frequencies on antennae of male Hungarian moths showed that individuals could be classified as either Swedish or Armenian/Bulgarian type. Males of the Swedish type were preferentially attracted to the three-component pheromone blend, whereas blends of (Z)-7-dodecenyl and (Z)-9-tetradecenyl acetate, and (Z)-7-dodecenol [pure or in mixture with (Z)-5-decenol] attracted the Armenian/Bulgarian type. The nature of pheromone variation among European and Asian populations of the turnip moth and possible mechanisms maintaining the variation are discussed. ¬© 1990 Plenum Publishing Corporation.</t>
  </si>
  <si>
    <t>1611-1622</t>
  </si>
  <si>
    <t>60029170;60008249;60029170;60008249;60113289;60029170</t>
  </si>
  <si>
    <t>7103226689;35231446000;7003385545;6701590390;6701443175;7004376332</t>
  </si>
  <si>
    <t>Hansson, Bill S.;T√≥th, Mikl√≥s;L√∂fstedt, Christer;Sz√∂cs, G√°bor;Subchev, Mitko;L√∂fqvist, Jan</t>
  </si>
  <si>
    <t>Bulgaria;Sweden;Hungary</t>
  </si>
  <si>
    <t>Sofia;Lund;Budapest</t>
  </si>
  <si>
    <t>Institute of Biodiversity and Ecosystem Research at the Bulgarian Academy of Sciences;Lunds Universitet;Plant Protection Institute</t>
  </si>
  <si>
    <t>60113289;60029170;60008249</t>
  </si>
  <si>
    <t>Hansson B.S.</t>
  </si>
  <si>
    <t>Pheromone variation among eastern European and a western Asian population of the turnip moth Agrotis segetum</t>
  </si>
  <si>
    <t>10.1007/BF01014094</t>
  </si>
  <si>
    <t>2-s2.0-0000386954</t>
  </si>
  <si>
    <t>['yield pigment', 'usa 84', 'three xanthophylls', 'three amino', 'terminal region', 'terminal deletion', 'structurally similar', 'spectroscopic properties', 'short amino', 'protein complexes', 'pigments found', 'pigment requirement', 'pigment binding', 'pigment assembly', 'photosystem ii', 'pea thylakoids', 'pea gene', 'native lhcii', 'least two', 'isolated pigments', 'highly specific', 'harvesting chlorophyll', 'gel electrophoresis', 'escherichia coli', 'construct produced', 'complexes formed', 'complex formed', 'binding protein', 'acetone extracts', '150 ),']</t>
  </si>
  <si>
    <t>Antenna complex | Expression plasmids | Light-harvesting chlorophyll a/b-binding protein | Pigment-protein assembly | Pisum (light-harvesting complex) | Thylakoid biogenesis</t>
  </si>
  <si>
    <t>A gene for a light-harvesting chlorophyll (Chl) a/b-binding protein (LHCP) from pea (Pisum sativum L.) has been cloned in a bacterial expression vector. Bacteria (Escherichia coli) transformed with this construct produced up to 20% of their protein as pLHCP, a derivative of the authentic precursor protein coded for by the pea gene with three amino-terminal amino acids added and-or exchanged, or as a truncated LHCP carrying a short amino-terminal deletion into the mature protein sequence. Following the procedure of Plumley and Schmidt (1987, Proc. Natl. Acad. Sci. USA 84, 146-150), all bacteria-produced LHCP derivatives can be reconstituted with acetone extracts from pea thylakoids or with isolated pigments to yield pigment-protein complexes that are stable during partially denaturing polyacrylamide-gel electrophoresis. The spectroscopic properties of these complexes closely resemble those of the light-harvesting complex associated with photosystem II (LHCII) isolated from pea thylakoids. The pigment requirement for the reconstitution is highly specific for the pigments found in native LHCII: Chl a and b as well as at least two out of three xanthophylls are necessary. Varying the Chl a:Chl b ratios in the reconstitution mixtures changes the yields of complex formed but not the Chl a:Chl b ratio in the complex. We conclude that LHCP-pigment assembly in vitro is highly specific and that the complexes formed are structurally similar to LHCII. The N-terminal region of the protein can be varied without affecting complex formation and therefore does not seem to be involved in pigment binding. ¬© 1990 Springer-Verlag.</t>
  </si>
  <si>
    <t>204-211</t>
  </si>
  <si>
    <t>60028717;60028717;60028717</t>
  </si>
  <si>
    <t>7103256688;16436839700;7004859511</t>
  </si>
  <si>
    <t>Paulsen, H.;R√ºmler, U.;R√ºdiger, W.</t>
  </si>
  <si>
    <t>Ludwig-Maximilians-Universit√§t M√ºnchen</t>
  </si>
  <si>
    <t>Paulsen H.</t>
  </si>
  <si>
    <t>Reconstitution of pigment-containing complexes from light-harvesting chlorophyll a/b-binding protein overexpressed in Escherichia coli</t>
  </si>
  <si>
    <t>10.1007/BF02411539</t>
  </si>
  <si>
    <t>2-s2.0-0001456147</t>
  </si>
  <si>
    <t>['two types', 'structural requirements', 'pheromone receptor', 'pheromonal response', 'pheromonal activity', 'male response', 'low dose', 'inhibiting properties', 'flight tunnel', 'findings suggest']</t>
  </si>
  <si>
    <t>(E)- and (Z)-11-tetradecen-1-ol acetate | European corn borer | inhibition | insect behavior | Lepidoptera | Ostrinia nubilalis | pheromone analogs | Pyralidae | sex pheromone</t>
  </si>
  <si>
    <t>The male sexual behavior-stimulating and inhibiting properties of a series of analogs of the European corn borer sex pheromone were determined in a flight tunnel. The structural requirements for inhibition of pheromonal response were far less restrictive than those for elicitation of that response. Analogs that by themselves elicited upwind flight response from males at a low dose were generally less inhibitory to male response than many of the analogs that had no pheromonal activity. These findings suggest that many pheromone analogs bind to pheromone receptors without provoking behavioral response and possibly undergo slower degradation on the antenna than pheromonally active compounds. The disparity of response to analogs by two pheromonal types of the European corn borer indicates that the pheromone receptor and pheromone catabolic systems are biochemically very different in the two types. ¬© 1990 Plenum Publishing Corporation.</t>
  </si>
  <si>
    <t>1591-1604</t>
  </si>
  <si>
    <t>60000635;60000635;60000635</t>
  </si>
  <si>
    <t>11142162200;7004021575;6603170611</t>
  </si>
  <si>
    <t>Schwarz, M.;Klun, J. A.;Uebel, E. C.</t>
  </si>
  <si>
    <t>Beltsville</t>
  </si>
  <si>
    <t>USDA ARS Beltsville Agricultural Research Center</t>
  </si>
  <si>
    <t>Schwarz M.</t>
  </si>
  <si>
    <t>European corn borer sex pheromone - Inhibition and elicitation of behavioral response by analogs</t>
  </si>
  <si>
    <t>10.1007/BF01014092</t>
  </si>
  <si>
    <t>2-s2.0-0005243923</t>
  </si>
  <si>
    <t>['video recordings', 'unweighted pair', 'taxonomic relationships', 'striking similarity', 'species based', 'sex pheromone', 'selected species', 'second group', 'scent structures', 'reproductive isolation', 'poorly correlated', 'pheromoneemitting female', 'morphological characters', 'male pheromones', 'male approached', 'kinematic diagrams', 'interspecific similarities', 'head posture', 'head position', 'frame analysis', 'female wing', 'female genitalia', 'female antennae', 'dorsolateral thrust', 'courtship sequences', 'courtship characters', 'courtship behaviors', 'courtship behavior', 'costal fold', 'complex sequence', 'close proximity', 'behaviors act', 'behavioral transitions', 'attempted copulation', 'appeared vestigial', 'adaptive response', 'abdomen toward']</t>
  </si>
  <si>
    <t>behavioral analysis | behavioral evolution | courtship | hairpencils | male pheromones | Phycitinae</t>
  </si>
  <si>
    <t>The courtship behavior of 12 phycitine moths (Lepidoptera: Pyralidae) was studied using frame-by-frame analysis of video recordings. Behavioral transitions during courtship were quantified for selected species and kinematic diagrams of courtship sequences were constructed. Interspecific similarities in courtship behaviors were measured by calculating Euclidean distances between species based on 12 courtship characters and by clustering species according to UPGMA (unweighted pair-group method using arithmetic averages). The resulting phenogram revealed two major behavioral patterns in courtship: (1) interactive and (2) simple. The former was characterized by a complex sequence in which, typically, a male approached a pheromoneemitting female, engaged in a head- to- head posture with the female, and then brought his abdomen over his head and struck the female on the head and thorax. This action brought male abdominal scent structures into close proximity with the female antennae. The male then attempted copulation from the head- to- head position by a dorsolateral thrust of the abdomen toward the female genitalia. Males of these species possessed scent structures located either on the eighth abdominal segment, or in a costal fold of the forewing, or both. Courtship in the second group was much more prosaic. After locating the female by response to her sex pheromone, the male simply attempted copulation by lateral abdominal thrusts under the female wing, without behavioral embellishments. Males of species exhibiting simple courtship had either no scent structures or structures that appeared vestigial. The grouping of species based on courtship characters was poorly correlated with taxonomic relationships, suggesting that the selective pressures governing the evolution and maintenance of courtship and male pheromones were distinct from those involved in the evolution of other morphological characters. While we argue that the primary force molding the evolution of courtship was an adaptive response to interspecific mating mistakes, we do not believe that isolation is brought about by the sequence of courtship behaviors themselves, due to the striking similarity in the sequence across several diverse species. Rather, these behaviors act to deliver more efficiently the male pheromonal message, which may have evolved for reproductive isolation. ¬© 1990 Plenum Publishing Corporation.</t>
  </si>
  <si>
    <t>303-326</t>
  </si>
  <si>
    <t>60029526;60029526</t>
  </si>
  <si>
    <t>7102833495;7402604731</t>
  </si>
  <si>
    <t>Phelan, P. L.;Baker, T. C.</t>
  </si>
  <si>
    <t>Riverside</t>
  </si>
  <si>
    <t>University of California, Riverside</t>
  </si>
  <si>
    <t>Phelan P.</t>
  </si>
  <si>
    <t>Comparative study of courtship in twelve phycitine moths (Lepidoptera: Pyralidae)</t>
  </si>
  <si>
    <t>10.1007/BF01052112</t>
  </si>
  <si>
    <t>2-s2.0-0005692298</t>
  </si>
  <si>
    <t>National Institute of General Medical Sciences</t>
  </si>
  <si>
    <t>R01GM031625</t>
  </si>
  <si>
    <t>NIGMS</t>
  </si>
  <si>
    <t>['œ ±', 'wild type', 'two discs', 'total phycocyanin', 'terminal sequence', 'spectroscopic properties', 'specific phycocyanin', 'single disc', 'proximal one', 'prevent assembly', 'pcc 7002', 'nucleotide sequence', 'mr 33000', 'located adjacent', 'linker complexes', 'less phycobilisomes', 'hexameric phycocyanin', 'genes encoding', 'gene encoding', 'electron microscopy', 'designated cpcc', 'cpcc -,', 'authentic polypeptide']</t>
  </si>
  <si>
    <t>Agmenellum quadruplicatum | Cyanobacteria | Directed mutagenesis | Linker polypeptide | Nucleotide sequence | Photosynthetic antenna | Phycobilisome | Phycocyanin | Synechococcus sp. PCC 7002</t>
  </si>
  <si>
    <t>The gene encoding a phycocyanin-associated linker polypeptide of Mr 33000 from the cyanobacterium Synechococcus sp. PCC 7002 was found to be located adjacent and 3‚Ä≤ to the genes encoding the Œ± and Œ≤ subunits of phycocyanin. The identity of this gene, designated cpcC, was proven by matching the amino-terminal sequence of the authentic polypeptide with that predicted by the nucleotide sequence. A cpcC mutant strain of this cyanobacterium was constructed. The effect of the mutation was to prevent assembly of half the total phycocyanin into phycobilisomes. By electron microscopy, phycobilisomes from this mutant were shown to contain rod substructures composed of a single disc of hexameric phycocyanin, as opposed to two discs in the wild type. It was concluded that the Mr 33000 linker polypeptide is required for attachment of the core-distal phycocyanin hexamer to the core-proximal one. Using absorption spectra of the wild type, CpcC-, and phycocyanin-less phycobilisomes, the in situ absorbances expected for specific phycocyanin-linker complexes were calculated. These data confirm earlier findings on isolated complexes regarding the influence of linkers on the spectroscopic properties of phycocyanin. ¬© 1990 Springer-Verlag.</t>
  </si>
  <si>
    <t>541-549</t>
  </si>
  <si>
    <t>1432072X</t>
  </si>
  <si>
    <t>Archives of Microbiology</t>
  </si>
  <si>
    <t>60001439;60001439;60001439;60001439</t>
  </si>
  <si>
    <t>6604099112;7005143764;7202225529;7201710445</t>
  </si>
  <si>
    <t>de Lorimier, Robert;Guglielmi, Gerard;Bryant, Donald A.;Stevens, S. Edward</t>
  </si>
  <si>
    <t>de Lorimier R.</t>
  </si>
  <si>
    <t>Structure and mutation of a gene encoding a M&lt;inf&gt;r&lt;/inf&gt; 33000 phycocyanin-associated linker polypeptide</t>
  </si>
  <si>
    <t>10.1007/BF00245263</t>
  </si>
  <si>
    <t>2-s2.0-0025195589</t>
  </si>
  <si>
    <t>['thus may', 'thus demonstrating', 'retrograde cobalt', 'present study']</t>
  </si>
  <si>
    <t>Antennae | Cobalt labelling | GABA | Gryllus bimaculatus (Insecta) | Immunocytochemistry | Motoneurons</t>
  </si>
  <si>
    <t>In crickets, a deutocerebral motoneuron sends axon collaterals to 6 of the 7 antennal muscles. Previous results indicated that this neuron exerts inhibition on these muscles and thus may be a common inhibitory motoneuron. In our present study, we show by doublelabelling, i.e. retrograde cobalt-filling and GABA-immunocytochemistry, that this neuron is GABA-immunoreactive, thus demonstrating that one common inhibitory motoneuron is part of the antennal motor system of crickets. ¬© 1990 Springer-Verlag.</t>
  </si>
  <si>
    <t>349-354</t>
  </si>
  <si>
    <t>0302766X</t>
  </si>
  <si>
    <t>Cell and Tissue Research</t>
  </si>
  <si>
    <t>60019722;60019722;60019722;60002997</t>
  </si>
  <si>
    <t>7005736995;57213872083;16183649300;7006369008</t>
  </si>
  <si>
    <t>Honegger, Hans Willi;Brunninger, Beate;Br√§unig, Peter;Elekes, Karoly</t>
  </si>
  <si>
    <t>Germany;Hungary</t>
  </si>
  <si>
    <t>Munich;Tihany</t>
  </si>
  <si>
    <t>Technical University of Munich;Balaton Limnological Research Institute</t>
  </si>
  <si>
    <t>60019722;60002997</t>
  </si>
  <si>
    <t>Honegger H.W.</t>
  </si>
  <si>
    <t>GABA-like immunoreactivity in a common inhibitory neuron of the antennal motor system of crickets</t>
  </si>
  <si>
    <t>10.1007/BF00318637</t>
  </si>
  <si>
    <t>2-s2.0-0025236683</t>
  </si>
  <si>
    <t>CHE-8304012</t>
  </si>
  <si>
    <t>['¬© 1990', 'using either', 'tritiated substrate', 'tissue extracts', 'substrate specificity', 'spectroscopic assays', 'soluble enzymes', 'produced nadh', 'pheromonal aldehydes', 'oxidizing activity', 'oxidizing activities', 'nonpheromonal aldehydes', 'lesser degree', 'leg extracts', 'indirect measurement', 'heliothis virescens', 'female tissues', 'female moths', 'exhibited primarily', 'enzymatic activity', 'direct measurement', 'determined spectroscopically', 'coupled ao', 'carboxylic acids', 'ao activity', 'antennal extracts', 'aldh activity', 'aldh activities', 'aldehyde dehydrogenase', 'added nad']</t>
  </si>
  <si>
    <t>The conversion of pheromonal aldehydes to carboxylic acids in vitro in tissue extracts of Heliothis virescens is catalyzed by both aldehyde dehydrogenase and aldehyde oxidase enzymes. The aldehyde-oxidizing activity in antennae, heads, legs, and hemolymph from male and female moths was examined by radiochromatographic and spectroscopic assays. First, the enzymatic activity was measured in the presence or absence of added NAD+ using either (Z)-9-tetradecenal or (Z)-11-hexadecenal as tritiated substrate. Second, substrate specificity was determined spectroscopically by (i) indirect measurement of the AO-released hydrogen peroxide through the coupled AO-horseradish peroxidase reaction and by (ii) direct measurement of the ALDH-produced NADH. Both aldehyde-oxidizing activities were associated with soluble enzymes in the antennal extracts, and these enzymes degraded pheromone and nonpheromonal aldehydes. Both AO and ALDH activities were present in male and female tissues. AO activity was exhibited primarily in the antennal extracts and to a lesser degree in the leg extracts. Moreover, ALDH activity was distributed in the antenna, head, and leg extracts. A vinyl ketone analog of (Z)-11-hexadecenal preferentially inhibited the ALDH activity over the AO activity. ¬© 1990.</t>
  </si>
  <si>
    <t>444-451</t>
  </si>
  <si>
    <t>Archives of Biochemistry and Biophysics</t>
  </si>
  <si>
    <t>Tasayco, Mar√≠a L.J.;Prestwich, Glenn D.</t>
  </si>
  <si>
    <t>Tasayco M.L.J.</t>
  </si>
  <si>
    <t>Aldehyde-oxidizing enzymes in an adult moth: In vitro study of aldehyde metabolism in Heliothis virescens</t>
  </si>
  <si>
    <t>10.1016/0003-9861(90)90283-5</t>
  </si>
  <si>
    <t>2-s2.0-0025247855</t>
  </si>
  <si>
    <t>['vice versa', 'odp collected', 'odp ),', 'females produce', 'deterring pheromone', 'accessory glands']</t>
  </si>
  <si>
    <t>butterflies | interspecific effects | oviposition | Oviposition deterring pheromone (ODP) | pierids</t>
  </si>
  <si>
    <t>Some butterfly species avoid egg-laying on plants which already bear conspecific eggs, and thus reduce food competition between their offspring. In two Pieris species the females produce in their accessory glands an oviposition-deterring pheromone (ODP), which is combined with the egg during oviposition. The ODP collected from eggs or accessory glands of P. brassicae inhibits oviposition by P. rapae and vice versa. The ODP of either species stimulates tarsal receptors in both species. The antennae of the two pierids respond to the volatiles of their own and each other's eggs. Thus the ODPs of the two species may reduce not only intraspecific, but also interspecific food competition between their larvae. ¬© 1990 Birkh√§user Verlag.</t>
  </si>
  <si>
    <t>526-528</t>
  </si>
  <si>
    <t>60004156;60004156;60004156;60004156</t>
  </si>
  <si>
    <t>6603771359;56618189300;8277240000;8277240100</t>
  </si>
  <si>
    <t>Schoonhoven, L. M.;Beerling, E. A.M.;Klijnstra, J. W.;van Vugt, Y.</t>
  </si>
  <si>
    <t>Wageningen</t>
  </si>
  <si>
    <t>Wageningen University &amp; Research</t>
  </si>
  <si>
    <t>Schoonhoven L.</t>
  </si>
  <si>
    <t>Two related butterfly species avoid oviposition near each other's eggs</t>
  </si>
  <si>
    <t>10.1007/BF01954255</t>
  </si>
  <si>
    <t>2-s2.0-0025297225</t>
  </si>
  <si>
    <t>['three legs', 'test whether', 'ssa mutants', 'ssa clones', 'specify directly', 'second leg', 'proximal structures', 'proximal portions', 'indirect consequence', 'general reduction', 'function mutations', 'distally restricted', 'distal antenna', 'cause transformations', 'bristle size', 'aristapedia gene', 'antp +,', 'antp ),', 'aberrant expression']</t>
  </si>
  <si>
    <t>Antennapedia | Drosophila | Homeosis | Segmentation | Spineless-aristapedia</t>
  </si>
  <si>
    <t>Loss-of-function mutations in the spineless-aristapedia gene of Drosophila (ssa mutants) cause transformations of the distal antenna to distal second leg, deletions or fusions of the tarsi from all three legs, a general reduction in bristle size, and sterility. Because ssa mutants are pleiotropic, it has been suggested that ss+ has some rather general function and that the ssa antennal transformation is an indirect consequence of perturbations in the expression of other genes that more directly control antennal or second leg identity. Here we test whether the ssa transformation results from aberrant expression of Antennapedia (Antp), a homeotic gene thought to specify directly the identity of the second thoracic segment. We find that Antp-ssa mitotic recombination clones in the distal antenna behave identically to Antp+ssa clones, and are transformed to second leg. This demonstrates that the ssa antennal transformation is independent of Antp+, and suggests that ss+ may itself directly define distal antennal identity. The results also reveal that Antp+ is not required for the development of distal second leg structures, as these develop apparently normally in Antp-ssa antennal clones. Because Antp- mutations cause deletions or transformations that are restricted to proximal structures, whereas ssa alleles cause similar defects that are distally restricted, we suggest that ss+ and Antp+ may play similar, but complementary, roles in the distal and proximal portions of appendages, respectively. ¬© 1990 Springer-Verlag.</t>
  </si>
  <si>
    <t>347-352</t>
  </si>
  <si>
    <t>MGG Molecular &amp; General Genetics</t>
  </si>
  <si>
    <t>8129637300;57210836402</t>
  </si>
  <si>
    <t>Burgess, Elizabeth A.;Duncan, Ian</t>
  </si>
  <si>
    <t>Burgess E.</t>
  </si>
  <si>
    <t>Direct control of antennal identity by the spineless-aristapedia gene of Drosophila</t>
  </si>
  <si>
    <t>10.1007/BF00259398</t>
  </si>
  <si>
    <t>2-s2.0-0025361909</t>
  </si>
  <si>
    <t>['time processing', 'processing system']</t>
  </si>
  <si>
    <t>The parameters of the processing system are optimized. The efficiencies of processing, divided into space and time processing and of optimal undivided space-time processing are compared.</t>
  </si>
  <si>
    <t>85-87</t>
  </si>
  <si>
    <t>6507015862;7003404766;6602707651</t>
  </si>
  <si>
    <t>Kashayev, S. M.;Pluzhnikov, A. D.;Ryndyk, A. G.</t>
  </si>
  <si>
    <t>Kashayev S.</t>
  </si>
  <si>
    <t>Detection of signals in passive interference in space and time division processing</t>
  </si>
  <si>
    <t>2-s2.0-0025420410</t>
  </si>
  <si>
    <t>['wire cylinders', 'wave resistance', 'type antennas', 'technically unsound', 'rotation units', 'power distribution', 'normally made', 'need arises', 'mechanical constraints', 'lower part', 'ground surface', 'feeders used', 'feeders perpendicularly', 'feeder design', 'feeder conductors', 'distribution feeders', '90 ¬∞).', '1a ).']</t>
  </si>
  <si>
    <t>Horizontal symmetrical twin feeders (HTCF), lying parallel to the ground surface are used in SGD-type antennas for power distribution between sections (Fig. 1a). The feeder conductors are normally made of wire cylinders. The feeder wave resistances, diameter and number of wires are determined by the given transmitter power, and by mechanical constraints on the feeder design. Normally, the wave resistance of feeders used in SGD antennas lies in the 200-480 ohm range. In assembling a system of distribution feeders in the lower part of an antenna, the need arises to rotate the feeders (most often by 90¬∞). When HTCF are used, such rotation is structurally very complex and technically unsound. In this paper, we propose locating SGD antenna with feeders perpendicularly to the ground surface; this may considerably simplify construction of the rotation units and make them technically more suitable.</t>
  </si>
  <si>
    <t>Kliger, G. A.</t>
  </si>
  <si>
    <t>Kliger G.</t>
  </si>
  <si>
    <t>Optimization of distribution feeders in SGD-type antennas</t>
  </si>
  <si>
    <t>2-s2.0-0025420452</t>
  </si>
  <si>
    <t>['structure presented', 'source emission', 'signal carriers', 'reduced considerably', 'processing procedure', 'plane waves', 'particular feature', 'optimal processing', 'necessary number', 'large volume', 'delay lines', 'circuit synthesis', 'circuit parameters', 'background noise', 'antenna arrays', 'advantages increase', 'aa elements']</t>
  </si>
  <si>
    <t>Circuit synthesis of a processor for the optimal processing of broadband signals requires a large volume of operations, which may be reduced considerably when the useful and background signals enter the antenna arrays (AA) in the form of plane waves, and the number of signal carriers is less than the number of AA elements and is known a priori. We note that the structure obtained enables one to suppress the background noise from the local sources completely for minimum circuit natural noise power. The number of interference sources determines the necessary number of delay lines and the connections between them. A particular feature of the structure presented is the fact that its circuit and circuit parameters are independent of the working frequency band and the nature of the source emission. The advantages increase as the working frequency band increases, since this does not affect the volume of operations in the processing procedure for the structures under consideration.</t>
  </si>
  <si>
    <t>109-110</t>
  </si>
  <si>
    <t>6507867071;7006296006;6603230196</t>
  </si>
  <si>
    <t>Bashkatov, I. P.;Mitin, A. A.;Koval'chuk, Ya M.</t>
  </si>
  <si>
    <t>Bashkatov I.</t>
  </si>
  <si>
    <t>Spatial rejection of local sources of broadband signals</t>
  </si>
  <si>
    <t>2-s2.0-0025420602</t>
  </si>
  <si>
    <t>['various paths', 'type bs', 'significant increase', 'occupiable space', 'multiply used', 'frequency spectrum', 'enough space', 'economic indices', 'different correspondents']</t>
  </si>
  <si>
    <t>As a result of overloading the frequency spectrum by the registered communications services in the decameter wave band, it is advisable to use directional antennas. However, it frequently becomes expensive to use conventional directional antennas, for example of the type BS and BS-2, and, in addition, there is not enough space as a rule to install a set of such antennas (for all the required azimuths). Significant increase in the economic indices and reduction in occupiable space is only possible by means of multipath antenna arrays, where the same antenna is multiply used to operate at various paths with different correspondents.</t>
  </si>
  <si>
    <t>25-27</t>
  </si>
  <si>
    <t>6602612449;7005267429;6603124226</t>
  </si>
  <si>
    <t>Kazanskiy, L. S.;Krasil'nikov, A. D.;Rodina, G. M.</t>
  </si>
  <si>
    <t>Kazanskiy L.</t>
  </si>
  <si>
    <t>Multipath receiving antenna array for decameter waves</t>
  </si>
  <si>
    <t>2-s2.0-0025420605</t>
  </si>
  <si>
    <t>['radio receiver', 'developed version', '285 khz', '1607 khz']</t>
  </si>
  <si>
    <t>A procedure is proposed for calculating the limiting real sensitivity of broadband active magnetic antennas. A description is given of a developed version of a broadband magnetic active antenna for a radio receiver in the LW (148-285 kHz) and MW (525-1607 kHz) bands.</t>
  </si>
  <si>
    <t>95-97</t>
  </si>
  <si>
    <t>Calculation of the limiting real sensitivity of active magnetic antennas</t>
  </si>
  <si>
    <t>2-s2.0-0025420878</t>
  </si>
  <si>
    <t>['time required', 'significantly simplifies', 'reversible symmetry', 'recent years', 'decoupling device', 'considerable interest', '2 ].']</t>
  </si>
  <si>
    <t>In recent years, antenna systems consisting of mutually coupled radiators which form a given directed radiation pattern are becoming of considerable interest. Here, the basic interest centers on a system of four mutually coupled radiators having reversible symmetry [1, 2]. When supplying this system from generators through an antenna-decoupling device, described by the scattering matrix independent operation of the generators is assured, regardless of the coupling between radiators, which significantly simplifies the generator adjustment process and reduces the time required to accomplish it.</t>
  </si>
  <si>
    <t>20-25</t>
  </si>
  <si>
    <t>6507627215;7102236509;6602850609</t>
  </si>
  <si>
    <t>Bessonova, L. A.;London, S. Ye;Tomashevich, S. V.</t>
  </si>
  <si>
    <t>Bessonova L.</t>
  </si>
  <si>
    <t>Broadband antenna-decoupling device</t>
  </si>
  <si>
    <t>2-s2.0-0025420959</t>
  </si>
  <si>
    <t>['mutual locking', 'excited oscillators']</t>
  </si>
  <si>
    <t>The mutual locking of two identical nonisochronous nondetuned self-excited oscillators is examined.</t>
  </si>
  <si>
    <t>62-63</t>
  </si>
  <si>
    <t>7006072593;6504749659;6508217465</t>
  </si>
  <si>
    <t>Dvornikov, A. A.;Koryukin, L. V.;Poznakhirko, S. N.</t>
  </si>
  <si>
    <t>Dvornikov A.</t>
  </si>
  <si>
    <t>Mutual locking of two nonisochronous self-excited oscillators</t>
  </si>
  <si>
    <t>2-s2.0-0025421128</t>
  </si>
  <si>
    <t>['various azimuths', 'directed beams']</t>
  </si>
  <si>
    <t>By means of directed beams, multibeam ring antenna arrays enable communications to be established with correspondents at various azimuths, thus aiding enhanced operations in decameter radio communications.</t>
  </si>
  <si>
    <t>Kazanskiy, L. S.</t>
  </si>
  <si>
    <t>Decameter band elliptical multibeam antenna arrays</t>
  </si>
  <si>
    <t>2-s2.0-0025421180</t>
  </si>
  <si>
    <t>['remote polling', 'acquiring information']</t>
  </si>
  <si>
    <t>Results are given of an investigation of the capabilities of a prototype of a remote polling-type information acquisition system for acquiring information from moving vehicles based on surface acoustic wave elements.</t>
  </si>
  <si>
    <t>56-57</t>
  </si>
  <si>
    <t>7402290007;6504269464;6506176496;7006362731</t>
  </si>
  <si>
    <t>Kozlov, A. S.;Puzynya, I. P.;Tolstoukhov, N. I.;Yakovkin, I. B.</t>
  </si>
  <si>
    <t>Kozlov A.</t>
  </si>
  <si>
    <t>Surface acoustic wave devices in a radio monitoring system</t>
  </si>
  <si>
    <t>2-s2.0-0025421291</t>
  </si>
  <si>
    <t>['structural parameters', 'nonoptimized one', 'noise ratio', 'formulas obtained', 'engineering procedure']</t>
  </si>
  <si>
    <t>An engineering procedure is presented for optimizing, with respect to the signal-to-noise ratio, the structural parameters of a coil of a VLF-band magnetic antenna. The limits of applicability of the formulas obtained are determined. An evaluation is made of the gain in terms of the signal-to-noise ratio of an optimized magnetic antenna compared to a nonoptimized one.</t>
  </si>
  <si>
    <t>119-121</t>
  </si>
  <si>
    <t>Maksimenko, V. G.</t>
  </si>
  <si>
    <t>Maksimenko V.G.</t>
  </si>
  <si>
    <t>Optimization of a VLF-band magnetic antenna</t>
  </si>
  <si>
    <t>2-s2.0-0025421501</t>
  </si>
  <si>
    <t>['signal modes', 'separate modes', 'route length', 'real conditions', 'paper propose', 'operating receiving', 'one hand', 'method based', 'geomagnetic activity', 'experimental data', 'e .,', 'different lengths', 'compare calculated', 'communications line', 'certain algorithm', 'calculation data', 'arrival angles', 'also needed']</t>
  </si>
  <si>
    <t>When developing and operating receiving-transmitting SW centers, it is necessary to have data on parameters of the useful signal propagation trajectories along a communications line. Among these parameters and the number of signal modes, their arrival angles (the aximuth, angle of elevation), ratio of intensities of separate modes, as well as the rate of change of these characteristics with time. Also needed is information concerning variation of these parameters as a function of the route length, season and time of day, solar and geomagnetic activity. On the one hand, when planning radio communications, it is necessary to forecast the angles of radio signal arrival, i.e., to use a certain algorithm for calculating the signal arrival angles for routes of different lengths and orientation. On the other hand, it is necessary to compare calculated and experimental data for showing the degree of reliability of calculation data and their applicability to the problem of forecasting under real conditions of the communications line operations. The authors of this paper propose the measurement of the arrival angles by means of a method based on the use of distributed antenna arrays.</t>
  </si>
  <si>
    <t>17-19</t>
  </si>
  <si>
    <t>7003684032;6602449699</t>
  </si>
  <si>
    <t>Sodin, L. G.;Fal'kovich, I. S.</t>
  </si>
  <si>
    <t>Sodin L.</t>
  </si>
  <si>
    <t>Investigation of the trajectory characteristics of SW signals by means of a distributed antenna array</t>
  </si>
  <si>
    <t>2-s2.0-0025421502</t>
  </si>
  <si>
    <t>['ye antenna', 'type ob', 'shown graphically', 'radiation pattern', 'open quarter', 'one described', 'ob antenna', 'grounding electrodes', 'experimental investigation', 'divergence need', 'conventional single', 'basic difference', 'antenna ends', '7 ],']</t>
  </si>
  <si>
    <t>The basic difference between the type OB-Ye travelling wave antenna proposed in [1] and the one described in [2] from a conventional single-conductor type OB travelling wave antenna [6, 7], is the following: the antenna ends are short-circuited not by means of grounding electrodes but by open quarter-wave line segments which are an extension of the antenna itself. Inasmuch as the results of experimental investigation of the radiation pattern (RP) of the OB-Ye antenna [2] diverge from those calculated for the RP of the OB antenna, shown graphically in [6, 7], the reasons for this divergence need to be explained.</t>
  </si>
  <si>
    <t>Broude, V. B.</t>
  </si>
  <si>
    <t>Broude V.</t>
  </si>
  <si>
    <t>Investigation of parameters of a single-conductor type OB-Ye travelling wave antenna based on the method of moments</t>
  </si>
  <si>
    <t>2-s2.0-0025421832</t>
  </si>
  <si>
    <t>['wave reflections', 'support unit', 'specific rule', 'somewhat less', 'reflected waves', 'possible ways', 'nominal value', 'large degree', 'intermediate supports', 'inhomogeneities generated', 'feeder supports', 'feeder according', 'experimental investigations', 'effective reduction', 'different design', 'compensating reflections']</t>
  </si>
  <si>
    <t>The level of self-reflected waves in SW transmission feeder lines is determined, to a large degree, by wave reflections from inhomogeneities generated by the conductor suspension units at feeder supports. Experimental investigations, carried out on SW feeder lines of different design, have shown that these inhomogeneities at the intermediate supports are capacitive. Possible ways of preventing such reflections are arranging supports along the feeder according to a specific rule [1] and compensating reflections at their location. Effective reduction of reflections from the conductor suspension unit is obtained by increasing the feeder wave resistance in the section that adjoins a location where an insulator is fastened. In terms of design, this is accomplished by placing mounting rings in the support unit with somewhat less than the nominal value.</t>
  </si>
  <si>
    <t>Komissarov, V. I.</t>
  </si>
  <si>
    <t>Komissarov V.</t>
  </si>
  <si>
    <t>Compensation of self-reflections in SW feeder lines</t>
  </si>
  <si>
    <t>2-s2.0-0025421833</t>
  </si>
  <si>
    <t>['subsequently migrating', 'stromal ones', 'stromal lamellar', 'stromal lamellae', 'similar capability', 'results presented', 'radioactive precursor', 'radioactive plhcp', 'pigmented lhciib', 'photosystem ii', 'lateral distribution', 'labelled plhcp', 'isolated thylakoids', 'insertion reaction', 'insert plhcp', 'granal lamellae', 'gradually reduced', 'gradually accumulated', 'chase experiment']</t>
  </si>
  <si>
    <t>chloroplast biogenesis | insertion of membrane proteins | light-harvesting complex II | stromal and granal lamellae</t>
  </si>
  <si>
    <t>The formation of the lateral distribution of the major antenna complex of photosystem II (LHCIIb) between the granal and stromal lamellae was studied. Specifically, the localization of the insertion and the assembly of the precursor of the apoprotein of LHCIIb (pLHCP) were studied with isolated thylakoids. After insertion of pLHCP into isolated thylakoids, fractionation of the latter into granal and stromal lamellar was performed. At 25 ¬∞C most of the precursor was located in the granal lamellae, although both highly purified granal and stromal lamellar fractions demonstrated a similar capability to insert pLHCP. When the insertion reaction to the thylakoids was performed at 10 ¬∞C, followed by their separation into stromal and granal lamellae, the labelled pLHCP was localized in the stromal ones. To examine whether pLHCP inserts into both granal and stromal lamellae, or preferentially into stromal lamellae and subsequently migrating to granal lamellae, a chase experiment was performed. Insertion of pLHCP at 10 ¬∞C was followed by chase of the radioactive precursor with excess of non-radioactive pLHCP at 25 ¬∞C. From the results presented it is evident that the level of pLHCP in stromal lamellae was gradually reduced, while it gradually accumulated in the granal lamellae. Furthermore, the pLHCP in the stromal lamellae was found to be in a 'free' form, while after migrating to the granal lamellae it assembled into the pigmented LHCIIb. ¬© 1990 Kluwer Academic Publishers.</t>
  </si>
  <si>
    <t>753-764</t>
  </si>
  <si>
    <t>Plant Molecular Biology</t>
  </si>
  <si>
    <t>60007903;60007903;60007903</t>
  </si>
  <si>
    <t>6701694897;7201953416;7004464888</t>
  </si>
  <si>
    <t>Yalovsky, Shaul;Schuster, Gadi;Nechushtai, Rachel</t>
  </si>
  <si>
    <t>Jerusalem</t>
  </si>
  <si>
    <t>Hebrew University of Jerusalem</t>
  </si>
  <si>
    <t>Yalovsky S.</t>
  </si>
  <si>
    <t>The apoprotein precursor of the major light-harvesting complex of photosystem II (LHCIIb) is inserted primarily into stromal lamellae and subsequently migrates to the grana</t>
  </si>
  <si>
    <t>10.1007/BF00016508</t>
  </si>
  <si>
    <t>2-s2.0-0025431285</t>
  </si>
  <si>
    <t>['waveguide structure', 'two layers', 'several layers', 'periodic modulation', 'mode generation', 'high second', 'general formalism']</t>
  </si>
  <si>
    <t>42.65k | 42.80 | 42.82</t>
  </si>
  <si>
    <t>We study optical second harmonic generation (SHG) in planar waveguide structures composed of several layers with different dielectric constants. We develop a general formalism for the calculation of mode generation by a planar antenna embedded in the waveguide. As an application we consider a monolayer of high second-order susceptibility adsorbed at the interface between two layers of the waveguide structure. Periodic modulation of the nonlinear susceptibility allows phase matching leading to dramatically enhanced second harmonic intensities. We investigate the SHG-efficiency of various experimentally realizable geometries. ¬© 1990 Springer-Verlag.</t>
  </si>
  <si>
    <t>393-404</t>
  </si>
  <si>
    <t>Applied Physics B Photophysics and Laser Chemistry</t>
  </si>
  <si>
    <t>60016653;60016653;60032895</t>
  </si>
  <si>
    <t>16427701900;7005563992;55285380800</t>
  </si>
  <si>
    <t>Bratz, A.;Felderhof, B. U.;Marowsky, G.</t>
  </si>
  <si>
    <t>Gottingen;Aachen</t>
  </si>
  <si>
    <t>Max Planck Institute for Biophysical Chemistry;Rheinisch-Westf√§lische Technische Hochschule Aachen</t>
  </si>
  <si>
    <t>60032895;60016653</t>
  </si>
  <si>
    <t>Bratz A.</t>
  </si>
  <si>
    <t>Second harmonic generation in planar optical waveguides</t>
  </si>
  <si>
    <t>10.1007/BF00325092</t>
  </si>
  <si>
    <t>2-s2.0-0025432258</t>
  </si>
  <si>
    <t>['transmitted bits', 'three largest', 'support structures', 'steel structures', 'six sites', 'signal strength', 'second layer', 'passing neptune', 'new 70', 'neptune encounter', 'moon triton', 'made possible', 'lifetime event', 'image construction', 'four nations', 'first time', 'communications team', 'board computer', 'biggest challenge', 'august 24', 'although unable', '60 %.', '000 mi', '000 km', '), respectively']</t>
  </si>
  <si>
    <t>On August 24-25, 1989, Voyager 2 swept past Neptune and its moon Triton, completing its tour of the four outer planets. Passing Neptune and Triton at altitudes of 6,000 and 46,000 km (3,800 and 29,000 mi.), respectively, the encounter sequence amassed data from 11 science instruments, which were telemetered on to Earth. Command and navigation of the spacecraft and acquisition of its data were made possible by an international tracking network, upgraded and integrated for the first time to support this once-in-a-lifetime event. Four nations and six sites were involved, including two radio astronomy observatories. By far the biggest challenge for the spacecraft and Deep Space Network (DSN) communications team was sustaining telemetry rates high enough to return the desired science data from the planet. Image construction, in particular, required high data rates - over 5 million bits per complete image. The goal was to return the same quality of data from Neptune as from Uranus, despite the drop in signal strength to less than half what it was at Uranus. Although unable to redesign the early '70s Voyager hardware to accommodate the Neptune encounter, project personnel devised a way to compress in-flight imaging data before transmission by reprogramming a spare on-board computer. This reduced the number of transmitted bits of construct an image, but required a lower bit error probability, which was achieved by a second layer of coding. To further improve the DSN's signal reception capability, the steel structures of the three largest (64-m-diam) antennas were dismantled and new 70-m reflectors and support structures were emplaced, improving signal collecting capability by 60%.</t>
  </si>
  <si>
    <t>18-21</t>
  </si>
  <si>
    <t>0740722X</t>
  </si>
  <si>
    <t>Aerospace America</t>
  </si>
  <si>
    <t>60009037;60009037</t>
  </si>
  <si>
    <t>7005415481;6602841817</t>
  </si>
  <si>
    <t>Dumas, Larry N.;Hornstein, Robert M.</t>
  </si>
  <si>
    <t>Dumas L.N.</t>
  </si>
  <si>
    <t>Communicating with Voyager</t>
  </si>
  <si>
    <t>2-s2.0-0025433058</t>
  </si>
  <si>
    <t>['simultaneous dual', 'paper proposes', 'mechanical studies']</t>
  </si>
  <si>
    <t>This paper proposes a 4-reflector type double torus antenna for simultaneous dual-satellite accessing earth stations and describes the reflector system design and characteristics of the DYANET earth station antenna. The dual-beam earth station antenna has been developed by using newly developed reflector system design techniques and mechanical studies. Measured data confirms that the 4-reflector type double torus antenna can be used for the DYANET earth station.</t>
  </si>
  <si>
    <t>35-40</t>
  </si>
  <si>
    <t>NTT Review</t>
  </si>
  <si>
    <t>7402411659;7102912262</t>
  </si>
  <si>
    <t>Hori, Toshikazu;Akagi, Hisanobu</t>
  </si>
  <si>
    <t>Hori T.</t>
  </si>
  <si>
    <t>Dual-beam antenna for DYANET</t>
  </si>
  <si>
    <t>2-s2.0-0025434972</t>
  </si>
  <si>
    <t>507-510</t>
  </si>
  <si>
    <t>6602956702;6504703422;6701453221</t>
  </si>
  <si>
    <t>Buzinov, V. S.;Basenkov, L. V.;Tokatly, V. I.</t>
  </si>
  <si>
    <t>Buzinov V.</t>
  </si>
  <si>
    <t>Reference magnetic field source based on a four-wire line</t>
  </si>
  <si>
    <t>10.1007/BF00864448</t>
  </si>
  <si>
    <t>2-s2.0-0025497916</t>
  </si>
  <si>
    <t>492-493</t>
  </si>
  <si>
    <t>24722627700;7101650313</t>
  </si>
  <si>
    <t>Gorbachev, K. L.;Denisov, A. P.</t>
  </si>
  <si>
    <t>Gorbachev K.</t>
  </si>
  <si>
    <t>Electromagnetic field strength meter</t>
  </si>
  <si>
    <t>10.1007/BF00864443</t>
  </si>
  <si>
    <t>2-s2.0-0025498547</t>
  </si>
  <si>
    <t>['uppermost mantle', 'uniquely sensitive', 'two orthogonal', 'transmitter package', 'towing ship', 'towed safely', 'towed instrument', 'three occasions', 'temperature structure', 'successfully recorded', 'streamed behind', 'short distance', 'sea bottom', 'recoverable package', 'recent use', 'oceanic crust', 'instrumentation consists', 'horizontal dipoles', 'geophysical techniques', 'four low', 'existing range', 'electromagnetic signals', 'deep towed', 'deep tow', 'deep oceans', 'conducting cable']</t>
  </si>
  <si>
    <t>electrical conductivity | instrumentation</t>
  </si>
  <si>
    <t>Instrumentation has been developed for carrying out active source electromagnetic sounding experiments in the deep oceans. Experiments of this type are directly and uniquely sensitive to the presence of molten or partially molten material, to temperature structure and to the porosity of upper crustal rocks such as those that accommodate hydrothermal circulation systems. Electromagnetic sounding experiments therefore represent an extremely desirable addition to the existing range of geophysical techniques for studying geological processes in thermally, hydrothermally or magmatically active regions-for example, at oceanic spreading centres. The instruments can be operated in regions of rugged, unsedimented sea bottom terrain, and are designed for investigating the distribution of electrical conductivity within the oceanic crust and uppermost mantle. The instrumentation consists of a deep towed, horizontal electric dipole transmitter and a set of free-fall, sea bottom, horizontal electric field recording devices. The transmitter is a deep-towed instrument, which is provided with power from the towing ship through a conducting cable. The transmitter package is fitted with an integral echo sounder, which allows it to be towed safely a short distance above the seabed. Electromagnetic signals are transmitted from a neutrally-buoyant antenna array, which is streamed behind the deep tow. The sea bottom receiving instruments each consist of a recoverable package which contains the instrumentation and digital recording system, an acoustic release unit, four low-noise, porous electrodes arranged in two orthogonal, horizontal dipoles, and a disposable bottom weight. The instruments have been used at sea on three occasions. On their most recent use, active source signals were successfully recorded during an experiment to investigate crustal magmatism and hydrothermal circulation beneath the axis of the East Pacific Rise. ¬© 1990 Kluwer Academic Publishers.</t>
  </si>
  <si>
    <t>59-68</t>
  </si>
  <si>
    <t>Marine Geophysical Researches</t>
  </si>
  <si>
    <t>60031101;60031101;60031101;60031101;60031101</t>
  </si>
  <si>
    <t>7102394122;57198995295;7005100237;7102033797;6507076391</t>
  </si>
  <si>
    <t>Sinha, M. C.;Patel, P. D.;Unsworth, M. J.;Owen, T. R.E.;Maccormack, M. R.G.</t>
  </si>
  <si>
    <t>University of Cambridge</t>
  </si>
  <si>
    <t>Sinha M.</t>
  </si>
  <si>
    <t>An active source electromagnetic sounding system for marine use</t>
  </si>
  <si>
    <t>10.1007/BF00310563</t>
  </si>
  <si>
    <t>2-s2.0-0025635516</t>
  </si>
  <si>
    <t>['wild moths', 'wild male', 'wild crosses', 'trapping bioassays', 'time required', 'three strains', 'three populations', 'significantly shorter', 'significantly reduced', 'significantly different', 'pheromone lure', 'pheromone concentration', 'observed using', 'moths caught', 'mean number', 'lag period', 'laboratory male', 'flight tunnel', 'field bioassays', 'electroantennogram technique', 'electroantennogram signal', 'copulatory attempts', 'antennal response', 'also observed', 'ald concentrations', 'ald concentration', 'ald ),', '5 %.']</t>
  </si>
  <si>
    <t>behavior | Choristoneura occidentalis | flight tunnel | Lepidoptera | population differences | sex pheromone concentration | Tortricidae</t>
  </si>
  <si>
    <t>The responses of male western spruce budworm moths, Choristoneura occidentalis Freeman, to a range of concentrations of the major sex pheromone, 92:8 (E/Z)-11-tetradecenal (Ald), in polyvinyl chloride lures, were observed using the electroantennogram technique, a flight tunnel, and field-trapping bioassays. The responses to virgin female moths were also observed in the flight tunnel and field bioassays. The moths were from three strains: a nondiapausing laboratory colony; field-collected wild budworm; and laboratory-wild crosses. The mean peak amplitude of antennal response and the time required for the electroantennogram signal to return to the baseline after stimulation (lag) increased with Ald concentration in both laboratory and wild moths. However, at Ald concentrations of 0.005% and greater, the lag period of the wild male's antennae was significantly shorter than that of the laboratory male's. The mean number of moths caught in the field in delta sticky traps increased with Ald concentration, but the number of moths caught per trap was not significantly different between concentrations of 0.005 % and 0.5 %. The threshold concentration required to elicit upwind flight in the flight tunnel was between 0.0005 and 0.005% Ald; peak response occurred to 0.05 % Ald but was not significantly different from that to 0.005 % or 0.5% Ald. Moths from all three populations significantly reduced their net upwind groundspeed as they approached the pheromone lure. When pheromone concentration was increased, the net upwind groundspeed of laboratory and lab-wild moths, but not wild moths, was significantly reduced between 2 m and 1 m downwind from the pheromone lure. The three populations of moths differed significantly in the percentage of wing-fanning and copulatory attempts, and in the net upwind groundspeed of flight from 2 m to 1 m downwind from the lure. ¬© 1990 Plenum Publishing Corporation.</t>
  </si>
  <si>
    <t>1531-1546</t>
  </si>
  <si>
    <t>7201426253;16496485900</t>
  </si>
  <si>
    <t>Sweeney, J. D.;McLean, J. A.</t>
  </si>
  <si>
    <t>Sweeney J.</t>
  </si>
  <si>
    <t>Effect of sex-pheromone concentration on behavior of three strains of western spruce budworm male moths</t>
  </si>
  <si>
    <t>10.1007/BF01014087</t>
  </si>
  <si>
    <t>2-s2.0-0242463167</t>
  </si>
  <si>
    <t>['resultant program', 'phane horns', 'permits computerizing', 'optimal geometry', 'method presented', 'matching characteristics', 'highly algorithmic', 'geometrical parameters', 'dimensional h', 'data derived', 'broad range', 'box horns', 'antenna assemblies']</t>
  </si>
  <si>
    <t>The method presented here is highly algorithmic and permits computerizing the calculation of the characteristics of two-dimensional H-phane horns with piecewise linear contours within a broad range of geometrical parameters. The resultant program can be used for analyzing and selecting the optimal geometry of specific radiative assemblies. The data derived in the analysis of the radiation and matching characteristics of thickwalled sectorial horns and of box horns will be useful in the design of antenna assemblies. ¬© 1990 Plenum Publishing Corporation.</t>
  </si>
  <si>
    <t>447-453</t>
  </si>
  <si>
    <t>6701657961;35583161300</t>
  </si>
  <si>
    <t>P'yankov, V. P.;Chumachenko, V. P.</t>
  </si>
  <si>
    <t>P'yankov V.</t>
  </si>
  <si>
    <t>Solution of the H-plane problem of radiation from a two-dimensional horn with a complex piecewise linear contour</t>
  </si>
  <si>
    <t>10.1007/BF01045412</t>
  </si>
  <si>
    <t>2-s2.0-34249954160</t>
  </si>
  <si>
    <t>['zenith angles', 'vertical velocities', 'strong subsidence', 'preliminary analysis', 'ne direction', 'january 1987', 'intense convection', 'helmholtz instabilities', 'complex terrain', 'completely deglaciated', 'area around', 'antenna pointing', 'almost continuously', '4 ms', '30 ¬∞', '20 ¬∞']</t>
  </si>
  <si>
    <t>A single-axis sodar system, with off-line Doppler analysis, has been operated in the month of January 1987 at the Italian Antarctic base near Terra Nova Bay. The instrument was installed in complex terrain at a distance of approximately 1 km from the shore-line. During the campaign the area around the station, for a width of about (2√∑3) km from the shore, was completely deglaciated and exposed to periods of direct solar irradiation. The measurements were carried out almost continuously with the antenna pointing to the zenith or at zenith angles of 20¬∞ and 30¬∞ in the NE direction. From a preliminary analysis of the data, the main phenomena observed were as follows:a) Very intense convection during periods of insolation with vertical velocities up to 4 ms-1. b) Evidence of layering and Kelvin-Helmholtz instabilities. c) Strong subsidence. ¬© 1990 Societ√† Italiana di Fisica.</t>
  </si>
  <si>
    <t>60021199;60019637;60019637;60032350</t>
  </si>
  <si>
    <t>7003490516;7003449808;7103228467;7004499360</t>
  </si>
  <si>
    <t>Mastrantonio, G.;Ocone, R.;Pellegrini, A.;Fiocco, G.</t>
  </si>
  <si>
    <t>Italy;Italy;Italy</t>
  </si>
  <si>
    <t>Rome;Rome;Rome</t>
  </si>
  <si>
    <t>Sapienza Universit√† di Roma;Consiglio Nazionale delle Ricerche;Ente Per Le Nuove Tecnologie, l'Energia e l'Ambiente</t>
  </si>
  <si>
    <t>60032350;60021199;60019637</t>
  </si>
  <si>
    <t>Mastrantonio G.</t>
  </si>
  <si>
    <t>Sodar observations of the antarctic boundary layer in a deglaciated area: Preliminary results</t>
  </si>
  <si>
    <t>10.1007/BF02507623</t>
  </si>
  <si>
    <t>2-s2.0-51249176850</t>
  </si>
  <si>
    <t>['short bursts', 'results obtained', 'result allows', "lo -''.", 'gravitational waves', 'april 1989', '2 k']</t>
  </si>
  <si>
    <t>We report on the results obtained with a cryogenic gravitational wave antenna equipped with a d.c. SQUID, operating at 2 K. During a period of a few days in April 1989 the measured noise temperature (for short bursts of gravitational waves) was Teff= 7 Mk Corresponding to a sensitivity of h, 2= 7. lo-''. This result allows to improve the previously published upper limits for the rate of gravitational wave bursts. ¬© 1990 IOP Publishing Ltd.</t>
  </si>
  <si>
    <t>EPL</t>
  </si>
  <si>
    <t>116292999-116292300;116292999-116292300;116293180-116292300;116292662-116292300;116292662-116292300;116292999-116292300;116293180-116292300;116292999-116292300;116292999-116292300;116293180;116293180-116292300;116292999-116292300;116292999-116292300;116292999-116292300;116292999;116292662;116292999-116292300-116292922</t>
  </si>
  <si>
    <t>24785703100;8728100700;7004985710;7004641893;7103181547;6701785659;57084289100;56236475400;55154676300;57213101845;7003738313;7004243218;7003386560;7003636273;57206328910;6603743635;57083514900</t>
  </si>
  <si>
    <t>Amaldi, E.;Astone, P.;Bassan, M.;Bonifazi, P.;Castellano, M. G.;Cavallari, G.;Cwcia, E.;Cosmelli, C.;Frasca, S.;Maiorana, E.;Modena, I.;Pallottino, G. V.;Pizzella, G.;Rapagnani, P.;Ricci, F.;Visco, M.;Ning, Zhu</t>
  </si>
  <si>
    <t>Italy;Italy;Switzerland;Italy;Italy</t>
  </si>
  <si>
    <t>Dipartimento di Fisica dell Universitd.Tor Vergatus;Dipartimento di Fisica dell University.La Sapienxa;European Center for Nuclear Physics;Istituto di Fisica dello Spaxio Interplanetario del CNR;Istituto Naxionale di Fisica Nucleare</t>
  </si>
  <si>
    <t>116293180;116292999;116292922;116292662;116292300</t>
  </si>
  <si>
    <t>Amaldi E.</t>
  </si>
  <si>
    <t>Sensitivity of the rome gravitational wave experiment with the explorer cryogenic resonant antenna operating at 2 k</t>
  </si>
  <si>
    <t>10.1209/0295-5075/12/1/002</t>
  </si>
  <si>
    <t>2-s2.0-84956209642</t>
  </si>
  <si>
    <t>['type setup', 'mode fiber', 'meridional direction', 'frequency resolution', 'fast along', '300 mm', '230 mhz']</t>
  </si>
  <si>
    <t>Along a single-mode fiber a number M of grating‚Äìfiber couplers are fabricated at equal spacings L0. The fiber is coiled so that the couplers lie side by side, forming a planar optical antenna array. With varying optical frequency the resulting radiation lobes sweep slowly along the meridional direction but fast along the orthogonal azimuthal direction. In a spectrometer-type setup with M = 3 and L0 = 300 mm a frequency resolution of 230 MHz is demonstrated. ¬© 1990 Optical Society of America.</t>
  </si>
  <si>
    <t>463-465</t>
  </si>
  <si>
    <t>6603518805;7201561856</t>
  </si>
  <si>
    <t>Z√ºrn, Martin;Ulrich, Reinhard</t>
  </si>
  <si>
    <t>Z√ºrn M.</t>
  </si>
  <si>
    <t>Array of grating‚Äìfiber couplers</t>
  </si>
  <si>
    <t>10.1364/OL.15.000463</t>
  </si>
  <si>
    <t>2-s2.0-84975583355</t>
  </si>
  <si>
    <t>['spectral appearance', 'spatial distribution', 'observed sources', 'forming regions', 'also observed']</t>
  </si>
  <si>
    <t>Interstellar: molecules | Line identifications | Nebulae: H II regions | Radio sources: lines | Stars: formation</t>
  </si>
  <si>
    <t>The Haystack Observatory 37 m antenna was used to search for emission from the 44 GHz 70 ‚Üí 61 A+ transition of interstellar methanol toward 50 galactic star-forming regions. The line was detected toward half the observed sources. Several of these regions were also observed in the 36 GHz 4-1 ‚Üí 30 E line. In most sources, the detected emission shows one or more narrow components indicating maser action. The spectral appearance and spatial distribution of these methanol masers closely resembles the properties of the well-studied 25 GHz methanol masers: in some cases, distances between individual methanol maser components are of order 1 pc. Unlike the now well-studied 12 GHz methanol masers, these masers appear well separated from OH/H2O maser centers and compact H II regions.</t>
  </si>
  <si>
    <t>556-567</t>
  </si>
  <si>
    <t>120539083-60015009;60020680;120539085-120539086-60071501</t>
  </si>
  <si>
    <t>6701520112;35248640700;7003503646</t>
  </si>
  <si>
    <t>Haschick, Aubrhy D.;Menten, Karl M.;Baan, Willem A.</t>
  </si>
  <si>
    <t>Puerto Rico;United States;United States;;;</t>
  </si>
  <si>
    <t>Arecibo;Cambridge;Westford;;;</t>
  </si>
  <si>
    <t>National Astronomy and Ionosphere Center Arecibo Observatory;Harvard-Smithsonian Center for Astrophysics;MIT Haystack Observatory;Natl. Astron. and Ionosphere Center;Arecibo Observatory;Haystack Observatory</t>
  </si>
  <si>
    <t>60071501;60020680;60015009;120539086;120539085;120539083</t>
  </si>
  <si>
    <t>Haschick A.D.</t>
  </si>
  <si>
    <t>Detection of widespread strong methanol masers at 44 GHz</t>
  </si>
  <si>
    <t>10.1086/168715</t>
  </si>
  <si>
    <t>2-s2.0-0000935179</t>
  </si>
  <si>
    <t>['radiation resistance', 'potential use', 'observations indicate', 'free space', 'fields radiated', 'chiral sphere', 'chiral materials']</t>
  </si>
  <si>
    <t>The fields radiated into free space by a point electric dipole embedded at the centre of a chiral sphere are obtained and discussed. It is shown that embedding in a chiral sphere enhances the radiation resistance; in addition, from the point of view of an observer in free space, the point electric dipole embedded in a chiral sphere appears to be made up of a point electric dipole and a point magnetic dipole. These observations indicate the potential use of chiral materials for making antenna radomes. ¬© 1990 IOP Publishing Ltd.</t>
  </si>
  <si>
    <t>481-485</t>
  </si>
  <si>
    <t>53877620200;36039583900;7202350150</t>
  </si>
  <si>
    <t>Lakhtakia, Akhlesh;Varadan, Vijay K.;Varadan, Vasundara V.</t>
  </si>
  <si>
    <t>Lakhtakia A.</t>
  </si>
  <si>
    <t>Radiation by a point electric dipole embedded in a chiral sphere</t>
  </si>
  <si>
    <t>10.1088/0022-3727/23/5/003</t>
  </si>
  <si>
    <t>2-s2.0-0025434411</t>
  </si>
  <si>
    <t>['¬© 1990', 'top views', 'three types', 'subunits within', 'subunits attached', 'spinach chloroplasts', 'side views', 'overall structure', 'native ps', 'molecular projections', 'harvesting complex', 'electron microscopy', 'eight light', 'depleted ps', 'complex isolated', 'attached detergent', '8 nm', '200 complex', '200 ),']</t>
  </si>
  <si>
    <t>(Spinach) | Electron microscopy | Image analysis | Photosystem I structure</t>
  </si>
  <si>
    <t>The structure of three types of Photosystem I (PS I) complex isolated from spinach chloroplasts was studied by electron microscopy and computer image analysis. Molecular projections (top views and side views) of a native PS I complex (PSI-200), an antenna-depleted PS I complex (PSI-100) and the PS I reaction center complex (CPI) were analyzed. The overall structure of the native PS I complex was found to be a disk with dimensions (corrected for attached detergent) of 16 √ó 12 nm in the plane of the membrane and a height of 6.8 nm. The PSI-100 and CPI complexes gave much smaller projections but these were similar in shape and size to those of the previously analyzed cyanobacterial PS I complex. The arrangement of the subunits within the native PS I complex is discussed. It is concluded that a shell of about eight light-harvesting complex (LHCI) subunits attached to the PSI-100 complex fits the dimensions and shape of the PSI-200 complex. ¬© 1990.</t>
  </si>
  <si>
    <t>60070775;60025038;60025038</t>
  </si>
  <si>
    <t>7007149974;55286916400;7102455882</t>
  </si>
  <si>
    <t>Boekema, Egbert J.;Wynn, R. Max;Malkin, Richard</t>
  </si>
  <si>
    <t>Groningen;Berkeley</t>
  </si>
  <si>
    <t>University of Groningen, former Biochemical Laboratory;University of California, Berkeley</t>
  </si>
  <si>
    <t>60070775;60025038</t>
  </si>
  <si>
    <t>Boekema E.</t>
  </si>
  <si>
    <t>The structure of spinach Photosystem I studied by electron microscopy</t>
  </si>
  <si>
    <t>10.1016/0005-2728(90)90177-6</t>
  </si>
  <si>
    <t>2-s2.0-0025219925</t>
  </si>
  <si>
    <t>['type cytochromes', 'two high', 'ps ii', 'photosystem ii', 'monomeric complex', 'detergent shell', 'deficient mutant', 'core complexes', 'core complex', 'contains subunits', 'antenna size', '50 kda', '5 kda', '15 kda', '11 kda']</t>
  </si>
  <si>
    <t>Highly photoactive Photosystem I (PS I) and Photosystem II (PS II) core complexes have been isolated from the cyanobacterium Synechocystis Pasteur Culture Collection (PCC) 6803 and a phycocyanin-deficient mutant, enriched in PS II. Cell breakage using glass beads was followed by sucrose density gradient centrifugation and two high-performance liquid chromatography steps involving anion-exchange and hydroxyapatite. The PS I core complex has an apparent molecular mass of 300 ¬± 20 kDa (including a detergent shell of about 50 kDa) and contains subunits of ~60, ~60, 18.5, 18.5, 16, 15, 10.5, 9.5, and 6.5 kDa as determined by sodium dodecyl sulfate-polyacrylamide gel electrophoresis and immunoblots; its antenna size is 75 ¬± 5 chlorophyll/P-700. The PS II core complex has an apparent molecular mass of 310 ¬± 20 kDa (including the detergent shell); subunits of 43, 37, 33, 29, and 10-11 kDa were identified by sodium dodecyl sulfate-polyacrylamide gel electrophoresis and immunoblotting. The antenna size of the average PS II complex is 45 ¬± 5 chlorophyll/primary quinone electron acceptor (Q(A)). This preparation procedure also yields, as a byproduct, a highly purified cytochrome b6f complex. This complex contains four subunits of 38, 24, 19, and 15 kDa and b- and c-type cytochromes in a ratio of 2:1. Its apparent molecular mass of 180 ¬± 20 kDa (including the detergent shell) is consistent with a monomeric complex.</t>
  </si>
  <si>
    <t>6189-6196</t>
  </si>
  <si>
    <t>60010910;60010910;60010910</t>
  </si>
  <si>
    <t>7003290055;7102754810;57202560728</t>
  </si>
  <si>
    <t>Rogner, M.;Nixon, P. J.;Diner, B. A.</t>
  </si>
  <si>
    <t>Wilmington</t>
  </si>
  <si>
    <t>DuPont</t>
  </si>
  <si>
    <t>Rogner M.</t>
  </si>
  <si>
    <t>Purification and characterization of Photosystem I and Photosystem II core complexes from wild-type and phycocyanin-deficient strains of the cyanobacterium Synechocystis PCC 6803</t>
  </si>
  <si>
    <t>2-s2.0-0025213585</t>
  </si>
  <si>
    <t>['zenith sky', 'wavelength 4', 'tip scans', 'thermodynamic temperature', 'subtracted based', 'signal change', 'reference target', 'radiometer measured', 'primarily atmospheric', 'lower frequencies', 'limiting uncertainty', 'instrument leaves', 'ground radiation', 'galactic emission', 'foreground signals', 'cmb measurement', 'atmospheric measurements', 'antenna temperature', 'antenna sidelobes', 'antenna aperture', 'altitude site', 'air mass', '5 ghz', '07 k', '0 cm']</t>
  </si>
  <si>
    <t>Cosmic background radiation | Earth: atmospheres</t>
  </si>
  <si>
    <t>We have measured the intensity of the cosmic microwave background (CMB) at a frequency of 7.5 GHz (wavelength 4.0 cm) using a ground-based, total power radiometer calibrated at the antenna aperture by an external cryogenic reference target. The radiometer measured the difference in antenna temperature between the reference target and the zenith sky from a dry, high-altitude site. Subtraction of foreground signals (primarily atmospheric and galactic emission) measured with the same instrument leaves the CMB as the residual. The radiometer measured the atmospheric antenna temperature by correlating the signal change with the air mass in the beam during tip scans. The small galactic signal was subtracted based on extrapolation from lower frequencies and was checked by differential drift scans. The limiting uncertainty in the CMB measurement was the effect of ground radiation in the antenna sidelobes during atmospheric measurements. The thermodynamic temperature of the CMB at 7.5 GHz is 2.60 ¬± 0.07 K (68% confidence level).</t>
  </si>
  <si>
    <t>102-113</t>
  </si>
  <si>
    <t>60007174-60006337;60007174-60025038;60007174-60025038;60007174-60025038;60007174-60025038;60007174-60025038</t>
  </si>
  <si>
    <t>24833209700;6602098341;6603725955;7401469655;24497446500;6602516329</t>
  </si>
  <si>
    <t>Kogut, A.;Bensadoun, M.;De Amici, G.;Levin, S.;Smoot, G. F.;Witebsky, C.</t>
  </si>
  <si>
    <t>Berkeley;Berkeley;Greenbelt</t>
  </si>
  <si>
    <t>University of California, Berkeley;Lawrence Berkeley National Laboratory;NASA Goddard Space Flight Center</t>
  </si>
  <si>
    <t>60025038;60007174;60006337</t>
  </si>
  <si>
    <t>Kogut A.</t>
  </si>
  <si>
    <t>A measurement of the temperature of the cosmic microwave background at a frequency of 7.5 GHz</t>
  </si>
  <si>
    <t>10.1086/168745</t>
  </si>
  <si>
    <t>2-s2.0-11944256412</t>
  </si>
  <si>
    <t>['¬© 1990', 'proposed occurrence', 'photosystem ii', 'obviously distinct', 'minor light', 'lhc iid', 'lhc ii', 'contains regions', 'considerable homology', '66 residues']</t>
  </si>
  <si>
    <t>Light-harvesting complex | Photosystem II subunit | Pigment-protein | Protein sequence</t>
  </si>
  <si>
    <t>The 21 kDa apoprotein of LHC IId, a minor light-harvesting antenna component of Photosystem II, has been isolated and subjected to N-tenninal protein sequencing. A sequence of 66 residues was obtained which contains regions of considerable homology to both those reported for LHC II and LHC I, but which is obviously distinct from them. The proposed occurrence of an identical 21 kDa LHC subunit in both photosystems I and II is shown to be incorrect. ¬© 1990.</t>
  </si>
  <si>
    <t>239-242</t>
  </si>
  <si>
    <t>FEBS Letters</t>
  </si>
  <si>
    <t>60027550;60027550;60027550;60027550</t>
  </si>
  <si>
    <t>6603155155;7004483748;55287596900;7004524029</t>
  </si>
  <si>
    <t>Morishige, Daryl T.;Anandan, Shivanthi;Jaing, James T.;Thornber, J. Philip</t>
  </si>
  <si>
    <t>Morishige D.T.</t>
  </si>
  <si>
    <t>Amino-terminal sequence of the 21 kDa apoprotein of a minor light- harvesting pigment-protein complex of the Photosystem II antenna (LHC IId/CP24)</t>
  </si>
  <si>
    <t>001457939080257J</t>
  </si>
  <si>
    <t>10.1016/0014-5793(90)80257-J</t>
  </si>
  <si>
    <t>2-s2.0-0025298276</t>
  </si>
  <si>
    <t>['therefore repeated', 'similar arrangements', 'reversed relative', 'removes bchl', 'procedures used', 'negative bands', 'limicola f', 'hypsochromic shift', 'either chloroflexus', 'earlier results', 'chloroflexus chlorosomes', 'chlorobium chlorosomes', 'cd spectra', 'aurantiacus using', 'apparent inversion', 'acta 848', '76 ).']</t>
  </si>
  <si>
    <t>Bacteriochlorophyll c | Chlorobium limicola f. thiosulfatophilum | Chloroflexus aurantiacus | Chlorosomes | Circular dichroism | Photosynthetic antennas</t>
  </si>
  <si>
    <t>Positive and negative bands in previously measured circular dichroism (CD) spectra of Chlorobium limicola chlorosomes appeared to be sign-reversed relative to those of Chloroflexus aurantiacus chlorosomes in the 740-750 nm spectral region where bacteriochlorophyll (BChl) c absorbs maximally. It was not clear, however, whether this difference was intrinsic to the chlorosomes or was due to differences in the procedures used to prepare them. We therefore repeated the CD measurements using chlorosomes isolated from both Cb. limicola f. thiosulfatophilum and Cf. aurantiacus using the method of Gerola and Olson (1986, Biochim. Biophys. Acta 848: 69-76). Contrary to the earlier results, both types of chlorosomes had very similar CD spectra, suggesting that both have similar arrangements of BChl c molecules. The previously reported difference between the CD spectra of Chlorobium and Chloroflexus chlorosomes is due to the instability of Chlorobium chlorosomes, which can undergo a hypsochromic shift in their near infrared absorption maximum accompanied by an apparent inversion in their near infrared CD spectrum during isolation. Treating isolated chlorosomes with the strong ionic detergent sodium dodecylsulfate, which removes BChl a, does not alter the arrangement of BChl c molecules in either Chloroflexus or Chlorobium chlorosomes, as indicated by the lack of an effect on their CD spectra. ¬© 1990 Kluwer Academic Publishers.</t>
  </si>
  <si>
    <t>253-263</t>
  </si>
  <si>
    <t>60019160;60020261;60019160</t>
  </si>
  <si>
    <t>7005522646;6602782004;57203322585</t>
  </si>
  <si>
    <t>Brune, Daniel C.;Gerola, Paolo D.;Olson, John M.</t>
  </si>
  <si>
    <t>Italy;Denmark</t>
  </si>
  <si>
    <t>Rende;Odense</t>
  </si>
  <si>
    <t>Universit√† della Calabria;Syddansk Universitet</t>
  </si>
  <si>
    <t>60020261;60019160</t>
  </si>
  <si>
    <t>Brune D.C.</t>
  </si>
  <si>
    <t>Circular dichroism of green bacterial chlorosomes</t>
  </si>
  <si>
    <t>10.1007/BF00032313</t>
  </si>
  <si>
    <t>2-s2.0-0000396614</t>
  </si>
  <si>
    <t>['¬© 1990', 'transfer process', 'transfer mechanism', 'transfer efficiency', 'theoretical investigation', 'quantum mechanics', 'phycobilin system', 'photosynthetic bacteria', 'main reason', 'experimental analysis', 'essential understanding', 'elementary process', 'brown algae', 'botanical society', 'antenna system']</t>
  </si>
  <si>
    <t>Antenna complex | Energy transter | Photosynthesis | Pigment system</t>
  </si>
  <si>
    <t>Excitation energy flow in photosynthetic pigment systems is discussed in relation to structure of the system and transfer mechanism for each elementary process. Three typical examples for actual transfer processes are shown for the phycobilin system in cyanobacteria, the antenna system of photosynthetic bacteria and the Chl a/c antenna system of brown algae. The main analytical method was the time-resolved fluorescence spectroscopy in the picosecond time range. In general, static optical charactersitics are not the main reason for the transfer efficiency, but the structure of the system is a prerequisite for the transfer process. On the phycobilin system, theoretical investigation was compared with experimental analysis, which leads to the essential understanding of the transfer process in terms of quantum mechanics. ¬© 1990 The Botanical Society of Japan.</t>
  </si>
  <si>
    <t>233-253</t>
  </si>
  <si>
    <t>0006808X</t>
  </si>
  <si>
    <t>The Botanical Magazine Tokyo</t>
  </si>
  <si>
    <t>Mimuro, Mamoru</t>
  </si>
  <si>
    <t>Okazaki</t>
  </si>
  <si>
    <t>National Institutes of Natural Sciences - National Institute for Basic Biology</t>
  </si>
  <si>
    <t>Studies on excitation energy flow in the photosynthetic pigment system; Structure and energy transfer mechanism</t>
  </si>
  <si>
    <t>10.1007/BF02489628</t>
  </si>
  <si>
    <t>2-s2.0-0000573406</t>
  </si>
  <si>
    <t>['two components', 'pheromone gland', 'pheromone components', 'one type', 'mass spectrometry', 'main component', 'identified compounds', 'higher response', 'gas chromatography', 'epoxide gave', 'eag tests', 'colotois pennaria', 'also found', 'agriopis marginaria', '3 ratio', '19hy present']</t>
  </si>
  <si>
    <t>(Z,Z)-3,9-cis-6,7-epoxy-nonadecadiene | Agriopis marginaria | Colotois pennaria | electroantennogram | Erannis defoliaria (Z,Z,Z)-3,6,9-nonadecatriene | Geometridae | identification | Lepidoptera | peripheral inhibitor | sex pheromone | single sensillum</t>
  </si>
  <si>
    <t>(Z,Z,Z)-3,6,9-nonadecatriene (Z3, Z6, Z9-19Hy) and (Z,Z)-3,9-cis-6,7-epoxy-nonadecadiene (Z3, Z9-cis-6,7-epo-19Hy) were identified in pheromone gland extracts from female Erannis defoliaria. The two components were found in a 1:3 ratio, with the main component, Z3, Z9-cis-6,7-epo-19Hy present at an amount of about 1.5 ng per female. The components were identified by means of gas chromatography-mass spectrometry, gas chromatography-electroantennography and gas chromatography-single sensillum recordings. Single sensillum measurements on the male antenna showed two physiological types of sensilla. One type was characterized by a large spike amplitude cell responding to Z3, Z9-cis-6,7-epoxy-19Hy and a small spike amplitude cell responding to Z3, Z6, Z9-19Hy. A second type responded only with a large spike amplitude cell to the epoxide, and this cell was inhibited by the triene. Of the two pheromone components, the epoxide gave the higher response in the EAG tests. Preliminary field tests support the identification of the pheromone components. The epoxide was also found to be present in the extract of the pheromone gland of Colotois pennaria, and males of C. pennaria and Agriopis marginaria were trapped by the mixture of the identified compounds. ¬© 1990 Plenum Publishing Corporation.</t>
  </si>
  <si>
    <t>1887-1897</t>
  </si>
  <si>
    <t>60029170;60008249;60028229;60028229;60029170;60008249</t>
  </si>
  <si>
    <t>7103226689;6701590390;36162019600;7006506442;7003385545;35231446000</t>
  </si>
  <si>
    <t>Hansson, Bill S.;Sz√∂cs, Gabor;Schmidt, Frank;Francke, Wittko;L√∂fstedt, Christer;T√≥th, Miklos</t>
  </si>
  <si>
    <t>Sweden;Germany;Hungary</t>
  </si>
  <si>
    <t>Lund;Hamburg;Budapest</t>
  </si>
  <si>
    <t>Lunds Universitet;Universit√§t Hamburg;Plant Protection Institute</t>
  </si>
  <si>
    <t>60029170;60028229;60008249</t>
  </si>
  <si>
    <t>Electrophysiological and chemical analysis of sex pheromone communication system of the mottled umber, Erannis defoliaria (Lepidoptera: Geometridae)</t>
  </si>
  <si>
    <t>10.1007/BF01020502</t>
  </si>
  <si>
    <t>2-s2.0-0000652182</t>
  </si>
  <si>
    <t>['time scale', 'thylakoid membranes', 'thermal emission', 'short lifetime', 'samples bound', 'reaction center', 'ps ii', 'photoacoustic modulation', 'oxidizable p700', 'noise ratio', 'low signal', 'low intensity', 'irreversible loss', 'induced reduction', 'induced photoinhibition', 'indirect effect', 'high light', 'half saturation', 'exogenous donors', 'energy storage', 'endogenous components', 'either ps', 'charge separation', 'centers fa', 'acceptors fa', '90 %.', '5 w', '40 chl', '3 oxidation', '160 w']</t>
  </si>
  <si>
    <t>energy conversion | P700 | photosynthesis | quantum yield | thermal emission</t>
  </si>
  <si>
    <t>Thermal emission and photochemical energy storage were examined in photosystem I reaction center/core antenna complexes (about 40 Chl a/P700) using photoacoustic spectroscopy. Satisfactory signals could only be obtained from samples bound to hydroxyapatite and all samples had a low signal-to-noise ratio compared to either PS I or PS II in thylakoid membranes. The energy storage signal was saturated at low intensity (half saturation at 1.5 W m-2) and predicted a photochemical quantum yield of &gt;90%. Exogenous donors and acceptors had no effect on the signal amplitudes indicating that energy storage is the result of charge separation between endogenous components. Fe(CN)6-3 oxidation of P700 and dithionite-induced reduction of acceptors FA-FB inhibited energy storage. These data are compatible with the hypothesis that energy storage in PS I arises from charge separation between P700 and Fe-S centers FA-FB that is stable on the time scale of the photoacoustic modulation. High intensity background light (160 W m-2) caused an irreversible loss of energy storage and correlated with a decrease in oxidizable P700; both are probably the result of high light-induced photoinhibition. By analogy to the low fluorescence yield of PS I, the low signal-to-noise ratio in these preparations is attributed to the short lifetime of Chl singlet excited states in PS I-40 and its indirect effect on the yield of thermal emission. ¬© 1990 Kluwer Academic Publishers.</t>
  </si>
  <si>
    <t>201-208</t>
  </si>
  <si>
    <t>60007776;60021501;60021501</t>
  </si>
  <si>
    <t>57213437301;7006162153;35510906100</t>
  </si>
  <si>
    <t>Owens, Thomas G.;Carpentier, Robert;Leblanc, Roger M.</t>
  </si>
  <si>
    <t>Canada;United States</t>
  </si>
  <si>
    <t>Trois-Rivieres;Ithaca</t>
  </si>
  <si>
    <t>Universit√© du Qu√©bec √† Trois-Rivi√®res;Cornell University</t>
  </si>
  <si>
    <t>60021501;60007776</t>
  </si>
  <si>
    <t>Owens T.G.</t>
  </si>
  <si>
    <t>Detection of photosynthetic energy storage in a photosystem I reaction center preparation by photoacoustic spectroscopy</t>
  </si>
  <si>
    <t>10.1007/BF00032307</t>
  </si>
  <si>
    <t>2-s2.0-0000986199</t>
  </si>
  <si>
    <t>['whole females', 'sexual responses', 'male response', 'indicating independence', 'higher dosages', 'fourth component', 'females increased', 'cuticular pheromone', 'components alone', 'blattella germanica', 'behavioral assays', 'analytical assays', '85 blend']</t>
  </si>
  <si>
    <t>3,11-dimethyl-2-heptacosanone | 3,11-dimethyl-2-nonacosanone | behavioral response | Blattella germanica | Blattellidae | contact pheromone | Dictyoptera | German cockroach | sex pheromone</t>
  </si>
  <si>
    <t>A fourth component, 3,11-dimethyi-2-heptacosanone, was identified as a cuticular contact sex pheromone of the female German cockroach, Blattella germanica. In behavioral assays, higher dosages of 3,11-dimethyl-2-heptacosanone were needed to elicit similar sexual responses in males to those elicited by the major pheromone component, 3,11-dimethyl-2-nonacosanone. A 15:85 blend of the C27 and C29 methyl ketone homologs resulted in a dose-response curve intermediate between that of each of the components alone, indicating independence of activity of each component and lack of synergism. Moreover, the activity of 3,11-dimethyl-2-nonacosanone was not enhanced by female cuticular hydrocarbons. The relationship between sexual responses of males to females and to isolated female antennae, and the amount of cuticular pheromone on whole females was investigated. Cuticular sex pheromone found on females increased with the age of the female, as did the male response to whole females. However, a bimodal male response was elicited by isolated female antennae. Differences between behavioral and analytical assays of pheromone are discussed. ¬© 1990 Plenum Publishing Corporation.</t>
  </si>
  <si>
    <t>1997-2008</t>
  </si>
  <si>
    <t>60029503;60029503;60001769;60001769</t>
  </si>
  <si>
    <t>7005504343;16071259400;7004021616;7005806254</t>
  </si>
  <si>
    <t>Schal, Coby;Burns, Edina L.;Jurenka, Russell A.;Blomquist, Gary J.</t>
  </si>
  <si>
    <t>New Brunswick;Reno</t>
  </si>
  <si>
    <t>School of Environmental and Biological Sciences;University of Nevada, Reno</t>
  </si>
  <si>
    <t>60029503;60001769</t>
  </si>
  <si>
    <t>Schal C.</t>
  </si>
  <si>
    <t>A new component of the female sex pheromone of Blattella germanica (L.) (Dictyoptera: Blattellidae) and interaction with other pheromone components</t>
  </si>
  <si>
    <t>10.1007/BF01020511</t>
  </si>
  <si>
    <t>2-s2.0-0001432469</t>
  </si>
  <si>
    <t>['spectral properties', 'protein 24', 'peripheral antennae', 'outer antennae', 'monoclonal antibodies', 'mesophyll homologues', 'locating chlorophyll', 'largely distinct', 'inner antennae', 'immunological relationships', 'harvesting proteins', 'epitopes distinct', 'cp 26', 'closely related', 'chlorophyll proteins', 'bundlesheath chloroplasts', 'b proteins', 'also used']</t>
  </si>
  <si>
    <t>Chloroplast membranes, proteins (lateral heterogeneity, state I-state II transition) | Light-harvesting complexes | State I-State II transition | Thylakoid proteins | Zea (chloroplast proteins)</t>
  </si>
  <si>
    <t>The immunological relationships between chlorophyll-a/b proteins from higher-plant thylakoid membranes have been studied by assaying purified chlorophyll proteins (CPs) with polyclonal and monoclonal antibodies. Although low levels of cross-reactions were observed between all light-harvesting proteins, the peripheral antennae (LHCII) were largely distinct from the inner antennae (CP 26 and CP 29). Chlorophyll-protein 24 and LHCI-680 have been proposed to have a role in connecting the inner and outer antennae, respectively, in photosystems I and II, and were closely related. The immunological relationships closely corresponded to the spectral properties. Antibodies were also used for locating chlorophyll-a/b proteins in grana, stroma and bundle-sheath membranes showing a strong lateral heterogeneity, which was maintained following State I State II transition. The only exception to this pattern was a specific LHCII population enriched in State-II stroma membranes. Chlorophyll proteins from bundlesheath chloroplasts, that have only cyclic electron flow, had epitopes distinct from those of their mesophyll homologues. ¬© 1990 Springer-Verlag.</t>
  </si>
  <si>
    <t>275-286</t>
  </si>
  <si>
    <t>60000481;101754662;60000481</t>
  </si>
  <si>
    <t>7003672780;6507861157;35553979700</t>
  </si>
  <si>
    <t>Di Paolo, Maria Luisa;Dal Belin Peruffo, Angelo;Bassi, Roberto</t>
  </si>
  <si>
    <t>Padua;Padova</t>
  </si>
  <si>
    <t>Universit√† degli Studi di Padova;Dipartimento di Biotecnologie Agrarie</t>
  </si>
  <si>
    <t>60000481;101754662</t>
  </si>
  <si>
    <t>Di Paolo M.</t>
  </si>
  <si>
    <t>Immunological studies on chlorophyll-a/b proteins and their distribution in thylakoid membrane domains</t>
  </si>
  <si>
    <t>10.1007/BF00195877</t>
  </si>
  <si>
    <t>2-s2.0-0001521694</t>
  </si>
  <si>
    <t>['tissue fixed', 'time low', 'staining racks', 'slides must', 'routinely immunostained', 'reproducible results', 'microwave steps', 'microwave oven', 'microwave incubations', 'large series', 'keeps hands', 'immunostaining method', 'hot spots', 'horseradish peroxidase', 'highly reproducible', 'hall ltd', 'blocking steps', 'biotin complex', 'antenna effects', 'allowing staining', '1988 ).']</t>
  </si>
  <si>
    <t>The Streptavidin-Biotin Complex (SABC) Immunostaining method can be carried out by performing the rinsing and blocking steps and in addition the incubations with the primary and the secondary antibody sera in the microwave oven. Irradiation of the Streptavidin-Biotin Complex reduces stain activity due to destruction of horseradish peroxidase (HRP) (Boon &amp; Kok, 1988). Therefore, we decided not to perform this step in the microwave oven. The microwave incubations can be performed using antisera dilutions of 1:1000 (instead of 1:50) in tissue fixed with Kryofix, allowing staining in staining racks. This keeps hands-on time low and simplifies the microwave steps. It is very difficult to obtain reproducible results in the microwave oven using droplet incubations due to problems with hot spots and antenna effects. These problems are avoided when cuvettes are used and air is blown through the solutions during microwave incubations. With effective temperature control the method is highly reproducible, and takes at least 100 min less than the conventional SABC method. It is, in particular, attractive when large series of slides must be routinely immunostained and when reproducible results are desired. ¬© 1990 Chapman and Hall Ltd.</t>
  </si>
  <si>
    <t>The Histochemical Journal</t>
  </si>
  <si>
    <t>60070745;60070745;60070745;60070745;60070755</t>
  </si>
  <si>
    <t>24300715800;7004403715;7006623532;55183239400;57206243036</t>
  </si>
  <si>
    <t>Boon, M. E.;Hendrikse, F. C.J.;Kok, P. G.;Bolhuis, P.;Kok, L. P.</t>
  </si>
  <si>
    <t>Netherlands;Netherlands</t>
  </si>
  <si>
    <t>Groningen;Leiden</t>
  </si>
  <si>
    <t>University of Groningen, Van Swinderen Institute for Particle Physics and Gravity;Leiden Cytology and Pathology Laboratory</t>
  </si>
  <si>
    <t>60070755;60070745</t>
  </si>
  <si>
    <t>Boon M.E.</t>
  </si>
  <si>
    <t>A practical approach to routine immunostaining of paraffin sections in the microwave oven</t>
  </si>
  <si>
    <t>10.1007/BF01003168</t>
  </si>
  <si>
    <t>2-s2.0-0025102416</t>
  </si>
  <si>
    <t>['triantennary partially', 'structural replicas', 'structural assignments', 'smaller oligosaccharides', 'smaller fragments', 'purified oligosaccharides', 'physical techniques', 'neotetraoase unit', 'longest antenna', 'enzymatic procedures', 'dimensional modes', 'combined chemical', 'also degraded', 'acetylated decasaccharide']</t>
  </si>
  <si>
    <t>Three different oligosaccharides were isolated by mild acid hydrolysis of the lipopolysaccharides, obtained from Neisseria meningitidis serotype 5, and their structures were elucidated by combined chemical and physical techniques. The use of 500-MHz 1H NMR in both one-dimensional and two-dimensional modes as well as nuclear Overhauser effect experiments were employed. To assist in the structural assignments the purified oligosaccharides were also degraded by chemical and enzymatic procedures to smaller fragments. The largest of the three original oligosaccharides is a triantennary partially O-acetylated decasaccharide in which the largest antenna terminates in a lacto-N-neotetraoase unit. The smaller oligosaccharides (heptasaccharide and octasaccharide) except for terminal glycose deletions from the longest antenna are structural replicas of the larger.</t>
  </si>
  <si>
    <t>7243-7247</t>
  </si>
  <si>
    <t>60009839;60009839;60009839;60009839;60009839</t>
  </si>
  <si>
    <t>57202051696;6602727783;7006609635;7103345649;7101854591</t>
  </si>
  <si>
    <t>Michon, F.;Beurret, M.;Gamian, A.;Brisson, J. R.;Jennings, H. J.</t>
  </si>
  <si>
    <t>Ottawa ON,</t>
  </si>
  <si>
    <t>National Research Council Canada</t>
  </si>
  <si>
    <t>Michon F.</t>
  </si>
  <si>
    <t>Structure of the L5 lipopolysaccharide core oligosaccharides of Neisseria meningitidis</t>
  </si>
  <si>
    <t>2-s2.0-0025269498</t>
  </si>
  <si>
    <t>['¬© 1990', 'vibronic coupling', 'spinach chloroplasts', 'specific component', 's1 state', 'reaction centers', 'photosynthetic membrane', 'g state', 'first time', 'chlorophylls ).', 'carotenoid detected', 'carotenoid bound', 'ascribed mainly', '1753 cm', '1 evidences']</t>
  </si>
  <si>
    <t>(Spinach) | Carotenoid | Chloroplast | Raman, transient | Singlet (2 A ) state 1 - g</t>
  </si>
  <si>
    <t>The S1 Raman spectrum of a carotenoid bound to the photosynthetic membrane (spinach chloroplasts) is reported for the first time. The spectrum is ascribed mainly to all-trans-Œ≤-carotene (the specific component of the reaction centers and the core antenna complexes). The C=C stretching line at 1753 cm-1 evidences; (1) that the S1 state of the carotenoid detected is actually the 21A-g state, and (2) that the vibronic coupling between the 21A-g (S1) state and the 1A-g (S0) state is weakened by the binding of the carotenoid to the apo-complex (peptides and chlorophylls). ¬© 1990.</t>
  </si>
  <si>
    <t>181-186</t>
  </si>
  <si>
    <t>60027395;60027395</t>
  </si>
  <si>
    <t>35253778600;7402471323</t>
  </si>
  <si>
    <t>Hashimoto, Hideki;Koyama, Yasushi</t>
  </si>
  <si>
    <t>Nishinomiya</t>
  </si>
  <si>
    <t>Kwansei Gakuin University</t>
  </si>
  <si>
    <t>Hashimoto H.</t>
  </si>
  <si>
    <t>The 2&lt;sup&gt;1&lt;/sup&gt;A&lt;sup&gt;-&lt;/sup&gt;&lt;inf&gt;g&lt;/inf&gt; state of a carotenoid bound to spinach chloroplast as revealed by picosecond transient Raman spectroscopy</t>
  </si>
  <si>
    <t>10.1016/0005-2728(90)90150-3</t>
  </si>
  <si>
    <t>2-s2.0-0025301197</t>
  </si>
  <si>
    <t>['structural displacement', 'single objective', 'paper presents', 'paper establishes', 'optimization computing', 'new concepts', 'multiple objectives', 'membership function', 'linearly weighted', 'fuzzy sets', 'decision making', 'cost function', 'computer program', 'antenna structures']</t>
  </si>
  <si>
    <t>This paper presents a fuzzy sequential optimization method for the antenna structures with multiple objectives (structural displacement, weight, cost, nature frequency characteristic) based on fuzzy sets. This has led to a set of new concepts which are discussed here. The paper establishes a sequential optimization model, in which the cost function is constructed, the membership function of single objective is defined as extended quadratic function, the membership function in decision making is constructed with linearly weighted and power product weighted models and the objectives are classed. In addition, the paper presents two methods, namely the linear extended method and the secondary constrained sequential optimization method, by which effective satisfactory design can be found. A computer program is given, optimization computing of the truss-type and antenna structures are described. It is shown that the method is practical and effective.</t>
  </si>
  <si>
    <t>48-54</t>
  </si>
  <si>
    <t>1001506X</t>
  </si>
  <si>
    <t>Xi Tong Gong Cheng Yu Dian Zi Ji Shu/Systems Engineering and Electronics</t>
  </si>
  <si>
    <t>7410269155;36724854800</t>
  </si>
  <si>
    <t>Zhang, Xiaoyan;Cai, Lan</t>
  </si>
  <si>
    <t>Zhang X.</t>
  </si>
  <si>
    <t>Fuzzy sequential optimization method for the antenna structures with multiple objectives</t>
  </si>
  <si>
    <t>2-s2.0-0025435727</t>
  </si>
  <si>
    <t>['wave antenna', 'tremendously simplified', 'rigorous results', 'radial transmission', 'perturbation analysis', 'periodic antenna', 'overall behavior', 'line network', 'leakage constant', 'experiment data', 'electromagnetic fields', 'design procedure', 'closed form', 'accuracy obtainable']</t>
  </si>
  <si>
    <t>Improved Perturbation Method | Periodic Dielectric Rod Antenna | Radial Transmission Line Network</t>
  </si>
  <si>
    <t>The characteristics of the omni-directional periodic circular dielectric rod leaky-wave antenna is analyzed by the improved perturbation method. The electromagnetic fields are described in terms of a radial transmission-line network, which brings considerable physical insight into the overall behavior of the periodic antenna. The analysis yields expression for the leakage constant in a closed form, and the design procedure of the antenna is tremendously simplified. Comparisons between the approximate and rigorous results, as well as the experiment data, are made. It is found that accuracy obtainable from the perturbation analysis is adequate for practical design purposes. ¬© 1990 Plenum Publishing Corporation.</t>
  </si>
  <si>
    <t>727-743</t>
  </si>
  <si>
    <t>60019118;60019118</t>
  </si>
  <si>
    <t>6603478057;7403600719</t>
  </si>
  <si>
    <t>Shanjia, Xu;Zhewang, Ma</t>
  </si>
  <si>
    <t>Hefei</t>
  </si>
  <si>
    <t>University of Science and Technology of China</t>
  </si>
  <si>
    <t>Shanjia X.</t>
  </si>
  <si>
    <t>Improved perturbation analysis of millimeter-wave omni-directional periodic dielectric rod antenna</t>
  </si>
  <si>
    <t>10.1007/BF01010042</t>
  </si>
  <si>
    <t>2-s2.0-0025435890</t>
  </si>
  <si>
    <t>['system based', 'rigorous solution', 'radiating system', 'protrude beyond', 'multistage horn', 'many applications', 'infinite flange', 'external region', 'dielectric material']</t>
  </si>
  <si>
    <t>The characteristics of a system based on a rigorous solution of a three-dimensional boundary value problem for a multistage horn with an infinite flange are investigated. Such a radiating system, especially in the case when the external region is filled with a dielectric material, may find use in many applications where a relatively weak radiation directivity is required in the case of a radiator that does not protrude beyond the object's limits.</t>
  </si>
  <si>
    <t>92-94</t>
  </si>
  <si>
    <t>7005201568;6701692693;6507337792</t>
  </si>
  <si>
    <t>Borisov, B. P.;Manuilov, B. D.;Shablovskiy, V. M.</t>
  </si>
  <si>
    <t>Borisov B.</t>
  </si>
  <si>
    <t>Characteristics of a multistage horn with an infinite flange</t>
  </si>
  <si>
    <t>2-s2.0-0025436128</t>
  </si>
  <si>
    <t>['well approximated', 'various geometries', 'various configurations', 'simple theory', 'resonant modes', 'receiving linearly', 'physical dimensions', 'ground plane', 'field distribution', 'either transmitting', 'corresponding magnetic', 'cavity model']</t>
  </si>
  <si>
    <t>A simple theory is developed for the analysis of isolation of dual - polarization multiplex microstrip antennas. The analysis is based on the 'cavity model' and the 'reaction principle'. The shape of the field distribution between the patch and ground plane is assumed to be well approximated by that of the resonant modes of a corresponding magnetic and electric walled cavity. Two element microstrip antennas of various geometries for either transmitting or receiving linearly and circularly polarized waves are studied. Some methods are found to reduce their physical dimensions and to evaluate the isolation between the elements for various configurations.</t>
  </si>
  <si>
    <t>37-47</t>
  </si>
  <si>
    <t>Wang, Baofa</t>
  </si>
  <si>
    <t>Peking University</t>
  </si>
  <si>
    <t>Wang B.</t>
  </si>
  <si>
    <t>Isolation of dual-polarization multiplex microstrip antennas</t>
  </si>
  <si>
    <t>2-s2.0-0025436193</t>
  </si>
  <si>
    <t>[]</t>
  </si>
  <si>
    <t>In this paper a method of eigenfunction expansion associated with 2nd order differential equation is developed by using the concept of theory of distribution. An application of the method to the infinite long antenna is described in detail.</t>
  </si>
  <si>
    <t>32-36</t>
  </si>
  <si>
    <t>Chen, Jingxiong</t>
  </si>
  <si>
    <t>Alternative method of eigenfunction expansion associated with second order differential equation in infinite domain and its application</t>
  </si>
  <si>
    <t>2-s2.0-0025436210</t>
  </si>
  <si>
    <t>['whole amplifier', 'sw band', 'stage devices', 'lossless fb', 'high sensitivity', 'gain transistor', 'effective method', 'dynamic range', 'antenna amplifiers']</t>
  </si>
  <si>
    <t>To receive weak signals from space in the case of a complex electromagnetic environment in the SW band, the antenna amplifiers should have high sensitivity and linearity (the dynamic range D). An effective method of increasing D is to use deep negative feedback (FB), especially lossless FB. Given a high-gain transistor, the required amplification may be achieved in both single-stage and n-stage devices. The purpose of this paper is to show that there is an optimal stage gain G = Gopt that is independent of the overall amplifier gain G0 in the case of lossless FB, which ensures maximum linearity of the whole amplifier.</t>
  </si>
  <si>
    <t>118-120</t>
  </si>
  <si>
    <t>6701500093;57206460035</t>
  </si>
  <si>
    <t>Bruk, Yu M.;Zakharenko, V. V.</t>
  </si>
  <si>
    <t>Bruk Y.</t>
  </si>
  <si>
    <t>Multistage amplifiers with maximum sensitivity and linearity</t>
  </si>
  <si>
    <t>2-s2.0-0025436234</t>
  </si>
  <si>
    <t>['various methods', 'three classes', 'solution algorithms', 'optical systems', 'optical processors', 'optical processing', 'matrix equation', 'form ax', 'basic characteristics']</t>
  </si>
  <si>
    <t>Various methods for the optical processing of signals of adaptive antenna arrays are considered. It is shown that the problem of such arrays can be reduced to solving a vector-matrix equation of the form Ax = b. Three classes of optical processors are presented, as well as solution algorithms and the basic characteristics of the optical systems.</t>
  </si>
  <si>
    <t>67-78</t>
  </si>
  <si>
    <t>7003635691;6506961839;7004120758</t>
  </si>
  <si>
    <t>Bakhrakh, L. D.;Yevtikhiyev, N. N.;Perepelitsa, V. V.</t>
  </si>
  <si>
    <t>Bakhrakh L.</t>
  </si>
  <si>
    <t>Optical processing of the signals of receiving adaptive antenna arrays</t>
  </si>
  <si>
    <t>2-s2.0-0025436235</t>
  </si>
  <si>
    <t>['scattering matrix', 'receiving channels', 'radar targets', 'propagation medium', 'polarization redundancy', 'polarization characteristics', 'natural conditions', 'calibrating reflectors', 'account variations']</t>
  </si>
  <si>
    <t>A method is proposed for measuring the scattering matrix of radar targets under natural conditions with polarization redundancy of the transmitting and receiving channels, which takes into account variations in the polarization characteristics of the antennas and the radiowave-propagation medium during the measurement session due to the motion of both the targets and the calibrating reflectors.</t>
  </si>
  <si>
    <t>Polikarpov, S. N.</t>
  </si>
  <si>
    <t>Polikarpov S.</t>
  </si>
  <si>
    <t>Polarization-redundant measurements of the scattering matrix using equipment with a phased antenna array</t>
  </si>
  <si>
    <t>2-s2.0-0025436276</t>
  </si>
  <si>
    <t>['theoretical analysis', 'station antennas', 'seven effects', 'requirements imposed', 'radiation patterns', 'low sidelobes', 'consultative committee']</t>
  </si>
  <si>
    <t>Discusses the influence of seven effects on the antenna sidelobe level using the results of a theoretical analysis of the radiation patterns of symmetrical double reflector antennas. The radiation pattern control of symmetrical double reflector antennas is considered, based on the requirements imposed by the Consultative Committee on International Radio recommendations for the maximum-allowable sidelobe level applicable to eaeth-station antennas. An efficient computer program is ready for controling antenna patterns to achieve the requirements of low sidelobes.</t>
  </si>
  <si>
    <t>S1</t>
  </si>
  <si>
    <t>Beijing Ligong Daxue xuebao</t>
  </si>
  <si>
    <t>55741005400;7410119379;7401677951</t>
  </si>
  <si>
    <t>Li, Shizhi;Liu, Jingzhen;Yao, Huiwen</t>
  </si>
  <si>
    <t>Li S.</t>
  </si>
  <si>
    <t>Sidelobe level control of symmetrical double reflector antenna</t>
  </si>
  <si>
    <t>2-s2.0-0025443931</t>
  </si>
  <si>
    <t>['¬© 1990', 'lms algorithm', 'analog inaccuracies']</t>
  </si>
  <si>
    <t>Two novel architectures for implementing the LMS algorithm optically are introduced. Convergence of the LMS algorithm is analyzed and the effect of the analog inaccuracies are considered. ¬© 1990.</t>
  </si>
  <si>
    <t>Optics Communications</t>
  </si>
  <si>
    <t>A.G. Abushagur, Mustafa</t>
  </si>
  <si>
    <t>Huntsville</t>
  </si>
  <si>
    <t>The University of Alabama in Huntsville</t>
  </si>
  <si>
    <t>A.G. Abushagur M.</t>
  </si>
  <si>
    <t>Optical processor for adaptive arrays</t>
  </si>
  <si>
    <t>003040189090451X</t>
  </si>
  <si>
    <t>10.1016/0030-4018(90)90451-X</t>
  </si>
  <si>
    <t>2-s2.0-0025444973</t>
  </si>
  <si>
    <t>168/86 JPqD</t>
  </si>
  <si>
    <t>['usual techniques', 'transmission matrix', 'scattering matrix', 'results obtained', 'rendering uniform', 'models applied', 'mode converters', 'modal fields', 'frequency band', 'enlarged accordingly', 'corrugation depth', 'corrugated waveguide']</t>
  </si>
  <si>
    <t>A method for determining the scattering matrix of the junction between smooth and corrugated cylindrical waveguides is developed. The model is based on expanding the modal fields for the corrugated waveguide into eigenfunctions of the transmission matrix of a waveguide unit cell. This method, used in conjunction with usual techniques for evaluating the scattering matrix of mode converters, is shown to improve the precision of results obtained by rendering uniform the accuracy of the models applied in the calculations. The analysis is now valid for any size of corrugation depth, and the frequency band of applicability is enlarged accordingly.</t>
  </si>
  <si>
    <t>800-802</t>
  </si>
  <si>
    <t>60032361;60032361</t>
  </si>
  <si>
    <t>55665360600;36812119800</t>
  </si>
  <si>
    <t>da Silva, Luiz C.;Branco, M. G.Castello</t>
  </si>
  <si>
    <t>Brazil</t>
  </si>
  <si>
    <t>Rio de Janeiro</t>
  </si>
  <si>
    <t>Pontif√≠cia Universidade Cat√≥lica do Rio de Janeiro</t>
  </si>
  <si>
    <t>da Silva L.</t>
  </si>
  <si>
    <t>Analysis of the junction between smooth and corrugated cylindrical waveguides in mode converters</t>
  </si>
  <si>
    <t>10.1109/22.130981</t>
  </si>
  <si>
    <t>2-s2.0-0025445424</t>
  </si>
  <si>
    <t>['using low', 'urban areas', 'shortwave bands', 'rising expectations', 'receivers even', 'particular mobile', 'packet system', 'operating costs', 'one hand', 'limited coverage', 'heavily built', 'general public', 'fixed reception', 'europe however', 'ebu members', 'dsr system', 'disc quality', 'compact disc']</t>
  </si>
  <si>
    <t>The present sound broadcasting situation in Europe is characterized on the one hand by rapidly growing congestion in the VHF/FM radio bands and on the other hand by the problems of limited coverage, capacity, reliability and quality in the shortwave bands. Conventional analogue terrestrial services are subject to increasing interference levels and large transmitter acquisition and operating costs. The general public in Europe however has rising expectations for sound radio quality, following the success of the Compact Disc. Discerning listeners may be satisfied by the use of one of the two digital coding schemes that have been recommended by the EBU for use in 12-GHz DBS channels: the DSR system and the full-channel digital mode MAC/packet system. However these systems are only suitable for fixed reception and EBU Members, in association with the EUREKA 147 Project, are working on an advanced digital broadcasting system called DAB (Digital Audio Broadcasting) to operate at VHF/UHF. This system will offer virtually Compact-Disc quality to portable, and in particular mobile, receivers even in heavily built-up urban areas, using low-gain receiving antennas.</t>
  </si>
  <si>
    <t>70-81</t>
  </si>
  <si>
    <t>241-242</t>
  </si>
  <si>
    <t>E.B.U. review</t>
  </si>
  <si>
    <t>100367495;100367495</t>
  </si>
  <si>
    <t>7006745179;6602167405</t>
  </si>
  <si>
    <t>Waters, G. T.;Kozamernik, F.</t>
  </si>
  <si>
    <t>EBU Technical Dep</t>
  </si>
  <si>
    <t>Waters G.</t>
  </si>
  <si>
    <t>Plans and studies in the EBU for satellite broadcasting of sound radio</t>
  </si>
  <si>
    <t>2-s2.0-0025446080</t>
  </si>
  <si>
    <t>['system approach', 'provide band', 'program material', 'power produced', 'fcc standards', 'average ratio', 'audio signal', 'audio processor', 'audio processing', 'approximately 65']</t>
  </si>
  <si>
    <t>A system approach to audio processing is described, which considers the audio processor, transmitter, antenna, and receiver. The processor uses several cascaded stages of processing to decrease the peak-to-average ratio of the audio signal, improve its intelligibility, provide band-limiting to CCIR, EBU, and FCC standards, and maintain acceptable subjective quality on both speech and music. The long-term average sideband power achievable with program material is approximately 65% of the power produced by a continuous sine wave at 100% modulation.</t>
  </si>
  <si>
    <t>419-432</t>
  </si>
  <si>
    <t>AES: Journal of the Audio Engineering Society</t>
  </si>
  <si>
    <t>Orban, Robert</t>
  </si>
  <si>
    <t>Div of AKG Acoustics Inc</t>
  </si>
  <si>
    <t>Orban R.</t>
  </si>
  <si>
    <t>Increasing coverage of international shortwave broadcast through improved audio processing techniques</t>
  </si>
  <si>
    <t>2-s2.0-0025447225</t>
  </si>
  <si>
    <t>NPS</t>
  </si>
  <si>
    <t>['substrate thickness', 'slot wavelength', 'sided slotline', 'mode characteristics', 'dielectric constant', 'characteristic impedance', 'bilateral slotline']</t>
  </si>
  <si>
    <t>Transmission line data for the even-mode characteristics of a bilateral slotline (double-sided slotline) are presented. The slotline is analyzed by the spectral Galerkin method, and results are presented for the slot wavelength and characteristic impedance for substrates having Œµr = 2.22, 3.5, 6.0, 9.8, and 12.8. The results are presented for 0.01 ‚â§ ‚àöŒµr - 1d/Œª0 ‚â§ 0.25, where 2d is the substrate thickness and Œµr its dielectric constant.</t>
  </si>
  <si>
    <t>760-765</t>
  </si>
  <si>
    <t>Janaswamy, Ramakrishna</t>
  </si>
  <si>
    <t>Janaswamy R.</t>
  </si>
  <si>
    <t>Even-mode characteristics of the bilateral slotline</t>
  </si>
  <si>
    <t>10.1109/22.130971</t>
  </si>
  <si>
    <t>2-s2.0-0025447358</t>
  </si>
  <si>
    <t>['teflon placed', 'recent paper', 'maximum gain', 'dielectric tube', 'antenna working', 'antenna measured', '9 ghz', '6 db', '5 db']</t>
  </si>
  <si>
    <t>In a recent paper the characteristics of a modified long backfire antenna for X-band have been examined and reported. The long backfire antenna consists of a 4Œªo-long cylindrical dielectric tube of teflon placed between a disc and double flat back reflectors. The dielectric tube is fed through an open-ended circular waveguide excited with the dominant TE11 mode. The parameters of the antenna are optimised to give a maximum directive gain. The maximum gain of the antenna measured at 9 GHz was 18.6 dB with an increment of about 1.5 dB above that of the same antenna working with one back reflector.</t>
  </si>
  <si>
    <t>146-149</t>
  </si>
  <si>
    <t>Journal of Electrical and Electronics Engineering, Australia</t>
  </si>
  <si>
    <t>60071174;60071174;60071174</t>
  </si>
  <si>
    <t>6507103212;57197021659;6507198161</t>
  </si>
  <si>
    <t>Ai-Rashid, R. A.;Ahmed, Z. A.;Essa, Y. A.</t>
  </si>
  <si>
    <t>Iraq</t>
  </si>
  <si>
    <t>Basra</t>
  </si>
  <si>
    <t>University of Basrah</t>
  </si>
  <si>
    <t>Ai-Rashid R.</t>
  </si>
  <si>
    <t>Long backfire antenna with double flat back reflector</t>
  </si>
  <si>
    <t>2-s2.0-0025447845</t>
  </si>
  <si>
    <t>['two procedures', 'square sense', 'quadratic constraint', 'paper presents', 'one case', 'null width', 'null depth', 'new technique', 'determined vector', 'approach taken']</t>
  </si>
  <si>
    <t>The paper presents a new technique for synthesising an antenna array pattern with controlled broad nulls. The approach taken is based on an integrated power constraint over the nulling sector instead of the conventional derivative constraint approach and the multi-point constraint approach. With this approach, the null width and null depth can be specified by the designer. Two procedures are proposed for determining the optimal weight vector. In one case the optimal weight vector is obtained by minimising the weight vector norm subject to a linear and a quadratic constraint. In the other, the optimal weight vector is obtained by matching to a pre-determined vector in a least-square sense, subject to a quadratic constraint. The null constrained optimisation problems are solved and numerical results illustrate the utility of the methods.</t>
  </si>
  <si>
    <t>136-145</t>
  </si>
  <si>
    <t>Synthesis of antenna array pattern with broad null constraints</t>
  </si>
  <si>
    <t>2-s2.0-0025447846</t>
  </si>
  <si>
    <t>['wall thickness', 'unitary property', 'slot width', 'slot length', 'rigorous analysis', 'return loss', 'moment method', 'experimental data', 'determined using']</t>
  </si>
  <si>
    <t>Complex scattering matrix parameters of a slot-coupled, waveguide tee junction are determined using a moment method of analysis with entire orthogonal basis functions and a rigorous analysis of the effect of wall thickness. The variations of the equivalent network parameter, coupling, and return loss with frequency are evaluated, and the results are compared with experimental data. The unitary property of the S matrix is verified. The dependence of coupling on slot length, slot width, and thickness is presented.</t>
  </si>
  <si>
    <t>779-781</t>
  </si>
  <si>
    <t>60004750;60004750;60004750</t>
  </si>
  <si>
    <t>35753097600;57202662632;6505991689</t>
  </si>
  <si>
    <t>Das, B. N.;Chakraborty, A.;Narasimha Sarma, N. V.S.</t>
  </si>
  <si>
    <t>Kharagpur</t>
  </si>
  <si>
    <t>Indian Institute of Technology Kharagpur</t>
  </si>
  <si>
    <t>Das B.</t>
  </si>
  <si>
    <t>S matrix of slot-coupled H-plane tee junction using rectangular waveguides</t>
  </si>
  <si>
    <t>10.1109/22.130974</t>
  </si>
  <si>
    <t>2-s2.0-0025448905</t>
  </si>
  <si>
    <t>613-615</t>
  </si>
  <si>
    <t>6508005602;6506731815</t>
  </si>
  <si>
    <t>Dutikov, M. D.;Chugunov, M. V.</t>
  </si>
  <si>
    <t>Dutikov M.</t>
  </si>
  <si>
    <t>Feederless measuring method for antenna input impedance</t>
  </si>
  <si>
    <t>10.1007/BF00977933</t>
  </si>
  <si>
    <t>2-s2.0-0025510226</t>
  </si>
  <si>
    <t>601-604</t>
  </si>
  <si>
    <t>Smirnov, B. M.</t>
  </si>
  <si>
    <t>Smirnov B.</t>
  </si>
  <si>
    <t>Method of determining the coordinates and magnetic moment of a dipole field source</t>
  </si>
  <si>
    <t>10.1007/BF00977929</t>
  </si>
  <si>
    <t>2-s2.0-0025510227</t>
  </si>
  <si>
    <t>616-617</t>
  </si>
  <si>
    <t>7004243133;7003943720</t>
  </si>
  <si>
    <t>Galakhov, A. A.;Fedorenko, Yu V.</t>
  </si>
  <si>
    <t>Galakhov A.</t>
  </si>
  <si>
    <t>Calibrating magnetic frame antennas of large geometric dimensions</t>
  </si>
  <si>
    <t>10.1007/BF00977934</t>
  </si>
  <si>
    <t>2-s2.0-0025511271</t>
  </si>
  <si>
    <t>527-533</t>
  </si>
  <si>
    <t>16433925000;6505454173</t>
  </si>
  <si>
    <t>dolganov, Yu M.;Krasinskii, P. Ya</t>
  </si>
  <si>
    <t>dolganov Y.</t>
  </si>
  <si>
    <t>The possibility of parametric control by means of the directional radiation patterns of antenna arrays</t>
  </si>
  <si>
    <t>10.1007/BF01037858</t>
  </si>
  <si>
    <t>2-s2.0-34249954736</t>
  </si>
  <si>
    <t>534-539</t>
  </si>
  <si>
    <t>16437661200;6603747137</t>
  </si>
  <si>
    <t>Savinov, I. V.;Serebryakov, G. V.</t>
  </si>
  <si>
    <t>Savinov I.</t>
  </si>
  <si>
    <t>Determining direction to a source of correlated signals, using adaptive antenna arrays</t>
  </si>
  <si>
    <t>10.1007/BF01037859</t>
  </si>
  <si>
    <t>2-s2.0-34249964066</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</si>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</sst>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079E-9319-B149-B9CF-F0D53A16D1A9}">
  <dimension ref="A1:AW972"/>
  <sheetViews>
    <sheetView tabSelected="1" topLeftCell="AJ1" workbookViewId="0">
      <selection activeCell="AN6" sqref="AN6"/>
    </sheetView>
  </sheetViews>
  <sheetFormatPr baseColWidth="10" defaultRowHeight="16" x14ac:dyDescent="0.2"/>
  <sheetData>
    <row r="1" spans="1:49" s="12" customFormat="1" x14ac:dyDescent="0.2">
      <c r="A1" s="15"/>
      <c r="B1" s="15" t="s">
        <v>10833</v>
      </c>
      <c r="C1" s="15" t="s">
        <v>10832</v>
      </c>
      <c r="D1" s="15" t="s">
        <v>10831</v>
      </c>
      <c r="E1" s="15" t="s">
        <v>10830</v>
      </c>
      <c r="F1" s="15" t="s">
        <v>10829</v>
      </c>
      <c r="G1" s="15" t="s">
        <v>10828</v>
      </c>
      <c r="H1" s="15" t="s">
        <v>10827</v>
      </c>
      <c r="I1" s="15" t="s">
        <v>10826</v>
      </c>
      <c r="J1" s="15" t="s">
        <v>10825</v>
      </c>
      <c r="K1" s="15" t="s">
        <v>10824</v>
      </c>
      <c r="L1" s="15" t="s">
        <v>10823</v>
      </c>
      <c r="M1" s="15" t="s">
        <v>10822</v>
      </c>
      <c r="N1" s="15" t="s">
        <v>10821</v>
      </c>
      <c r="O1" s="15" t="s">
        <v>10820</v>
      </c>
      <c r="P1" s="15" t="s">
        <v>10819</v>
      </c>
      <c r="Q1" s="15" t="s">
        <v>10818</v>
      </c>
      <c r="R1" s="20" t="s">
        <v>10817</v>
      </c>
      <c r="S1" s="15" t="s">
        <v>10816</v>
      </c>
      <c r="T1" s="15" t="s">
        <v>10816</v>
      </c>
      <c r="U1" s="15" t="s">
        <v>10815</v>
      </c>
      <c r="V1" s="20" t="s">
        <v>10814</v>
      </c>
      <c r="W1" s="15" t="s">
        <v>10813</v>
      </c>
      <c r="X1" s="14" t="s">
        <v>10812</v>
      </c>
      <c r="Y1" s="19" t="s">
        <v>10811</v>
      </c>
      <c r="Z1" s="18" t="s">
        <v>10796</v>
      </c>
      <c r="AA1" s="15" t="s">
        <v>10810</v>
      </c>
      <c r="AB1" s="15" t="s">
        <v>10809</v>
      </c>
      <c r="AC1" s="15" t="s">
        <v>10808</v>
      </c>
      <c r="AD1" s="15" t="s">
        <v>10807</v>
      </c>
      <c r="AE1" s="15" t="s">
        <v>10806</v>
      </c>
      <c r="AF1" s="15" t="s">
        <v>10805</v>
      </c>
      <c r="AG1" s="15" t="s">
        <v>10804</v>
      </c>
      <c r="AH1" s="15" t="s">
        <v>10803</v>
      </c>
      <c r="AI1" s="15" t="s">
        <v>10802</v>
      </c>
      <c r="AJ1" s="15" t="s">
        <v>10801</v>
      </c>
      <c r="AK1" s="14" t="s">
        <v>10800</v>
      </c>
      <c r="AL1" s="15" t="s">
        <v>10799</v>
      </c>
      <c r="AM1" s="17" t="s">
        <v>10798</v>
      </c>
      <c r="AN1" s="16" t="s">
        <v>10797</v>
      </c>
      <c r="AO1" s="16" t="s">
        <v>10796</v>
      </c>
      <c r="AP1" s="15" t="s">
        <v>10795</v>
      </c>
      <c r="AQ1" s="15" t="s">
        <v>10794</v>
      </c>
      <c r="AR1" s="15" t="s">
        <v>10793</v>
      </c>
      <c r="AS1" s="15" t="s">
        <v>10792</v>
      </c>
      <c r="AT1" s="14" t="s">
        <v>10791</v>
      </c>
      <c r="AU1" s="13" t="s">
        <v>10790</v>
      </c>
      <c r="AV1" s="13" t="s">
        <v>10789</v>
      </c>
      <c r="AW1" s="13" t="s">
        <v>10788</v>
      </c>
    </row>
    <row r="2" spans="1:49" x14ac:dyDescent="0.2">
      <c r="A2">
        <v>0</v>
      </c>
      <c r="B2" t="s">
        <v>10787</v>
      </c>
      <c r="C2" t="s">
        <v>10786</v>
      </c>
      <c r="F2" t="s">
        <v>10785</v>
      </c>
      <c r="G2" t="s">
        <v>14</v>
      </c>
      <c r="H2" t="s">
        <v>13</v>
      </c>
      <c r="I2" t="s">
        <v>10784</v>
      </c>
      <c r="N2">
        <v>2</v>
      </c>
      <c r="O2" t="s">
        <v>10783</v>
      </c>
      <c r="P2" t="s">
        <v>10782</v>
      </c>
      <c r="Q2" t="s">
        <v>119</v>
      </c>
      <c r="R2" s="7">
        <v>33025</v>
      </c>
      <c r="S2" s="8">
        <f t="shared" ref="S2:S60" si="0">YEAR(R2)</f>
        <v>1990</v>
      </c>
      <c r="T2" s="8">
        <v>1990</v>
      </c>
      <c r="U2" s="8">
        <f t="shared" ref="U2:U60" si="1">2022-T2</f>
        <v>32</v>
      </c>
      <c r="V2" s="7">
        <v>33025</v>
      </c>
      <c r="W2" t="s">
        <v>9922</v>
      </c>
      <c r="X2" s="2">
        <v>0.318</v>
      </c>
      <c r="Y2" s="6">
        <f t="shared" ref="Y2:Y65" si="2">(X2-$Z$4)/($Z$3-$Z$4)</f>
        <v>8.4888283815167786E-3</v>
      </c>
      <c r="AA2">
        <v>338443</v>
      </c>
      <c r="AB2">
        <v>27160</v>
      </c>
      <c r="AC2">
        <v>15739120</v>
      </c>
      <c r="AD2" t="s">
        <v>5</v>
      </c>
      <c r="AE2">
        <v>33</v>
      </c>
      <c r="AF2">
        <v>6</v>
      </c>
      <c r="AH2" t="s">
        <v>10781</v>
      </c>
      <c r="AL2">
        <v>0</v>
      </c>
      <c r="AM2" s="5">
        <f t="shared" ref="AM2:AM60" si="3">AL2/U2</f>
        <v>0</v>
      </c>
      <c r="AN2" s="4">
        <f t="shared" ref="AN2:AN65" si="4">(AM2-$AO$4)/($AO$3-$AO$4)</f>
        <v>0</v>
      </c>
      <c r="AO2" s="3"/>
      <c r="AP2">
        <v>0</v>
      </c>
      <c r="AR2" t="s">
        <v>0</v>
      </c>
      <c r="AT2" s="2">
        <v>0.77</v>
      </c>
      <c r="AU2" s="1">
        <f t="shared" ref="AU2:AU60" si="5">(Y2*0.7+AN2*0.3)*100</f>
        <v>0.59421798670617454</v>
      </c>
      <c r="AV2" s="1">
        <f t="shared" ref="AV2:AV60" si="6">(Y2*0.5+AN2*0.5)*100</f>
        <v>0.42444141907583893</v>
      </c>
      <c r="AW2" s="1">
        <f t="shared" ref="AW2:AW60" si="7">(Y2*0.3+AN2*0.7)*100</f>
        <v>0.25466485144550338</v>
      </c>
    </row>
    <row r="3" spans="1:49" x14ac:dyDescent="0.2">
      <c r="A3">
        <v>1</v>
      </c>
      <c r="B3" t="s">
        <v>10780</v>
      </c>
      <c r="C3" t="s">
        <v>10779</v>
      </c>
      <c r="F3" t="s">
        <v>10778</v>
      </c>
      <c r="G3" t="s">
        <v>14</v>
      </c>
      <c r="H3" t="s">
        <v>13</v>
      </c>
      <c r="I3" t="s">
        <v>10777</v>
      </c>
      <c r="N3">
        <v>2</v>
      </c>
      <c r="O3" t="s">
        <v>10776</v>
      </c>
      <c r="P3" t="s">
        <v>10775</v>
      </c>
      <c r="Q3" t="s">
        <v>119</v>
      </c>
      <c r="R3" s="7">
        <v>33025</v>
      </c>
      <c r="S3" s="8">
        <f t="shared" si="0"/>
        <v>1990</v>
      </c>
      <c r="T3" s="8">
        <v>1990</v>
      </c>
      <c r="U3" s="8">
        <f t="shared" si="1"/>
        <v>32</v>
      </c>
      <c r="V3" s="7">
        <v>33025</v>
      </c>
      <c r="W3" t="s">
        <v>9922</v>
      </c>
      <c r="X3" s="2">
        <v>0.318</v>
      </c>
      <c r="Y3" s="6">
        <f t="shared" si="2"/>
        <v>8.4888283815167786E-3</v>
      </c>
      <c r="Z3">
        <v>37.460999999999999</v>
      </c>
      <c r="AA3">
        <v>338443</v>
      </c>
      <c r="AB3">
        <v>27160</v>
      </c>
      <c r="AC3">
        <v>15739120</v>
      </c>
      <c r="AD3" t="s">
        <v>5</v>
      </c>
      <c r="AE3">
        <v>33</v>
      </c>
      <c r="AF3">
        <v>6</v>
      </c>
      <c r="AH3" t="s">
        <v>10774</v>
      </c>
      <c r="AL3">
        <v>0</v>
      </c>
      <c r="AM3" s="5">
        <f t="shared" si="3"/>
        <v>0</v>
      </c>
      <c r="AN3" s="4">
        <f t="shared" si="4"/>
        <v>0</v>
      </c>
      <c r="AO3" s="3">
        <v>660.25</v>
      </c>
      <c r="AP3">
        <v>0</v>
      </c>
      <c r="AR3" t="s">
        <v>0</v>
      </c>
      <c r="AT3" s="2">
        <v>0.77</v>
      </c>
      <c r="AU3" s="1">
        <f t="shared" si="5"/>
        <v>0.59421798670617454</v>
      </c>
      <c r="AV3" s="1">
        <f t="shared" si="6"/>
        <v>0.42444141907583893</v>
      </c>
      <c r="AW3" s="1">
        <f t="shared" si="7"/>
        <v>0.25466485144550338</v>
      </c>
    </row>
    <row r="4" spans="1:49" x14ac:dyDescent="0.2">
      <c r="A4">
        <v>2</v>
      </c>
      <c r="B4" t="s">
        <v>10773</v>
      </c>
      <c r="C4" t="s">
        <v>10772</v>
      </c>
      <c r="F4" t="s">
        <v>10771</v>
      </c>
      <c r="G4" t="s">
        <v>14</v>
      </c>
      <c r="H4" t="s">
        <v>13</v>
      </c>
      <c r="I4" t="s">
        <v>10770</v>
      </c>
      <c r="N4">
        <v>2</v>
      </c>
      <c r="O4" t="s">
        <v>10769</v>
      </c>
      <c r="P4" t="s">
        <v>10768</v>
      </c>
      <c r="Q4" t="s">
        <v>119</v>
      </c>
      <c r="R4" s="7">
        <v>33025</v>
      </c>
      <c r="S4" s="8">
        <f t="shared" si="0"/>
        <v>1990</v>
      </c>
      <c r="T4" s="8">
        <v>1990</v>
      </c>
      <c r="U4" s="8">
        <f t="shared" si="1"/>
        <v>32</v>
      </c>
      <c r="V4" s="7">
        <v>33025</v>
      </c>
      <c r="W4" t="s">
        <v>9321</v>
      </c>
      <c r="X4" s="2">
        <v>0.14899999999999999</v>
      </c>
      <c r="Y4" s="6">
        <f t="shared" si="2"/>
        <v>3.977469902031446E-3</v>
      </c>
      <c r="Z4">
        <v>0</v>
      </c>
      <c r="AA4">
        <v>5431972</v>
      </c>
      <c r="AB4">
        <v>15425</v>
      </c>
      <c r="AC4">
        <v>15738906</v>
      </c>
      <c r="AD4" t="s">
        <v>5</v>
      </c>
      <c r="AE4">
        <v>33</v>
      </c>
      <c r="AF4">
        <v>6</v>
      </c>
      <c r="AH4" t="s">
        <v>10767</v>
      </c>
      <c r="AL4">
        <v>0</v>
      </c>
      <c r="AM4" s="5">
        <f t="shared" si="3"/>
        <v>0</v>
      </c>
      <c r="AN4" s="4">
        <f t="shared" si="4"/>
        <v>0</v>
      </c>
      <c r="AO4" s="3">
        <v>0</v>
      </c>
      <c r="AP4">
        <v>0</v>
      </c>
      <c r="AR4" t="s">
        <v>0</v>
      </c>
      <c r="AT4" s="2" t="s">
        <v>126</v>
      </c>
      <c r="AU4" s="1">
        <f t="shared" si="5"/>
        <v>0.2784228931422012</v>
      </c>
      <c r="AV4" s="1">
        <f t="shared" si="6"/>
        <v>0.19887349510157229</v>
      </c>
      <c r="AW4" s="1">
        <f t="shared" si="7"/>
        <v>0.11932409706094337</v>
      </c>
    </row>
    <row r="5" spans="1:49" x14ac:dyDescent="0.2">
      <c r="A5">
        <v>3</v>
      </c>
      <c r="B5" t="s">
        <v>10766</v>
      </c>
      <c r="C5" t="s">
        <v>10765</v>
      </c>
      <c r="F5" t="s">
        <v>10764</v>
      </c>
      <c r="G5" t="s">
        <v>14</v>
      </c>
      <c r="H5" t="s">
        <v>13</v>
      </c>
      <c r="I5" t="s">
        <v>10763</v>
      </c>
      <c r="N5">
        <v>1</v>
      </c>
      <c r="O5" t="s">
        <v>10762</v>
      </c>
      <c r="P5">
        <v>7102268143</v>
      </c>
      <c r="R5" s="7">
        <v>33025</v>
      </c>
      <c r="S5" s="8">
        <f t="shared" si="0"/>
        <v>1990</v>
      </c>
      <c r="T5" s="8">
        <v>1990</v>
      </c>
      <c r="U5" s="8">
        <f t="shared" si="1"/>
        <v>32</v>
      </c>
      <c r="V5" s="7">
        <v>33025</v>
      </c>
      <c r="W5" t="s">
        <v>9321</v>
      </c>
      <c r="X5" s="2">
        <v>0.14899999999999999</v>
      </c>
      <c r="Y5" s="6">
        <f t="shared" si="2"/>
        <v>3.977469902031446E-3</v>
      </c>
      <c r="AA5">
        <v>5431972</v>
      </c>
      <c r="AB5">
        <v>15425</v>
      </c>
      <c r="AC5">
        <v>15738906</v>
      </c>
      <c r="AD5" t="s">
        <v>5</v>
      </c>
      <c r="AE5">
        <v>33</v>
      </c>
      <c r="AF5">
        <v>6</v>
      </c>
      <c r="AH5" t="s">
        <v>10761</v>
      </c>
      <c r="AL5">
        <v>0</v>
      </c>
      <c r="AM5" s="5">
        <f t="shared" si="3"/>
        <v>0</v>
      </c>
      <c r="AN5" s="4">
        <f t="shared" si="4"/>
        <v>0</v>
      </c>
      <c r="AO5" s="3"/>
      <c r="AP5">
        <v>0</v>
      </c>
      <c r="AR5" t="s">
        <v>0</v>
      </c>
      <c r="AT5" s="2" t="s">
        <v>126</v>
      </c>
      <c r="AU5" s="1">
        <f t="shared" si="5"/>
        <v>0.2784228931422012</v>
      </c>
      <c r="AV5" s="1">
        <f t="shared" si="6"/>
        <v>0.19887349510157229</v>
      </c>
      <c r="AW5" s="1">
        <f t="shared" si="7"/>
        <v>0.11932409706094337</v>
      </c>
    </row>
    <row r="6" spans="1:49" x14ac:dyDescent="0.2">
      <c r="A6">
        <v>4</v>
      </c>
      <c r="B6" t="s">
        <v>10760</v>
      </c>
      <c r="C6" t="s">
        <v>10759</v>
      </c>
      <c r="F6" t="s">
        <v>10758</v>
      </c>
      <c r="G6" t="s">
        <v>14</v>
      </c>
      <c r="H6" t="s">
        <v>13</v>
      </c>
      <c r="I6" t="s">
        <v>10757</v>
      </c>
      <c r="N6">
        <v>2</v>
      </c>
      <c r="O6" t="s">
        <v>10756</v>
      </c>
      <c r="P6" t="s">
        <v>10755</v>
      </c>
      <c r="Q6" t="s">
        <v>119</v>
      </c>
      <c r="R6" s="7">
        <v>33025</v>
      </c>
      <c r="S6" s="8">
        <f t="shared" si="0"/>
        <v>1990</v>
      </c>
      <c r="T6" s="8">
        <v>1990</v>
      </c>
      <c r="U6" s="8">
        <f t="shared" si="1"/>
        <v>32</v>
      </c>
      <c r="V6" s="7">
        <v>33025</v>
      </c>
      <c r="W6" t="s">
        <v>9321</v>
      </c>
      <c r="X6" s="2">
        <v>0.14899999999999999</v>
      </c>
      <c r="Y6" s="6">
        <f t="shared" si="2"/>
        <v>3.977469902031446E-3</v>
      </c>
      <c r="AA6">
        <v>5431972</v>
      </c>
      <c r="AB6">
        <v>15425</v>
      </c>
      <c r="AC6">
        <v>15738906</v>
      </c>
      <c r="AD6" t="s">
        <v>5</v>
      </c>
      <c r="AE6">
        <v>33</v>
      </c>
      <c r="AF6">
        <v>6</v>
      </c>
      <c r="AH6" t="s">
        <v>10754</v>
      </c>
      <c r="AL6">
        <v>0</v>
      </c>
      <c r="AM6" s="5">
        <f t="shared" si="3"/>
        <v>0</v>
      </c>
      <c r="AN6" s="4">
        <f>(AM6-$AO$4)/($AO$3-$AO$4)</f>
        <v>0</v>
      </c>
      <c r="AO6" s="3"/>
      <c r="AP6">
        <v>0</v>
      </c>
      <c r="AR6" t="s">
        <v>0</v>
      </c>
      <c r="AT6" s="2" t="s">
        <v>126</v>
      </c>
      <c r="AU6" s="1">
        <f t="shared" si="5"/>
        <v>0.2784228931422012</v>
      </c>
      <c r="AV6" s="1">
        <f t="shared" si="6"/>
        <v>0.19887349510157229</v>
      </c>
      <c r="AW6" s="1">
        <f t="shared" si="7"/>
        <v>0.11932409706094337</v>
      </c>
    </row>
    <row r="7" spans="1:49" x14ac:dyDescent="0.2">
      <c r="A7">
        <v>5</v>
      </c>
      <c r="B7" t="s">
        <v>10753</v>
      </c>
      <c r="C7" t="s">
        <v>10752</v>
      </c>
      <c r="F7" t="s">
        <v>10751</v>
      </c>
      <c r="G7" t="s">
        <v>14</v>
      </c>
      <c r="H7" t="s">
        <v>13</v>
      </c>
      <c r="I7" t="s">
        <v>10750</v>
      </c>
      <c r="J7">
        <v>60004750</v>
      </c>
      <c r="K7" t="s">
        <v>10749</v>
      </c>
      <c r="L7" t="s">
        <v>10748</v>
      </c>
      <c r="M7" t="s">
        <v>357</v>
      </c>
      <c r="N7">
        <v>3</v>
      </c>
      <c r="O7" t="s">
        <v>10747</v>
      </c>
      <c r="P7" t="s">
        <v>10746</v>
      </c>
      <c r="Q7" t="s">
        <v>10745</v>
      </c>
      <c r="R7" s="7">
        <v>33025</v>
      </c>
      <c r="S7" s="8">
        <f t="shared" si="0"/>
        <v>1990</v>
      </c>
      <c r="T7" s="8">
        <v>1990</v>
      </c>
      <c r="U7" s="8">
        <f t="shared" si="1"/>
        <v>32</v>
      </c>
      <c r="V7" s="7">
        <v>33025</v>
      </c>
      <c r="W7" t="s">
        <v>1309</v>
      </c>
      <c r="X7" s="2">
        <v>1.3720000000000001</v>
      </c>
      <c r="Y7" s="6">
        <f t="shared" si="2"/>
        <v>3.662475641333654E-2</v>
      </c>
      <c r="AA7">
        <v>189480</v>
      </c>
      <c r="AB7">
        <v>17366</v>
      </c>
      <c r="AD7" t="s">
        <v>5</v>
      </c>
      <c r="AE7">
        <v>38</v>
      </c>
      <c r="AF7">
        <v>6</v>
      </c>
      <c r="AH7" t="s">
        <v>10744</v>
      </c>
      <c r="AI7" t="s">
        <v>10743</v>
      </c>
      <c r="AK7" t="s">
        <v>10742</v>
      </c>
      <c r="AL7">
        <v>13</v>
      </c>
      <c r="AM7" s="5">
        <f t="shared" si="3"/>
        <v>0.40625</v>
      </c>
      <c r="AN7" s="4">
        <f t="shared" si="4"/>
        <v>6.1529723589549411E-4</v>
      </c>
      <c r="AO7" s="3"/>
      <c r="AP7">
        <v>0</v>
      </c>
      <c r="AR7" t="s">
        <v>0</v>
      </c>
      <c r="AT7" s="2" t="s">
        <v>126</v>
      </c>
      <c r="AU7" s="1">
        <f t="shared" si="5"/>
        <v>2.5821918660104224</v>
      </c>
      <c r="AV7" s="1">
        <f t="shared" si="6"/>
        <v>1.8620026824616016</v>
      </c>
      <c r="AW7" s="1">
        <f t="shared" si="7"/>
        <v>1.1418134989127808</v>
      </c>
    </row>
    <row r="8" spans="1:49" x14ac:dyDescent="0.2">
      <c r="A8">
        <v>6</v>
      </c>
      <c r="B8" t="s">
        <v>10741</v>
      </c>
      <c r="F8" t="s">
        <v>10740</v>
      </c>
      <c r="G8" t="s">
        <v>14</v>
      </c>
      <c r="H8" t="s">
        <v>13</v>
      </c>
      <c r="I8" t="s">
        <v>1568</v>
      </c>
      <c r="J8">
        <v>60005510</v>
      </c>
      <c r="K8" t="s">
        <v>1567</v>
      </c>
      <c r="L8" t="s">
        <v>1566</v>
      </c>
      <c r="M8" t="s">
        <v>1565</v>
      </c>
      <c r="N8">
        <v>1</v>
      </c>
      <c r="O8" t="s">
        <v>1564</v>
      </c>
      <c r="P8">
        <v>7102842938</v>
      </c>
      <c r="Q8">
        <v>60005510</v>
      </c>
      <c r="R8" s="7">
        <v>33025</v>
      </c>
      <c r="S8" s="8">
        <f t="shared" si="0"/>
        <v>1990</v>
      </c>
      <c r="T8" s="8">
        <v>1990</v>
      </c>
      <c r="U8" s="8">
        <f t="shared" si="1"/>
        <v>32</v>
      </c>
      <c r="V8" s="7">
        <v>33025</v>
      </c>
      <c r="W8" t="s">
        <v>10727</v>
      </c>
      <c r="X8" s="2">
        <v>0.14099999999999999</v>
      </c>
      <c r="Y8" s="6">
        <f t="shared" si="2"/>
        <v>3.7639144710498915E-3</v>
      </c>
      <c r="AA8">
        <v>7252986</v>
      </c>
      <c r="AB8">
        <v>18037</v>
      </c>
      <c r="AD8" t="s">
        <v>5</v>
      </c>
      <c r="AE8">
        <v>10</v>
      </c>
      <c r="AF8">
        <v>2</v>
      </c>
      <c r="AH8" t="s">
        <v>10739</v>
      </c>
      <c r="AI8" t="s">
        <v>10738</v>
      </c>
      <c r="AK8" t="s">
        <v>10737</v>
      </c>
      <c r="AL8">
        <v>8</v>
      </c>
      <c r="AM8" s="5">
        <f t="shared" si="3"/>
        <v>0.25</v>
      </c>
      <c r="AN8" s="4">
        <f t="shared" si="4"/>
        <v>3.786444528587656E-4</v>
      </c>
      <c r="AO8" s="3"/>
      <c r="AP8">
        <v>0</v>
      </c>
      <c r="AR8" t="s">
        <v>0</v>
      </c>
      <c r="AT8" s="2" t="s">
        <v>126</v>
      </c>
      <c r="AU8" s="1">
        <f t="shared" si="5"/>
        <v>0.27483334655925534</v>
      </c>
      <c r="AV8" s="1">
        <f t="shared" si="6"/>
        <v>0.20712794619543287</v>
      </c>
      <c r="AW8" s="1">
        <f t="shared" si="7"/>
        <v>0.13942254583161032</v>
      </c>
    </row>
    <row r="9" spans="1:49" x14ac:dyDescent="0.2">
      <c r="A9">
        <v>7</v>
      </c>
      <c r="B9" t="s">
        <v>10736</v>
      </c>
      <c r="F9" t="s">
        <v>10735</v>
      </c>
      <c r="G9" t="s">
        <v>14</v>
      </c>
      <c r="H9" t="s">
        <v>13</v>
      </c>
      <c r="I9" t="s">
        <v>10734</v>
      </c>
      <c r="J9">
        <v>60071174</v>
      </c>
      <c r="K9" t="s">
        <v>10733</v>
      </c>
      <c r="L9" t="s">
        <v>10732</v>
      </c>
      <c r="M9" t="s">
        <v>10731</v>
      </c>
      <c r="N9">
        <v>3</v>
      </c>
      <c r="O9" t="s">
        <v>10730</v>
      </c>
      <c r="P9" t="s">
        <v>10729</v>
      </c>
      <c r="Q9" t="s">
        <v>10728</v>
      </c>
      <c r="R9" s="7">
        <v>33025</v>
      </c>
      <c r="S9" s="8">
        <f t="shared" si="0"/>
        <v>1990</v>
      </c>
      <c r="T9" s="8">
        <v>1990</v>
      </c>
      <c r="U9" s="8">
        <f t="shared" si="1"/>
        <v>32</v>
      </c>
      <c r="V9" s="7">
        <v>33025</v>
      </c>
      <c r="W9" t="s">
        <v>10727</v>
      </c>
      <c r="X9" s="2">
        <v>0.14099999999999999</v>
      </c>
      <c r="Y9" s="6">
        <f t="shared" si="2"/>
        <v>3.7639144710498915E-3</v>
      </c>
      <c r="AA9">
        <v>7252986</v>
      </c>
      <c r="AB9">
        <v>18037</v>
      </c>
      <c r="AD9" t="s">
        <v>5</v>
      </c>
      <c r="AE9">
        <v>10</v>
      </c>
      <c r="AF9">
        <v>2</v>
      </c>
      <c r="AH9" t="s">
        <v>10726</v>
      </c>
      <c r="AI9" t="s">
        <v>10725</v>
      </c>
      <c r="AK9" t="s">
        <v>10724</v>
      </c>
      <c r="AL9">
        <v>0</v>
      </c>
      <c r="AM9" s="5">
        <f t="shared" si="3"/>
        <v>0</v>
      </c>
      <c r="AN9" s="4">
        <f t="shared" si="4"/>
        <v>0</v>
      </c>
      <c r="AO9" s="3"/>
      <c r="AP9">
        <v>0</v>
      </c>
      <c r="AR9" t="s">
        <v>0</v>
      </c>
      <c r="AT9" s="2" t="s">
        <v>126</v>
      </c>
      <c r="AU9" s="1">
        <f t="shared" si="5"/>
        <v>0.26347401297349238</v>
      </c>
      <c r="AV9" s="1">
        <f t="shared" si="6"/>
        <v>0.18819572355249459</v>
      </c>
      <c r="AW9" s="1">
        <f t="shared" si="7"/>
        <v>0.11291743413149673</v>
      </c>
    </row>
    <row r="10" spans="1:49" x14ac:dyDescent="0.2">
      <c r="A10">
        <v>8</v>
      </c>
      <c r="B10" t="s">
        <v>10723</v>
      </c>
      <c r="C10" t="s">
        <v>10722</v>
      </c>
      <c r="F10" t="s">
        <v>10721</v>
      </c>
      <c r="G10" t="s">
        <v>14</v>
      </c>
      <c r="H10" t="s">
        <v>13</v>
      </c>
      <c r="I10" t="s">
        <v>10720</v>
      </c>
      <c r="J10">
        <v>60033012</v>
      </c>
      <c r="K10" t="s">
        <v>2159</v>
      </c>
      <c r="L10" t="s">
        <v>2158</v>
      </c>
      <c r="M10" t="s">
        <v>197</v>
      </c>
      <c r="N10">
        <v>1</v>
      </c>
      <c r="O10" t="s">
        <v>10719</v>
      </c>
      <c r="P10">
        <v>7004052021</v>
      </c>
      <c r="Q10">
        <v>60033012</v>
      </c>
      <c r="R10" s="7">
        <v>33025</v>
      </c>
      <c r="S10" s="8">
        <f t="shared" si="0"/>
        <v>1990</v>
      </c>
      <c r="T10" s="8">
        <v>1990</v>
      </c>
      <c r="U10" s="8">
        <f t="shared" si="1"/>
        <v>32</v>
      </c>
      <c r="V10" s="7">
        <v>33025</v>
      </c>
      <c r="W10" t="s">
        <v>1309</v>
      </c>
      <c r="X10" s="2">
        <v>1.3720000000000001</v>
      </c>
      <c r="Y10" s="6">
        <f t="shared" si="2"/>
        <v>3.662475641333654E-2</v>
      </c>
      <c r="AA10">
        <v>189480</v>
      </c>
      <c r="AB10">
        <v>17366</v>
      </c>
      <c r="AD10" t="s">
        <v>5</v>
      </c>
      <c r="AE10">
        <v>38</v>
      </c>
      <c r="AF10">
        <v>6</v>
      </c>
      <c r="AH10" t="s">
        <v>10718</v>
      </c>
      <c r="AI10" t="s">
        <v>10717</v>
      </c>
      <c r="AK10" t="s">
        <v>10716</v>
      </c>
      <c r="AL10">
        <v>11</v>
      </c>
      <c r="AM10" s="5">
        <f t="shared" si="3"/>
        <v>0.34375</v>
      </c>
      <c r="AN10" s="4">
        <f t="shared" si="4"/>
        <v>5.2063612268080268E-4</v>
      </c>
      <c r="AO10" s="3"/>
      <c r="AP10">
        <v>0</v>
      </c>
      <c r="AQ10" t="s">
        <v>10715</v>
      </c>
      <c r="AR10" t="s">
        <v>0</v>
      </c>
      <c r="AS10" t="s">
        <v>2159</v>
      </c>
      <c r="AT10" s="2" t="s">
        <v>126</v>
      </c>
      <c r="AU10" s="1">
        <f t="shared" si="5"/>
        <v>2.5793520326139818</v>
      </c>
      <c r="AV10" s="1">
        <f t="shared" si="6"/>
        <v>1.857269626800867</v>
      </c>
      <c r="AW10" s="1">
        <f t="shared" si="7"/>
        <v>1.1351872209877525</v>
      </c>
    </row>
    <row r="11" spans="1:49" x14ac:dyDescent="0.2">
      <c r="A11">
        <v>9</v>
      </c>
      <c r="B11" t="s">
        <v>10714</v>
      </c>
      <c r="F11" t="s">
        <v>10713</v>
      </c>
      <c r="G11" t="s">
        <v>14</v>
      </c>
      <c r="H11" t="s">
        <v>13</v>
      </c>
      <c r="I11" t="s">
        <v>10712</v>
      </c>
      <c r="J11">
        <v>101087815</v>
      </c>
      <c r="K11" t="s">
        <v>10711</v>
      </c>
      <c r="M11" t="s">
        <v>197</v>
      </c>
      <c r="N11">
        <v>1</v>
      </c>
      <c r="O11" t="s">
        <v>10710</v>
      </c>
      <c r="P11">
        <v>7004041536</v>
      </c>
      <c r="Q11">
        <v>101087815</v>
      </c>
      <c r="R11" s="7">
        <v>33025</v>
      </c>
      <c r="S11" s="8">
        <f t="shared" si="0"/>
        <v>1990</v>
      </c>
      <c r="T11" s="8">
        <v>1990</v>
      </c>
      <c r="U11" s="8">
        <f t="shared" si="1"/>
        <v>32</v>
      </c>
      <c r="V11" s="7">
        <v>33025</v>
      </c>
      <c r="W11" t="s">
        <v>10709</v>
      </c>
      <c r="X11" s="2">
        <v>0.23400000000000001</v>
      </c>
      <c r="Y11" s="6">
        <f t="shared" si="2"/>
        <v>6.2464963562104594E-3</v>
      </c>
      <c r="AA11">
        <v>47554</v>
      </c>
      <c r="AB11">
        <v>19437</v>
      </c>
      <c r="AD11" t="s">
        <v>5</v>
      </c>
      <c r="AE11">
        <v>38</v>
      </c>
      <c r="AF11">
        <v>6</v>
      </c>
      <c r="AH11" t="s">
        <v>10708</v>
      </c>
      <c r="AI11" t="s">
        <v>10707</v>
      </c>
      <c r="AK11" t="s">
        <v>10706</v>
      </c>
      <c r="AL11">
        <v>1</v>
      </c>
      <c r="AM11" s="5">
        <f t="shared" si="3"/>
        <v>3.125E-2</v>
      </c>
      <c r="AN11" s="4">
        <f t="shared" si="4"/>
        <v>4.73305566073457E-5</v>
      </c>
      <c r="AO11" s="3"/>
      <c r="AP11">
        <v>0</v>
      </c>
      <c r="AR11" t="s">
        <v>0</v>
      </c>
      <c r="AT11" s="2" t="s">
        <v>126</v>
      </c>
      <c r="AU11" s="1">
        <f t="shared" si="5"/>
        <v>0.43867466163295249</v>
      </c>
      <c r="AV11" s="1">
        <f t="shared" si="6"/>
        <v>0.3146913456408903</v>
      </c>
      <c r="AW11" s="1">
        <f t="shared" si="7"/>
        <v>0.19070802964882799</v>
      </c>
    </row>
    <row r="12" spans="1:49" x14ac:dyDescent="0.2">
      <c r="A12">
        <v>10</v>
      </c>
      <c r="B12" t="s">
        <v>10705</v>
      </c>
      <c r="F12" t="s">
        <v>10704</v>
      </c>
      <c r="G12" t="s">
        <v>14</v>
      </c>
      <c r="H12" t="s">
        <v>13</v>
      </c>
      <c r="I12" t="s">
        <v>10703</v>
      </c>
      <c r="J12">
        <v>100367495</v>
      </c>
      <c r="K12" t="s">
        <v>10702</v>
      </c>
      <c r="N12">
        <v>2</v>
      </c>
      <c r="O12" t="s">
        <v>10701</v>
      </c>
      <c r="P12" t="s">
        <v>10700</v>
      </c>
      <c r="Q12" t="s">
        <v>10699</v>
      </c>
      <c r="R12" s="7">
        <v>33025</v>
      </c>
      <c r="S12" s="8">
        <f t="shared" si="0"/>
        <v>1990</v>
      </c>
      <c r="T12" s="8">
        <v>1990</v>
      </c>
      <c r="U12" s="8">
        <f t="shared" si="1"/>
        <v>32</v>
      </c>
      <c r="V12" s="7">
        <v>33025</v>
      </c>
      <c r="W12" t="s">
        <v>10698</v>
      </c>
      <c r="X12" s="2" t="s">
        <v>126</v>
      </c>
      <c r="Y12" s="6" t="e">
        <f t="shared" si="2"/>
        <v>#VALUE!</v>
      </c>
      <c r="AA12">
        <v>3797155</v>
      </c>
      <c r="AB12">
        <v>18354</v>
      </c>
      <c r="AD12" t="s">
        <v>5</v>
      </c>
      <c r="AF12" t="s">
        <v>10697</v>
      </c>
      <c r="AH12" t="s">
        <v>10696</v>
      </c>
      <c r="AI12" t="s">
        <v>10695</v>
      </c>
      <c r="AK12" t="s">
        <v>10694</v>
      </c>
      <c r="AL12">
        <v>1</v>
      </c>
      <c r="AM12" s="5">
        <f t="shared" si="3"/>
        <v>3.125E-2</v>
      </c>
      <c r="AN12" s="4">
        <f t="shared" si="4"/>
        <v>4.73305566073457E-5</v>
      </c>
      <c r="AO12" s="3"/>
      <c r="AP12">
        <v>0</v>
      </c>
      <c r="AR12" t="s">
        <v>0</v>
      </c>
      <c r="AT12" s="2" t="s">
        <v>126</v>
      </c>
      <c r="AU12" s="1" t="e">
        <f t="shared" si="5"/>
        <v>#VALUE!</v>
      </c>
      <c r="AV12" s="1" t="e">
        <f t="shared" si="6"/>
        <v>#VALUE!</v>
      </c>
      <c r="AW12" s="1" t="e">
        <f t="shared" si="7"/>
        <v>#VALUE!</v>
      </c>
    </row>
    <row r="13" spans="1:49" x14ac:dyDescent="0.2">
      <c r="A13">
        <v>11</v>
      </c>
      <c r="B13" t="s">
        <v>10693</v>
      </c>
      <c r="C13" t="s">
        <v>10692</v>
      </c>
      <c r="F13" t="s">
        <v>10691</v>
      </c>
      <c r="G13" t="s">
        <v>14</v>
      </c>
      <c r="H13" t="s">
        <v>13</v>
      </c>
      <c r="I13" t="s">
        <v>10690</v>
      </c>
      <c r="J13">
        <v>60032361</v>
      </c>
      <c r="K13" t="s">
        <v>10689</v>
      </c>
      <c r="L13" t="s">
        <v>10688</v>
      </c>
      <c r="M13" t="s">
        <v>10687</v>
      </c>
      <c r="N13">
        <v>2</v>
      </c>
      <c r="O13" t="s">
        <v>10686</v>
      </c>
      <c r="P13" t="s">
        <v>10685</v>
      </c>
      <c r="Q13" t="s">
        <v>10684</v>
      </c>
      <c r="R13" s="7">
        <v>33025</v>
      </c>
      <c r="S13" s="8">
        <f t="shared" si="0"/>
        <v>1990</v>
      </c>
      <c r="T13" s="8">
        <v>1990</v>
      </c>
      <c r="U13" s="8">
        <f t="shared" si="1"/>
        <v>32</v>
      </c>
      <c r="V13" s="7">
        <v>33025</v>
      </c>
      <c r="W13" t="s">
        <v>1309</v>
      </c>
      <c r="X13" s="2">
        <v>1.3720000000000001</v>
      </c>
      <c r="Y13" s="6">
        <f t="shared" si="2"/>
        <v>3.662475641333654E-2</v>
      </c>
      <c r="AA13">
        <v>189480</v>
      </c>
      <c r="AB13">
        <v>17366</v>
      </c>
      <c r="AD13" t="s">
        <v>5</v>
      </c>
      <c r="AE13">
        <v>38</v>
      </c>
      <c r="AF13">
        <v>6</v>
      </c>
      <c r="AH13" t="s">
        <v>10683</v>
      </c>
      <c r="AI13" t="s">
        <v>10682</v>
      </c>
      <c r="AK13" t="s">
        <v>10681</v>
      </c>
      <c r="AL13">
        <v>7</v>
      </c>
      <c r="AM13" s="5">
        <f t="shared" si="3"/>
        <v>0.21875</v>
      </c>
      <c r="AN13" s="4">
        <f t="shared" si="4"/>
        <v>3.3131389625141994E-4</v>
      </c>
      <c r="AO13" s="3"/>
      <c r="AP13">
        <v>0</v>
      </c>
      <c r="AR13" t="s">
        <v>10680</v>
      </c>
      <c r="AT13" s="2" t="s">
        <v>126</v>
      </c>
      <c r="AU13" s="1">
        <f t="shared" si="5"/>
        <v>2.5736723658211003</v>
      </c>
      <c r="AV13" s="1">
        <f t="shared" si="6"/>
        <v>1.8478035154793979</v>
      </c>
      <c r="AW13" s="1">
        <f t="shared" si="7"/>
        <v>1.1219346651376956</v>
      </c>
    </row>
    <row r="14" spans="1:49" x14ac:dyDescent="0.2">
      <c r="A14">
        <v>12</v>
      </c>
      <c r="B14" t="s">
        <v>10679</v>
      </c>
      <c r="C14" t="s">
        <v>10678</v>
      </c>
      <c r="D14" t="s">
        <v>10677</v>
      </c>
      <c r="F14" t="s">
        <v>10676</v>
      </c>
      <c r="G14" t="s">
        <v>14</v>
      </c>
      <c r="H14" t="s">
        <v>13</v>
      </c>
      <c r="I14" t="s">
        <v>10675</v>
      </c>
      <c r="J14">
        <v>60020583</v>
      </c>
      <c r="K14" t="s">
        <v>10674</v>
      </c>
      <c r="L14" t="s">
        <v>10673</v>
      </c>
      <c r="M14" t="s">
        <v>197</v>
      </c>
      <c r="N14">
        <v>1</v>
      </c>
      <c r="O14" t="s">
        <v>10672</v>
      </c>
      <c r="P14">
        <v>55666998100</v>
      </c>
      <c r="Q14">
        <v>60020583</v>
      </c>
      <c r="R14" s="7">
        <v>33025</v>
      </c>
      <c r="S14" s="8">
        <f t="shared" si="0"/>
        <v>1990</v>
      </c>
      <c r="T14" s="8">
        <v>1990</v>
      </c>
      <c r="U14" s="8">
        <f t="shared" si="1"/>
        <v>32</v>
      </c>
      <c r="V14" s="7">
        <v>33025</v>
      </c>
      <c r="W14" t="s">
        <v>10671</v>
      </c>
      <c r="X14" s="2">
        <v>0.625</v>
      </c>
      <c r="Y14" s="6">
        <f t="shared" si="2"/>
        <v>1.6684018045433919E-2</v>
      </c>
      <c r="AA14">
        <v>304018</v>
      </c>
      <c r="AB14">
        <v>12352</v>
      </c>
      <c r="AD14" t="s">
        <v>5</v>
      </c>
      <c r="AE14">
        <v>77</v>
      </c>
      <c r="AF14">
        <v>1</v>
      </c>
      <c r="AH14" s="9">
        <v>44539</v>
      </c>
      <c r="AI14" t="s">
        <v>10670</v>
      </c>
      <c r="AK14" t="s">
        <v>10669</v>
      </c>
      <c r="AL14">
        <v>1</v>
      </c>
      <c r="AM14" s="5">
        <f t="shared" si="3"/>
        <v>3.125E-2</v>
      </c>
      <c r="AN14" s="4">
        <f t="shared" si="4"/>
        <v>4.73305566073457E-5</v>
      </c>
      <c r="AO14" s="3"/>
      <c r="AP14">
        <v>0</v>
      </c>
      <c r="AR14" t="s">
        <v>0</v>
      </c>
      <c r="AT14" s="2">
        <v>2.31</v>
      </c>
      <c r="AU14" s="1">
        <f t="shared" si="5"/>
        <v>1.1693011798785946</v>
      </c>
      <c r="AV14" s="1">
        <f t="shared" si="6"/>
        <v>0.83656743010206325</v>
      </c>
      <c r="AW14" s="1">
        <f t="shared" si="7"/>
        <v>0.50383368032553177</v>
      </c>
    </row>
    <row r="15" spans="1:49" x14ac:dyDescent="0.2">
      <c r="A15">
        <v>13</v>
      </c>
      <c r="B15" t="s">
        <v>10668</v>
      </c>
      <c r="F15" t="s">
        <v>10667</v>
      </c>
      <c r="G15" t="s">
        <v>14</v>
      </c>
      <c r="H15" t="s">
        <v>13</v>
      </c>
      <c r="I15" t="s">
        <v>10666</v>
      </c>
      <c r="N15">
        <v>3</v>
      </c>
      <c r="O15" t="s">
        <v>10665</v>
      </c>
      <c r="P15" t="s">
        <v>10664</v>
      </c>
      <c r="Q15" t="s">
        <v>391</v>
      </c>
      <c r="R15" s="7">
        <v>33025</v>
      </c>
      <c r="S15" s="8">
        <f t="shared" si="0"/>
        <v>1990</v>
      </c>
      <c r="T15" s="8">
        <v>1990</v>
      </c>
      <c r="U15" s="8">
        <f t="shared" si="1"/>
        <v>32</v>
      </c>
      <c r="V15" s="7">
        <v>33025</v>
      </c>
      <c r="W15" t="s">
        <v>10663</v>
      </c>
      <c r="X15" s="2" t="s">
        <v>126</v>
      </c>
      <c r="Y15" s="6" t="e">
        <f t="shared" si="2"/>
        <v>#VALUE!</v>
      </c>
      <c r="AA15">
        <v>10010645</v>
      </c>
      <c r="AB15">
        <v>19475</v>
      </c>
      <c r="AD15" t="s">
        <v>5</v>
      </c>
      <c r="AE15">
        <v>10</v>
      </c>
      <c r="AF15" t="s">
        <v>10662</v>
      </c>
      <c r="AH15" t="s">
        <v>9623</v>
      </c>
      <c r="AI15" t="s">
        <v>10661</v>
      </c>
      <c r="AK15" t="s">
        <v>10660</v>
      </c>
      <c r="AL15">
        <v>0</v>
      </c>
      <c r="AM15" s="5">
        <f t="shared" si="3"/>
        <v>0</v>
      </c>
      <c r="AN15" s="4">
        <f t="shared" si="4"/>
        <v>0</v>
      </c>
      <c r="AO15" s="3"/>
      <c r="AP15">
        <v>0</v>
      </c>
      <c r="AR15" t="s">
        <v>0</v>
      </c>
      <c r="AT15" s="2" t="s">
        <v>126</v>
      </c>
      <c r="AU15" s="1" t="e">
        <f t="shared" si="5"/>
        <v>#VALUE!</v>
      </c>
      <c r="AV15" s="1" t="e">
        <f t="shared" si="6"/>
        <v>#VALUE!</v>
      </c>
      <c r="AW15" s="1" t="e">
        <f t="shared" si="7"/>
        <v>#VALUE!</v>
      </c>
    </row>
    <row r="16" spans="1:49" x14ac:dyDescent="0.2">
      <c r="A16">
        <v>14</v>
      </c>
      <c r="B16" t="s">
        <v>10659</v>
      </c>
      <c r="F16" t="s">
        <v>10658</v>
      </c>
      <c r="G16" t="s">
        <v>14</v>
      </c>
      <c r="H16" t="s">
        <v>13</v>
      </c>
      <c r="I16" t="s">
        <v>10657</v>
      </c>
      <c r="N16">
        <v>1</v>
      </c>
      <c r="O16" t="s">
        <v>10656</v>
      </c>
      <c r="P16">
        <v>6602210148</v>
      </c>
      <c r="R16" s="7">
        <v>33025</v>
      </c>
      <c r="S16" s="8">
        <f t="shared" si="0"/>
        <v>1990</v>
      </c>
      <c r="T16" s="8">
        <v>1990</v>
      </c>
      <c r="U16" s="8">
        <f t="shared" si="1"/>
        <v>32</v>
      </c>
      <c r="V16" s="7">
        <v>33025</v>
      </c>
      <c r="W16" t="s">
        <v>390</v>
      </c>
      <c r="X16" s="2">
        <v>0.14099999999999999</v>
      </c>
      <c r="Y16" s="6">
        <f t="shared" si="2"/>
        <v>3.7639144710498915E-3</v>
      </c>
      <c r="AA16">
        <v>402508</v>
      </c>
      <c r="AB16">
        <v>20868</v>
      </c>
      <c r="AD16" t="s">
        <v>5</v>
      </c>
      <c r="AE16">
        <v>45</v>
      </c>
      <c r="AF16">
        <v>6</v>
      </c>
      <c r="AH16" t="s">
        <v>9207</v>
      </c>
      <c r="AI16" t="s">
        <v>10655</v>
      </c>
      <c r="AK16" t="s">
        <v>10654</v>
      </c>
      <c r="AL16">
        <v>0</v>
      </c>
      <c r="AM16" s="5">
        <f t="shared" si="3"/>
        <v>0</v>
      </c>
      <c r="AN16" s="4">
        <f t="shared" si="4"/>
        <v>0</v>
      </c>
      <c r="AO16" s="3"/>
      <c r="AP16">
        <v>0</v>
      </c>
      <c r="AR16" t="s">
        <v>0</v>
      </c>
      <c r="AT16" s="2" t="s">
        <v>126</v>
      </c>
      <c r="AU16" s="1">
        <f t="shared" si="5"/>
        <v>0.26347401297349238</v>
      </c>
      <c r="AV16" s="1">
        <f t="shared" si="6"/>
        <v>0.18819572355249459</v>
      </c>
      <c r="AW16" s="1">
        <f t="shared" si="7"/>
        <v>0.11291743413149673</v>
      </c>
    </row>
    <row r="17" spans="1:49" x14ac:dyDescent="0.2">
      <c r="A17">
        <v>15</v>
      </c>
      <c r="B17" t="s">
        <v>10653</v>
      </c>
      <c r="F17" t="s">
        <v>10652</v>
      </c>
      <c r="G17" t="s">
        <v>14</v>
      </c>
      <c r="H17" t="s">
        <v>13</v>
      </c>
      <c r="I17" t="s">
        <v>10651</v>
      </c>
      <c r="N17">
        <v>3</v>
      </c>
      <c r="O17" t="s">
        <v>10650</v>
      </c>
      <c r="P17" t="s">
        <v>10649</v>
      </c>
      <c r="Q17" t="s">
        <v>391</v>
      </c>
      <c r="R17" s="7">
        <v>33025</v>
      </c>
      <c r="S17" s="8">
        <f t="shared" si="0"/>
        <v>1990</v>
      </c>
      <c r="T17" s="8">
        <v>1990</v>
      </c>
      <c r="U17" s="8">
        <f t="shared" si="1"/>
        <v>32</v>
      </c>
      <c r="V17" s="7">
        <v>33025</v>
      </c>
      <c r="W17" t="s">
        <v>390</v>
      </c>
      <c r="X17" s="2">
        <v>0.14099999999999999</v>
      </c>
      <c r="Y17" s="6">
        <f t="shared" si="2"/>
        <v>3.7639144710498915E-3</v>
      </c>
      <c r="AA17">
        <v>402508</v>
      </c>
      <c r="AB17">
        <v>20868</v>
      </c>
      <c r="AD17" t="s">
        <v>5</v>
      </c>
      <c r="AE17">
        <v>45</v>
      </c>
      <c r="AF17">
        <v>6</v>
      </c>
      <c r="AH17" t="s">
        <v>10648</v>
      </c>
      <c r="AI17" t="s">
        <v>10647</v>
      </c>
      <c r="AK17" t="s">
        <v>10646</v>
      </c>
      <c r="AL17">
        <v>0</v>
      </c>
      <c r="AM17" s="5">
        <f t="shared" si="3"/>
        <v>0</v>
      </c>
      <c r="AN17" s="4">
        <f t="shared" si="4"/>
        <v>0</v>
      </c>
      <c r="AO17" s="3"/>
      <c r="AP17">
        <v>0</v>
      </c>
      <c r="AR17" t="s">
        <v>0</v>
      </c>
      <c r="AT17" s="2" t="s">
        <v>126</v>
      </c>
      <c r="AU17" s="1">
        <f t="shared" si="5"/>
        <v>0.26347401297349238</v>
      </c>
      <c r="AV17" s="1">
        <f t="shared" si="6"/>
        <v>0.18819572355249459</v>
      </c>
      <c r="AW17" s="1">
        <f t="shared" si="7"/>
        <v>0.11291743413149673</v>
      </c>
    </row>
    <row r="18" spans="1:49" x14ac:dyDescent="0.2">
      <c r="A18">
        <v>16</v>
      </c>
      <c r="B18" t="s">
        <v>10645</v>
      </c>
      <c r="F18" t="s">
        <v>10644</v>
      </c>
      <c r="G18" t="s">
        <v>14</v>
      </c>
      <c r="H18" t="s">
        <v>13</v>
      </c>
      <c r="I18" t="s">
        <v>10643</v>
      </c>
      <c r="N18">
        <v>2</v>
      </c>
      <c r="O18" t="s">
        <v>10642</v>
      </c>
      <c r="P18" t="s">
        <v>10641</v>
      </c>
      <c r="Q18" t="s">
        <v>119</v>
      </c>
      <c r="R18" s="7">
        <v>33025</v>
      </c>
      <c r="S18" s="8">
        <f t="shared" si="0"/>
        <v>1990</v>
      </c>
      <c r="T18" s="8">
        <v>1990</v>
      </c>
      <c r="U18" s="8">
        <f t="shared" si="1"/>
        <v>32</v>
      </c>
      <c r="V18" s="7">
        <v>33025</v>
      </c>
      <c r="W18" t="s">
        <v>390</v>
      </c>
      <c r="X18" s="2">
        <v>0.14099999999999999</v>
      </c>
      <c r="Y18" s="6">
        <f t="shared" si="2"/>
        <v>3.7639144710498915E-3</v>
      </c>
      <c r="AA18">
        <v>402508</v>
      </c>
      <c r="AB18">
        <v>20868</v>
      </c>
      <c r="AD18" t="s">
        <v>5</v>
      </c>
      <c r="AE18">
        <v>45</v>
      </c>
      <c r="AF18">
        <v>6</v>
      </c>
      <c r="AH18" t="s">
        <v>10640</v>
      </c>
      <c r="AI18" t="s">
        <v>10639</v>
      </c>
      <c r="AK18" t="s">
        <v>10638</v>
      </c>
      <c r="AL18">
        <v>0</v>
      </c>
      <c r="AM18" s="5">
        <f t="shared" si="3"/>
        <v>0</v>
      </c>
      <c r="AN18" s="4">
        <f t="shared" si="4"/>
        <v>0</v>
      </c>
      <c r="AO18" s="3"/>
      <c r="AP18">
        <v>0</v>
      </c>
      <c r="AR18" t="s">
        <v>0</v>
      </c>
      <c r="AT18" s="2" t="s">
        <v>126</v>
      </c>
      <c r="AU18" s="1">
        <f t="shared" si="5"/>
        <v>0.26347401297349238</v>
      </c>
      <c r="AV18" s="1">
        <f t="shared" si="6"/>
        <v>0.18819572355249459</v>
      </c>
      <c r="AW18" s="1">
        <f t="shared" si="7"/>
        <v>0.11291743413149673</v>
      </c>
    </row>
    <row r="19" spans="1:49" x14ac:dyDescent="0.2">
      <c r="A19">
        <v>17</v>
      </c>
      <c r="B19" t="s">
        <v>10637</v>
      </c>
      <c r="F19" t="s">
        <v>10636</v>
      </c>
      <c r="G19" t="s">
        <v>14</v>
      </c>
      <c r="H19" t="s">
        <v>13</v>
      </c>
      <c r="I19" t="s">
        <v>4082</v>
      </c>
      <c r="J19">
        <v>60073446</v>
      </c>
      <c r="K19" t="s">
        <v>4081</v>
      </c>
      <c r="L19" t="s">
        <v>855</v>
      </c>
      <c r="M19" t="s">
        <v>854</v>
      </c>
      <c r="N19">
        <v>1</v>
      </c>
      <c r="O19" t="s">
        <v>10635</v>
      </c>
      <c r="P19">
        <v>55864172200</v>
      </c>
      <c r="Q19">
        <v>60073446</v>
      </c>
      <c r="R19" s="7">
        <v>33025</v>
      </c>
      <c r="S19" s="8">
        <f t="shared" si="0"/>
        <v>1990</v>
      </c>
      <c r="T19" s="8">
        <v>1990</v>
      </c>
      <c r="U19" s="8">
        <f t="shared" si="1"/>
        <v>32</v>
      </c>
      <c r="V19" s="7">
        <v>33025</v>
      </c>
      <c r="W19" t="s">
        <v>10597</v>
      </c>
      <c r="X19" s="2">
        <v>0.182</v>
      </c>
      <c r="Y19" s="6">
        <f t="shared" si="2"/>
        <v>4.8583860548303574E-3</v>
      </c>
      <c r="AA19" t="s">
        <v>10596</v>
      </c>
      <c r="AB19">
        <v>15141</v>
      </c>
      <c r="AD19" t="s">
        <v>5</v>
      </c>
      <c r="AE19">
        <v>1</v>
      </c>
      <c r="AF19">
        <v>1</v>
      </c>
      <c r="AH19" t="s">
        <v>10634</v>
      </c>
      <c r="AI19" t="s">
        <v>10633</v>
      </c>
      <c r="AK19" t="s">
        <v>10632</v>
      </c>
      <c r="AL19">
        <v>0</v>
      </c>
      <c r="AM19" s="5">
        <f t="shared" si="3"/>
        <v>0</v>
      </c>
      <c r="AN19" s="4">
        <f t="shared" si="4"/>
        <v>0</v>
      </c>
      <c r="AO19" s="3"/>
      <c r="AP19">
        <v>0</v>
      </c>
      <c r="AR19" t="s">
        <v>0</v>
      </c>
      <c r="AT19" s="2" t="s">
        <v>126</v>
      </c>
      <c r="AU19" s="1">
        <f t="shared" si="5"/>
        <v>0.340087023838125</v>
      </c>
      <c r="AV19" s="1">
        <f t="shared" si="6"/>
        <v>0.24291930274151788</v>
      </c>
      <c r="AW19" s="1">
        <f t="shared" si="7"/>
        <v>0.14575158164491073</v>
      </c>
    </row>
    <row r="20" spans="1:49" x14ac:dyDescent="0.2">
      <c r="A20">
        <v>18</v>
      </c>
      <c r="B20" t="s">
        <v>10631</v>
      </c>
      <c r="F20" t="s">
        <v>10630</v>
      </c>
      <c r="G20" t="s">
        <v>14</v>
      </c>
      <c r="H20" t="s">
        <v>13</v>
      </c>
      <c r="I20" t="s">
        <v>10629</v>
      </c>
      <c r="J20">
        <v>60014966</v>
      </c>
      <c r="K20" t="s">
        <v>10628</v>
      </c>
      <c r="L20" t="s">
        <v>855</v>
      </c>
      <c r="M20" t="s">
        <v>854</v>
      </c>
      <c r="N20">
        <v>1</v>
      </c>
      <c r="O20" t="s">
        <v>10627</v>
      </c>
      <c r="P20">
        <v>7405920084</v>
      </c>
      <c r="Q20">
        <v>60014966</v>
      </c>
      <c r="R20" s="7">
        <v>33025</v>
      </c>
      <c r="S20" s="8">
        <f t="shared" si="0"/>
        <v>1990</v>
      </c>
      <c r="T20" s="8">
        <v>1990</v>
      </c>
      <c r="U20" s="8">
        <f t="shared" si="1"/>
        <v>32</v>
      </c>
      <c r="V20" s="7">
        <v>33025</v>
      </c>
      <c r="W20" t="s">
        <v>10597</v>
      </c>
      <c r="X20" s="2">
        <v>0.182</v>
      </c>
      <c r="Y20" s="6">
        <f t="shared" si="2"/>
        <v>4.8583860548303574E-3</v>
      </c>
      <c r="AA20" t="s">
        <v>10596</v>
      </c>
      <c r="AB20">
        <v>15141</v>
      </c>
      <c r="AD20" t="s">
        <v>5</v>
      </c>
      <c r="AE20">
        <v>1</v>
      </c>
      <c r="AF20">
        <v>1</v>
      </c>
      <c r="AH20" t="s">
        <v>10626</v>
      </c>
      <c r="AI20" t="s">
        <v>10625</v>
      </c>
      <c r="AK20" t="s">
        <v>10624</v>
      </c>
      <c r="AL20">
        <v>0</v>
      </c>
      <c r="AM20" s="5">
        <f t="shared" si="3"/>
        <v>0</v>
      </c>
      <c r="AN20" s="4">
        <f t="shared" si="4"/>
        <v>0</v>
      </c>
      <c r="AO20" s="3"/>
      <c r="AP20">
        <v>0</v>
      </c>
      <c r="AR20" t="s">
        <v>0</v>
      </c>
      <c r="AT20" s="2" t="s">
        <v>126</v>
      </c>
      <c r="AU20" s="1">
        <f t="shared" si="5"/>
        <v>0.340087023838125</v>
      </c>
      <c r="AV20" s="1">
        <f t="shared" si="6"/>
        <v>0.24291930274151788</v>
      </c>
      <c r="AW20" s="1">
        <f t="shared" si="7"/>
        <v>0.14575158164491073</v>
      </c>
    </row>
    <row r="21" spans="1:49" x14ac:dyDescent="0.2">
      <c r="A21">
        <v>19</v>
      </c>
      <c r="B21" t="s">
        <v>10623</v>
      </c>
      <c r="F21" t="s">
        <v>10622</v>
      </c>
      <c r="G21" t="s">
        <v>14</v>
      </c>
      <c r="H21" t="s">
        <v>13</v>
      </c>
      <c r="I21" t="s">
        <v>10621</v>
      </c>
      <c r="N21">
        <v>3</v>
      </c>
      <c r="O21" t="s">
        <v>10620</v>
      </c>
      <c r="P21" t="s">
        <v>10619</v>
      </c>
      <c r="Q21" t="s">
        <v>391</v>
      </c>
      <c r="R21" s="7">
        <v>33025</v>
      </c>
      <c r="S21" s="8">
        <f t="shared" si="0"/>
        <v>1990</v>
      </c>
      <c r="T21" s="8">
        <v>1990</v>
      </c>
      <c r="U21" s="8">
        <f t="shared" si="1"/>
        <v>32</v>
      </c>
      <c r="V21" s="7">
        <v>33025</v>
      </c>
      <c r="W21" t="s">
        <v>390</v>
      </c>
      <c r="X21" s="2">
        <v>0.14099999999999999</v>
      </c>
      <c r="Y21" s="6">
        <f t="shared" si="2"/>
        <v>3.7639144710498915E-3</v>
      </c>
      <c r="AA21">
        <v>402508</v>
      </c>
      <c r="AB21">
        <v>20868</v>
      </c>
      <c r="AD21" t="s">
        <v>5</v>
      </c>
      <c r="AE21">
        <v>45</v>
      </c>
      <c r="AF21">
        <v>6</v>
      </c>
      <c r="AH21" t="s">
        <v>10618</v>
      </c>
      <c r="AI21" t="s">
        <v>10617</v>
      </c>
      <c r="AK21" t="s">
        <v>10616</v>
      </c>
      <c r="AL21">
        <v>0</v>
      </c>
      <c r="AM21" s="5">
        <f t="shared" si="3"/>
        <v>0</v>
      </c>
      <c r="AN21" s="4">
        <f t="shared" si="4"/>
        <v>0</v>
      </c>
      <c r="AO21" s="3"/>
      <c r="AP21">
        <v>0</v>
      </c>
      <c r="AR21" t="s">
        <v>0</v>
      </c>
      <c r="AT21" s="2" t="s">
        <v>126</v>
      </c>
      <c r="AU21" s="1">
        <f t="shared" si="5"/>
        <v>0.26347401297349238</v>
      </c>
      <c r="AV21" s="1">
        <f t="shared" si="6"/>
        <v>0.18819572355249459</v>
      </c>
      <c r="AW21" s="1">
        <f t="shared" si="7"/>
        <v>0.11291743413149673</v>
      </c>
    </row>
    <row r="22" spans="1:49" x14ac:dyDescent="0.2">
      <c r="A22">
        <v>20</v>
      </c>
      <c r="B22" t="s">
        <v>10615</v>
      </c>
      <c r="C22" t="s">
        <v>10614</v>
      </c>
      <c r="F22" t="s">
        <v>10613</v>
      </c>
      <c r="G22" t="s">
        <v>14</v>
      </c>
      <c r="H22" t="s">
        <v>13</v>
      </c>
      <c r="I22" t="s">
        <v>10612</v>
      </c>
      <c r="J22">
        <v>60019118</v>
      </c>
      <c r="K22" t="s">
        <v>10611</v>
      </c>
      <c r="L22" t="s">
        <v>10610</v>
      </c>
      <c r="M22" t="s">
        <v>854</v>
      </c>
      <c r="N22">
        <v>2</v>
      </c>
      <c r="O22" t="s">
        <v>10609</v>
      </c>
      <c r="P22" t="s">
        <v>10608</v>
      </c>
      <c r="Q22" t="s">
        <v>10607</v>
      </c>
      <c r="R22" s="7">
        <v>33025</v>
      </c>
      <c r="S22" s="8">
        <f t="shared" si="0"/>
        <v>1990</v>
      </c>
      <c r="T22" s="8">
        <v>1990</v>
      </c>
      <c r="U22" s="8">
        <f t="shared" si="1"/>
        <v>32</v>
      </c>
      <c r="V22" s="7">
        <v>33025</v>
      </c>
      <c r="W22" t="s">
        <v>9239</v>
      </c>
      <c r="X22" s="2">
        <v>0.61499999999999999</v>
      </c>
      <c r="Y22" s="6">
        <f t="shared" si="2"/>
        <v>1.6417073756706976E-2</v>
      </c>
      <c r="AA22">
        <v>1959271</v>
      </c>
      <c r="AB22">
        <v>12141</v>
      </c>
      <c r="AC22">
        <v>15729559</v>
      </c>
      <c r="AD22" t="s">
        <v>5</v>
      </c>
      <c r="AE22">
        <v>11</v>
      </c>
      <c r="AF22">
        <v>6</v>
      </c>
      <c r="AH22" t="s">
        <v>10606</v>
      </c>
      <c r="AI22" t="s">
        <v>10605</v>
      </c>
      <c r="AJ22" t="s">
        <v>10604</v>
      </c>
      <c r="AK22" t="s">
        <v>10603</v>
      </c>
      <c r="AL22">
        <v>8</v>
      </c>
      <c r="AM22" s="5">
        <f t="shared" si="3"/>
        <v>0.25</v>
      </c>
      <c r="AN22" s="4">
        <f t="shared" si="4"/>
        <v>3.786444528587656E-4</v>
      </c>
      <c r="AO22" s="3"/>
      <c r="AP22">
        <v>0</v>
      </c>
      <c r="AR22" t="s">
        <v>0</v>
      </c>
      <c r="AT22" s="2" t="s">
        <v>126</v>
      </c>
      <c r="AU22" s="1">
        <f t="shared" si="5"/>
        <v>1.1605544965552512</v>
      </c>
      <c r="AV22" s="1">
        <f t="shared" si="6"/>
        <v>0.83978591047828699</v>
      </c>
      <c r="AW22" s="1">
        <f t="shared" si="7"/>
        <v>0.51901732440132287</v>
      </c>
    </row>
    <row r="23" spans="1:49" x14ac:dyDescent="0.2">
      <c r="A23">
        <v>21</v>
      </c>
      <c r="B23" t="s">
        <v>10602</v>
      </c>
      <c r="F23" t="s">
        <v>10601</v>
      </c>
      <c r="G23" t="s">
        <v>14</v>
      </c>
      <c r="H23" t="s">
        <v>13</v>
      </c>
      <c r="I23" t="s">
        <v>10600</v>
      </c>
      <c r="J23">
        <v>60073446</v>
      </c>
      <c r="K23" t="s">
        <v>4081</v>
      </c>
      <c r="L23" t="s">
        <v>855</v>
      </c>
      <c r="M23" t="s">
        <v>854</v>
      </c>
      <c r="N23">
        <v>2</v>
      </c>
      <c r="O23" t="s">
        <v>10599</v>
      </c>
      <c r="P23" t="s">
        <v>10598</v>
      </c>
      <c r="Q23" t="s">
        <v>4078</v>
      </c>
      <c r="R23" s="7">
        <v>33025</v>
      </c>
      <c r="S23" s="8">
        <f t="shared" si="0"/>
        <v>1990</v>
      </c>
      <c r="T23" s="8">
        <v>1990</v>
      </c>
      <c r="U23" s="8">
        <f t="shared" si="1"/>
        <v>32</v>
      </c>
      <c r="V23" s="7">
        <v>33025</v>
      </c>
      <c r="W23" t="s">
        <v>10597</v>
      </c>
      <c r="X23" s="2">
        <v>0.182</v>
      </c>
      <c r="Y23" s="6">
        <f t="shared" si="2"/>
        <v>4.8583860548303574E-3</v>
      </c>
      <c r="AA23" t="s">
        <v>10596</v>
      </c>
      <c r="AB23">
        <v>15141</v>
      </c>
      <c r="AD23" t="s">
        <v>5</v>
      </c>
      <c r="AE23">
        <v>1</v>
      </c>
      <c r="AF23">
        <v>1</v>
      </c>
      <c r="AH23" t="s">
        <v>10595</v>
      </c>
      <c r="AI23" t="s">
        <v>10594</v>
      </c>
      <c r="AK23" t="s">
        <v>10593</v>
      </c>
      <c r="AL23">
        <v>0</v>
      </c>
      <c r="AM23" s="5">
        <f t="shared" si="3"/>
        <v>0</v>
      </c>
      <c r="AN23" s="4">
        <f t="shared" si="4"/>
        <v>0</v>
      </c>
      <c r="AO23" s="3"/>
      <c r="AP23">
        <v>0</v>
      </c>
      <c r="AR23" t="s">
        <v>0</v>
      </c>
      <c r="AT23" s="2" t="s">
        <v>126</v>
      </c>
      <c r="AU23" s="1">
        <f t="shared" si="5"/>
        <v>0.340087023838125</v>
      </c>
      <c r="AV23" s="1">
        <f t="shared" si="6"/>
        <v>0.24291930274151788</v>
      </c>
      <c r="AW23" s="1">
        <f t="shared" si="7"/>
        <v>0.14575158164491073</v>
      </c>
    </row>
    <row r="24" spans="1:49" x14ac:dyDescent="0.2">
      <c r="A24">
        <v>22</v>
      </c>
      <c r="B24" t="s">
        <v>10592</v>
      </c>
      <c r="C24" t="s">
        <v>10591</v>
      </c>
      <c r="D24">
        <v>5272890901503</v>
      </c>
      <c r="F24" t="s">
        <v>10590</v>
      </c>
      <c r="G24" t="s">
        <v>14</v>
      </c>
      <c r="H24" t="s">
        <v>13</v>
      </c>
      <c r="I24" t="s">
        <v>10589</v>
      </c>
      <c r="J24">
        <v>60027395</v>
      </c>
      <c r="K24" t="s">
        <v>10588</v>
      </c>
      <c r="L24" t="s">
        <v>10587</v>
      </c>
      <c r="M24" t="s">
        <v>267</v>
      </c>
      <c r="N24">
        <v>2</v>
      </c>
      <c r="O24" t="s">
        <v>10586</v>
      </c>
      <c r="P24" t="s">
        <v>10585</v>
      </c>
      <c r="Q24" t="s">
        <v>10584</v>
      </c>
      <c r="R24" s="7">
        <v>33025</v>
      </c>
      <c r="S24" s="8">
        <f t="shared" si="0"/>
        <v>1990</v>
      </c>
      <c r="T24" s="8">
        <v>1990</v>
      </c>
      <c r="U24" s="8">
        <f t="shared" si="1"/>
        <v>32</v>
      </c>
      <c r="V24" s="7">
        <v>33025</v>
      </c>
      <c r="W24" t="s">
        <v>9100</v>
      </c>
      <c r="X24" s="2">
        <v>1.59</v>
      </c>
      <c r="Y24" s="6">
        <f t="shared" si="2"/>
        <v>4.2444141907583888E-2</v>
      </c>
      <c r="AA24">
        <v>52728</v>
      </c>
      <c r="AB24">
        <v>16791</v>
      </c>
      <c r="AD24" t="s">
        <v>5</v>
      </c>
      <c r="AE24">
        <v>1017</v>
      </c>
      <c r="AF24">
        <v>2</v>
      </c>
      <c r="AH24" t="s">
        <v>10583</v>
      </c>
      <c r="AI24" t="s">
        <v>10582</v>
      </c>
      <c r="AJ24" t="s">
        <v>10581</v>
      </c>
      <c r="AK24" t="s">
        <v>10580</v>
      </c>
      <c r="AL24">
        <v>16</v>
      </c>
      <c r="AM24" s="5">
        <f t="shared" si="3"/>
        <v>0.5</v>
      </c>
      <c r="AN24" s="4">
        <f t="shared" si="4"/>
        <v>7.572889057175312E-4</v>
      </c>
      <c r="AO24" s="3"/>
      <c r="AP24">
        <v>0</v>
      </c>
      <c r="AR24" t="s">
        <v>0</v>
      </c>
      <c r="AT24" s="2" t="s">
        <v>126</v>
      </c>
      <c r="AU24" s="1">
        <f t="shared" si="5"/>
        <v>2.9938086007023981</v>
      </c>
      <c r="AV24" s="1">
        <f t="shared" si="6"/>
        <v>2.1600715406650708</v>
      </c>
      <c r="AW24" s="1">
        <f t="shared" si="7"/>
        <v>1.3263344806277437</v>
      </c>
    </row>
    <row r="25" spans="1:49" x14ac:dyDescent="0.2">
      <c r="A25">
        <v>23</v>
      </c>
      <c r="B25" t="s">
        <v>10579</v>
      </c>
      <c r="E25">
        <v>2110162</v>
      </c>
      <c r="F25" t="s">
        <v>10578</v>
      </c>
      <c r="G25" t="s">
        <v>14</v>
      </c>
      <c r="H25" t="s">
        <v>13</v>
      </c>
      <c r="I25" t="s">
        <v>10577</v>
      </c>
      <c r="J25">
        <v>60009839</v>
      </c>
      <c r="K25" t="s">
        <v>10576</v>
      </c>
      <c r="L25" t="s">
        <v>10575</v>
      </c>
      <c r="M25" t="s">
        <v>1937</v>
      </c>
      <c r="N25">
        <v>5</v>
      </c>
      <c r="O25" t="s">
        <v>10574</v>
      </c>
      <c r="P25" t="s">
        <v>10573</v>
      </c>
      <c r="Q25" t="s">
        <v>10572</v>
      </c>
      <c r="R25" s="7">
        <v>33025</v>
      </c>
      <c r="S25" s="8">
        <f t="shared" si="0"/>
        <v>1990</v>
      </c>
      <c r="T25" s="8">
        <v>1990</v>
      </c>
      <c r="U25" s="8">
        <f t="shared" si="1"/>
        <v>32</v>
      </c>
      <c r="V25" s="7">
        <v>1990</v>
      </c>
      <c r="W25" t="s">
        <v>9734</v>
      </c>
      <c r="X25" s="2">
        <v>2.3610000000000002</v>
      </c>
      <c r="Y25" s="6">
        <f t="shared" si="2"/>
        <v>6.3025546568431179E-2</v>
      </c>
      <c r="AA25">
        <v>219258</v>
      </c>
      <c r="AB25">
        <v>17592</v>
      </c>
      <c r="AD25" t="s">
        <v>5</v>
      </c>
      <c r="AE25">
        <v>265</v>
      </c>
      <c r="AF25">
        <v>13</v>
      </c>
      <c r="AH25" t="s">
        <v>10571</v>
      </c>
      <c r="AI25" t="s">
        <v>10570</v>
      </c>
      <c r="AK25" t="s">
        <v>10569</v>
      </c>
      <c r="AL25">
        <v>73</v>
      </c>
      <c r="AM25" s="5">
        <f t="shared" si="3"/>
        <v>2.28125</v>
      </c>
      <c r="AN25" s="4">
        <f t="shared" si="4"/>
        <v>3.4551306323362362E-3</v>
      </c>
      <c r="AO25" s="3"/>
      <c r="AP25">
        <v>0</v>
      </c>
      <c r="AR25" t="s">
        <v>0</v>
      </c>
      <c r="AT25" s="2">
        <v>5.157</v>
      </c>
      <c r="AU25" s="1">
        <f t="shared" si="5"/>
        <v>4.515442178760269</v>
      </c>
      <c r="AV25" s="1">
        <f t="shared" si="6"/>
        <v>3.3240338600383708</v>
      </c>
      <c r="AW25" s="1">
        <f t="shared" si="7"/>
        <v>2.1326255413164721</v>
      </c>
    </row>
    <row r="26" spans="1:49" x14ac:dyDescent="0.2">
      <c r="A26">
        <v>24</v>
      </c>
      <c r="B26" t="s">
        <v>10568</v>
      </c>
      <c r="C26" t="s">
        <v>10567</v>
      </c>
      <c r="E26">
        <v>1698750</v>
      </c>
      <c r="F26" t="s">
        <v>10566</v>
      </c>
      <c r="G26" t="s">
        <v>14</v>
      </c>
      <c r="H26" t="s">
        <v>13</v>
      </c>
      <c r="I26" t="s">
        <v>10565</v>
      </c>
      <c r="J26" t="s">
        <v>10564</v>
      </c>
      <c r="K26" t="s">
        <v>10563</v>
      </c>
      <c r="L26" t="s">
        <v>10562</v>
      </c>
      <c r="M26" t="s">
        <v>10561</v>
      </c>
      <c r="N26">
        <v>5</v>
      </c>
      <c r="O26" t="s">
        <v>10560</v>
      </c>
      <c r="P26" t="s">
        <v>10559</v>
      </c>
      <c r="Q26" t="s">
        <v>10558</v>
      </c>
      <c r="R26" s="7">
        <v>33025</v>
      </c>
      <c r="S26" s="8">
        <f t="shared" si="0"/>
        <v>1990</v>
      </c>
      <c r="T26" s="8">
        <v>1990</v>
      </c>
      <c r="U26" s="8">
        <f t="shared" si="1"/>
        <v>32</v>
      </c>
      <c r="V26" s="7">
        <v>33025</v>
      </c>
      <c r="W26" t="s">
        <v>10557</v>
      </c>
      <c r="X26" s="2" t="s">
        <v>126</v>
      </c>
      <c r="Y26" s="6" t="e">
        <f t="shared" si="2"/>
        <v>#VALUE!</v>
      </c>
      <c r="AA26">
        <v>182214</v>
      </c>
      <c r="AB26">
        <v>31466</v>
      </c>
      <c r="AC26">
        <v>15736865</v>
      </c>
      <c r="AD26" t="s">
        <v>5</v>
      </c>
      <c r="AE26">
        <v>22</v>
      </c>
      <c r="AF26" s="9">
        <v>44383</v>
      </c>
      <c r="AH26" t="s">
        <v>10167</v>
      </c>
      <c r="AI26" t="s">
        <v>10556</v>
      </c>
      <c r="AK26" t="s">
        <v>10555</v>
      </c>
      <c r="AL26">
        <v>19</v>
      </c>
      <c r="AM26" s="5">
        <f t="shared" si="3"/>
        <v>0.59375</v>
      </c>
      <c r="AN26" s="4">
        <f t="shared" si="4"/>
        <v>8.9928057553956839E-4</v>
      </c>
      <c r="AO26" s="3"/>
      <c r="AP26">
        <v>0</v>
      </c>
      <c r="AR26" t="s">
        <v>0</v>
      </c>
      <c r="AT26" s="2" t="s">
        <v>126</v>
      </c>
      <c r="AU26" s="1" t="e">
        <f t="shared" si="5"/>
        <v>#VALUE!</v>
      </c>
      <c r="AV26" s="1" t="e">
        <f t="shared" si="6"/>
        <v>#VALUE!</v>
      </c>
      <c r="AW26" s="1" t="e">
        <f t="shared" si="7"/>
        <v>#VALUE!</v>
      </c>
    </row>
    <row r="27" spans="1:49" x14ac:dyDescent="0.2">
      <c r="A27">
        <v>25</v>
      </c>
      <c r="B27" t="s">
        <v>10554</v>
      </c>
      <c r="C27" t="s">
        <v>10553</v>
      </c>
      <c r="F27" t="s">
        <v>10552</v>
      </c>
      <c r="G27" t="s">
        <v>14</v>
      </c>
      <c r="H27" t="s">
        <v>13</v>
      </c>
      <c r="I27" t="s">
        <v>10551</v>
      </c>
      <c r="J27" t="s">
        <v>10550</v>
      </c>
      <c r="K27" t="s">
        <v>10549</v>
      </c>
      <c r="L27" t="s">
        <v>10548</v>
      </c>
      <c r="M27" t="s">
        <v>4429</v>
      </c>
      <c r="N27">
        <v>3</v>
      </c>
      <c r="O27" t="s">
        <v>10547</v>
      </c>
      <c r="P27" t="s">
        <v>10546</v>
      </c>
      <c r="Q27" t="s">
        <v>10545</v>
      </c>
      <c r="R27" s="7">
        <v>33025</v>
      </c>
      <c r="S27" s="8">
        <f t="shared" si="0"/>
        <v>1990</v>
      </c>
      <c r="T27" s="8">
        <v>1990</v>
      </c>
      <c r="U27" s="8">
        <f t="shared" si="1"/>
        <v>32</v>
      </c>
      <c r="V27" s="7">
        <v>33025</v>
      </c>
      <c r="W27" t="s">
        <v>9442</v>
      </c>
      <c r="X27" s="2">
        <v>1.2529999999999999</v>
      </c>
      <c r="Y27" s="6">
        <f t="shared" si="2"/>
        <v>3.3448119377485916E-2</v>
      </c>
      <c r="AA27">
        <v>320935</v>
      </c>
      <c r="AB27">
        <v>16646</v>
      </c>
      <c r="AC27">
        <v>14322048</v>
      </c>
      <c r="AD27" t="s">
        <v>5</v>
      </c>
      <c r="AE27">
        <v>181</v>
      </c>
      <c r="AF27">
        <v>3</v>
      </c>
      <c r="AH27" t="s">
        <v>10544</v>
      </c>
      <c r="AI27" t="s">
        <v>10543</v>
      </c>
      <c r="AJ27" t="s">
        <v>10542</v>
      </c>
      <c r="AK27" t="s">
        <v>10541</v>
      </c>
      <c r="AL27">
        <v>50</v>
      </c>
      <c r="AM27" s="5">
        <f t="shared" si="3"/>
        <v>1.5625</v>
      </c>
      <c r="AN27" s="4">
        <f t="shared" si="4"/>
        <v>2.3665278303672851E-3</v>
      </c>
      <c r="AO27" s="3"/>
      <c r="AP27">
        <v>0</v>
      </c>
      <c r="AR27" t="s">
        <v>0</v>
      </c>
      <c r="AT27" s="2">
        <v>4.1159999999999997</v>
      </c>
      <c r="AU27" s="1">
        <f t="shared" si="5"/>
        <v>2.4123641913350324</v>
      </c>
      <c r="AV27" s="1">
        <f t="shared" si="6"/>
        <v>1.7907323603926599</v>
      </c>
      <c r="AW27" s="1">
        <f t="shared" si="7"/>
        <v>1.1691005294502874</v>
      </c>
    </row>
    <row r="28" spans="1:49" x14ac:dyDescent="0.2">
      <c r="A28">
        <v>26</v>
      </c>
      <c r="B28" t="s">
        <v>10540</v>
      </c>
      <c r="C28" t="s">
        <v>10539</v>
      </c>
      <c r="F28" t="s">
        <v>10538</v>
      </c>
      <c r="G28" t="s">
        <v>14</v>
      </c>
      <c r="H28" t="s">
        <v>13</v>
      </c>
      <c r="I28" t="s">
        <v>10537</v>
      </c>
      <c r="J28" t="s">
        <v>10536</v>
      </c>
      <c r="K28" t="s">
        <v>10535</v>
      </c>
      <c r="L28" t="s">
        <v>10534</v>
      </c>
      <c r="M28" t="s">
        <v>84</v>
      </c>
      <c r="N28">
        <v>4</v>
      </c>
      <c r="O28" t="s">
        <v>10533</v>
      </c>
      <c r="P28" t="s">
        <v>10532</v>
      </c>
      <c r="Q28" t="s">
        <v>10531</v>
      </c>
      <c r="R28" s="7">
        <v>33025</v>
      </c>
      <c r="S28" s="8">
        <f t="shared" si="0"/>
        <v>1990</v>
      </c>
      <c r="T28" s="8">
        <v>1990</v>
      </c>
      <c r="U28" s="8">
        <f t="shared" si="1"/>
        <v>32</v>
      </c>
      <c r="V28" s="7">
        <v>33025</v>
      </c>
      <c r="W28" t="s">
        <v>9480</v>
      </c>
      <c r="X28" s="2">
        <v>0.85499999999999998</v>
      </c>
      <c r="Y28" s="6">
        <f t="shared" si="2"/>
        <v>2.28237366861536E-2</v>
      </c>
      <c r="AA28">
        <v>980331</v>
      </c>
      <c r="AB28">
        <v>23342</v>
      </c>
      <c r="AC28">
        <v>15731561</v>
      </c>
      <c r="AD28" t="s">
        <v>5</v>
      </c>
      <c r="AE28">
        <v>16</v>
      </c>
      <c r="AF28">
        <v>6</v>
      </c>
      <c r="AH28" t="s">
        <v>10530</v>
      </c>
      <c r="AI28" t="s">
        <v>10529</v>
      </c>
      <c r="AJ28" t="s">
        <v>10528</v>
      </c>
      <c r="AK28" t="s">
        <v>10527</v>
      </c>
      <c r="AL28">
        <v>45</v>
      </c>
      <c r="AM28" s="5">
        <f t="shared" si="3"/>
        <v>1.40625</v>
      </c>
      <c r="AN28" s="4">
        <f t="shared" si="4"/>
        <v>2.1298750473305564E-3</v>
      </c>
      <c r="AO28" s="3"/>
      <c r="AP28">
        <v>0</v>
      </c>
      <c r="AR28" t="s">
        <v>0</v>
      </c>
      <c r="AT28" s="2">
        <v>2.6259999999999999</v>
      </c>
      <c r="AU28" s="1">
        <f t="shared" si="5"/>
        <v>1.6615578194506684</v>
      </c>
      <c r="AV28" s="1">
        <f t="shared" si="6"/>
        <v>1.2476805866742078</v>
      </c>
      <c r="AW28" s="1">
        <f t="shared" si="7"/>
        <v>0.83380335389774685</v>
      </c>
    </row>
    <row r="29" spans="1:49" x14ac:dyDescent="0.2">
      <c r="A29">
        <v>27</v>
      </c>
      <c r="B29" t="s">
        <v>10526</v>
      </c>
      <c r="C29" t="s">
        <v>10525</v>
      </c>
      <c r="F29" t="s">
        <v>10524</v>
      </c>
      <c r="G29" t="s">
        <v>14</v>
      </c>
      <c r="H29" t="s">
        <v>13</v>
      </c>
      <c r="I29" t="s">
        <v>10523</v>
      </c>
      <c r="J29" t="s">
        <v>10522</v>
      </c>
      <c r="K29" t="s">
        <v>10521</v>
      </c>
      <c r="L29" t="s">
        <v>10520</v>
      </c>
      <c r="M29" t="s">
        <v>10519</v>
      </c>
      <c r="N29">
        <v>3</v>
      </c>
      <c r="O29" t="s">
        <v>10518</v>
      </c>
      <c r="P29" t="s">
        <v>10517</v>
      </c>
      <c r="Q29" t="s">
        <v>10516</v>
      </c>
      <c r="R29" s="7">
        <v>33025</v>
      </c>
      <c r="S29" s="8">
        <f t="shared" si="0"/>
        <v>1990</v>
      </c>
      <c r="T29" s="8">
        <v>1990</v>
      </c>
      <c r="U29" s="8">
        <f t="shared" si="1"/>
        <v>32</v>
      </c>
      <c r="V29" s="7">
        <v>33025</v>
      </c>
      <c r="W29" t="s">
        <v>9455</v>
      </c>
      <c r="X29" s="2">
        <v>1.1579999999999999</v>
      </c>
      <c r="Y29" s="6">
        <f t="shared" si="2"/>
        <v>3.0912148634579962E-2</v>
      </c>
      <c r="AA29">
        <v>1668595</v>
      </c>
      <c r="AB29">
        <v>14223</v>
      </c>
      <c r="AC29">
        <v>15735079</v>
      </c>
      <c r="AD29" t="s">
        <v>5</v>
      </c>
      <c r="AE29">
        <v>24</v>
      </c>
      <c r="AF29">
        <v>3</v>
      </c>
      <c r="AH29" t="s">
        <v>10515</v>
      </c>
      <c r="AI29" t="s">
        <v>10514</v>
      </c>
      <c r="AJ29" t="s">
        <v>10513</v>
      </c>
      <c r="AK29" t="s">
        <v>10512</v>
      </c>
      <c r="AL29">
        <v>13</v>
      </c>
      <c r="AM29" s="5">
        <f t="shared" si="3"/>
        <v>0.40625</v>
      </c>
      <c r="AN29" s="4">
        <f t="shared" si="4"/>
        <v>6.1529723589549411E-4</v>
      </c>
      <c r="AO29" s="3"/>
      <c r="AP29">
        <v>0</v>
      </c>
      <c r="AR29" t="s">
        <v>0</v>
      </c>
      <c r="AT29" s="2">
        <v>3.573</v>
      </c>
      <c r="AU29" s="1">
        <f t="shared" si="5"/>
        <v>2.182309321497462</v>
      </c>
      <c r="AV29" s="1">
        <f t="shared" si="6"/>
        <v>1.5763722935237729</v>
      </c>
      <c r="AW29" s="1">
        <f t="shared" si="7"/>
        <v>0.97043526555008341</v>
      </c>
    </row>
    <row r="30" spans="1:49" x14ac:dyDescent="0.2">
      <c r="A30">
        <v>28</v>
      </c>
      <c r="B30" t="s">
        <v>10511</v>
      </c>
      <c r="C30" t="s">
        <v>10510</v>
      </c>
      <c r="F30" t="s">
        <v>10509</v>
      </c>
      <c r="G30" t="s">
        <v>14</v>
      </c>
      <c r="H30" t="s">
        <v>13</v>
      </c>
      <c r="I30" t="s">
        <v>10066</v>
      </c>
      <c r="J30" t="s">
        <v>10508</v>
      </c>
      <c r="K30" t="s">
        <v>10507</v>
      </c>
      <c r="L30" t="s">
        <v>10506</v>
      </c>
      <c r="M30" t="s">
        <v>10505</v>
      </c>
      <c r="N30">
        <v>6</v>
      </c>
      <c r="O30" t="s">
        <v>10504</v>
      </c>
      <c r="P30" t="s">
        <v>10503</v>
      </c>
      <c r="Q30" t="s">
        <v>10502</v>
      </c>
      <c r="R30" s="7">
        <v>33025</v>
      </c>
      <c r="S30" s="8">
        <f t="shared" si="0"/>
        <v>1990</v>
      </c>
      <c r="T30" s="8">
        <v>1990</v>
      </c>
      <c r="U30" s="8">
        <f t="shared" si="1"/>
        <v>32</v>
      </c>
      <c r="V30" s="7">
        <v>33025</v>
      </c>
      <c r="W30" t="s">
        <v>9480</v>
      </c>
      <c r="X30" s="2">
        <v>0.85499999999999998</v>
      </c>
      <c r="Y30" s="6">
        <f t="shared" si="2"/>
        <v>2.28237366861536E-2</v>
      </c>
      <c r="AA30">
        <v>980331</v>
      </c>
      <c r="AB30">
        <v>23342</v>
      </c>
      <c r="AC30">
        <v>15731561</v>
      </c>
      <c r="AD30" t="s">
        <v>5</v>
      </c>
      <c r="AE30">
        <v>16</v>
      </c>
      <c r="AF30">
        <v>6</v>
      </c>
      <c r="AH30" t="s">
        <v>10501</v>
      </c>
      <c r="AI30" t="s">
        <v>10500</v>
      </c>
      <c r="AJ30" t="s">
        <v>10499</v>
      </c>
      <c r="AK30" t="s">
        <v>10498</v>
      </c>
      <c r="AL30">
        <v>33</v>
      </c>
      <c r="AM30" s="5">
        <f t="shared" si="3"/>
        <v>1.03125</v>
      </c>
      <c r="AN30" s="4">
        <f t="shared" si="4"/>
        <v>1.5619083680424083E-3</v>
      </c>
      <c r="AO30" s="3"/>
      <c r="AP30">
        <v>0</v>
      </c>
      <c r="AR30" t="s">
        <v>0</v>
      </c>
      <c r="AT30" s="2">
        <v>2.6259999999999999</v>
      </c>
      <c r="AU30" s="1">
        <f t="shared" si="5"/>
        <v>1.6445188190720241</v>
      </c>
      <c r="AV30" s="1">
        <f t="shared" si="6"/>
        <v>1.2192822527098004</v>
      </c>
      <c r="AW30" s="1">
        <f t="shared" si="7"/>
        <v>0.79404568634757655</v>
      </c>
    </row>
    <row r="31" spans="1:49" x14ac:dyDescent="0.2">
      <c r="A31">
        <v>29</v>
      </c>
      <c r="B31" t="s">
        <v>10497</v>
      </c>
      <c r="C31" t="s">
        <v>10496</v>
      </c>
      <c r="F31" t="s">
        <v>10495</v>
      </c>
      <c r="G31" t="s">
        <v>14</v>
      </c>
      <c r="H31" t="s">
        <v>13</v>
      </c>
      <c r="I31" t="s">
        <v>9975</v>
      </c>
      <c r="J31">
        <v>60028586</v>
      </c>
      <c r="K31" t="s">
        <v>10494</v>
      </c>
      <c r="L31" t="s">
        <v>10493</v>
      </c>
      <c r="M31" t="s">
        <v>267</v>
      </c>
      <c r="N31">
        <v>1</v>
      </c>
      <c r="O31" t="s">
        <v>10492</v>
      </c>
      <c r="P31">
        <v>7006461138</v>
      </c>
      <c r="Q31">
        <v>60028586</v>
      </c>
      <c r="R31" s="7">
        <v>33025</v>
      </c>
      <c r="S31" s="8">
        <f t="shared" si="0"/>
        <v>1990</v>
      </c>
      <c r="T31" s="8">
        <v>1990</v>
      </c>
      <c r="U31" s="8">
        <f t="shared" si="1"/>
        <v>32</v>
      </c>
      <c r="V31" s="7">
        <v>33025</v>
      </c>
      <c r="W31" t="s">
        <v>10491</v>
      </c>
      <c r="X31" s="2" t="s">
        <v>126</v>
      </c>
      <c r="Y31" s="6" t="e">
        <f t="shared" si="2"/>
        <v>#VALUE!</v>
      </c>
      <c r="AA31" t="s">
        <v>10490</v>
      </c>
      <c r="AB31">
        <v>12100155624</v>
      </c>
      <c r="AC31">
        <v>16180860</v>
      </c>
      <c r="AD31" t="s">
        <v>5</v>
      </c>
      <c r="AE31">
        <v>103</v>
      </c>
      <c r="AF31">
        <v>2</v>
      </c>
      <c r="AH31" t="s">
        <v>10489</v>
      </c>
      <c r="AI31" t="s">
        <v>10488</v>
      </c>
      <c r="AJ31" t="s">
        <v>10487</v>
      </c>
      <c r="AK31" t="s">
        <v>10486</v>
      </c>
      <c r="AL31">
        <v>8</v>
      </c>
      <c r="AM31" s="5">
        <f t="shared" si="3"/>
        <v>0.25</v>
      </c>
      <c r="AN31" s="4">
        <f t="shared" si="4"/>
        <v>3.786444528587656E-4</v>
      </c>
      <c r="AO31" s="3"/>
      <c r="AP31">
        <v>0</v>
      </c>
      <c r="AR31" t="s">
        <v>0</v>
      </c>
      <c r="AT31" s="2" t="s">
        <v>126</v>
      </c>
      <c r="AU31" s="1" t="e">
        <f t="shared" si="5"/>
        <v>#VALUE!</v>
      </c>
      <c r="AV31" s="1" t="e">
        <f t="shared" si="6"/>
        <v>#VALUE!</v>
      </c>
      <c r="AW31" s="1" t="e">
        <f t="shared" si="7"/>
        <v>#VALUE!</v>
      </c>
    </row>
    <row r="32" spans="1:49" x14ac:dyDescent="0.2">
      <c r="A32">
        <v>30</v>
      </c>
      <c r="B32" t="s">
        <v>10485</v>
      </c>
      <c r="C32" t="s">
        <v>10484</v>
      </c>
      <c r="F32" t="s">
        <v>10483</v>
      </c>
      <c r="G32" t="s">
        <v>14</v>
      </c>
      <c r="H32" t="s">
        <v>13</v>
      </c>
      <c r="I32" t="s">
        <v>10482</v>
      </c>
      <c r="J32" t="s">
        <v>10481</v>
      </c>
      <c r="K32" t="s">
        <v>10480</v>
      </c>
      <c r="L32" t="s">
        <v>10479</v>
      </c>
      <c r="M32" t="s">
        <v>10478</v>
      </c>
      <c r="N32">
        <v>3</v>
      </c>
      <c r="O32" t="s">
        <v>10477</v>
      </c>
      <c r="P32" t="s">
        <v>10476</v>
      </c>
      <c r="Q32" t="s">
        <v>10475</v>
      </c>
      <c r="R32" s="7">
        <v>33025</v>
      </c>
      <c r="S32" s="8">
        <f t="shared" si="0"/>
        <v>1990</v>
      </c>
      <c r="T32" s="8">
        <v>1990</v>
      </c>
      <c r="U32" s="8">
        <f t="shared" si="1"/>
        <v>32</v>
      </c>
      <c r="V32" s="7">
        <v>33025</v>
      </c>
      <c r="W32" t="s">
        <v>9455</v>
      </c>
      <c r="X32" s="2">
        <v>1.1579999999999999</v>
      </c>
      <c r="Y32" s="6">
        <f t="shared" si="2"/>
        <v>3.0912148634579962E-2</v>
      </c>
      <c r="AA32">
        <v>1668595</v>
      </c>
      <c r="AB32">
        <v>14223</v>
      </c>
      <c r="AC32">
        <v>15735079</v>
      </c>
      <c r="AD32" t="s">
        <v>5</v>
      </c>
      <c r="AE32">
        <v>24</v>
      </c>
      <c r="AF32">
        <v>3</v>
      </c>
      <c r="AH32" t="s">
        <v>10474</v>
      </c>
      <c r="AI32" t="s">
        <v>10473</v>
      </c>
      <c r="AJ32" t="s">
        <v>10472</v>
      </c>
      <c r="AK32" t="s">
        <v>10471</v>
      </c>
      <c r="AL32">
        <v>41</v>
      </c>
      <c r="AM32" s="5">
        <f t="shared" si="3"/>
        <v>1.28125</v>
      </c>
      <c r="AN32" s="4">
        <f t="shared" si="4"/>
        <v>1.9405528209011738E-3</v>
      </c>
      <c r="AO32" s="3"/>
      <c r="AP32">
        <v>0</v>
      </c>
      <c r="AR32" t="s">
        <v>0</v>
      </c>
      <c r="AT32" s="2">
        <v>3.573</v>
      </c>
      <c r="AU32" s="1">
        <f t="shared" si="5"/>
        <v>2.2220669890476321</v>
      </c>
      <c r="AV32" s="1">
        <f t="shared" si="6"/>
        <v>1.6426350727740568</v>
      </c>
      <c r="AW32" s="1">
        <f t="shared" si="7"/>
        <v>1.0632031565004811</v>
      </c>
    </row>
    <row r="33" spans="1:49" x14ac:dyDescent="0.2">
      <c r="A33">
        <v>31</v>
      </c>
      <c r="B33" t="s">
        <v>10470</v>
      </c>
      <c r="C33" t="s">
        <v>10469</v>
      </c>
      <c r="D33" t="s">
        <v>10468</v>
      </c>
      <c r="E33">
        <v>2192916</v>
      </c>
      <c r="F33" t="s">
        <v>10467</v>
      </c>
      <c r="G33" t="s">
        <v>14</v>
      </c>
      <c r="H33" t="s">
        <v>13</v>
      </c>
      <c r="I33" t="s">
        <v>10466</v>
      </c>
      <c r="J33">
        <v>60027550</v>
      </c>
      <c r="K33" t="s">
        <v>3438</v>
      </c>
      <c r="L33" t="s">
        <v>280</v>
      </c>
      <c r="M33" t="s">
        <v>197</v>
      </c>
      <c r="N33">
        <v>4</v>
      </c>
      <c r="O33" t="s">
        <v>10465</v>
      </c>
      <c r="P33" t="s">
        <v>10464</v>
      </c>
      <c r="Q33" t="s">
        <v>10463</v>
      </c>
      <c r="R33" s="7">
        <v>33014</v>
      </c>
      <c r="S33" s="8">
        <f t="shared" si="0"/>
        <v>1990</v>
      </c>
      <c r="T33" s="8">
        <v>1990</v>
      </c>
      <c r="U33" s="8">
        <f t="shared" si="1"/>
        <v>32</v>
      </c>
      <c r="V33" s="7">
        <v>33014</v>
      </c>
      <c r="W33" t="s">
        <v>10462</v>
      </c>
      <c r="X33" s="2">
        <v>1.593</v>
      </c>
      <c r="Y33" s="6">
        <f t="shared" si="2"/>
        <v>4.2524225194201973E-2</v>
      </c>
      <c r="AA33">
        <v>145793</v>
      </c>
      <c r="AB33">
        <v>17481</v>
      </c>
      <c r="AD33" t="s">
        <v>5</v>
      </c>
      <c r="AE33">
        <v>264</v>
      </c>
      <c r="AF33">
        <v>2</v>
      </c>
      <c r="AH33" t="s">
        <v>10461</v>
      </c>
      <c r="AI33" t="s">
        <v>10460</v>
      </c>
      <c r="AJ33" t="s">
        <v>10459</v>
      </c>
      <c r="AK33" t="s">
        <v>10458</v>
      </c>
      <c r="AL33">
        <v>9</v>
      </c>
      <c r="AM33" s="5">
        <f t="shared" si="3"/>
        <v>0.28125</v>
      </c>
      <c r="AN33" s="4">
        <f t="shared" si="4"/>
        <v>4.2597500946611131E-4</v>
      </c>
      <c r="AO33" s="3"/>
      <c r="AP33">
        <v>0</v>
      </c>
      <c r="AQ33" t="s">
        <v>1454</v>
      </c>
      <c r="AR33">
        <v>8816320</v>
      </c>
      <c r="AS33" t="s">
        <v>1452</v>
      </c>
      <c r="AT33" s="2">
        <v>4.1239999999999997</v>
      </c>
      <c r="AU33" s="1">
        <f t="shared" si="5"/>
        <v>2.9894750138781214</v>
      </c>
      <c r="AV33" s="1">
        <f t="shared" si="6"/>
        <v>2.1475100101834044</v>
      </c>
      <c r="AW33" s="1">
        <f t="shared" si="7"/>
        <v>1.3055450064886869</v>
      </c>
    </row>
    <row r="34" spans="1:49" x14ac:dyDescent="0.2">
      <c r="A34">
        <v>32</v>
      </c>
      <c r="B34" t="s">
        <v>10457</v>
      </c>
      <c r="C34" t="s">
        <v>10456</v>
      </c>
      <c r="F34" t="s">
        <v>10455</v>
      </c>
      <c r="G34" t="s">
        <v>14</v>
      </c>
      <c r="H34" t="s">
        <v>13</v>
      </c>
      <c r="I34" t="s">
        <v>10454</v>
      </c>
      <c r="J34" t="s">
        <v>10453</v>
      </c>
      <c r="K34" t="s">
        <v>10452</v>
      </c>
      <c r="L34" t="s">
        <v>10451</v>
      </c>
      <c r="M34" t="s">
        <v>1702</v>
      </c>
      <c r="N34">
        <v>6</v>
      </c>
      <c r="O34" t="s">
        <v>10450</v>
      </c>
      <c r="P34" t="s">
        <v>10449</v>
      </c>
      <c r="Q34" t="s">
        <v>10448</v>
      </c>
      <c r="R34" s="7">
        <v>33013</v>
      </c>
      <c r="S34" s="8">
        <f t="shared" si="0"/>
        <v>1990</v>
      </c>
      <c r="T34" s="8">
        <v>1990</v>
      </c>
      <c r="U34" s="8">
        <f t="shared" si="1"/>
        <v>32</v>
      </c>
      <c r="V34" s="7">
        <v>33013</v>
      </c>
      <c r="W34" t="s">
        <v>369</v>
      </c>
      <c r="X34" s="2">
        <v>2.3759999999999999</v>
      </c>
      <c r="Y34" s="6">
        <f t="shared" si="2"/>
        <v>6.3425963001521576E-2</v>
      </c>
      <c r="AA34" t="s">
        <v>368</v>
      </c>
      <c r="AB34">
        <v>26765</v>
      </c>
      <c r="AC34">
        <v>15384357</v>
      </c>
      <c r="AD34" t="s">
        <v>5</v>
      </c>
      <c r="AE34">
        <v>355</v>
      </c>
      <c r="AF34">
        <v>1</v>
      </c>
      <c r="AH34" t="s">
        <v>10447</v>
      </c>
      <c r="AI34" t="s">
        <v>10446</v>
      </c>
      <c r="AJ34" t="s">
        <v>10445</v>
      </c>
      <c r="AK34" t="s">
        <v>10444</v>
      </c>
      <c r="AL34">
        <v>21</v>
      </c>
      <c r="AM34" s="5">
        <f t="shared" si="3"/>
        <v>0.65625</v>
      </c>
      <c r="AN34" s="4">
        <f t="shared" si="4"/>
        <v>9.9394168875425971E-4</v>
      </c>
      <c r="AO34" s="3"/>
      <c r="AP34">
        <v>0</v>
      </c>
      <c r="AR34" t="s">
        <v>0</v>
      </c>
      <c r="AT34" s="2">
        <v>5.8739999999999997</v>
      </c>
      <c r="AU34" s="1">
        <f t="shared" si="5"/>
        <v>4.4696356607691374</v>
      </c>
      <c r="AV34" s="1">
        <f t="shared" si="6"/>
        <v>3.2209952345137918</v>
      </c>
      <c r="AW34" s="1">
        <f t="shared" si="7"/>
        <v>1.9723548082584454</v>
      </c>
    </row>
    <row r="35" spans="1:49" x14ac:dyDescent="0.2">
      <c r="A35">
        <v>33</v>
      </c>
      <c r="B35" t="s">
        <v>10443</v>
      </c>
      <c r="E35">
        <v>2108153</v>
      </c>
      <c r="F35" t="s">
        <v>10442</v>
      </c>
      <c r="G35" t="s">
        <v>14</v>
      </c>
      <c r="H35" t="s">
        <v>13</v>
      </c>
      <c r="I35" t="s">
        <v>10441</v>
      </c>
      <c r="J35">
        <v>60010910</v>
      </c>
      <c r="K35" t="s">
        <v>10440</v>
      </c>
      <c r="L35" t="s">
        <v>10439</v>
      </c>
      <c r="M35" t="s">
        <v>197</v>
      </c>
      <c r="N35">
        <v>3</v>
      </c>
      <c r="O35" t="s">
        <v>10438</v>
      </c>
      <c r="P35" t="s">
        <v>10437</v>
      </c>
      <c r="Q35" t="s">
        <v>10436</v>
      </c>
      <c r="R35" s="7">
        <v>33009</v>
      </c>
      <c r="S35" s="8">
        <f t="shared" si="0"/>
        <v>1990</v>
      </c>
      <c r="T35" s="8">
        <v>1990</v>
      </c>
      <c r="U35" s="8">
        <f t="shared" si="1"/>
        <v>32</v>
      </c>
      <c r="V35" s="7">
        <v>1990</v>
      </c>
      <c r="W35" t="s">
        <v>9734</v>
      </c>
      <c r="X35" s="2">
        <v>2.3610000000000002</v>
      </c>
      <c r="Y35" s="6">
        <f t="shared" si="2"/>
        <v>6.3025546568431179E-2</v>
      </c>
      <c r="AA35">
        <v>219258</v>
      </c>
      <c r="AB35">
        <v>17592</v>
      </c>
      <c r="AD35" t="s">
        <v>5</v>
      </c>
      <c r="AE35">
        <v>265</v>
      </c>
      <c r="AF35">
        <v>11</v>
      </c>
      <c r="AH35" t="s">
        <v>10435</v>
      </c>
      <c r="AI35" t="s">
        <v>10434</v>
      </c>
      <c r="AK35" t="s">
        <v>10433</v>
      </c>
      <c r="AL35">
        <v>204</v>
      </c>
      <c r="AM35" s="5">
        <f t="shared" si="3"/>
        <v>6.375</v>
      </c>
      <c r="AN35" s="4">
        <f t="shared" si="4"/>
        <v>9.6554335478985232E-3</v>
      </c>
      <c r="AO35" s="3"/>
      <c r="AP35">
        <v>0</v>
      </c>
      <c r="AR35" t="s">
        <v>0</v>
      </c>
      <c r="AT35" s="2">
        <v>5.157</v>
      </c>
      <c r="AU35" s="1">
        <f t="shared" si="5"/>
        <v>4.7014512662271377</v>
      </c>
      <c r="AV35" s="1">
        <f t="shared" si="6"/>
        <v>3.6340490058164852</v>
      </c>
      <c r="AW35" s="1">
        <f t="shared" si="7"/>
        <v>2.5666467454058317</v>
      </c>
    </row>
    <row r="36" spans="1:49" x14ac:dyDescent="0.2">
      <c r="A36">
        <v>34</v>
      </c>
      <c r="B36" t="s">
        <v>10432</v>
      </c>
      <c r="C36" t="s">
        <v>10431</v>
      </c>
      <c r="D36">
        <v>5272890901776</v>
      </c>
      <c r="F36" t="s">
        <v>10430</v>
      </c>
      <c r="G36" t="s">
        <v>14</v>
      </c>
      <c r="H36" t="s">
        <v>13</v>
      </c>
      <c r="I36" t="s">
        <v>10429</v>
      </c>
      <c r="J36" t="s">
        <v>10428</v>
      </c>
      <c r="K36" t="s">
        <v>10427</v>
      </c>
      <c r="L36" t="s">
        <v>10426</v>
      </c>
      <c r="M36" t="s">
        <v>4412</v>
      </c>
      <c r="N36">
        <v>3</v>
      </c>
      <c r="O36" t="s">
        <v>10425</v>
      </c>
      <c r="P36" t="s">
        <v>10424</v>
      </c>
      <c r="Q36" t="s">
        <v>10423</v>
      </c>
      <c r="R36" s="7">
        <v>33008</v>
      </c>
      <c r="S36" s="8">
        <f t="shared" si="0"/>
        <v>1990</v>
      </c>
      <c r="T36" s="8">
        <v>1990</v>
      </c>
      <c r="U36" s="8">
        <f t="shared" si="1"/>
        <v>32</v>
      </c>
      <c r="V36" s="7">
        <v>33008</v>
      </c>
      <c r="W36" t="s">
        <v>9100</v>
      </c>
      <c r="X36" s="2">
        <v>1.59</v>
      </c>
      <c r="Y36" s="6">
        <f t="shared" si="2"/>
        <v>4.2444141907583888E-2</v>
      </c>
      <c r="AA36">
        <v>52728</v>
      </c>
      <c r="AB36">
        <v>16791</v>
      </c>
      <c r="AD36" t="s">
        <v>5</v>
      </c>
      <c r="AE36">
        <v>1017</v>
      </c>
      <c r="AF36">
        <v>1</v>
      </c>
      <c r="AH36" t="s">
        <v>1104</v>
      </c>
      <c r="AI36" t="s">
        <v>10422</v>
      </c>
      <c r="AJ36" t="s">
        <v>10421</v>
      </c>
      <c r="AK36" t="s">
        <v>10420</v>
      </c>
      <c r="AL36">
        <v>63</v>
      </c>
      <c r="AM36" s="5">
        <f t="shared" si="3"/>
        <v>1.96875</v>
      </c>
      <c r="AN36" s="4">
        <f t="shared" si="4"/>
        <v>2.9818250662627791E-3</v>
      </c>
      <c r="AO36" s="3"/>
      <c r="AP36">
        <v>0</v>
      </c>
      <c r="AQ36" t="s">
        <v>1454</v>
      </c>
      <c r="AR36" t="s">
        <v>0</v>
      </c>
      <c r="AS36" t="s">
        <v>1452</v>
      </c>
      <c r="AT36" s="2" t="s">
        <v>126</v>
      </c>
      <c r="AU36" s="1">
        <f t="shared" si="5"/>
        <v>3.0605446855187552</v>
      </c>
      <c r="AV36" s="1">
        <f t="shared" si="6"/>
        <v>2.2712983486923335</v>
      </c>
      <c r="AW36" s="1">
        <f t="shared" si="7"/>
        <v>1.4820520118659111</v>
      </c>
    </row>
    <row r="37" spans="1:49" x14ac:dyDescent="0.2">
      <c r="A37">
        <v>35</v>
      </c>
      <c r="B37" t="s">
        <v>10419</v>
      </c>
      <c r="C37" t="s">
        <v>10418</v>
      </c>
      <c r="F37" t="s">
        <v>10417</v>
      </c>
      <c r="G37" t="s">
        <v>14</v>
      </c>
      <c r="H37" t="s">
        <v>13</v>
      </c>
      <c r="I37" t="s">
        <v>10416</v>
      </c>
      <c r="J37">
        <v>60001439</v>
      </c>
      <c r="K37" t="s">
        <v>2675</v>
      </c>
      <c r="L37" t="s">
        <v>2674</v>
      </c>
      <c r="M37" t="s">
        <v>197</v>
      </c>
      <c r="N37">
        <v>3</v>
      </c>
      <c r="O37" t="s">
        <v>10415</v>
      </c>
      <c r="P37" t="s">
        <v>10414</v>
      </c>
      <c r="Q37" t="s">
        <v>2838</v>
      </c>
      <c r="R37" s="7">
        <v>33007</v>
      </c>
      <c r="S37" s="8">
        <f t="shared" si="0"/>
        <v>1990</v>
      </c>
      <c r="T37" s="8">
        <v>1990</v>
      </c>
      <c r="U37" s="8">
        <f t="shared" si="1"/>
        <v>32</v>
      </c>
      <c r="V37" s="7">
        <v>33007</v>
      </c>
      <c r="W37" t="s">
        <v>9111</v>
      </c>
      <c r="X37" s="2">
        <v>0.85699999999999998</v>
      </c>
      <c r="Y37" s="6">
        <f t="shared" si="2"/>
        <v>2.287712554389899E-2</v>
      </c>
      <c r="AA37">
        <v>223727</v>
      </c>
      <c r="AB37">
        <v>28570</v>
      </c>
      <c r="AC37">
        <v>13616463</v>
      </c>
      <c r="AD37" t="s">
        <v>5</v>
      </c>
      <c r="AE37">
        <v>23</v>
      </c>
      <c r="AF37">
        <v>5</v>
      </c>
      <c r="AH37" t="s">
        <v>10413</v>
      </c>
      <c r="AI37" t="s">
        <v>10412</v>
      </c>
      <c r="AK37" t="s">
        <v>10411</v>
      </c>
      <c r="AL37">
        <v>29</v>
      </c>
      <c r="AM37" s="5">
        <f t="shared" si="3"/>
        <v>0.90625</v>
      </c>
      <c r="AN37" s="4">
        <f t="shared" si="4"/>
        <v>1.3725861416130254E-3</v>
      </c>
      <c r="AO37" s="3"/>
      <c r="AP37">
        <v>0</v>
      </c>
      <c r="AR37" t="s">
        <v>0</v>
      </c>
      <c r="AT37" s="2" t="s">
        <v>126</v>
      </c>
      <c r="AU37" s="1">
        <f t="shared" si="5"/>
        <v>1.64257637232132</v>
      </c>
      <c r="AV37" s="1">
        <f t="shared" si="6"/>
        <v>1.2124855842756008</v>
      </c>
      <c r="AW37" s="1">
        <f t="shared" si="7"/>
        <v>0.78239479622988151</v>
      </c>
    </row>
    <row r="38" spans="1:49" x14ac:dyDescent="0.2">
      <c r="A38">
        <v>36</v>
      </c>
      <c r="B38" t="s">
        <v>10410</v>
      </c>
      <c r="C38" t="s">
        <v>10409</v>
      </c>
      <c r="F38" t="s">
        <v>10408</v>
      </c>
      <c r="G38" t="s">
        <v>14</v>
      </c>
      <c r="H38" t="s">
        <v>13</v>
      </c>
      <c r="I38" t="s">
        <v>10407</v>
      </c>
      <c r="J38" t="s">
        <v>10406</v>
      </c>
      <c r="K38" t="s">
        <v>10405</v>
      </c>
      <c r="L38" t="s">
        <v>10404</v>
      </c>
      <c r="M38" t="s">
        <v>10403</v>
      </c>
      <c r="N38">
        <v>3</v>
      </c>
      <c r="O38" t="s">
        <v>10402</v>
      </c>
      <c r="P38" t="s">
        <v>10401</v>
      </c>
      <c r="Q38" t="s">
        <v>10400</v>
      </c>
      <c r="R38" s="7">
        <v>33003</v>
      </c>
      <c r="S38" s="8">
        <f t="shared" si="0"/>
        <v>1990</v>
      </c>
      <c r="T38" s="8">
        <v>1990</v>
      </c>
      <c r="U38" s="8">
        <f t="shared" si="1"/>
        <v>32</v>
      </c>
      <c r="V38" s="7">
        <v>33003</v>
      </c>
      <c r="W38" t="s">
        <v>369</v>
      </c>
      <c r="X38" s="2">
        <v>2.3759999999999999</v>
      </c>
      <c r="Y38" s="6">
        <f t="shared" si="2"/>
        <v>6.3425963001521576E-2</v>
      </c>
      <c r="AA38" t="s">
        <v>368</v>
      </c>
      <c r="AB38">
        <v>26765</v>
      </c>
      <c r="AC38">
        <v>15384357</v>
      </c>
      <c r="AD38" t="s">
        <v>5</v>
      </c>
      <c r="AE38">
        <v>354</v>
      </c>
      <c r="AF38">
        <v>2</v>
      </c>
      <c r="AH38" t="s">
        <v>10399</v>
      </c>
      <c r="AI38" t="s">
        <v>10398</v>
      </c>
      <c r="AJ38" t="s">
        <v>10397</v>
      </c>
      <c r="AK38" t="s">
        <v>10396</v>
      </c>
      <c r="AL38">
        <v>77</v>
      </c>
      <c r="AM38" s="5">
        <f t="shared" si="3"/>
        <v>2.40625</v>
      </c>
      <c r="AN38" s="4">
        <f t="shared" si="4"/>
        <v>3.6444528587656192E-3</v>
      </c>
      <c r="AO38" s="3"/>
      <c r="AP38">
        <v>0</v>
      </c>
      <c r="AR38" t="s">
        <v>0</v>
      </c>
      <c r="AT38" s="2">
        <v>5.8739999999999997</v>
      </c>
      <c r="AU38" s="1">
        <f t="shared" si="5"/>
        <v>4.5491509958694785</v>
      </c>
      <c r="AV38" s="1">
        <f t="shared" si="6"/>
        <v>3.35352079301436</v>
      </c>
      <c r="AW38" s="1">
        <f t="shared" si="7"/>
        <v>2.1578905901592407</v>
      </c>
    </row>
    <row r="39" spans="1:49" x14ac:dyDescent="0.2">
      <c r="A39">
        <v>37</v>
      </c>
      <c r="B39" t="s">
        <v>10395</v>
      </c>
      <c r="C39" t="s">
        <v>10394</v>
      </c>
      <c r="F39" t="s">
        <v>10393</v>
      </c>
      <c r="G39" t="s">
        <v>14</v>
      </c>
      <c r="H39" t="s">
        <v>13</v>
      </c>
      <c r="I39" t="s">
        <v>10392</v>
      </c>
      <c r="J39">
        <v>60010338</v>
      </c>
      <c r="K39" t="s">
        <v>867</v>
      </c>
      <c r="L39" t="s">
        <v>866</v>
      </c>
      <c r="M39" t="s">
        <v>135</v>
      </c>
      <c r="N39">
        <v>2</v>
      </c>
      <c r="O39" t="s">
        <v>10391</v>
      </c>
      <c r="P39" t="s">
        <v>10390</v>
      </c>
      <c r="Q39" t="s">
        <v>863</v>
      </c>
      <c r="R39" s="7">
        <v>32994</v>
      </c>
      <c r="S39" s="8">
        <f t="shared" si="0"/>
        <v>1990</v>
      </c>
      <c r="T39" s="8">
        <v>1990</v>
      </c>
      <c r="U39" s="8">
        <f t="shared" si="1"/>
        <v>32</v>
      </c>
      <c r="V39" s="7">
        <v>32994</v>
      </c>
      <c r="W39" t="s">
        <v>9722</v>
      </c>
      <c r="X39" s="2">
        <v>1.524</v>
      </c>
      <c r="Y39" s="6">
        <f t="shared" si="2"/>
        <v>4.0682309601986065E-2</v>
      </c>
      <c r="AA39">
        <v>1469592</v>
      </c>
      <c r="AB39">
        <v>12863</v>
      </c>
      <c r="AC39">
        <v>15394794</v>
      </c>
      <c r="AD39" t="s">
        <v>5</v>
      </c>
      <c r="AE39">
        <v>15</v>
      </c>
      <c r="AF39">
        <v>9</v>
      </c>
      <c r="AH39" t="s">
        <v>10389</v>
      </c>
      <c r="AI39" t="s">
        <v>10388</v>
      </c>
      <c r="AK39" t="s">
        <v>10387</v>
      </c>
      <c r="AL39">
        <v>1</v>
      </c>
      <c r="AM39" s="5">
        <f t="shared" si="3"/>
        <v>3.125E-2</v>
      </c>
      <c r="AN39" s="4">
        <f t="shared" si="4"/>
        <v>4.73305566073457E-5</v>
      </c>
      <c r="AO39" s="3"/>
      <c r="AP39">
        <v>0</v>
      </c>
      <c r="AR39" t="s">
        <v>0</v>
      </c>
      <c r="AT39" s="2">
        <v>3.7759999999999998</v>
      </c>
      <c r="AU39" s="1">
        <f t="shared" si="5"/>
        <v>2.8491815888372449</v>
      </c>
      <c r="AV39" s="1">
        <f t="shared" si="6"/>
        <v>2.0364820079296706</v>
      </c>
      <c r="AW39" s="1">
        <f t="shared" si="7"/>
        <v>1.2237824270220961</v>
      </c>
    </row>
    <row r="40" spans="1:49" x14ac:dyDescent="0.2">
      <c r="A40">
        <v>38</v>
      </c>
      <c r="B40" t="s">
        <v>10386</v>
      </c>
      <c r="C40" t="s">
        <v>10385</v>
      </c>
      <c r="F40" t="s">
        <v>10384</v>
      </c>
      <c r="G40" t="s">
        <v>14</v>
      </c>
      <c r="H40" t="s">
        <v>13</v>
      </c>
      <c r="I40" t="s">
        <v>10383</v>
      </c>
      <c r="J40" t="s">
        <v>10382</v>
      </c>
      <c r="K40" t="s">
        <v>10381</v>
      </c>
      <c r="L40" t="s">
        <v>6122</v>
      </c>
      <c r="M40" t="s">
        <v>10380</v>
      </c>
      <c r="N40">
        <v>17</v>
      </c>
      <c r="O40" t="s">
        <v>10379</v>
      </c>
      <c r="P40" t="s">
        <v>10378</v>
      </c>
      <c r="Q40" t="s">
        <v>10377</v>
      </c>
      <c r="R40" s="7">
        <v>32994</v>
      </c>
      <c r="S40" s="8">
        <f t="shared" si="0"/>
        <v>1990</v>
      </c>
      <c r="T40" s="8">
        <v>1990</v>
      </c>
      <c r="U40" s="8">
        <f t="shared" si="1"/>
        <v>32</v>
      </c>
      <c r="V40" s="7">
        <v>32994</v>
      </c>
      <c r="W40" t="s">
        <v>10376</v>
      </c>
      <c r="X40" s="2" t="s">
        <v>126</v>
      </c>
      <c r="Y40" s="6" t="e">
        <f t="shared" si="2"/>
        <v>#VALUE!</v>
      </c>
      <c r="AA40">
        <v>2955075</v>
      </c>
      <c r="AB40">
        <v>27551</v>
      </c>
      <c r="AC40">
        <v>12864854</v>
      </c>
      <c r="AD40" t="s">
        <v>5</v>
      </c>
      <c r="AE40">
        <v>12</v>
      </c>
      <c r="AF40">
        <v>1</v>
      </c>
      <c r="AH40" s="9">
        <v>44505</v>
      </c>
      <c r="AI40" t="s">
        <v>10375</v>
      </c>
      <c r="AK40" t="s">
        <v>10374</v>
      </c>
      <c r="AL40">
        <v>14</v>
      </c>
      <c r="AM40" s="5">
        <f t="shared" si="3"/>
        <v>0.4375</v>
      </c>
      <c r="AN40" s="4">
        <f t="shared" si="4"/>
        <v>6.6262779250283988E-4</v>
      </c>
      <c r="AO40" s="3"/>
      <c r="AP40">
        <v>0</v>
      </c>
      <c r="AR40" t="s">
        <v>0</v>
      </c>
      <c r="AT40" s="2">
        <v>1.9470000000000001</v>
      </c>
      <c r="AU40" s="1" t="e">
        <f t="shared" si="5"/>
        <v>#VALUE!</v>
      </c>
      <c r="AV40" s="1" t="e">
        <f t="shared" si="6"/>
        <v>#VALUE!</v>
      </c>
      <c r="AW40" s="1" t="e">
        <f t="shared" si="7"/>
        <v>#VALUE!</v>
      </c>
    </row>
    <row r="41" spans="1:49" x14ac:dyDescent="0.2">
      <c r="A41">
        <v>39</v>
      </c>
      <c r="B41" t="s">
        <v>10373</v>
      </c>
      <c r="C41" t="s">
        <v>10372</v>
      </c>
      <c r="F41" t="s">
        <v>10371</v>
      </c>
      <c r="G41" t="s">
        <v>14</v>
      </c>
      <c r="H41" t="s">
        <v>13</v>
      </c>
      <c r="I41" t="s">
        <v>10370</v>
      </c>
      <c r="J41" t="s">
        <v>10369</v>
      </c>
      <c r="K41" t="s">
        <v>10368</v>
      </c>
      <c r="L41" t="s">
        <v>10367</v>
      </c>
      <c r="M41" t="s">
        <v>10366</v>
      </c>
      <c r="N41">
        <v>4</v>
      </c>
      <c r="O41" t="s">
        <v>10365</v>
      </c>
      <c r="P41" t="s">
        <v>10364</v>
      </c>
      <c r="Q41" t="s">
        <v>10363</v>
      </c>
      <c r="R41" s="7">
        <v>32994</v>
      </c>
      <c r="S41" s="8">
        <f t="shared" si="0"/>
        <v>1990</v>
      </c>
      <c r="T41" s="8">
        <v>1990</v>
      </c>
      <c r="U41" s="8">
        <f t="shared" si="1"/>
        <v>32</v>
      </c>
      <c r="V41" s="7">
        <v>32994</v>
      </c>
      <c r="W41" t="s">
        <v>8522</v>
      </c>
      <c r="X41" s="2" t="s">
        <v>126</v>
      </c>
      <c r="Y41" s="6" t="e">
        <f t="shared" si="2"/>
        <v>#VALUE!</v>
      </c>
      <c r="AA41">
        <v>3905551</v>
      </c>
      <c r="AB41">
        <v>15400155600</v>
      </c>
      <c r="AD41" t="s">
        <v>5</v>
      </c>
      <c r="AE41">
        <v>13</v>
      </c>
      <c r="AF41">
        <v>3</v>
      </c>
      <c r="AH41" t="s">
        <v>3584</v>
      </c>
      <c r="AI41" t="s">
        <v>10362</v>
      </c>
      <c r="AK41" t="s">
        <v>10361</v>
      </c>
      <c r="AL41">
        <v>6</v>
      </c>
      <c r="AM41" s="5">
        <f t="shared" si="3"/>
        <v>0.1875</v>
      </c>
      <c r="AN41" s="4">
        <f t="shared" si="4"/>
        <v>2.8398333964407423E-4</v>
      </c>
      <c r="AO41" s="3"/>
      <c r="AP41">
        <v>0</v>
      </c>
      <c r="AR41" t="s">
        <v>0</v>
      </c>
      <c r="AT41" s="2" t="s">
        <v>126</v>
      </c>
      <c r="AU41" s="1" t="e">
        <f t="shared" si="5"/>
        <v>#VALUE!</v>
      </c>
      <c r="AV41" s="1" t="e">
        <f t="shared" si="6"/>
        <v>#VALUE!</v>
      </c>
      <c r="AW41" s="1" t="e">
        <f t="shared" si="7"/>
        <v>#VALUE!</v>
      </c>
    </row>
    <row r="42" spans="1:49" x14ac:dyDescent="0.2">
      <c r="A42">
        <v>40</v>
      </c>
      <c r="B42" t="s">
        <v>10360</v>
      </c>
      <c r="C42" t="s">
        <v>10359</v>
      </c>
      <c r="F42" t="s">
        <v>10358</v>
      </c>
      <c r="G42" t="s">
        <v>14</v>
      </c>
      <c r="H42" t="s">
        <v>13</v>
      </c>
      <c r="I42" t="s">
        <v>10357</v>
      </c>
      <c r="N42">
        <v>2</v>
      </c>
      <c r="O42" t="s">
        <v>10356</v>
      </c>
      <c r="P42" t="s">
        <v>10355</v>
      </c>
      <c r="Q42" t="s">
        <v>119</v>
      </c>
      <c r="R42" s="7">
        <v>32994</v>
      </c>
      <c r="S42" s="8">
        <f t="shared" si="0"/>
        <v>1990</v>
      </c>
      <c r="T42" s="8">
        <v>1990</v>
      </c>
      <c r="U42" s="8">
        <f t="shared" si="1"/>
        <v>32</v>
      </c>
      <c r="V42" s="7">
        <v>32994</v>
      </c>
      <c r="W42" t="s">
        <v>9922</v>
      </c>
      <c r="X42" s="2">
        <v>0.318</v>
      </c>
      <c r="Y42" s="6">
        <f t="shared" si="2"/>
        <v>8.4888283815167786E-3</v>
      </c>
      <c r="AA42">
        <v>338443</v>
      </c>
      <c r="AB42">
        <v>27160</v>
      </c>
      <c r="AC42">
        <v>15739120</v>
      </c>
      <c r="AD42" t="s">
        <v>5</v>
      </c>
      <c r="AE42">
        <v>33</v>
      </c>
      <c r="AF42">
        <v>5</v>
      </c>
      <c r="AH42" t="s">
        <v>10354</v>
      </c>
      <c r="AI42" t="s">
        <v>10353</v>
      </c>
      <c r="AK42" t="s">
        <v>10352</v>
      </c>
      <c r="AL42">
        <v>0</v>
      </c>
      <c r="AM42" s="5">
        <f t="shared" si="3"/>
        <v>0</v>
      </c>
      <c r="AN42" s="4">
        <f t="shared" si="4"/>
        <v>0</v>
      </c>
      <c r="AO42" s="3"/>
      <c r="AP42">
        <v>0</v>
      </c>
      <c r="AR42" t="s">
        <v>0</v>
      </c>
      <c r="AT42" s="2">
        <v>0.77</v>
      </c>
      <c r="AU42" s="1">
        <f t="shared" si="5"/>
        <v>0.59421798670617454</v>
      </c>
      <c r="AV42" s="1">
        <f t="shared" si="6"/>
        <v>0.42444141907583893</v>
      </c>
      <c r="AW42" s="1">
        <f t="shared" si="7"/>
        <v>0.25466485144550338</v>
      </c>
    </row>
    <row r="43" spans="1:49" x14ac:dyDescent="0.2">
      <c r="A43">
        <v>41</v>
      </c>
      <c r="B43" t="s">
        <v>10351</v>
      </c>
      <c r="C43" t="s">
        <v>10350</v>
      </c>
      <c r="F43" t="s">
        <v>10349</v>
      </c>
      <c r="G43" t="s">
        <v>14</v>
      </c>
      <c r="H43" t="s">
        <v>13</v>
      </c>
      <c r="I43" t="s">
        <v>10348</v>
      </c>
      <c r="J43">
        <v>60010365</v>
      </c>
      <c r="K43" t="s">
        <v>2541</v>
      </c>
      <c r="L43" t="s">
        <v>2540</v>
      </c>
      <c r="M43" t="s">
        <v>1937</v>
      </c>
      <c r="N43">
        <v>2</v>
      </c>
      <c r="O43" t="s">
        <v>10347</v>
      </c>
      <c r="P43" t="s">
        <v>10346</v>
      </c>
      <c r="Q43" t="s">
        <v>4818</v>
      </c>
      <c r="R43" s="7">
        <v>32994</v>
      </c>
      <c r="S43" s="8">
        <f t="shared" si="0"/>
        <v>1990</v>
      </c>
      <c r="T43" s="8">
        <v>1990</v>
      </c>
      <c r="U43" s="8">
        <f t="shared" si="1"/>
        <v>32</v>
      </c>
      <c r="V43" s="7">
        <v>32994</v>
      </c>
      <c r="W43" t="s">
        <v>9480</v>
      </c>
      <c r="X43" s="2">
        <v>0.85499999999999998</v>
      </c>
      <c r="Y43" s="6">
        <f t="shared" si="2"/>
        <v>2.28237366861536E-2</v>
      </c>
      <c r="AA43">
        <v>980331</v>
      </c>
      <c r="AB43">
        <v>23342</v>
      </c>
      <c r="AC43">
        <v>15731561</v>
      </c>
      <c r="AD43" t="s">
        <v>5</v>
      </c>
      <c r="AE43">
        <v>16</v>
      </c>
      <c r="AF43">
        <v>5</v>
      </c>
      <c r="AH43" t="s">
        <v>10345</v>
      </c>
      <c r="AI43" t="s">
        <v>10344</v>
      </c>
      <c r="AJ43" t="s">
        <v>10343</v>
      </c>
      <c r="AK43" t="s">
        <v>10342</v>
      </c>
      <c r="AL43">
        <v>3</v>
      </c>
      <c r="AM43" s="5">
        <f t="shared" si="3"/>
        <v>9.375E-2</v>
      </c>
      <c r="AN43" s="4">
        <f t="shared" si="4"/>
        <v>1.4199166982203711E-4</v>
      </c>
      <c r="AO43" s="3"/>
      <c r="AP43">
        <v>0</v>
      </c>
      <c r="AR43" t="s">
        <v>0</v>
      </c>
      <c r="AT43" s="2">
        <v>2.6259999999999999</v>
      </c>
      <c r="AU43" s="1">
        <f t="shared" si="5"/>
        <v>1.6019213181254131</v>
      </c>
      <c r="AV43" s="1">
        <f t="shared" si="6"/>
        <v>1.1482864177987817</v>
      </c>
      <c r="AW43" s="1">
        <f t="shared" si="7"/>
        <v>0.69465151747215059</v>
      </c>
    </row>
    <row r="44" spans="1:49" x14ac:dyDescent="0.2">
      <c r="A44">
        <v>42</v>
      </c>
      <c r="B44" t="s">
        <v>10341</v>
      </c>
      <c r="C44" t="s">
        <v>10340</v>
      </c>
      <c r="F44" t="s">
        <v>10339</v>
      </c>
      <c r="G44" t="s">
        <v>14</v>
      </c>
      <c r="H44" t="s">
        <v>13</v>
      </c>
      <c r="I44" t="s">
        <v>10338</v>
      </c>
      <c r="J44">
        <v>60031101</v>
      </c>
      <c r="K44" t="s">
        <v>10337</v>
      </c>
      <c r="L44" t="s">
        <v>1665</v>
      </c>
      <c r="M44" t="s">
        <v>253</v>
      </c>
      <c r="N44">
        <v>5</v>
      </c>
      <c r="O44" t="s">
        <v>10336</v>
      </c>
      <c r="P44" t="s">
        <v>10335</v>
      </c>
      <c r="Q44" t="s">
        <v>10334</v>
      </c>
      <c r="R44" s="7">
        <v>32994</v>
      </c>
      <c r="S44" s="8">
        <f t="shared" si="0"/>
        <v>1990</v>
      </c>
      <c r="T44" s="8">
        <v>1990</v>
      </c>
      <c r="U44" s="8">
        <f t="shared" si="1"/>
        <v>32</v>
      </c>
      <c r="V44" s="7">
        <v>32994</v>
      </c>
      <c r="W44" t="s">
        <v>10333</v>
      </c>
      <c r="X44" s="2">
        <v>0.50800000000000001</v>
      </c>
      <c r="Y44" s="6">
        <f t="shared" si="2"/>
        <v>1.356076986732869E-2</v>
      </c>
      <c r="AA44">
        <v>253235</v>
      </c>
      <c r="AB44">
        <v>27848</v>
      </c>
      <c r="AC44">
        <v>15730581</v>
      </c>
      <c r="AD44" t="s">
        <v>5</v>
      </c>
      <c r="AE44">
        <v>12</v>
      </c>
      <c r="AF44" s="9">
        <v>44228</v>
      </c>
      <c r="AH44" t="s">
        <v>10332</v>
      </c>
      <c r="AI44" t="s">
        <v>10331</v>
      </c>
      <c r="AJ44" t="s">
        <v>10330</v>
      </c>
      <c r="AK44" t="s">
        <v>10329</v>
      </c>
      <c r="AL44">
        <v>84</v>
      </c>
      <c r="AM44" s="5">
        <f t="shared" si="3"/>
        <v>2.625</v>
      </c>
      <c r="AN44" s="4">
        <f t="shared" si="4"/>
        <v>3.9757667550170388E-3</v>
      </c>
      <c r="AO44" s="3"/>
      <c r="AP44">
        <v>0</v>
      </c>
      <c r="AR44" t="s">
        <v>0</v>
      </c>
      <c r="AT44" s="2" t="s">
        <v>126</v>
      </c>
      <c r="AU44" s="1">
        <f t="shared" si="5"/>
        <v>1.0685268933635195</v>
      </c>
      <c r="AV44" s="1">
        <f t="shared" si="6"/>
        <v>0.87682683111728643</v>
      </c>
      <c r="AW44" s="1">
        <f t="shared" si="7"/>
        <v>0.68512676887105339</v>
      </c>
    </row>
    <row r="45" spans="1:49" x14ac:dyDescent="0.2">
      <c r="A45">
        <v>43</v>
      </c>
      <c r="B45" t="s">
        <v>10328</v>
      </c>
      <c r="C45" t="s">
        <v>10327</v>
      </c>
      <c r="F45" t="s">
        <v>10326</v>
      </c>
      <c r="G45" t="s">
        <v>14</v>
      </c>
      <c r="H45" t="s">
        <v>13</v>
      </c>
      <c r="I45" t="s">
        <v>10325</v>
      </c>
      <c r="N45">
        <v>2</v>
      </c>
      <c r="O45" t="s">
        <v>10324</v>
      </c>
      <c r="P45" t="s">
        <v>10323</v>
      </c>
      <c r="Q45" t="s">
        <v>119</v>
      </c>
      <c r="R45" s="7">
        <v>32994</v>
      </c>
      <c r="S45" s="8">
        <f t="shared" si="0"/>
        <v>1990</v>
      </c>
      <c r="T45" s="8">
        <v>1990</v>
      </c>
      <c r="U45" s="8">
        <f t="shared" si="1"/>
        <v>32</v>
      </c>
      <c r="V45" s="7">
        <v>32994</v>
      </c>
      <c r="W45" t="s">
        <v>9321</v>
      </c>
      <c r="X45" s="2">
        <v>0.14899999999999999</v>
      </c>
      <c r="Y45" s="6">
        <f t="shared" si="2"/>
        <v>3.977469902031446E-3</v>
      </c>
      <c r="AA45">
        <v>5431972</v>
      </c>
      <c r="AB45">
        <v>15425</v>
      </c>
      <c r="AC45">
        <v>15738906</v>
      </c>
      <c r="AD45" t="s">
        <v>5</v>
      </c>
      <c r="AE45">
        <v>33</v>
      </c>
      <c r="AF45">
        <v>5</v>
      </c>
      <c r="AH45" t="s">
        <v>10322</v>
      </c>
      <c r="AL45">
        <v>0</v>
      </c>
      <c r="AM45" s="5">
        <f t="shared" si="3"/>
        <v>0</v>
      </c>
      <c r="AN45" s="4">
        <f t="shared" si="4"/>
        <v>0</v>
      </c>
      <c r="AO45" s="3"/>
      <c r="AP45">
        <v>0</v>
      </c>
      <c r="AR45" t="s">
        <v>0</v>
      </c>
      <c r="AT45" s="2" t="s">
        <v>126</v>
      </c>
      <c r="AU45" s="1">
        <f t="shared" si="5"/>
        <v>0.2784228931422012</v>
      </c>
      <c r="AV45" s="1">
        <f t="shared" si="6"/>
        <v>0.19887349510157229</v>
      </c>
      <c r="AW45" s="1">
        <f t="shared" si="7"/>
        <v>0.11932409706094337</v>
      </c>
    </row>
    <row r="46" spans="1:49" x14ac:dyDescent="0.2">
      <c r="A46">
        <v>44</v>
      </c>
      <c r="B46" t="s">
        <v>10321</v>
      </c>
      <c r="C46" t="s">
        <v>10320</v>
      </c>
      <c r="F46" t="s">
        <v>10319</v>
      </c>
      <c r="G46" t="s">
        <v>14</v>
      </c>
      <c r="H46" t="s">
        <v>13</v>
      </c>
      <c r="I46" t="s">
        <v>10318</v>
      </c>
      <c r="N46">
        <v>3</v>
      </c>
      <c r="O46" t="s">
        <v>10317</v>
      </c>
      <c r="P46" t="s">
        <v>10316</v>
      </c>
      <c r="Q46" t="s">
        <v>391</v>
      </c>
      <c r="R46" s="7">
        <v>32994</v>
      </c>
      <c r="S46" s="8">
        <f t="shared" si="0"/>
        <v>1990</v>
      </c>
      <c r="T46" s="8">
        <v>1990</v>
      </c>
      <c r="U46" s="8">
        <f t="shared" si="1"/>
        <v>32</v>
      </c>
      <c r="V46" s="7">
        <v>32994</v>
      </c>
      <c r="W46" t="s">
        <v>9321</v>
      </c>
      <c r="X46" s="2">
        <v>0.14899999999999999</v>
      </c>
      <c r="Y46" s="6">
        <f t="shared" si="2"/>
        <v>3.977469902031446E-3</v>
      </c>
      <c r="AA46">
        <v>5431972</v>
      </c>
      <c r="AB46">
        <v>15425</v>
      </c>
      <c r="AC46">
        <v>15738906</v>
      </c>
      <c r="AD46" t="s">
        <v>5</v>
      </c>
      <c r="AE46">
        <v>33</v>
      </c>
      <c r="AF46">
        <v>5</v>
      </c>
      <c r="AH46" t="s">
        <v>10315</v>
      </c>
      <c r="AL46">
        <v>0</v>
      </c>
      <c r="AM46" s="5">
        <f t="shared" si="3"/>
        <v>0</v>
      </c>
      <c r="AN46" s="4">
        <f t="shared" si="4"/>
        <v>0</v>
      </c>
      <c r="AO46" s="3"/>
      <c r="AP46">
        <v>0</v>
      </c>
      <c r="AR46" t="s">
        <v>0</v>
      </c>
      <c r="AT46" s="2" t="s">
        <v>126</v>
      </c>
      <c r="AU46" s="1">
        <f t="shared" si="5"/>
        <v>0.2784228931422012</v>
      </c>
      <c r="AV46" s="1">
        <f t="shared" si="6"/>
        <v>0.19887349510157229</v>
      </c>
      <c r="AW46" s="1">
        <f t="shared" si="7"/>
        <v>0.11932409706094337</v>
      </c>
    </row>
    <row r="47" spans="1:49" x14ac:dyDescent="0.2">
      <c r="A47">
        <v>45</v>
      </c>
      <c r="B47" t="s">
        <v>10314</v>
      </c>
      <c r="F47" t="s">
        <v>10313</v>
      </c>
      <c r="G47" t="s">
        <v>14</v>
      </c>
      <c r="H47" t="s">
        <v>13</v>
      </c>
      <c r="I47" t="s">
        <v>10312</v>
      </c>
      <c r="N47">
        <v>2</v>
      </c>
      <c r="O47" t="s">
        <v>10311</v>
      </c>
      <c r="P47" t="s">
        <v>10310</v>
      </c>
      <c r="Q47" t="s">
        <v>119</v>
      </c>
      <c r="R47" s="7">
        <v>32994</v>
      </c>
      <c r="S47" s="8">
        <f t="shared" si="0"/>
        <v>1990</v>
      </c>
      <c r="T47" s="8">
        <v>1990</v>
      </c>
      <c r="U47" s="8">
        <f t="shared" si="1"/>
        <v>32</v>
      </c>
      <c r="V47" s="7">
        <v>32994</v>
      </c>
      <c r="W47" t="s">
        <v>10309</v>
      </c>
      <c r="X47" s="2" t="s">
        <v>126</v>
      </c>
      <c r="Y47" s="6" t="e">
        <f t="shared" si="2"/>
        <v>#VALUE!</v>
      </c>
      <c r="AA47">
        <v>9152334</v>
      </c>
      <c r="AB47">
        <v>20160</v>
      </c>
      <c r="AD47" t="s">
        <v>5</v>
      </c>
      <c r="AE47">
        <v>2</v>
      </c>
      <c r="AF47">
        <v>3</v>
      </c>
      <c r="AH47" t="s">
        <v>10308</v>
      </c>
      <c r="AI47" t="s">
        <v>10307</v>
      </c>
      <c r="AK47" t="s">
        <v>10306</v>
      </c>
      <c r="AL47">
        <v>0</v>
      </c>
      <c r="AM47" s="5">
        <f t="shared" si="3"/>
        <v>0</v>
      </c>
      <c r="AN47" s="4">
        <f t="shared" si="4"/>
        <v>0</v>
      </c>
      <c r="AO47" s="3"/>
      <c r="AP47">
        <v>0</v>
      </c>
      <c r="AR47" t="s">
        <v>0</v>
      </c>
      <c r="AT47" s="2" t="s">
        <v>126</v>
      </c>
      <c r="AU47" s="1" t="e">
        <f t="shared" si="5"/>
        <v>#VALUE!</v>
      </c>
      <c r="AV47" s="1" t="e">
        <f t="shared" si="6"/>
        <v>#VALUE!</v>
      </c>
      <c r="AW47" s="1" t="e">
        <f t="shared" si="7"/>
        <v>#VALUE!</v>
      </c>
    </row>
    <row r="48" spans="1:49" x14ac:dyDescent="0.2">
      <c r="A48">
        <v>46</v>
      </c>
      <c r="B48" t="s">
        <v>10305</v>
      </c>
      <c r="F48" t="s">
        <v>10304</v>
      </c>
      <c r="G48" t="s">
        <v>14</v>
      </c>
      <c r="H48" t="s">
        <v>13</v>
      </c>
      <c r="I48" t="s">
        <v>10303</v>
      </c>
      <c r="J48">
        <v>60009037</v>
      </c>
      <c r="K48" t="s">
        <v>652</v>
      </c>
      <c r="L48" t="s">
        <v>651</v>
      </c>
      <c r="M48" t="s">
        <v>197</v>
      </c>
      <c r="N48">
        <v>2</v>
      </c>
      <c r="O48" t="s">
        <v>10302</v>
      </c>
      <c r="P48" t="s">
        <v>10301</v>
      </c>
      <c r="Q48" t="s">
        <v>10300</v>
      </c>
      <c r="R48" s="7">
        <v>32994</v>
      </c>
      <c r="S48" s="8">
        <f t="shared" si="0"/>
        <v>1990</v>
      </c>
      <c r="T48" s="8">
        <v>1990</v>
      </c>
      <c r="U48" s="8">
        <f t="shared" si="1"/>
        <v>32</v>
      </c>
      <c r="V48" s="7">
        <v>32994</v>
      </c>
      <c r="W48" t="s">
        <v>10299</v>
      </c>
      <c r="X48" s="2">
        <v>0.10100000000000001</v>
      </c>
      <c r="Y48" s="6">
        <f t="shared" si="2"/>
        <v>2.6961373161421215E-3</v>
      </c>
      <c r="AA48" t="s">
        <v>10298</v>
      </c>
      <c r="AB48">
        <v>12450</v>
      </c>
      <c r="AD48" t="s">
        <v>5</v>
      </c>
      <c r="AE48">
        <v>28</v>
      </c>
      <c r="AF48">
        <v>5</v>
      </c>
      <c r="AH48" t="s">
        <v>10297</v>
      </c>
      <c r="AI48" t="s">
        <v>10296</v>
      </c>
      <c r="AK48" t="s">
        <v>10295</v>
      </c>
      <c r="AL48">
        <v>0</v>
      </c>
      <c r="AM48" s="5">
        <f t="shared" si="3"/>
        <v>0</v>
      </c>
      <c r="AN48" s="4">
        <f t="shared" si="4"/>
        <v>0</v>
      </c>
      <c r="AO48" s="3"/>
      <c r="AP48">
        <v>0</v>
      </c>
      <c r="AR48" t="s">
        <v>0</v>
      </c>
      <c r="AT48" s="2">
        <v>0.111</v>
      </c>
      <c r="AU48" s="1">
        <f t="shared" si="5"/>
        <v>0.18872961212994849</v>
      </c>
      <c r="AV48" s="1">
        <f t="shared" si="6"/>
        <v>0.13480686580710607</v>
      </c>
      <c r="AW48" s="1">
        <f t="shared" si="7"/>
        <v>8.0884119484263647E-2</v>
      </c>
    </row>
    <row r="49" spans="1:49" x14ac:dyDescent="0.2">
      <c r="A49">
        <v>47</v>
      </c>
      <c r="B49" t="s">
        <v>10294</v>
      </c>
      <c r="C49" t="s">
        <v>10293</v>
      </c>
      <c r="F49" t="s">
        <v>10292</v>
      </c>
      <c r="G49" t="s">
        <v>14</v>
      </c>
      <c r="H49" t="s">
        <v>13</v>
      </c>
      <c r="I49" t="s">
        <v>10291</v>
      </c>
      <c r="J49" t="s">
        <v>10290</v>
      </c>
      <c r="K49" t="s">
        <v>10289</v>
      </c>
      <c r="L49" t="s">
        <v>10288</v>
      </c>
      <c r="M49" t="s">
        <v>2774</v>
      </c>
      <c r="N49">
        <v>3</v>
      </c>
      <c r="O49" t="s">
        <v>10287</v>
      </c>
      <c r="P49" t="s">
        <v>10286</v>
      </c>
      <c r="Q49" t="s">
        <v>10285</v>
      </c>
      <c r="R49" s="7">
        <v>32994</v>
      </c>
      <c r="S49" s="8">
        <f t="shared" si="0"/>
        <v>1990</v>
      </c>
      <c r="T49" s="8">
        <v>1990</v>
      </c>
      <c r="U49" s="8">
        <f t="shared" si="1"/>
        <v>32</v>
      </c>
      <c r="V49" s="7">
        <v>32994</v>
      </c>
      <c r="W49" t="s">
        <v>10284</v>
      </c>
      <c r="X49" s="2" t="s">
        <v>126</v>
      </c>
      <c r="Y49" s="6" t="e">
        <f t="shared" si="2"/>
        <v>#VALUE!</v>
      </c>
      <c r="AA49">
        <v>7217269</v>
      </c>
      <c r="AB49">
        <v>39311</v>
      </c>
      <c r="AC49">
        <v>14320649</v>
      </c>
      <c r="AD49" t="s">
        <v>5</v>
      </c>
      <c r="AE49">
        <v>50</v>
      </c>
      <c r="AF49">
        <v>5</v>
      </c>
      <c r="AH49" t="s">
        <v>10283</v>
      </c>
      <c r="AI49" t="s">
        <v>10282</v>
      </c>
      <c r="AJ49" t="s">
        <v>10281</v>
      </c>
      <c r="AK49" t="s">
        <v>10280</v>
      </c>
      <c r="AL49">
        <v>16</v>
      </c>
      <c r="AM49" s="5">
        <f t="shared" si="3"/>
        <v>0.5</v>
      </c>
      <c r="AN49" s="4">
        <f t="shared" si="4"/>
        <v>7.572889057175312E-4</v>
      </c>
      <c r="AO49" s="3"/>
      <c r="AP49">
        <v>0</v>
      </c>
      <c r="AR49" t="s">
        <v>0</v>
      </c>
      <c r="AT49" s="2" t="s">
        <v>126</v>
      </c>
      <c r="AU49" s="1" t="e">
        <f t="shared" si="5"/>
        <v>#VALUE!</v>
      </c>
      <c r="AV49" s="1" t="e">
        <f t="shared" si="6"/>
        <v>#VALUE!</v>
      </c>
      <c r="AW49" s="1" t="e">
        <f t="shared" si="7"/>
        <v>#VALUE!</v>
      </c>
    </row>
    <row r="50" spans="1:49" x14ac:dyDescent="0.2">
      <c r="A50">
        <v>48</v>
      </c>
      <c r="B50" t="s">
        <v>10279</v>
      </c>
      <c r="C50" t="s">
        <v>10278</v>
      </c>
      <c r="E50">
        <v>2102853</v>
      </c>
      <c r="F50" t="s">
        <v>10277</v>
      </c>
      <c r="G50" t="s">
        <v>14</v>
      </c>
      <c r="H50" t="s">
        <v>13</v>
      </c>
      <c r="I50" t="s">
        <v>10276</v>
      </c>
      <c r="J50">
        <v>60007903</v>
      </c>
      <c r="K50" t="s">
        <v>10275</v>
      </c>
      <c r="L50" t="s">
        <v>10274</v>
      </c>
      <c r="M50" t="s">
        <v>536</v>
      </c>
      <c r="N50">
        <v>3</v>
      </c>
      <c r="O50" t="s">
        <v>10273</v>
      </c>
      <c r="P50" t="s">
        <v>10272</v>
      </c>
      <c r="Q50" t="s">
        <v>10271</v>
      </c>
      <c r="R50" s="7">
        <v>32994</v>
      </c>
      <c r="S50" s="8">
        <f t="shared" si="0"/>
        <v>1990</v>
      </c>
      <c r="T50" s="8">
        <v>1990</v>
      </c>
      <c r="U50" s="8">
        <f t="shared" si="1"/>
        <v>32</v>
      </c>
      <c r="V50" s="7">
        <v>32994</v>
      </c>
      <c r="W50" t="s">
        <v>10270</v>
      </c>
      <c r="X50" s="2">
        <v>1.448</v>
      </c>
      <c r="Y50" s="6">
        <f t="shared" si="2"/>
        <v>3.8653533007661299E-2</v>
      </c>
      <c r="AA50">
        <v>1674412</v>
      </c>
      <c r="AB50">
        <v>13042</v>
      </c>
      <c r="AC50">
        <v>15735028</v>
      </c>
      <c r="AD50" t="s">
        <v>5</v>
      </c>
      <c r="AE50">
        <v>14</v>
      </c>
      <c r="AF50">
        <v>5</v>
      </c>
      <c r="AH50" t="s">
        <v>10269</v>
      </c>
      <c r="AI50" t="s">
        <v>10268</v>
      </c>
      <c r="AJ50" t="s">
        <v>10267</v>
      </c>
      <c r="AK50" t="s">
        <v>10266</v>
      </c>
      <c r="AL50">
        <v>25</v>
      </c>
      <c r="AM50" s="5">
        <f t="shared" si="3"/>
        <v>0.78125</v>
      </c>
      <c r="AN50" s="4">
        <f t="shared" si="4"/>
        <v>1.1832639151836426E-3</v>
      </c>
      <c r="AO50" s="3"/>
      <c r="AP50">
        <v>0</v>
      </c>
      <c r="AR50" t="s">
        <v>0</v>
      </c>
      <c r="AT50" s="2">
        <v>4.0759999999999996</v>
      </c>
      <c r="AU50" s="1">
        <f t="shared" si="5"/>
        <v>2.7412452279918003</v>
      </c>
      <c r="AV50" s="1">
        <f t="shared" si="6"/>
        <v>1.9918398461422471</v>
      </c>
      <c r="AW50" s="1">
        <f t="shared" si="7"/>
        <v>1.2424344642926939</v>
      </c>
    </row>
    <row r="51" spans="1:49" x14ac:dyDescent="0.2">
      <c r="A51">
        <v>49</v>
      </c>
      <c r="B51" t="s">
        <v>10265</v>
      </c>
      <c r="F51" t="s">
        <v>10264</v>
      </c>
      <c r="G51" t="s">
        <v>14</v>
      </c>
      <c r="H51" t="s">
        <v>13</v>
      </c>
      <c r="I51" t="s">
        <v>10263</v>
      </c>
      <c r="N51">
        <v>1</v>
      </c>
      <c r="O51" t="s">
        <v>10262</v>
      </c>
      <c r="P51">
        <v>7006353178</v>
      </c>
      <c r="R51" s="7">
        <v>32994</v>
      </c>
      <c r="S51" s="8">
        <f t="shared" si="0"/>
        <v>1990</v>
      </c>
      <c r="T51" s="8">
        <v>1990</v>
      </c>
      <c r="U51" s="8">
        <f t="shared" si="1"/>
        <v>32</v>
      </c>
      <c r="V51" s="7">
        <v>32994</v>
      </c>
      <c r="W51" t="s">
        <v>390</v>
      </c>
      <c r="X51" s="2">
        <v>0.14099999999999999</v>
      </c>
      <c r="Y51" s="6">
        <f t="shared" si="2"/>
        <v>3.7639144710498915E-3</v>
      </c>
      <c r="AA51">
        <v>402508</v>
      </c>
      <c r="AB51">
        <v>20868</v>
      </c>
      <c r="AD51" t="s">
        <v>5</v>
      </c>
      <c r="AE51">
        <v>45</v>
      </c>
      <c r="AF51">
        <v>5</v>
      </c>
      <c r="AH51" s="9">
        <v>44539</v>
      </c>
      <c r="AI51" t="s">
        <v>10261</v>
      </c>
      <c r="AK51" t="s">
        <v>10260</v>
      </c>
      <c r="AL51">
        <v>0</v>
      </c>
      <c r="AM51" s="5">
        <f t="shared" si="3"/>
        <v>0</v>
      </c>
      <c r="AN51" s="4">
        <f t="shared" si="4"/>
        <v>0</v>
      </c>
      <c r="AO51" s="3"/>
      <c r="AP51">
        <v>0</v>
      </c>
      <c r="AR51" t="s">
        <v>0</v>
      </c>
      <c r="AT51" s="2" t="s">
        <v>126</v>
      </c>
      <c r="AU51" s="1">
        <f t="shared" si="5"/>
        <v>0.26347401297349238</v>
      </c>
      <c r="AV51" s="1">
        <f t="shared" si="6"/>
        <v>0.18819572355249459</v>
      </c>
      <c r="AW51" s="1">
        <f t="shared" si="7"/>
        <v>0.11291743413149673</v>
      </c>
    </row>
    <row r="52" spans="1:49" x14ac:dyDescent="0.2">
      <c r="A52">
        <v>50</v>
      </c>
      <c r="B52" t="s">
        <v>10259</v>
      </c>
      <c r="F52" t="s">
        <v>10258</v>
      </c>
      <c r="G52" t="s">
        <v>14</v>
      </c>
      <c r="H52" t="s">
        <v>13</v>
      </c>
      <c r="I52" t="s">
        <v>10257</v>
      </c>
      <c r="N52">
        <v>1</v>
      </c>
      <c r="O52" t="s">
        <v>10256</v>
      </c>
      <c r="P52">
        <v>6602316493</v>
      </c>
      <c r="R52" s="7">
        <v>32994</v>
      </c>
      <c r="S52" s="8">
        <f t="shared" si="0"/>
        <v>1990</v>
      </c>
      <c r="T52" s="8">
        <v>1990</v>
      </c>
      <c r="U52" s="8">
        <f t="shared" si="1"/>
        <v>32</v>
      </c>
      <c r="V52" s="7">
        <v>32994</v>
      </c>
      <c r="W52" t="s">
        <v>390</v>
      </c>
      <c r="X52" s="2">
        <v>0.14099999999999999</v>
      </c>
      <c r="Y52" s="6">
        <f t="shared" si="2"/>
        <v>3.7639144710498915E-3</v>
      </c>
      <c r="AA52">
        <v>402508</v>
      </c>
      <c r="AB52">
        <v>20868</v>
      </c>
      <c r="AD52" t="s">
        <v>5</v>
      </c>
      <c r="AE52">
        <v>45</v>
      </c>
      <c r="AF52">
        <v>5</v>
      </c>
      <c r="AH52" s="10">
        <v>42705</v>
      </c>
      <c r="AI52" t="s">
        <v>10255</v>
      </c>
      <c r="AK52" t="s">
        <v>10254</v>
      </c>
      <c r="AL52">
        <v>0</v>
      </c>
      <c r="AM52" s="5">
        <f t="shared" si="3"/>
        <v>0</v>
      </c>
      <c r="AN52" s="4">
        <f t="shared" si="4"/>
        <v>0</v>
      </c>
      <c r="AO52" s="3"/>
      <c r="AP52">
        <v>0</v>
      </c>
      <c r="AR52" t="s">
        <v>0</v>
      </c>
      <c r="AT52" s="2" t="s">
        <v>126</v>
      </c>
      <c r="AU52" s="1">
        <f t="shared" si="5"/>
        <v>0.26347401297349238</v>
      </c>
      <c r="AV52" s="1">
        <f t="shared" si="6"/>
        <v>0.18819572355249459</v>
      </c>
      <c r="AW52" s="1">
        <f t="shared" si="7"/>
        <v>0.11291743413149673</v>
      </c>
    </row>
    <row r="53" spans="1:49" x14ac:dyDescent="0.2">
      <c r="A53">
        <v>51</v>
      </c>
      <c r="B53" t="s">
        <v>10253</v>
      </c>
      <c r="F53" t="s">
        <v>10252</v>
      </c>
      <c r="G53" t="s">
        <v>14</v>
      </c>
      <c r="H53" t="s">
        <v>13</v>
      </c>
      <c r="I53" t="s">
        <v>10251</v>
      </c>
      <c r="N53">
        <v>2</v>
      </c>
      <c r="O53" t="s">
        <v>10250</v>
      </c>
      <c r="P53" t="s">
        <v>10249</v>
      </c>
      <c r="Q53" t="s">
        <v>119</v>
      </c>
      <c r="R53" s="7">
        <v>32994</v>
      </c>
      <c r="S53" s="8">
        <f t="shared" si="0"/>
        <v>1990</v>
      </c>
      <c r="T53" s="8">
        <v>1990</v>
      </c>
      <c r="U53" s="8">
        <f t="shared" si="1"/>
        <v>32</v>
      </c>
      <c r="V53" s="7">
        <v>32994</v>
      </c>
      <c r="W53" t="s">
        <v>390</v>
      </c>
      <c r="X53" s="2">
        <v>0.14099999999999999</v>
      </c>
      <c r="Y53" s="6">
        <f t="shared" si="2"/>
        <v>3.7639144710498915E-3</v>
      </c>
      <c r="AA53">
        <v>402508</v>
      </c>
      <c r="AB53">
        <v>20868</v>
      </c>
      <c r="AD53" t="s">
        <v>5</v>
      </c>
      <c r="AE53">
        <v>45</v>
      </c>
      <c r="AF53">
        <v>5</v>
      </c>
      <c r="AH53" t="s">
        <v>10248</v>
      </c>
      <c r="AI53" t="s">
        <v>10247</v>
      </c>
      <c r="AK53" t="s">
        <v>10246</v>
      </c>
      <c r="AL53">
        <v>0</v>
      </c>
      <c r="AM53" s="5">
        <f t="shared" si="3"/>
        <v>0</v>
      </c>
      <c r="AN53" s="4">
        <f t="shared" si="4"/>
        <v>0</v>
      </c>
      <c r="AO53" s="3"/>
      <c r="AP53">
        <v>0</v>
      </c>
      <c r="AR53" t="s">
        <v>0</v>
      </c>
      <c r="AT53" s="2" t="s">
        <v>126</v>
      </c>
      <c r="AU53" s="1">
        <f t="shared" si="5"/>
        <v>0.26347401297349238</v>
      </c>
      <c r="AV53" s="1">
        <f t="shared" si="6"/>
        <v>0.18819572355249459</v>
      </c>
      <c r="AW53" s="1">
        <f t="shared" si="7"/>
        <v>0.11291743413149673</v>
      </c>
    </row>
    <row r="54" spans="1:49" x14ac:dyDescent="0.2">
      <c r="A54">
        <v>52</v>
      </c>
      <c r="B54" t="s">
        <v>10245</v>
      </c>
      <c r="F54" t="s">
        <v>10244</v>
      </c>
      <c r="G54" t="s">
        <v>14</v>
      </c>
      <c r="H54" t="s">
        <v>13</v>
      </c>
      <c r="I54" t="s">
        <v>10243</v>
      </c>
      <c r="N54">
        <v>1</v>
      </c>
      <c r="O54" t="s">
        <v>10242</v>
      </c>
      <c r="P54">
        <v>7005172088</v>
      </c>
      <c r="R54" s="7">
        <v>32994</v>
      </c>
      <c r="S54" s="8">
        <f t="shared" si="0"/>
        <v>1990</v>
      </c>
      <c r="T54" s="8">
        <v>1990</v>
      </c>
      <c r="U54" s="8">
        <f t="shared" si="1"/>
        <v>32</v>
      </c>
      <c r="V54" s="7">
        <v>32994</v>
      </c>
      <c r="W54" t="s">
        <v>390</v>
      </c>
      <c r="X54" s="2">
        <v>0.14099999999999999</v>
      </c>
      <c r="Y54" s="6">
        <f t="shared" si="2"/>
        <v>3.7639144710498915E-3</v>
      </c>
      <c r="AA54">
        <v>402508</v>
      </c>
      <c r="AB54">
        <v>20868</v>
      </c>
      <c r="AD54" t="s">
        <v>5</v>
      </c>
      <c r="AE54">
        <v>45</v>
      </c>
      <c r="AF54">
        <v>5</v>
      </c>
      <c r="AH54" t="s">
        <v>10241</v>
      </c>
      <c r="AI54" t="s">
        <v>10240</v>
      </c>
      <c r="AK54" t="s">
        <v>10239</v>
      </c>
      <c r="AL54">
        <v>0</v>
      </c>
      <c r="AM54" s="5">
        <f t="shared" si="3"/>
        <v>0</v>
      </c>
      <c r="AN54" s="4">
        <f t="shared" si="4"/>
        <v>0</v>
      </c>
      <c r="AO54" s="3"/>
      <c r="AP54">
        <v>0</v>
      </c>
      <c r="AR54" t="s">
        <v>0</v>
      </c>
      <c r="AT54" s="2" t="s">
        <v>126</v>
      </c>
      <c r="AU54" s="1">
        <f t="shared" si="5"/>
        <v>0.26347401297349238</v>
      </c>
      <c r="AV54" s="1">
        <f t="shared" si="6"/>
        <v>0.18819572355249459</v>
      </c>
      <c r="AW54" s="1">
        <f t="shared" si="7"/>
        <v>0.11291743413149673</v>
      </c>
    </row>
    <row r="55" spans="1:49" x14ac:dyDescent="0.2">
      <c r="A55">
        <v>53</v>
      </c>
      <c r="B55" t="s">
        <v>10238</v>
      </c>
      <c r="F55" t="s">
        <v>10237</v>
      </c>
      <c r="G55" t="s">
        <v>14</v>
      </c>
      <c r="H55" t="s">
        <v>13</v>
      </c>
      <c r="I55" t="s">
        <v>10236</v>
      </c>
      <c r="N55">
        <v>4</v>
      </c>
      <c r="O55" t="s">
        <v>10235</v>
      </c>
      <c r="P55" t="s">
        <v>10234</v>
      </c>
      <c r="Q55" t="s">
        <v>329</v>
      </c>
      <c r="R55" s="7">
        <v>32994</v>
      </c>
      <c r="S55" s="8">
        <f t="shared" si="0"/>
        <v>1990</v>
      </c>
      <c r="T55" s="8">
        <v>1990</v>
      </c>
      <c r="U55" s="8">
        <f t="shared" si="1"/>
        <v>32</v>
      </c>
      <c r="V55" s="7">
        <v>32994</v>
      </c>
      <c r="W55" t="s">
        <v>390</v>
      </c>
      <c r="X55" s="2">
        <v>0.14099999999999999</v>
      </c>
      <c r="Y55" s="6">
        <f t="shared" si="2"/>
        <v>3.7639144710498915E-3</v>
      </c>
      <c r="AA55">
        <v>402508</v>
      </c>
      <c r="AB55">
        <v>20868</v>
      </c>
      <c r="AD55" t="s">
        <v>5</v>
      </c>
      <c r="AE55">
        <v>45</v>
      </c>
      <c r="AF55">
        <v>5</v>
      </c>
      <c r="AH55" t="s">
        <v>10233</v>
      </c>
      <c r="AI55" t="s">
        <v>10232</v>
      </c>
      <c r="AK55" t="s">
        <v>10231</v>
      </c>
      <c r="AL55">
        <v>3</v>
      </c>
      <c r="AM55" s="5">
        <f t="shared" si="3"/>
        <v>9.375E-2</v>
      </c>
      <c r="AN55" s="4">
        <f t="shared" si="4"/>
        <v>1.4199166982203711E-4</v>
      </c>
      <c r="AO55" s="3"/>
      <c r="AP55">
        <v>0</v>
      </c>
      <c r="AR55" t="s">
        <v>0</v>
      </c>
      <c r="AT55" s="2" t="s">
        <v>126</v>
      </c>
      <c r="AU55" s="1">
        <f t="shared" si="5"/>
        <v>0.2677337630681535</v>
      </c>
      <c r="AV55" s="1">
        <f t="shared" si="6"/>
        <v>0.19529530704359643</v>
      </c>
      <c r="AW55" s="1">
        <f t="shared" si="7"/>
        <v>0.12285685101903934</v>
      </c>
    </row>
    <row r="56" spans="1:49" x14ac:dyDescent="0.2">
      <c r="A56">
        <v>54</v>
      </c>
      <c r="B56" t="s">
        <v>10230</v>
      </c>
      <c r="F56" t="s">
        <v>10229</v>
      </c>
      <c r="G56" t="s">
        <v>14</v>
      </c>
      <c r="H56" t="s">
        <v>13</v>
      </c>
      <c r="I56" t="s">
        <v>10202</v>
      </c>
      <c r="N56">
        <v>1</v>
      </c>
      <c r="O56" t="s">
        <v>10228</v>
      </c>
      <c r="P56">
        <v>6602612449</v>
      </c>
      <c r="R56" s="7">
        <v>32994</v>
      </c>
      <c r="S56" s="8">
        <f t="shared" si="0"/>
        <v>1990</v>
      </c>
      <c r="T56" s="8">
        <v>1990</v>
      </c>
      <c r="U56" s="8">
        <f t="shared" si="1"/>
        <v>32</v>
      </c>
      <c r="V56" s="7">
        <v>32994</v>
      </c>
      <c r="W56" t="s">
        <v>390</v>
      </c>
      <c r="X56" s="2">
        <v>0.14099999999999999</v>
      </c>
      <c r="Y56" s="6">
        <f t="shared" si="2"/>
        <v>3.7639144710498915E-3</v>
      </c>
      <c r="AA56">
        <v>402508</v>
      </c>
      <c r="AB56">
        <v>20868</v>
      </c>
      <c r="AD56" t="s">
        <v>5</v>
      </c>
      <c r="AE56">
        <v>45</v>
      </c>
      <c r="AF56">
        <v>5</v>
      </c>
      <c r="AH56" s="9">
        <v>44412</v>
      </c>
      <c r="AI56" t="s">
        <v>10227</v>
      </c>
      <c r="AK56" t="s">
        <v>10226</v>
      </c>
      <c r="AL56">
        <v>0</v>
      </c>
      <c r="AM56" s="5">
        <f t="shared" si="3"/>
        <v>0</v>
      </c>
      <c r="AN56" s="4">
        <f t="shared" si="4"/>
        <v>0</v>
      </c>
      <c r="AO56" s="3"/>
      <c r="AP56">
        <v>0</v>
      </c>
      <c r="AR56" t="s">
        <v>0</v>
      </c>
      <c r="AT56" s="2" t="s">
        <v>126</v>
      </c>
      <c r="AU56" s="1">
        <f t="shared" si="5"/>
        <v>0.26347401297349238</v>
      </c>
      <c r="AV56" s="1">
        <f t="shared" si="6"/>
        <v>0.18819572355249459</v>
      </c>
      <c r="AW56" s="1">
        <f t="shared" si="7"/>
        <v>0.11291743413149673</v>
      </c>
    </row>
    <row r="57" spans="1:49" x14ac:dyDescent="0.2">
      <c r="A57">
        <v>55</v>
      </c>
      <c r="B57" t="s">
        <v>10225</v>
      </c>
      <c r="F57" t="s">
        <v>10224</v>
      </c>
      <c r="G57" t="s">
        <v>14</v>
      </c>
      <c r="H57" t="s">
        <v>13</v>
      </c>
      <c r="I57" t="s">
        <v>10223</v>
      </c>
      <c r="N57">
        <v>3</v>
      </c>
      <c r="O57" t="s">
        <v>10222</v>
      </c>
      <c r="P57" t="s">
        <v>10221</v>
      </c>
      <c r="Q57" t="s">
        <v>391</v>
      </c>
      <c r="R57" s="7">
        <v>32994</v>
      </c>
      <c r="S57" s="8">
        <f t="shared" si="0"/>
        <v>1990</v>
      </c>
      <c r="T57" s="8">
        <v>1990</v>
      </c>
      <c r="U57" s="8">
        <f t="shared" si="1"/>
        <v>32</v>
      </c>
      <c r="V57" s="7">
        <v>32994</v>
      </c>
      <c r="W57" t="s">
        <v>390</v>
      </c>
      <c r="X57" s="2">
        <v>0.14099999999999999</v>
      </c>
      <c r="Y57" s="6">
        <f t="shared" si="2"/>
        <v>3.7639144710498915E-3</v>
      </c>
      <c r="AA57">
        <v>402508</v>
      </c>
      <c r="AB57">
        <v>20868</v>
      </c>
      <c r="AD57" t="s">
        <v>5</v>
      </c>
      <c r="AE57">
        <v>45</v>
      </c>
      <c r="AF57">
        <v>5</v>
      </c>
      <c r="AH57" t="s">
        <v>10220</v>
      </c>
      <c r="AI57" t="s">
        <v>10219</v>
      </c>
      <c r="AK57" t="s">
        <v>10218</v>
      </c>
      <c r="AL57">
        <v>0</v>
      </c>
      <c r="AM57" s="5">
        <f t="shared" si="3"/>
        <v>0</v>
      </c>
      <c r="AN57" s="4">
        <f t="shared" si="4"/>
        <v>0</v>
      </c>
      <c r="AO57" s="3"/>
      <c r="AP57">
        <v>0</v>
      </c>
      <c r="AR57" t="s">
        <v>0</v>
      </c>
      <c r="AT57" s="2" t="s">
        <v>126</v>
      </c>
      <c r="AU57" s="1">
        <f t="shared" si="5"/>
        <v>0.26347401297349238</v>
      </c>
      <c r="AV57" s="1">
        <f t="shared" si="6"/>
        <v>0.18819572355249459</v>
      </c>
      <c r="AW57" s="1">
        <f t="shared" si="7"/>
        <v>0.11291743413149673</v>
      </c>
    </row>
    <row r="58" spans="1:49" x14ac:dyDescent="0.2">
      <c r="A58">
        <v>56</v>
      </c>
      <c r="B58" t="s">
        <v>10217</v>
      </c>
      <c r="F58" t="s">
        <v>10216</v>
      </c>
      <c r="G58" t="s">
        <v>14</v>
      </c>
      <c r="H58" t="s">
        <v>13</v>
      </c>
      <c r="I58" t="s">
        <v>10215</v>
      </c>
      <c r="N58">
        <v>3</v>
      </c>
      <c r="O58" t="s">
        <v>10214</v>
      </c>
      <c r="P58" t="s">
        <v>10213</v>
      </c>
      <c r="Q58" t="s">
        <v>391</v>
      </c>
      <c r="R58" s="7">
        <v>32994</v>
      </c>
      <c r="S58" s="8">
        <f t="shared" si="0"/>
        <v>1990</v>
      </c>
      <c r="T58" s="8">
        <v>1990</v>
      </c>
      <c r="U58" s="8">
        <f t="shared" si="1"/>
        <v>32</v>
      </c>
      <c r="V58" s="7">
        <v>32994</v>
      </c>
      <c r="W58" t="s">
        <v>390</v>
      </c>
      <c r="X58" s="2">
        <v>0.14099999999999999</v>
      </c>
      <c r="Y58" s="6">
        <f t="shared" si="2"/>
        <v>3.7639144710498915E-3</v>
      </c>
      <c r="AA58">
        <v>402508</v>
      </c>
      <c r="AB58">
        <v>20868</v>
      </c>
      <c r="AD58" t="s">
        <v>5</v>
      </c>
      <c r="AE58">
        <v>45</v>
      </c>
      <c r="AF58">
        <v>5</v>
      </c>
      <c r="AH58" t="s">
        <v>10212</v>
      </c>
      <c r="AI58" t="s">
        <v>10211</v>
      </c>
      <c r="AK58" t="s">
        <v>10210</v>
      </c>
      <c r="AL58">
        <v>0</v>
      </c>
      <c r="AM58" s="5">
        <f t="shared" si="3"/>
        <v>0</v>
      </c>
      <c r="AN58" s="4">
        <f t="shared" si="4"/>
        <v>0</v>
      </c>
      <c r="AO58" s="3"/>
      <c r="AP58">
        <v>0</v>
      </c>
      <c r="AR58" t="s">
        <v>0</v>
      </c>
      <c r="AT58" s="2" t="s">
        <v>126</v>
      </c>
      <c r="AU58" s="1">
        <f t="shared" si="5"/>
        <v>0.26347401297349238</v>
      </c>
      <c r="AV58" s="1">
        <f t="shared" si="6"/>
        <v>0.18819572355249459</v>
      </c>
      <c r="AW58" s="1">
        <f t="shared" si="7"/>
        <v>0.11291743413149673</v>
      </c>
    </row>
    <row r="59" spans="1:49" x14ac:dyDescent="0.2">
      <c r="A59">
        <v>57</v>
      </c>
      <c r="B59" t="s">
        <v>10209</v>
      </c>
      <c r="F59" t="s">
        <v>10208</v>
      </c>
      <c r="G59" t="s">
        <v>14</v>
      </c>
      <c r="H59" t="s">
        <v>13</v>
      </c>
      <c r="I59" t="s">
        <v>9833</v>
      </c>
      <c r="N59">
        <v>1</v>
      </c>
      <c r="O59" t="s">
        <v>9832</v>
      </c>
      <c r="P59">
        <v>7005534658</v>
      </c>
      <c r="R59" s="7">
        <v>32994</v>
      </c>
      <c r="S59" s="8">
        <f t="shared" si="0"/>
        <v>1990</v>
      </c>
      <c r="T59" s="8">
        <v>1990</v>
      </c>
      <c r="U59" s="8">
        <f t="shared" si="1"/>
        <v>32</v>
      </c>
      <c r="V59" s="7">
        <v>32994</v>
      </c>
      <c r="W59" t="s">
        <v>390</v>
      </c>
      <c r="X59" s="2">
        <v>0.14099999999999999</v>
      </c>
      <c r="Y59" s="6">
        <f t="shared" si="2"/>
        <v>3.7639144710498915E-3</v>
      </c>
      <c r="AA59">
        <v>402508</v>
      </c>
      <c r="AB59">
        <v>20868</v>
      </c>
      <c r="AD59" t="s">
        <v>5</v>
      </c>
      <c r="AE59">
        <v>45</v>
      </c>
      <c r="AF59">
        <v>5</v>
      </c>
      <c r="AH59" t="s">
        <v>10207</v>
      </c>
      <c r="AI59" t="s">
        <v>10206</v>
      </c>
      <c r="AK59" t="s">
        <v>10205</v>
      </c>
      <c r="AL59">
        <v>0</v>
      </c>
      <c r="AM59" s="5">
        <f t="shared" si="3"/>
        <v>0</v>
      </c>
      <c r="AN59" s="4">
        <f t="shared" si="4"/>
        <v>0</v>
      </c>
      <c r="AO59" s="3"/>
      <c r="AP59">
        <v>0</v>
      </c>
      <c r="AR59" t="s">
        <v>0</v>
      </c>
      <c r="AT59" s="2" t="s">
        <v>126</v>
      </c>
      <c r="AU59" s="1">
        <f t="shared" si="5"/>
        <v>0.26347401297349238</v>
      </c>
      <c r="AV59" s="1">
        <f t="shared" si="6"/>
        <v>0.18819572355249459</v>
      </c>
      <c r="AW59" s="1">
        <f t="shared" si="7"/>
        <v>0.11291743413149673</v>
      </c>
    </row>
    <row r="60" spans="1:49" x14ac:dyDescent="0.2">
      <c r="A60">
        <v>58</v>
      </c>
      <c r="B60" t="s">
        <v>10204</v>
      </c>
      <c r="F60" t="s">
        <v>10203</v>
      </c>
      <c r="G60" t="s">
        <v>14</v>
      </c>
      <c r="H60" t="s">
        <v>13</v>
      </c>
      <c r="I60" t="s">
        <v>10202</v>
      </c>
      <c r="N60">
        <v>3</v>
      </c>
      <c r="O60" t="s">
        <v>10201</v>
      </c>
      <c r="P60" t="s">
        <v>10200</v>
      </c>
      <c r="Q60" t="s">
        <v>391</v>
      </c>
      <c r="R60" s="7">
        <v>32994</v>
      </c>
      <c r="S60" s="8">
        <f t="shared" si="0"/>
        <v>1990</v>
      </c>
      <c r="T60" s="8">
        <v>1990</v>
      </c>
      <c r="U60" s="8">
        <f t="shared" si="1"/>
        <v>32</v>
      </c>
      <c r="V60" s="7">
        <v>32994</v>
      </c>
      <c r="W60" t="s">
        <v>390</v>
      </c>
      <c r="X60" s="2">
        <v>0.14099999999999999</v>
      </c>
      <c r="Y60" s="6">
        <f t="shared" si="2"/>
        <v>3.7639144710498915E-3</v>
      </c>
      <c r="AA60">
        <v>402508</v>
      </c>
      <c r="AB60">
        <v>20868</v>
      </c>
      <c r="AD60" t="s">
        <v>5</v>
      </c>
      <c r="AE60">
        <v>45</v>
      </c>
      <c r="AF60">
        <v>5</v>
      </c>
      <c r="AH60" t="s">
        <v>10199</v>
      </c>
      <c r="AI60" t="s">
        <v>10198</v>
      </c>
      <c r="AK60" t="s">
        <v>10197</v>
      </c>
      <c r="AL60">
        <v>0</v>
      </c>
      <c r="AM60" s="5">
        <f t="shared" si="3"/>
        <v>0</v>
      </c>
      <c r="AN60" s="4">
        <f t="shared" si="4"/>
        <v>0</v>
      </c>
      <c r="AO60" s="3"/>
      <c r="AP60">
        <v>0</v>
      </c>
      <c r="AR60" t="s">
        <v>0</v>
      </c>
      <c r="AT60" s="2" t="s">
        <v>126</v>
      </c>
      <c r="AU60" s="1">
        <f t="shared" si="5"/>
        <v>0.26347401297349238</v>
      </c>
      <c r="AV60" s="1">
        <f t="shared" si="6"/>
        <v>0.18819572355249459</v>
      </c>
      <c r="AW60" s="1">
        <f t="shared" si="7"/>
        <v>0.11291743413149673</v>
      </c>
    </row>
    <row r="61" spans="1:49" x14ac:dyDescent="0.2">
      <c r="A61">
        <v>59</v>
      </c>
      <c r="B61" t="s">
        <v>10196</v>
      </c>
      <c r="F61" t="s">
        <v>10195</v>
      </c>
      <c r="G61" t="s">
        <v>14</v>
      </c>
      <c r="H61" t="s">
        <v>13</v>
      </c>
      <c r="I61" t="s">
        <v>10194</v>
      </c>
      <c r="N61">
        <v>3</v>
      </c>
      <c r="O61" t="s">
        <v>10193</v>
      </c>
      <c r="P61" t="s">
        <v>10192</v>
      </c>
      <c r="Q61" t="s">
        <v>391</v>
      </c>
      <c r="R61" s="7">
        <v>32994</v>
      </c>
      <c r="S61" s="8">
        <f t="shared" ref="S61:S124" si="8">YEAR(R61)</f>
        <v>1990</v>
      </c>
      <c r="T61" s="8">
        <v>1990</v>
      </c>
      <c r="U61" s="8">
        <f t="shared" ref="U61:U124" si="9">2022-T61</f>
        <v>32</v>
      </c>
      <c r="V61" s="7">
        <v>32994</v>
      </c>
      <c r="W61" t="s">
        <v>390</v>
      </c>
      <c r="X61" s="2">
        <v>0.14099999999999999</v>
      </c>
      <c r="Y61" s="6">
        <f t="shared" si="2"/>
        <v>3.7639144710498915E-3</v>
      </c>
      <c r="AA61">
        <v>402508</v>
      </c>
      <c r="AB61">
        <v>20868</v>
      </c>
      <c r="AD61" t="s">
        <v>5</v>
      </c>
      <c r="AE61">
        <v>45</v>
      </c>
      <c r="AF61">
        <v>5</v>
      </c>
      <c r="AH61" t="s">
        <v>10191</v>
      </c>
      <c r="AI61" t="s">
        <v>10190</v>
      </c>
      <c r="AK61" t="s">
        <v>10189</v>
      </c>
      <c r="AL61">
        <v>0</v>
      </c>
      <c r="AM61" s="5">
        <f t="shared" ref="AM61:AM124" si="10">AL61/U61</f>
        <v>0</v>
      </c>
      <c r="AN61" s="4">
        <f t="shared" si="4"/>
        <v>0</v>
      </c>
      <c r="AO61" s="3"/>
      <c r="AP61">
        <v>0</v>
      </c>
      <c r="AR61" t="s">
        <v>0</v>
      </c>
      <c r="AT61" s="2" t="s">
        <v>126</v>
      </c>
      <c r="AU61" s="1">
        <f t="shared" ref="AU61:AU124" si="11">(Y61*0.7+AN61*0.3)*100</f>
        <v>0.26347401297349238</v>
      </c>
      <c r="AV61" s="1">
        <f t="shared" ref="AV61:AV124" si="12">(Y61*0.5+AN61*0.5)*100</f>
        <v>0.18819572355249459</v>
      </c>
      <c r="AW61" s="1">
        <f t="shared" ref="AW61:AW124" si="13">(Y61*0.3+AN61*0.7)*100</f>
        <v>0.11291743413149673</v>
      </c>
    </row>
    <row r="62" spans="1:49" x14ac:dyDescent="0.2">
      <c r="A62">
        <v>60</v>
      </c>
      <c r="B62" t="s">
        <v>10188</v>
      </c>
      <c r="F62" t="s">
        <v>10187</v>
      </c>
      <c r="G62" t="s">
        <v>14</v>
      </c>
      <c r="H62" t="s">
        <v>13</v>
      </c>
      <c r="I62" t="s">
        <v>10186</v>
      </c>
      <c r="N62">
        <v>1</v>
      </c>
      <c r="O62" t="s">
        <v>10185</v>
      </c>
      <c r="P62">
        <v>7004141244</v>
      </c>
      <c r="R62" s="7">
        <v>32994</v>
      </c>
      <c r="S62" s="8">
        <f t="shared" si="8"/>
        <v>1990</v>
      </c>
      <c r="T62" s="8">
        <v>1990</v>
      </c>
      <c r="U62" s="8">
        <f t="shared" si="9"/>
        <v>32</v>
      </c>
      <c r="V62" s="7">
        <v>32994</v>
      </c>
      <c r="W62" t="s">
        <v>390</v>
      </c>
      <c r="X62" s="2">
        <v>0.14099999999999999</v>
      </c>
      <c r="Y62" s="6">
        <f t="shared" si="2"/>
        <v>3.7639144710498915E-3</v>
      </c>
      <c r="AA62">
        <v>402508</v>
      </c>
      <c r="AB62">
        <v>20868</v>
      </c>
      <c r="AD62" t="s">
        <v>5</v>
      </c>
      <c r="AE62">
        <v>45</v>
      </c>
      <c r="AF62">
        <v>5</v>
      </c>
      <c r="AH62" s="9">
        <v>44287</v>
      </c>
      <c r="AI62" t="s">
        <v>10184</v>
      </c>
      <c r="AK62" t="s">
        <v>10183</v>
      </c>
      <c r="AL62">
        <v>0</v>
      </c>
      <c r="AM62" s="5">
        <f t="shared" si="10"/>
        <v>0</v>
      </c>
      <c r="AN62" s="4">
        <f t="shared" si="4"/>
        <v>0</v>
      </c>
      <c r="AO62" s="3"/>
      <c r="AP62">
        <v>0</v>
      </c>
      <c r="AR62" t="s">
        <v>0</v>
      </c>
      <c r="AT62" s="2" t="s">
        <v>126</v>
      </c>
      <c r="AU62" s="1">
        <f t="shared" si="11"/>
        <v>0.26347401297349238</v>
      </c>
      <c r="AV62" s="1">
        <f t="shared" si="12"/>
        <v>0.18819572355249459</v>
      </c>
      <c r="AW62" s="1">
        <f t="shared" si="13"/>
        <v>0.11291743413149673</v>
      </c>
    </row>
    <row r="63" spans="1:49" x14ac:dyDescent="0.2">
      <c r="A63">
        <v>61</v>
      </c>
      <c r="B63" t="s">
        <v>10182</v>
      </c>
      <c r="F63" t="s">
        <v>10181</v>
      </c>
      <c r="G63" t="s">
        <v>14</v>
      </c>
      <c r="H63" t="s">
        <v>13</v>
      </c>
      <c r="I63" t="s">
        <v>10180</v>
      </c>
      <c r="N63">
        <v>3</v>
      </c>
      <c r="O63" t="s">
        <v>10179</v>
      </c>
      <c r="P63" t="s">
        <v>10178</v>
      </c>
      <c r="Q63" t="s">
        <v>391</v>
      </c>
      <c r="R63" s="7">
        <v>32994</v>
      </c>
      <c r="S63" s="8">
        <f t="shared" si="8"/>
        <v>1990</v>
      </c>
      <c r="T63" s="8">
        <v>1990</v>
      </c>
      <c r="U63" s="8">
        <f t="shared" si="9"/>
        <v>32</v>
      </c>
      <c r="V63" s="7">
        <v>32994</v>
      </c>
      <c r="W63" t="s">
        <v>390</v>
      </c>
      <c r="X63" s="2">
        <v>0.14099999999999999</v>
      </c>
      <c r="Y63" s="6">
        <f t="shared" si="2"/>
        <v>3.7639144710498915E-3</v>
      </c>
      <c r="AA63">
        <v>402508</v>
      </c>
      <c r="AB63">
        <v>20868</v>
      </c>
      <c r="AD63" t="s">
        <v>5</v>
      </c>
      <c r="AE63">
        <v>45</v>
      </c>
      <c r="AF63">
        <v>5</v>
      </c>
      <c r="AH63" t="s">
        <v>10177</v>
      </c>
      <c r="AI63" t="s">
        <v>10176</v>
      </c>
      <c r="AK63" t="s">
        <v>10175</v>
      </c>
      <c r="AL63">
        <v>0</v>
      </c>
      <c r="AM63" s="5">
        <f t="shared" si="10"/>
        <v>0</v>
      </c>
      <c r="AN63" s="4">
        <f t="shared" si="4"/>
        <v>0</v>
      </c>
      <c r="AO63" s="3"/>
      <c r="AP63">
        <v>0</v>
      </c>
      <c r="AR63" t="s">
        <v>0</v>
      </c>
      <c r="AT63" s="2" t="s">
        <v>126</v>
      </c>
      <c r="AU63" s="1">
        <f t="shared" si="11"/>
        <v>0.26347401297349238</v>
      </c>
      <c r="AV63" s="1">
        <f t="shared" si="12"/>
        <v>0.18819572355249459</v>
      </c>
      <c r="AW63" s="1">
        <f t="shared" si="13"/>
        <v>0.11291743413149673</v>
      </c>
    </row>
    <row r="64" spans="1:49" x14ac:dyDescent="0.2">
      <c r="A64">
        <v>62</v>
      </c>
      <c r="B64" t="s">
        <v>10174</v>
      </c>
      <c r="C64" t="s">
        <v>10173</v>
      </c>
      <c r="E64">
        <v>1974324</v>
      </c>
      <c r="F64" t="s">
        <v>10172</v>
      </c>
      <c r="G64" t="s">
        <v>14</v>
      </c>
      <c r="H64" t="s">
        <v>13</v>
      </c>
      <c r="I64" t="s">
        <v>10171</v>
      </c>
      <c r="J64">
        <v>60010261</v>
      </c>
      <c r="K64" t="s">
        <v>3173</v>
      </c>
      <c r="L64" t="s">
        <v>1717</v>
      </c>
      <c r="M64" t="s">
        <v>197</v>
      </c>
      <c r="N64">
        <v>2</v>
      </c>
      <c r="O64" t="s">
        <v>10170</v>
      </c>
      <c r="P64" t="s">
        <v>10169</v>
      </c>
      <c r="Q64" t="s">
        <v>5328</v>
      </c>
      <c r="R64" s="7">
        <v>32994</v>
      </c>
      <c r="S64" s="8">
        <f t="shared" si="8"/>
        <v>1990</v>
      </c>
      <c r="T64" s="8">
        <v>1990</v>
      </c>
      <c r="U64" s="8">
        <f t="shared" si="9"/>
        <v>32</v>
      </c>
      <c r="V64" s="7">
        <v>32994</v>
      </c>
      <c r="W64" t="s">
        <v>10168</v>
      </c>
      <c r="X64" s="2" t="s">
        <v>126</v>
      </c>
      <c r="Y64" s="6" t="e">
        <f t="shared" si="2"/>
        <v>#VALUE!</v>
      </c>
      <c r="AA64">
        <v>268925</v>
      </c>
      <c r="AB64">
        <v>32876</v>
      </c>
      <c r="AC64">
        <v>16174623</v>
      </c>
      <c r="AD64" t="s">
        <v>5</v>
      </c>
      <c r="AE64">
        <v>221</v>
      </c>
      <c r="AF64">
        <v>3</v>
      </c>
      <c r="AH64" t="s">
        <v>10167</v>
      </c>
      <c r="AI64" t="s">
        <v>10166</v>
      </c>
      <c r="AJ64" t="s">
        <v>10165</v>
      </c>
      <c r="AK64" t="s">
        <v>10164</v>
      </c>
      <c r="AL64">
        <v>24</v>
      </c>
      <c r="AM64" s="5">
        <f t="shared" si="10"/>
        <v>0.75</v>
      </c>
      <c r="AN64" s="4">
        <f t="shared" si="4"/>
        <v>1.1359333585762969E-3</v>
      </c>
      <c r="AO64" s="3"/>
      <c r="AP64">
        <v>0</v>
      </c>
      <c r="AR64" t="s">
        <v>0</v>
      </c>
      <c r="AT64" s="2" t="s">
        <v>126</v>
      </c>
      <c r="AU64" s="1" t="e">
        <f t="shared" si="11"/>
        <v>#VALUE!</v>
      </c>
      <c r="AV64" s="1" t="e">
        <f t="shared" si="12"/>
        <v>#VALUE!</v>
      </c>
      <c r="AW64" s="1" t="e">
        <f t="shared" si="13"/>
        <v>#VALUE!</v>
      </c>
    </row>
    <row r="65" spans="1:49" x14ac:dyDescent="0.2">
      <c r="A65">
        <v>63</v>
      </c>
      <c r="B65" t="s">
        <v>10163</v>
      </c>
      <c r="C65" t="s">
        <v>10162</v>
      </c>
      <c r="F65" t="s">
        <v>10161</v>
      </c>
      <c r="G65" t="s">
        <v>14</v>
      </c>
      <c r="H65" t="s">
        <v>13</v>
      </c>
      <c r="I65" t="s">
        <v>10160</v>
      </c>
      <c r="J65">
        <v>60004156</v>
      </c>
      <c r="K65" t="s">
        <v>10159</v>
      </c>
      <c r="L65" t="s">
        <v>10158</v>
      </c>
      <c r="M65" t="s">
        <v>223</v>
      </c>
      <c r="N65">
        <v>4</v>
      </c>
      <c r="O65" t="s">
        <v>10157</v>
      </c>
      <c r="P65" t="s">
        <v>10156</v>
      </c>
      <c r="Q65" t="s">
        <v>10155</v>
      </c>
      <c r="R65" s="7">
        <v>32994</v>
      </c>
      <c r="S65" s="8">
        <f t="shared" si="8"/>
        <v>1990</v>
      </c>
      <c r="T65" s="8">
        <v>1990</v>
      </c>
      <c r="U65" s="8">
        <f t="shared" si="9"/>
        <v>32</v>
      </c>
      <c r="V65" s="7">
        <v>32994</v>
      </c>
      <c r="W65" t="s">
        <v>9508</v>
      </c>
      <c r="X65" s="2" t="s">
        <v>126</v>
      </c>
      <c r="Y65" s="6" t="e">
        <f t="shared" si="2"/>
        <v>#VALUE!</v>
      </c>
      <c r="AA65">
        <v>144754</v>
      </c>
      <c r="AB65">
        <v>74305</v>
      </c>
      <c r="AC65">
        <v>14209071</v>
      </c>
      <c r="AD65" t="s">
        <v>5</v>
      </c>
      <c r="AE65">
        <v>46</v>
      </c>
      <c r="AF65">
        <v>5</v>
      </c>
      <c r="AH65" t="s">
        <v>10154</v>
      </c>
      <c r="AI65" t="s">
        <v>10153</v>
      </c>
      <c r="AJ65" t="s">
        <v>10152</v>
      </c>
      <c r="AK65" t="s">
        <v>10151</v>
      </c>
      <c r="AL65">
        <v>19</v>
      </c>
      <c r="AM65" s="5">
        <f t="shared" si="10"/>
        <v>0.59375</v>
      </c>
      <c r="AN65" s="4">
        <f t="shared" si="4"/>
        <v>8.9928057553956839E-4</v>
      </c>
      <c r="AO65" s="3"/>
      <c r="AP65">
        <v>0</v>
      </c>
      <c r="AR65" t="s">
        <v>0</v>
      </c>
      <c r="AT65" s="2" t="s">
        <v>126</v>
      </c>
      <c r="AU65" s="1" t="e">
        <f t="shared" si="11"/>
        <v>#VALUE!</v>
      </c>
      <c r="AV65" s="1" t="e">
        <f t="shared" si="12"/>
        <v>#VALUE!</v>
      </c>
      <c r="AW65" s="1" t="e">
        <f t="shared" si="13"/>
        <v>#VALUE!</v>
      </c>
    </row>
    <row r="66" spans="1:49" x14ac:dyDescent="0.2">
      <c r="A66">
        <v>64</v>
      </c>
      <c r="B66" t="s">
        <v>10150</v>
      </c>
      <c r="C66" t="s">
        <v>10149</v>
      </c>
      <c r="D66">
        <v>3986190902835</v>
      </c>
      <c r="E66">
        <v>2327797</v>
      </c>
      <c r="F66" t="s">
        <v>10148</v>
      </c>
      <c r="G66" t="s">
        <v>14</v>
      </c>
      <c r="H66" t="s">
        <v>13</v>
      </c>
      <c r="I66" t="s">
        <v>10147</v>
      </c>
      <c r="J66">
        <v>60026415</v>
      </c>
      <c r="K66" t="s">
        <v>308</v>
      </c>
      <c r="L66" t="s">
        <v>307</v>
      </c>
      <c r="M66" t="s">
        <v>197</v>
      </c>
      <c r="N66">
        <v>2</v>
      </c>
      <c r="O66" t="s">
        <v>10146</v>
      </c>
      <c r="P66" t="s">
        <v>305</v>
      </c>
      <c r="Q66" t="s">
        <v>304</v>
      </c>
      <c r="R66" s="7">
        <v>32994</v>
      </c>
      <c r="S66" s="8">
        <f t="shared" si="8"/>
        <v>1990</v>
      </c>
      <c r="T66" s="8">
        <v>1990</v>
      </c>
      <c r="U66" s="8">
        <f t="shared" si="9"/>
        <v>32</v>
      </c>
      <c r="V66" s="7">
        <v>32994</v>
      </c>
      <c r="W66" t="s">
        <v>10145</v>
      </c>
      <c r="X66" s="2">
        <v>1.097</v>
      </c>
      <c r="Y66" s="6">
        <f t="shared" ref="Y66:Y129" si="14">(X66-$Z$4)/($Z$3-$Z$4)</f>
        <v>2.9283788473345614E-2</v>
      </c>
      <c r="AA66">
        <v>39861</v>
      </c>
      <c r="AB66">
        <v>16811</v>
      </c>
      <c r="AC66">
        <v>10960384</v>
      </c>
      <c r="AD66" t="s">
        <v>5</v>
      </c>
      <c r="AE66">
        <v>278</v>
      </c>
      <c r="AF66">
        <v>2</v>
      </c>
      <c r="AH66" t="s">
        <v>10144</v>
      </c>
      <c r="AI66" t="s">
        <v>10143</v>
      </c>
      <c r="AK66" t="s">
        <v>10142</v>
      </c>
      <c r="AL66">
        <v>18</v>
      </c>
      <c r="AM66" s="5">
        <f t="shared" si="10"/>
        <v>0.5625</v>
      </c>
      <c r="AN66" s="4">
        <f t="shared" ref="AN66:AN129" si="15">(AM66-$AO$4)/($AO$3-$AO$4)</f>
        <v>8.5195001893222262E-4</v>
      </c>
      <c r="AO66" s="3"/>
      <c r="AP66">
        <v>0</v>
      </c>
      <c r="AQ66" t="s">
        <v>1454</v>
      </c>
      <c r="AR66" t="s">
        <v>10141</v>
      </c>
      <c r="AS66" t="s">
        <v>1452</v>
      </c>
      <c r="AT66" s="2" t="s">
        <v>126</v>
      </c>
      <c r="AU66" s="1">
        <f t="shared" si="11"/>
        <v>2.07542369370216</v>
      </c>
      <c r="AV66" s="1">
        <f t="shared" si="12"/>
        <v>1.5067869246138919</v>
      </c>
      <c r="AW66" s="1">
        <f t="shared" si="13"/>
        <v>0.93815015552562386</v>
      </c>
    </row>
    <row r="67" spans="1:49" x14ac:dyDescent="0.2">
      <c r="A67">
        <v>65</v>
      </c>
      <c r="B67" t="s">
        <v>10140</v>
      </c>
      <c r="C67" t="s">
        <v>10139</v>
      </c>
      <c r="F67" t="s">
        <v>10138</v>
      </c>
      <c r="G67" t="s">
        <v>14</v>
      </c>
      <c r="H67" t="s">
        <v>13</v>
      </c>
      <c r="I67" t="s">
        <v>10137</v>
      </c>
      <c r="J67" t="s">
        <v>10136</v>
      </c>
      <c r="K67" t="s">
        <v>10135</v>
      </c>
      <c r="L67" t="s">
        <v>10134</v>
      </c>
      <c r="M67" t="s">
        <v>10133</v>
      </c>
      <c r="N67">
        <v>4</v>
      </c>
      <c r="O67" t="s">
        <v>10132</v>
      </c>
      <c r="P67" t="s">
        <v>10131</v>
      </c>
      <c r="Q67" t="s">
        <v>10130</v>
      </c>
      <c r="R67" s="7">
        <v>32994</v>
      </c>
      <c r="S67" s="8">
        <f t="shared" si="8"/>
        <v>1990</v>
      </c>
      <c r="T67" s="8">
        <v>1990</v>
      </c>
      <c r="U67" s="8">
        <f t="shared" si="9"/>
        <v>32</v>
      </c>
      <c r="V67" s="7">
        <v>32994</v>
      </c>
      <c r="W67" t="s">
        <v>10129</v>
      </c>
      <c r="X67" s="2">
        <v>1.64</v>
      </c>
      <c r="Y67" s="6">
        <f t="shared" si="14"/>
        <v>4.3778863351218597E-2</v>
      </c>
      <c r="AA67" t="s">
        <v>10128</v>
      </c>
      <c r="AB67">
        <v>18446</v>
      </c>
      <c r="AC67">
        <v>14320878</v>
      </c>
      <c r="AD67" t="s">
        <v>5</v>
      </c>
      <c r="AE67">
        <v>260</v>
      </c>
      <c r="AF67">
        <v>2</v>
      </c>
      <c r="AH67" t="s">
        <v>10127</v>
      </c>
      <c r="AI67" t="s">
        <v>10126</v>
      </c>
      <c r="AJ67" t="s">
        <v>10125</v>
      </c>
      <c r="AK67" t="s">
        <v>10124</v>
      </c>
      <c r="AL67">
        <v>15</v>
      </c>
      <c r="AM67" s="5">
        <f t="shared" si="10"/>
        <v>0.46875</v>
      </c>
      <c r="AN67" s="4">
        <f t="shared" si="15"/>
        <v>7.0995834911018554E-4</v>
      </c>
      <c r="AO67" s="3"/>
      <c r="AP67">
        <v>0</v>
      </c>
      <c r="AR67" t="s">
        <v>0</v>
      </c>
      <c r="AT67" s="2">
        <v>5.2489999999999997</v>
      </c>
      <c r="AU67" s="1">
        <f t="shared" si="11"/>
        <v>3.085819185058607</v>
      </c>
      <c r="AV67" s="1">
        <f t="shared" si="12"/>
        <v>2.2244410850164393</v>
      </c>
      <c r="AW67" s="1">
        <f t="shared" si="13"/>
        <v>1.3630629849742708</v>
      </c>
    </row>
    <row r="68" spans="1:49" x14ac:dyDescent="0.2">
      <c r="A68">
        <v>66</v>
      </c>
      <c r="B68" t="s">
        <v>10123</v>
      </c>
      <c r="C68" t="s">
        <v>10122</v>
      </c>
      <c r="E68">
        <v>2114862</v>
      </c>
      <c r="F68" t="s">
        <v>10121</v>
      </c>
      <c r="G68" t="s">
        <v>14</v>
      </c>
      <c r="H68" t="s">
        <v>13</v>
      </c>
      <c r="I68" t="s">
        <v>10120</v>
      </c>
      <c r="J68">
        <v>60001439</v>
      </c>
      <c r="K68" t="s">
        <v>2675</v>
      </c>
      <c r="L68" t="s">
        <v>2674</v>
      </c>
      <c r="M68" t="s">
        <v>197</v>
      </c>
      <c r="N68">
        <v>4</v>
      </c>
      <c r="O68" t="s">
        <v>10119</v>
      </c>
      <c r="P68" t="s">
        <v>10118</v>
      </c>
      <c r="Q68" t="s">
        <v>10117</v>
      </c>
      <c r="R68" s="7">
        <v>32994</v>
      </c>
      <c r="S68" s="8">
        <f t="shared" si="8"/>
        <v>1990</v>
      </c>
      <c r="T68" s="8">
        <v>1990</v>
      </c>
      <c r="U68" s="8">
        <f t="shared" si="9"/>
        <v>32</v>
      </c>
      <c r="V68" s="7">
        <v>32994</v>
      </c>
      <c r="W68" t="s">
        <v>10116</v>
      </c>
      <c r="X68" s="2">
        <v>0.64800000000000002</v>
      </c>
      <c r="Y68" s="6">
        <f t="shared" si="14"/>
        <v>1.7297989909505887E-2</v>
      </c>
      <c r="AA68">
        <v>3028933</v>
      </c>
      <c r="AB68">
        <v>19623</v>
      </c>
      <c r="AC68" t="s">
        <v>10115</v>
      </c>
      <c r="AD68" t="s">
        <v>5</v>
      </c>
      <c r="AE68">
        <v>153</v>
      </c>
      <c r="AF68">
        <v>6</v>
      </c>
      <c r="AH68" t="s">
        <v>10114</v>
      </c>
      <c r="AI68" t="s">
        <v>10113</v>
      </c>
      <c r="AJ68" t="s">
        <v>10112</v>
      </c>
      <c r="AK68" t="s">
        <v>10111</v>
      </c>
      <c r="AL68">
        <v>31</v>
      </c>
      <c r="AM68" s="5">
        <f t="shared" si="10"/>
        <v>0.96875</v>
      </c>
      <c r="AN68" s="4">
        <f t="shared" si="15"/>
        <v>1.4672472548277167E-3</v>
      </c>
      <c r="AO68" s="3"/>
      <c r="AP68">
        <v>0</v>
      </c>
      <c r="AQ68" t="s">
        <v>10110</v>
      </c>
      <c r="AR68" t="s">
        <v>10109</v>
      </c>
      <c r="AS68" t="s">
        <v>10108</v>
      </c>
      <c r="AT68" s="2">
        <v>2.552</v>
      </c>
      <c r="AU68" s="1">
        <f t="shared" si="11"/>
        <v>1.2548767113102437</v>
      </c>
      <c r="AV68" s="1">
        <f t="shared" si="12"/>
        <v>0.93826185821668018</v>
      </c>
      <c r="AW68" s="1">
        <f t="shared" si="13"/>
        <v>0.62164700512311677</v>
      </c>
    </row>
    <row r="69" spans="1:49" x14ac:dyDescent="0.2">
      <c r="A69">
        <v>67</v>
      </c>
      <c r="B69" t="s">
        <v>10107</v>
      </c>
      <c r="C69" t="s">
        <v>10106</v>
      </c>
      <c r="F69" t="s">
        <v>10105</v>
      </c>
      <c r="G69" t="s">
        <v>14</v>
      </c>
      <c r="H69" t="s">
        <v>13</v>
      </c>
      <c r="I69" t="s">
        <v>10104</v>
      </c>
      <c r="J69">
        <v>60029526</v>
      </c>
      <c r="K69" t="s">
        <v>10103</v>
      </c>
      <c r="L69" t="s">
        <v>10102</v>
      </c>
      <c r="M69" t="s">
        <v>197</v>
      </c>
      <c r="N69">
        <v>2</v>
      </c>
      <c r="O69" t="s">
        <v>10101</v>
      </c>
      <c r="P69" t="s">
        <v>10100</v>
      </c>
      <c r="Q69" t="s">
        <v>10099</v>
      </c>
      <c r="R69" s="7">
        <v>32994</v>
      </c>
      <c r="S69" s="8">
        <f t="shared" si="8"/>
        <v>1990</v>
      </c>
      <c r="T69" s="8">
        <v>1990</v>
      </c>
      <c r="U69" s="8">
        <f t="shared" si="9"/>
        <v>32</v>
      </c>
      <c r="V69" s="7">
        <v>32994</v>
      </c>
      <c r="W69" t="s">
        <v>249</v>
      </c>
      <c r="X69" s="2">
        <v>0.53400000000000003</v>
      </c>
      <c r="Y69" s="6">
        <f t="shared" si="14"/>
        <v>1.4254825018018741E-2</v>
      </c>
      <c r="AA69">
        <v>8927553</v>
      </c>
      <c r="AB69">
        <v>20484</v>
      </c>
      <c r="AC69">
        <v>15728889</v>
      </c>
      <c r="AD69" t="s">
        <v>5</v>
      </c>
      <c r="AE69">
        <v>3</v>
      </c>
      <c r="AF69">
        <v>3</v>
      </c>
      <c r="AH69" t="s">
        <v>10098</v>
      </c>
      <c r="AI69" t="s">
        <v>10097</v>
      </c>
      <c r="AJ69" t="s">
        <v>10096</v>
      </c>
      <c r="AK69" t="s">
        <v>10095</v>
      </c>
      <c r="AL69">
        <v>37</v>
      </c>
      <c r="AM69" s="5">
        <f t="shared" si="10"/>
        <v>1.15625</v>
      </c>
      <c r="AN69" s="4">
        <f t="shared" si="15"/>
        <v>1.7512305944717909E-3</v>
      </c>
      <c r="AO69" s="3"/>
      <c r="AP69">
        <v>0</v>
      </c>
      <c r="AR69" t="s">
        <v>0</v>
      </c>
      <c r="AT69" s="2">
        <v>1.3089999999999999</v>
      </c>
      <c r="AU69" s="1">
        <f t="shared" si="11"/>
        <v>1.0503746690954656</v>
      </c>
      <c r="AV69" s="1">
        <f t="shared" si="12"/>
        <v>0.80030278062452664</v>
      </c>
      <c r="AW69" s="1">
        <f t="shared" si="13"/>
        <v>0.55023089215358756</v>
      </c>
    </row>
    <row r="70" spans="1:49" x14ac:dyDescent="0.2">
      <c r="A70">
        <v>68</v>
      </c>
      <c r="B70" t="s">
        <v>10094</v>
      </c>
      <c r="C70" t="s">
        <v>10093</v>
      </c>
      <c r="F70" t="s">
        <v>10092</v>
      </c>
      <c r="G70" t="s">
        <v>14</v>
      </c>
      <c r="H70" t="s">
        <v>13</v>
      </c>
      <c r="I70" t="s">
        <v>10091</v>
      </c>
      <c r="J70">
        <v>60000635</v>
      </c>
      <c r="K70" t="s">
        <v>10090</v>
      </c>
      <c r="L70" t="s">
        <v>10089</v>
      </c>
      <c r="M70" t="s">
        <v>197</v>
      </c>
      <c r="N70">
        <v>3</v>
      </c>
      <c r="O70" t="s">
        <v>10088</v>
      </c>
      <c r="P70" t="s">
        <v>10087</v>
      </c>
      <c r="Q70" t="s">
        <v>10086</v>
      </c>
      <c r="R70" s="7">
        <v>32994</v>
      </c>
      <c r="S70" s="8">
        <f t="shared" si="8"/>
        <v>1990</v>
      </c>
      <c r="T70" s="8">
        <v>1990</v>
      </c>
      <c r="U70" s="8">
        <f t="shared" si="9"/>
        <v>32</v>
      </c>
      <c r="V70" s="7">
        <v>32994</v>
      </c>
      <c r="W70" t="s">
        <v>9480</v>
      </c>
      <c r="X70" s="2">
        <v>0.85499999999999998</v>
      </c>
      <c r="Y70" s="6">
        <f t="shared" si="14"/>
        <v>2.28237366861536E-2</v>
      </c>
      <c r="AA70">
        <v>980331</v>
      </c>
      <c r="AB70">
        <v>23342</v>
      </c>
      <c r="AC70">
        <v>15731561</v>
      </c>
      <c r="AD70" t="s">
        <v>5</v>
      </c>
      <c r="AE70">
        <v>16</v>
      </c>
      <c r="AF70">
        <v>5</v>
      </c>
      <c r="AH70" t="s">
        <v>10085</v>
      </c>
      <c r="AI70" t="s">
        <v>10084</v>
      </c>
      <c r="AJ70" t="s">
        <v>10083</v>
      </c>
      <c r="AK70" t="s">
        <v>10082</v>
      </c>
      <c r="AL70">
        <v>19</v>
      </c>
      <c r="AM70" s="5">
        <f t="shared" si="10"/>
        <v>0.59375</v>
      </c>
      <c r="AN70" s="4">
        <f t="shared" si="15"/>
        <v>8.9928057553956839E-4</v>
      </c>
      <c r="AO70" s="3"/>
      <c r="AP70">
        <v>0</v>
      </c>
      <c r="AR70" t="s">
        <v>0</v>
      </c>
      <c r="AT70" s="2">
        <v>2.6259999999999999</v>
      </c>
      <c r="AU70" s="1">
        <f t="shared" si="11"/>
        <v>1.6246399852969389</v>
      </c>
      <c r="AV70" s="1">
        <f t="shared" si="12"/>
        <v>1.1861508630846584</v>
      </c>
      <c r="AW70" s="1">
        <f t="shared" si="13"/>
        <v>0.7476617408723778</v>
      </c>
    </row>
    <row r="71" spans="1:49" x14ac:dyDescent="0.2">
      <c r="A71">
        <v>69</v>
      </c>
      <c r="B71" t="s">
        <v>10081</v>
      </c>
      <c r="C71" t="s">
        <v>10080</v>
      </c>
      <c r="F71" t="s">
        <v>10079</v>
      </c>
      <c r="G71" t="s">
        <v>14</v>
      </c>
      <c r="H71" t="s">
        <v>13</v>
      </c>
      <c r="I71" t="s">
        <v>10078</v>
      </c>
      <c r="J71">
        <v>60028717</v>
      </c>
      <c r="K71" t="s">
        <v>10077</v>
      </c>
      <c r="L71" t="s">
        <v>594</v>
      </c>
      <c r="M71" t="s">
        <v>135</v>
      </c>
      <c r="N71">
        <v>3</v>
      </c>
      <c r="O71" t="s">
        <v>10076</v>
      </c>
      <c r="P71" t="s">
        <v>10075</v>
      </c>
      <c r="Q71" t="s">
        <v>10074</v>
      </c>
      <c r="R71" s="7">
        <v>32994</v>
      </c>
      <c r="S71" s="8">
        <f t="shared" si="8"/>
        <v>1990</v>
      </c>
      <c r="T71" s="8">
        <v>1990</v>
      </c>
      <c r="U71" s="8">
        <f t="shared" si="9"/>
        <v>32</v>
      </c>
      <c r="V71" s="7">
        <v>32994</v>
      </c>
      <c r="W71" t="s">
        <v>9442</v>
      </c>
      <c r="X71" s="2">
        <v>1.2529999999999999</v>
      </c>
      <c r="Y71" s="6">
        <f t="shared" si="14"/>
        <v>3.3448119377485916E-2</v>
      </c>
      <c r="AA71">
        <v>320935</v>
      </c>
      <c r="AB71">
        <v>16646</v>
      </c>
      <c r="AC71">
        <v>14322048</v>
      </c>
      <c r="AD71" t="s">
        <v>5</v>
      </c>
      <c r="AE71">
        <v>181</v>
      </c>
      <c r="AF71">
        <v>2</v>
      </c>
      <c r="AH71" t="s">
        <v>10073</v>
      </c>
      <c r="AI71" t="s">
        <v>10072</v>
      </c>
      <c r="AJ71" t="s">
        <v>10071</v>
      </c>
      <c r="AK71" t="s">
        <v>10070</v>
      </c>
      <c r="AL71">
        <v>223</v>
      </c>
      <c r="AM71" s="5">
        <f t="shared" si="10"/>
        <v>6.96875</v>
      </c>
      <c r="AN71" s="4">
        <f t="shared" si="15"/>
        <v>1.0554714123438091E-2</v>
      </c>
      <c r="AO71" s="3"/>
      <c r="AP71">
        <v>0</v>
      </c>
      <c r="AR71" t="s">
        <v>0</v>
      </c>
      <c r="AT71" s="2">
        <v>4.1159999999999997</v>
      </c>
      <c r="AU71" s="1">
        <f t="shared" si="11"/>
        <v>2.6580097801271565</v>
      </c>
      <c r="AV71" s="1">
        <f t="shared" si="12"/>
        <v>2.2001416750462006</v>
      </c>
      <c r="AW71" s="1">
        <f t="shared" si="13"/>
        <v>1.7422735699652439</v>
      </c>
    </row>
    <row r="72" spans="1:49" x14ac:dyDescent="0.2">
      <c r="A72">
        <v>70</v>
      </c>
      <c r="B72" t="s">
        <v>10069</v>
      </c>
      <c r="C72" t="s">
        <v>10068</v>
      </c>
      <c r="F72" t="s">
        <v>10067</v>
      </c>
      <c r="G72" t="s">
        <v>14</v>
      </c>
      <c r="H72" t="s">
        <v>13</v>
      </c>
      <c r="I72" t="s">
        <v>10066</v>
      </c>
      <c r="J72" t="s">
        <v>10065</v>
      </c>
      <c r="K72" t="s">
        <v>10064</v>
      </c>
      <c r="L72" t="s">
        <v>10063</v>
      </c>
      <c r="M72" t="s">
        <v>10062</v>
      </c>
      <c r="N72">
        <v>6</v>
      </c>
      <c r="O72" t="s">
        <v>10061</v>
      </c>
      <c r="P72" t="s">
        <v>10060</v>
      </c>
      <c r="Q72" t="s">
        <v>10059</v>
      </c>
      <c r="R72" s="7">
        <v>32994</v>
      </c>
      <c r="S72" s="8">
        <f t="shared" si="8"/>
        <v>1990</v>
      </c>
      <c r="T72" s="8">
        <v>1990</v>
      </c>
      <c r="U72" s="8">
        <f t="shared" si="9"/>
        <v>32</v>
      </c>
      <c r="V72" s="7">
        <v>32994</v>
      </c>
      <c r="W72" t="s">
        <v>9480</v>
      </c>
      <c r="X72" s="2">
        <v>0.85499999999999998</v>
      </c>
      <c r="Y72" s="6">
        <f t="shared" si="14"/>
        <v>2.28237366861536E-2</v>
      </c>
      <c r="AA72">
        <v>980331</v>
      </c>
      <c r="AB72">
        <v>23342</v>
      </c>
      <c r="AC72">
        <v>15731561</v>
      </c>
      <c r="AD72" t="s">
        <v>5</v>
      </c>
      <c r="AE72">
        <v>16</v>
      </c>
      <c r="AF72">
        <v>5</v>
      </c>
      <c r="AH72" t="s">
        <v>10058</v>
      </c>
      <c r="AI72" t="s">
        <v>10057</v>
      </c>
      <c r="AJ72" t="s">
        <v>10056</v>
      </c>
      <c r="AK72" t="s">
        <v>10055</v>
      </c>
      <c r="AL72">
        <v>64</v>
      </c>
      <c r="AM72" s="5">
        <f t="shared" si="10"/>
        <v>2</v>
      </c>
      <c r="AN72" s="4">
        <f t="shared" si="15"/>
        <v>3.0291556228701248E-3</v>
      </c>
      <c r="AO72" s="3"/>
      <c r="AP72">
        <v>0</v>
      </c>
      <c r="AR72" t="s">
        <v>0</v>
      </c>
      <c r="AT72" s="2">
        <v>2.6259999999999999</v>
      </c>
      <c r="AU72" s="1">
        <f t="shared" si="11"/>
        <v>1.6885362367168557</v>
      </c>
      <c r="AV72" s="1">
        <f t="shared" si="12"/>
        <v>1.2926446154511864</v>
      </c>
      <c r="AW72" s="1">
        <f t="shared" si="13"/>
        <v>0.89675299418551668</v>
      </c>
    </row>
    <row r="73" spans="1:49" x14ac:dyDescent="0.2">
      <c r="A73">
        <v>71</v>
      </c>
      <c r="B73" t="s">
        <v>10054</v>
      </c>
      <c r="C73" t="s">
        <v>10053</v>
      </c>
      <c r="D73" t="s">
        <v>10052</v>
      </c>
      <c r="F73" t="s">
        <v>10051</v>
      </c>
      <c r="G73" t="s">
        <v>14</v>
      </c>
      <c r="H73" t="s">
        <v>13</v>
      </c>
      <c r="I73" t="s">
        <v>10050</v>
      </c>
      <c r="J73" t="s">
        <v>10049</v>
      </c>
      <c r="K73" t="s">
        <v>10048</v>
      </c>
      <c r="L73" t="s">
        <v>10047</v>
      </c>
      <c r="M73" t="s">
        <v>10046</v>
      </c>
      <c r="N73">
        <v>37</v>
      </c>
      <c r="O73" t="s">
        <v>10045</v>
      </c>
      <c r="P73" t="s">
        <v>10044</v>
      </c>
      <c r="Q73" t="s">
        <v>10043</v>
      </c>
      <c r="R73" s="7">
        <v>32978</v>
      </c>
      <c r="S73" s="8">
        <f t="shared" si="8"/>
        <v>1990</v>
      </c>
      <c r="T73" s="8">
        <v>1990</v>
      </c>
      <c r="U73" s="8">
        <f t="shared" si="9"/>
        <v>32</v>
      </c>
      <c r="V73" s="7">
        <v>32978</v>
      </c>
      <c r="W73" t="s">
        <v>10042</v>
      </c>
      <c r="X73" s="2" t="s">
        <v>126</v>
      </c>
      <c r="Y73" s="6" t="e">
        <f t="shared" si="14"/>
        <v>#VALUE!</v>
      </c>
      <c r="AA73">
        <v>1689002</v>
      </c>
      <c r="AB73">
        <v>29067</v>
      </c>
      <c r="AD73" t="s">
        <v>5</v>
      </c>
      <c r="AE73">
        <v>289</v>
      </c>
      <c r="AF73">
        <v>3</v>
      </c>
      <c r="AH73" t="s">
        <v>10041</v>
      </c>
      <c r="AI73" t="s">
        <v>10040</v>
      </c>
      <c r="AK73" t="s">
        <v>10039</v>
      </c>
      <c r="AL73">
        <v>457</v>
      </c>
      <c r="AM73" s="5">
        <f t="shared" si="10"/>
        <v>14.28125</v>
      </c>
      <c r="AN73" s="4">
        <f t="shared" si="15"/>
        <v>2.1630064369556987E-2</v>
      </c>
      <c r="AO73" s="3"/>
      <c r="AP73">
        <v>0</v>
      </c>
      <c r="AR73" t="s">
        <v>0</v>
      </c>
      <c r="AT73" s="2" t="s">
        <v>126</v>
      </c>
      <c r="AU73" s="1" t="e">
        <f t="shared" si="11"/>
        <v>#VALUE!</v>
      </c>
      <c r="AV73" s="1" t="e">
        <f t="shared" si="12"/>
        <v>#VALUE!</v>
      </c>
      <c r="AW73" s="1" t="e">
        <f t="shared" si="13"/>
        <v>#VALUE!</v>
      </c>
    </row>
    <row r="74" spans="1:49" x14ac:dyDescent="0.2">
      <c r="A74">
        <v>72</v>
      </c>
      <c r="B74" t="s">
        <v>10038</v>
      </c>
      <c r="C74" t="s">
        <v>10037</v>
      </c>
      <c r="D74" t="s">
        <v>10036</v>
      </c>
      <c r="F74" t="s">
        <v>10035</v>
      </c>
      <c r="G74" t="s">
        <v>14</v>
      </c>
      <c r="H74" t="s">
        <v>13</v>
      </c>
      <c r="I74" t="s">
        <v>10034</v>
      </c>
      <c r="J74" t="s">
        <v>10033</v>
      </c>
      <c r="K74" t="s">
        <v>10032</v>
      </c>
      <c r="L74" t="s">
        <v>10031</v>
      </c>
      <c r="M74" t="s">
        <v>2774</v>
      </c>
      <c r="N74">
        <v>5</v>
      </c>
      <c r="O74" t="s">
        <v>10030</v>
      </c>
      <c r="P74" t="s">
        <v>10029</v>
      </c>
      <c r="Q74" t="s">
        <v>10028</v>
      </c>
      <c r="R74" s="7">
        <v>32978</v>
      </c>
      <c r="S74" s="8">
        <f t="shared" si="8"/>
        <v>1990</v>
      </c>
      <c r="T74" s="8">
        <v>1990</v>
      </c>
      <c r="U74" s="8">
        <f t="shared" si="9"/>
        <v>32</v>
      </c>
      <c r="V74" s="7">
        <v>32978</v>
      </c>
      <c r="W74" t="s">
        <v>353</v>
      </c>
      <c r="X74" s="2" t="s">
        <v>126</v>
      </c>
      <c r="Y74" s="6" t="e">
        <f t="shared" si="14"/>
        <v>#VALUE!</v>
      </c>
      <c r="AA74">
        <v>10111344</v>
      </c>
      <c r="AB74">
        <v>17622</v>
      </c>
      <c r="AD74" t="s">
        <v>5</v>
      </c>
      <c r="AE74">
        <v>5</v>
      </c>
      <c r="AF74">
        <v>2</v>
      </c>
      <c r="AH74" t="s">
        <v>10027</v>
      </c>
      <c r="AI74" t="s">
        <v>10026</v>
      </c>
      <c r="AJ74" t="s">
        <v>10025</v>
      </c>
      <c r="AK74" t="s">
        <v>10024</v>
      </c>
      <c r="AL74">
        <v>9</v>
      </c>
      <c r="AM74" s="5">
        <f t="shared" si="10"/>
        <v>0.28125</v>
      </c>
      <c r="AN74" s="4">
        <f t="shared" si="15"/>
        <v>4.2597500946611131E-4</v>
      </c>
      <c r="AO74" s="3"/>
      <c r="AP74">
        <v>0</v>
      </c>
      <c r="AQ74" t="s">
        <v>10023</v>
      </c>
      <c r="AR74" t="s">
        <v>10022</v>
      </c>
      <c r="AS74" t="s">
        <v>10021</v>
      </c>
      <c r="AT74" s="2" t="s">
        <v>126</v>
      </c>
      <c r="AU74" s="1" t="e">
        <f t="shared" si="11"/>
        <v>#VALUE!</v>
      </c>
      <c r="AV74" s="1" t="e">
        <f t="shared" si="12"/>
        <v>#VALUE!</v>
      </c>
      <c r="AW74" s="1" t="e">
        <f t="shared" si="13"/>
        <v>#VALUE!</v>
      </c>
    </row>
    <row r="75" spans="1:49" x14ac:dyDescent="0.2">
      <c r="A75">
        <v>73</v>
      </c>
      <c r="B75" t="s">
        <v>10020</v>
      </c>
      <c r="E75">
        <v>2340808</v>
      </c>
      <c r="F75" t="s">
        <v>10019</v>
      </c>
      <c r="G75" t="s">
        <v>14</v>
      </c>
      <c r="H75" t="s">
        <v>13</v>
      </c>
      <c r="I75" t="s">
        <v>10018</v>
      </c>
      <c r="J75">
        <v>60022195</v>
      </c>
      <c r="K75" t="s">
        <v>1666</v>
      </c>
      <c r="L75" t="s">
        <v>1665</v>
      </c>
      <c r="M75" t="s">
        <v>197</v>
      </c>
      <c r="N75">
        <v>4</v>
      </c>
      <c r="O75" t="s">
        <v>10017</v>
      </c>
      <c r="P75" t="s">
        <v>10016</v>
      </c>
      <c r="Q75" t="s">
        <v>10015</v>
      </c>
      <c r="R75" s="7">
        <v>32974</v>
      </c>
      <c r="S75" s="8">
        <f t="shared" si="8"/>
        <v>1990</v>
      </c>
      <c r="T75" s="8">
        <v>1990</v>
      </c>
      <c r="U75" s="8">
        <f t="shared" si="9"/>
        <v>32</v>
      </c>
      <c r="V75" s="7">
        <v>1990</v>
      </c>
      <c r="W75" t="s">
        <v>10014</v>
      </c>
      <c r="X75" s="2">
        <v>0.15</v>
      </c>
      <c r="Y75" s="6">
        <f t="shared" si="14"/>
        <v>4.0041643309041402E-3</v>
      </c>
      <c r="AA75">
        <v>9501991</v>
      </c>
      <c r="AB75">
        <v>14531</v>
      </c>
      <c r="AD75" t="s">
        <v>5</v>
      </c>
      <c r="AE75">
        <v>108</v>
      </c>
      <c r="AF75">
        <v>3</v>
      </c>
      <c r="AH75" t="s">
        <v>10013</v>
      </c>
      <c r="AI75" t="s">
        <v>10012</v>
      </c>
      <c r="AJ75" t="s">
        <v>10011</v>
      </c>
      <c r="AK75" t="s">
        <v>10010</v>
      </c>
      <c r="AL75">
        <v>83</v>
      </c>
      <c r="AM75" s="5">
        <f t="shared" si="10"/>
        <v>2.59375</v>
      </c>
      <c r="AN75" s="4">
        <f t="shared" si="15"/>
        <v>3.9284361984096936E-3</v>
      </c>
      <c r="AO75" s="3"/>
      <c r="AP75">
        <v>0</v>
      </c>
      <c r="AR75" t="s">
        <v>0</v>
      </c>
      <c r="AT75" s="2">
        <v>6.8680000000000003</v>
      </c>
      <c r="AU75" s="1">
        <f t="shared" si="11"/>
        <v>0.39814458911558065</v>
      </c>
      <c r="AV75" s="1">
        <f t="shared" si="12"/>
        <v>0.39663002646569168</v>
      </c>
      <c r="AW75" s="1">
        <f t="shared" si="13"/>
        <v>0.39511546381580276</v>
      </c>
    </row>
    <row r="76" spans="1:49" x14ac:dyDescent="0.2">
      <c r="A76">
        <v>74</v>
      </c>
      <c r="B76" t="s">
        <v>10009</v>
      </c>
      <c r="C76" t="s">
        <v>10008</v>
      </c>
      <c r="F76" t="s">
        <v>10007</v>
      </c>
      <c r="G76" t="s">
        <v>14</v>
      </c>
      <c r="H76" t="s">
        <v>13</v>
      </c>
      <c r="I76" t="s">
        <v>10006</v>
      </c>
      <c r="J76" t="s">
        <v>10005</v>
      </c>
      <c r="K76" t="s">
        <v>10004</v>
      </c>
      <c r="L76" t="s">
        <v>10003</v>
      </c>
      <c r="M76" t="s">
        <v>84</v>
      </c>
      <c r="N76">
        <v>2</v>
      </c>
      <c r="O76" t="s">
        <v>10002</v>
      </c>
      <c r="P76" t="s">
        <v>10001</v>
      </c>
      <c r="Q76" t="s">
        <v>10000</v>
      </c>
      <c r="R76" s="7">
        <v>32973</v>
      </c>
      <c r="S76" s="8">
        <f t="shared" si="8"/>
        <v>1990</v>
      </c>
      <c r="T76" s="8">
        <v>1990</v>
      </c>
      <c r="U76" s="8">
        <f t="shared" si="9"/>
        <v>32</v>
      </c>
      <c r="V76" s="7">
        <v>32973</v>
      </c>
      <c r="W76" t="s">
        <v>369</v>
      </c>
      <c r="X76" s="2">
        <v>2.3759999999999999</v>
      </c>
      <c r="Y76" s="6">
        <f t="shared" si="14"/>
        <v>6.3425963001521576E-2</v>
      </c>
      <c r="AA76" t="s">
        <v>368</v>
      </c>
      <c r="AB76">
        <v>26765</v>
      </c>
      <c r="AC76">
        <v>15384357</v>
      </c>
      <c r="AD76" t="s">
        <v>5</v>
      </c>
      <c r="AE76">
        <v>353</v>
      </c>
      <c r="AF76" t="s">
        <v>9999</v>
      </c>
      <c r="AI76" t="s">
        <v>9998</v>
      </c>
      <c r="AJ76" t="s">
        <v>9997</v>
      </c>
      <c r="AK76" t="s">
        <v>9996</v>
      </c>
      <c r="AL76">
        <v>111</v>
      </c>
      <c r="AM76" s="5">
        <f t="shared" si="10"/>
        <v>3.46875</v>
      </c>
      <c r="AN76" s="4">
        <f t="shared" si="15"/>
        <v>5.2536917834153729E-3</v>
      </c>
      <c r="AO76" s="3"/>
      <c r="AP76">
        <v>0</v>
      </c>
      <c r="AR76" t="s">
        <v>0</v>
      </c>
      <c r="AT76" s="2">
        <v>5.8739999999999997</v>
      </c>
      <c r="AU76" s="1">
        <f t="shared" si="11"/>
        <v>4.5974281636089716</v>
      </c>
      <c r="AV76" s="1">
        <f t="shared" si="12"/>
        <v>3.4339827392468476</v>
      </c>
      <c r="AW76" s="1">
        <f t="shared" si="13"/>
        <v>2.2705373148847232</v>
      </c>
    </row>
    <row r="77" spans="1:49" x14ac:dyDescent="0.2">
      <c r="A77">
        <v>75</v>
      </c>
      <c r="B77" t="s">
        <v>9995</v>
      </c>
      <c r="C77" t="s">
        <v>9994</v>
      </c>
      <c r="D77" t="s">
        <v>9993</v>
      </c>
      <c r="F77" t="s">
        <v>9992</v>
      </c>
      <c r="G77" t="s">
        <v>14</v>
      </c>
      <c r="H77" t="s">
        <v>13</v>
      </c>
      <c r="I77" t="s">
        <v>9991</v>
      </c>
      <c r="J77" t="s">
        <v>9990</v>
      </c>
      <c r="K77" t="s">
        <v>9989</v>
      </c>
      <c r="L77" t="s">
        <v>9988</v>
      </c>
      <c r="M77" t="s">
        <v>9987</v>
      </c>
      <c r="N77">
        <v>4</v>
      </c>
      <c r="O77" t="s">
        <v>9986</v>
      </c>
      <c r="P77" t="s">
        <v>9985</v>
      </c>
      <c r="Q77" t="s">
        <v>9984</v>
      </c>
      <c r="R77" s="7">
        <v>32968</v>
      </c>
      <c r="S77" s="8">
        <f t="shared" si="8"/>
        <v>1990</v>
      </c>
      <c r="T77" s="8">
        <v>1990</v>
      </c>
      <c r="U77" s="8">
        <f t="shared" si="9"/>
        <v>32</v>
      </c>
      <c r="V77" s="7">
        <v>32968</v>
      </c>
      <c r="W77" t="s">
        <v>9100</v>
      </c>
      <c r="X77" s="2">
        <v>1.59</v>
      </c>
      <c r="Y77" s="6">
        <f t="shared" si="14"/>
        <v>4.2444141907583888E-2</v>
      </c>
      <c r="AA77">
        <v>52728</v>
      </c>
      <c r="AB77">
        <v>16791</v>
      </c>
      <c r="AD77" t="s">
        <v>5</v>
      </c>
      <c r="AE77">
        <v>1016</v>
      </c>
      <c r="AF77">
        <v>2</v>
      </c>
      <c r="AH77" t="s">
        <v>9983</v>
      </c>
      <c r="AI77" t="s">
        <v>9982</v>
      </c>
      <c r="AJ77" t="s">
        <v>9981</v>
      </c>
      <c r="AK77" t="s">
        <v>9980</v>
      </c>
      <c r="AL77">
        <v>14</v>
      </c>
      <c r="AM77" s="5">
        <f t="shared" si="10"/>
        <v>0.4375</v>
      </c>
      <c r="AN77" s="4">
        <f t="shared" si="15"/>
        <v>6.6262779250283988E-4</v>
      </c>
      <c r="AO77" s="3"/>
      <c r="AP77">
        <v>0</v>
      </c>
      <c r="AR77" t="s">
        <v>0</v>
      </c>
      <c r="AT77" s="2" t="s">
        <v>126</v>
      </c>
      <c r="AU77" s="1">
        <f t="shared" si="11"/>
        <v>2.9909687673059575</v>
      </c>
      <c r="AV77" s="1">
        <f t="shared" si="12"/>
        <v>2.1553384850043362</v>
      </c>
      <c r="AW77" s="1">
        <f t="shared" si="13"/>
        <v>1.3197082027027154</v>
      </c>
    </row>
    <row r="78" spans="1:49" x14ac:dyDescent="0.2">
      <c r="A78">
        <v>76</v>
      </c>
      <c r="B78" t="s">
        <v>9979</v>
      </c>
      <c r="C78" t="s">
        <v>9978</v>
      </c>
      <c r="D78" t="s">
        <v>9977</v>
      </c>
      <c r="F78" t="s">
        <v>9976</v>
      </c>
      <c r="G78" t="s">
        <v>14</v>
      </c>
      <c r="H78" t="s">
        <v>13</v>
      </c>
      <c r="I78" t="s">
        <v>9975</v>
      </c>
      <c r="J78" t="s">
        <v>9974</v>
      </c>
      <c r="K78" t="s">
        <v>9973</v>
      </c>
      <c r="L78" t="s">
        <v>9972</v>
      </c>
      <c r="M78" t="s">
        <v>2635</v>
      </c>
      <c r="N78">
        <v>4</v>
      </c>
      <c r="O78" t="s">
        <v>9971</v>
      </c>
      <c r="P78" t="s">
        <v>9970</v>
      </c>
      <c r="Q78" t="s">
        <v>9969</v>
      </c>
      <c r="R78" s="7">
        <v>32968</v>
      </c>
      <c r="S78" s="8">
        <f t="shared" si="8"/>
        <v>1990</v>
      </c>
      <c r="T78" s="8">
        <v>1990</v>
      </c>
      <c r="U78" s="8">
        <f t="shared" si="9"/>
        <v>32</v>
      </c>
      <c r="V78" s="7">
        <v>32968</v>
      </c>
      <c r="W78" t="s">
        <v>9100</v>
      </c>
      <c r="X78" s="2">
        <v>1.59</v>
      </c>
      <c r="Y78" s="6">
        <f t="shared" si="14"/>
        <v>4.2444141907583888E-2</v>
      </c>
      <c r="AA78">
        <v>52728</v>
      </c>
      <c r="AB78">
        <v>16791</v>
      </c>
      <c r="AD78" t="s">
        <v>5</v>
      </c>
      <c r="AE78">
        <v>1016</v>
      </c>
      <c r="AF78">
        <v>2</v>
      </c>
      <c r="AH78" t="s">
        <v>9968</v>
      </c>
      <c r="AI78" t="s">
        <v>9967</v>
      </c>
      <c r="AJ78" t="s">
        <v>9966</v>
      </c>
      <c r="AK78" t="s">
        <v>9965</v>
      </c>
      <c r="AL78">
        <v>25</v>
      </c>
      <c r="AM78" s="5">
        <f t="shared" si="10"/>
        <v>0.78125</v>
      </c>
      <c r="AN78" s="4">
        <f t="shared" si="15"/>
        <v>1.1832639151836426E-3</v>
      </c>
      <c r="AO78" s="3"/>
      <c r="AP78">
        <v>0</v>
      </c>
      <c r="AR78" t="s">
        <v>9964</v>
      </c>
      <c r="AT78" s="2" t="s">
        <v>126</v>
      </c>
      <c r="AU78" s="1">
        <f t="shared" si="11"/>
        <v>3.0065878509863815</v>
      </c>
      <c r="AV78" s="1">
        <f t="shared" si="12"/>
        <v>2.1813702911383763</v>
      </c>
      <c r="AW78" s="1">
        <f t="shared" si="13"/>
        <v>1.3561527312903716</v>
      </c>
    </row>
    <row r="79" spans="1:49" x14ac:dyDescent="0.2">
      <c r="A79">
        <v>77</v>
      </c>
      <c r="B79" t="s">
        <v>9963</v>
      </c>
      <c r="C79" t="s">
        <v>9962</v>
      </c>
      <c r="D79" t="s">
        <v>9961</v>
      </c>
      <c r="F79" t="s">
        <v>9960</v>
      </c>
      <c r="G79" t="s">
        <v>14</v>
      </c>
      <c r="H79" t="s">
        <v>13</v>
      </c>
      <c r="I79" t="s">
        <v>9959</v>
      </c>
      <c r="J79" t="s">
        <v>9958</v>
      </c>
      <c r="K79" t="s">
        <v>9957</v>
      </c>
      <c r="L79" t="s">
        <v>9956</v>
      </c>
      <c r="M79" t="s">
        <v>2635</v>
      </c>
      <c r="N79">
        <v>4</v>
      </c>
      <c r="O79" t="s">
        <v>9955</v>
      </c>
      <c r="P79" t="s">
        <v>9954</v>
      </c>
      <c r="Q79" t="s">
        <v>9953</v>
      </c>
      <c r="R79" s="7">
        <v>32968</v>
      </c>
      <c r="S79" s="8">
        <f t="shared" si="8"/>
        <v>1990</v>
      </c>
      <c r="T79" s="8">
        <v>1990</v>
      </c>
      <c r="U79" s="8">
        <f t="shared" si="9"/>
        <v>32</v>
      </c>
      <c r="V79" s="7">
        <v>32968</v>
      </c>
      <c r="W79" t="s">
        <v>9100</v>
      </c>
      <c r="X79" s="2">
        <v>1.59</v>
      </c>
      <c r="Y79" s="6">
        <f t="shared" si="14"/>
        <v>4.2444141907583888E-2</v>
      </c>
      <c r="AA79">
        <v>52728</v>
      </c>
      <c r="AB79">
        <v>16791</v>
      </c>
      <c r="AD79" t="s">
        <v>5</v>
      </c>
      <c r="AE79">
        <v>1016</v>
      </c>
      <c r="AF79">
        <v>2</v>
      </c>
      <c r="AH79" t="s">
        <v>9952</v>
      </c>
      <c r="AI79" t="s">
        <v>9951</v>
      </c>
      <c r="AJ79" t="s">
        <v>9950</v>
      </c>
      <c r="AK79" t="s">
        <v>9949</v>
      </c>
      <c r="AL79">
        <v>20</v>
      </c>
      <c r="AM79" s="5">
        <f t="shared" si="10"/>
        <v>0.625</v>
      </c>
      <c r="AN79" s="4">
        <f t="shared" si="15"/>
        <v>9.4661113214691405E-4</v>
      </c>
      <c r="AO79" s="3"/>
      <c r="AP79">
        <v>0</v>
      </c>
      <c r="AR79" t="s">
        <v>0</v>
      </c>
      <c r="AT79" s="2" t="s">
        <v>126</v>
      </c>
      <c r="AU79" s="1">
        <f t="shared" si="11"/>
        <v>2.9994882674952796</v>
      </c>
      <c r="AV79" s="1">
        <f t="shared" si="12"/>
        <v>2.1695376519865399</v>
      </c>
      <c r="AW79" s="1">
        <f t="shared" si="13"/>
        <v>1.3395870364778006</v>
      </c>
    </row>
    <row r="80" spans="1:49" x14ac:dyDescent="0.2">
      <c r="A80">
        <v>78</v>
      </c>
      <c r="B80" t="s">
        <v>9948</v>
      </c>
      <c r="C80" t="s">
        <v>9947</v>
      </c>
      <c r="D80" t="s">
        <v>9946</v>
      </c>
      <c r="F80" t="s">
        <v>9945</v>
      </c>
      <c r="G80" t="s">
        <v>14</v>
      </c>
      <c r="H80" t="s">
        <v>13</v>
      </c>
      <c r="I80" t="s">
        <v>9944</v>
      </c>
      <c r="J80">
        <v>60030318</v>
      </c>
      <c r="K80" t="s">
        <v>8497</v>
      </c>
      <c r="L80" t="s">
        <v>8496</v>
      </c>
      <c r="M80" t="s">
        <v>184</v>
      </c>
      <c r="N80">
        <v>3</v>
      </c>
      <c r="O80" t="s">
        <v>9943</v>
      </c>
      <c r="P80" t="s">
        <v>9942</v>
      </c>
      <c r="Q80" t="s">
        <v>8493</v>
      </c>
      <c r="R80" s="7">
        <v>32968</v>
      </c>
      <c r="S80" s="8">
        <f t="shared" si="8"/>
        <v>1990</v>
      </c>
      <c r="T80" s="8">
        <v>1990</v>
      </c>
      <c r="U80" s="8">
        <f t="shared" si="9"/>
        <v>32</v>
      </c>
      <c r="V80" s="7">
        <v>32968</v>
      </c>
      <c r="W80" t="s">
        <v>9100</v>
      </c>
      <c r="X80" s="2">
        <v>1.59</v>
      </c>
      <c r="Y80" s="6">
        <f t="shared" si="14"/>
        <v>4.2444141907583888E-2</v>
      </c>
      <c r="AA80">
        <v>52728</v>
      </c>
      <c r="AB80">
        <v>16791</v>
      </c>
      <c r="AD80" t="s">
        <v>5</v>
      </c>
      <c r="AE80">
        <v>1016</v>
      </c>
      <c r="AF80">
        <v>2</v>
      </c>
      <c r="AH80" t="s">
        <v>9941</v>
      </c>
      <c r="AI80" t="s">
        <v>9940</v>
      </c>
      <c r="AJ80" t="s">
        <v>9939</v>
      </c>
      <c r="AK80" t="s">
        <v>9938</v>
      </c>
      <c r="AL80">
        <v>13</v>
      </c>
      <c r="AM80" s="5">
        <f t="shared" si="10"/>
        <v>0.40625</v>
      </c>
      <c r="AN80" s="4">
        <f t="shared" si="15"/>
        <v>6.1529723589549411E-4</v>
      </c>
      <c r="AO80" s="3"/>
      <c r="AP80">
        <v>0</v>
      </c>
      <c r="AR80" t="s">
        <v>0</v>
      </c>
      <c r="AT80" s="2" t="s">
        <v>126</v>
      </c>
      <c r="AU80" s="1">
        <f t="shared" si="11"/>
        <v>2.9895488506077368</v>
      </c>
      <c r="AV80" s="1">
        <f t="shared" si="12"/>
        <v>2.1529719571739689</v>
      </c>
      <c r="AW80" s="1">
        <f t="shared" si="13"/>
        <v>1.3163950637402011</v>
      </c>
    </row>
    <row r="81" spans="1:49" x14ac:dyDescent="0.2">
      <c r="A81">
        <v>79</v>
      </c>
      <c r="B81" t="s">
        <v>9937</v>
      </c>
      <c r="C81" t="s">
        <v>9936</v>
      </c>
      <c r="F81" t="s">
        <v>9935</v>
      </c>
      <c r="G81" t="s">
        <v>14</v>
      </c>
      <c r="H81" t="s">
        <v>13</v>
      </c>
      <c r="I81" t="s">
        <v>9934</v>
      </c>
      <c r="J81">
        <v>60005465</v>
      </c>
      <c r="K81" t="s">
        <v>4176</v>
      </c>
      <c r="L81" t="s">
        <v>4175</v>
      </c>
      <c r="M81" t="s">
        <v>854</v>
      </c>
      <c r="N81">
        <v>1</v>
      </c>
      <c r="O81" t="s">
        <v>9933</v>
      </c>
      <c r="P81">
        <v>24785600400</v>
      </c>
      <c r="Q81">
        <v>60005465</v>
      </c>
      <c r="R81" s="7">
        <v>32964</v>
      </c>
      <c r="S81" s="8">
        <f t="shared" si="8"/>
        <v>1990</v>
      </c>
      <c r="T81" s="8">
        <v>1990</v>
      </c>
      <c r="U81" s="8">
        <f t="shared" si="9"/>
        <v>32</v>
      </c>
      <c r="V81" s="7">
        <v>32964</v>
      </c>
      <c r="W81" t="s">
        <v>8548</v>
      </c>
      <c r="X81" s="2">
        <v>0.11700000000000001</v>
      </c>
      <c r="Y81" s="6">
        <f t="shared" si="14"/>
        <v>3.1232481781052297E-3</v>
      </c>
      <c r="AA81">
        <v>2179822</v>
      </c>
      <c r="AB81">
        <v>5300152612</v>
      </c>
      <c r="AC81">
        <v>19930615</v>
      </c>
      <c r="AD81" t="s">
        <v>5</v>
      </c>
      <c r="AE81">
        <v>7</v>
      </c>
      <c r="AF81">
        <v>2</v>
      </c>
      <c r="AH81" t="s">
        <v>9932</v>
      </c>
      <c r="AI81" t="s">
        <v>9931</v>
      </c>
      <c r="AJ81" t="s">
        <v>9930</v>
      </c>
      <c r="AK81" t="s">
        <v>9929</v>
      </c>
      <c r="AL81">
        <v>0</v>
      </c>
      <c r="AM81" s="5">
        <f t="shared" si="10"/>
        <v>0</v>
      </c>
      <c r="AN81" s="4">
        <f t="shared" si="15"/>
        <v>0</v>
      </c>
      <c r="AO81" s="3"/>
      <c r="AP81">
        <v>0</v>
      </c>
      <c r="AR81" t="s">
        <v>0</v>
      </c>
      <c r="AT81" s="2" t="s">
        <v>126</v>
      </c>
      <c r="AU81" s="1">
        <f t="shared" si="11"/>
        <v>0.21862737246736608</v>
      </c>
      <c r="AV81" s="1">
        <f t="shared" si="12"/>
        <v>0.15616240890526148</v>
      </c>
      <c r="AW81" s="1">
        <f t="shared" si="13"/>
        <v>9.3697445343156896E-2</v>
      </c>
    </row>
    <row r="82" spans="1:49" x14ac:dyDescent="0.2">
      <c r="A82">
        <v>80</v>
      </c>
      <c r="B82" t="s">
        <v>9928</v>
      </c>
      <c r="C82" t="s">
        <v>9927</v>
      </c>
      <c r="F82" t="s">
        <v>9926</v>
      </c>
      <c r="G82" t="s">
        <v>14</v>
      </c>
      <c r="H82" t="s">
        <v>13</v>
      </c>
      <c r="I82" t="s">
        <v>9925</v>
      </c>
      <c r="N82">
        <v>2</v>
      </c>
      <c r="O82" t="s">
        <v>9924</v>
      </c>
      <c r="P82" t="s">
        <v>9923</v>
      </c>
      <c r="Q82" t="s">
        <v>119</v>
      </c>
      <c r="R82" s="7">
        <v>32964</v>
      </c>
      <c r="S82" s="8">
        <f t="shared" si="8"/>
        <v>1990</v>
      </c>
      <c r="T82" s="8">
        <v>1990</v>
      </c>
      <c r="U82" s="8">
        <f t="shared" si="9"/>
        <v>32</v>
      </c>
      <c r="V82" s="7">
        <v>32964</v>
      </c>
      <c r="W82" t="s">
        <v>9922</v>
      </c>
      <c r="X82" s="2">
        <v>0.318</v>
      </c>
      <c r="Y82" s="6">
        <f t="shared" si="14"/>
        <v>8.4888283815167786E-3</v>
      </c>
      <c r="AA82">
        <v>338443</v>
      </c>
      <c r="AB82">
        <v>27160</v>
      </c>
      <c r="AC82">
        <v>15739120</v>
      </c>
      <c r="AD82" t="s">
        <v>5</v>
      </c>
      <c r="AE82">
        <v>33</v>
      </c>
      <c r="AF82">
        <v>4</v>
      </c>
      <c r="AH82" t="s">
        <v>9921</v>
      </c>
      <c r="AL82">
        <v>0</v>
      </c>
      <c r="AM82" s="5">
        <f t="shared" si="10"/>
        <v>0</v>
      </c>
      <c r="AN82" s="4">
        <f t="shared" si="15"/>
        <v>0</v>
      </c>
      <c r="AO82" s="3"/>
      <c r="AP82">
        <v>0</v>
      </c>
      <c r="AR82" t="s">
        <v>0</v>
      </c>
      <c r="AT82" s="2">
        <v>0.77</v>
      </c>
      <c r="AU82" s="1">
        <f t="shared" si="11"/>
        <v>0.59421798670617454</v>
      </c>
      <c r="AV82" s="1">
        <f t="shared" si="12"/>
        <v>0.42444141907583893</v>
      </c>
      <c r="AW82" s="1">
        <f t="shared" si="13"/>
        <v>0.25466485144550338</v>
      </c>
    </row>
    <row r="83" spans="1:49" x14ac:dyDescent="0.2">
      <c r="A83">
        <v>81</v>
      </c>
      <c r="B83" t="s">
        <v>9920</v>
      </c>
      <c r="F83" t="s">
        <v>9919</v>
      </c>
      <c r="G83" t="s">
        <v>14</v>
      </c>
      <c r="H83" t="s">
        <v>13</v>
      </c>
      <c r="I83" t="s">
        <v>2333</v>
      </c>
      <c r="J83">
        <v>60027090</v>
      </c>
      <c r="K83" t="s">
        <v>2332</v>
      </c>
      <c r="L83" t="s">
        <v>2331</v>
      </c>
      <c r="M83" t="s">
        <v>197</v>
      </c>
      <c r="N83">
        <v>2</v>
      </c>
      <c r="O83" t="s">
        <v>2330</v>
      </c>
      <c r="P83" t="s">
        <v>2329</v>
      </c>
      <c r="Q83" t="s">
        <v>2328</v>
      </c>
      <c r="R83" s="7">
        <v>32964</v>
      </c>
      <c r="S83" s="8">
        <f t="shared" si="8"/>
        <v>1990</v>
      </c>
      <c r="T83" s="8">
        <v>1990</v>
      </c>
      <c r="U83" s="8">
        <f t="shared" si="9"/>
        <v>32</v>
      </c>
      <c r="V83" s="7">
        <v>32964</v>
      </c>
      <c r="W83" t="s">
        <v>9883</v>
      </c>
      <c r="X83" s="2">
        <v>0.69799999999999995</v>
      </c>
      <c r="Y83" s="6">
        <f t="shared" si="14"/>
        <v>1.86327113531406E-2</v>
      </c>
      <c r="AA83">
        <v>219142</v>
      </c>
      <c r="AB83">
        <v>29585</v>
      </c>
      <c r="AD83" t="s">
        <v>5</v>
      </c>
      <c r="AE83">
        <v>38</v>
      </c>
      <c r="AF83">
        <v>2</v>
      </c>
      <c r="AH83" t="s">
        <v>9918</v>
      </c>
      <c r="AI83" t="s">
        <v>9917</v>
      </c>
      <c r="AK83" t="s">
        <v>9916</v>
      </c>
      <c r="AL83">
        <v>8</v>
      </c>
      <c r="AM83" s="5">
        <f t="shared" si="10"/>
        <v>0.25</v>
      </c>
      <c r="AN83" s="4">
        <f t="shared" si="15"/>
        <v>3.786444528587656E-4</v>
      </c>
      <c r="AO83" s="3"/>
      <c r="AP83">
        <v>0</v>
      </c>
      <c r="AR83" t="s">
        <v>0</v>
      </c>
      <c r="AT83" s="2">
        <v>1.5309999999999999</v>
      </c>
      <c r="AU83" s="1">
        <f t="shared" si="11"/>
        <v>1.3156491283056051</v>
      </c>
      <c r="AV83" s="1">
        <f t="shared" si="12"/>
        <v>0.9505677902999683</v>
      </c>
      <c r="AW83" s="1">
        <f t="shared" si="13"/>
        <v>0.58548645229433161</v>
      </c>
    </row>
    <row r="84" spans="1:49" x14ac:dyDescent="0.2">
      <c r="A84">
        <v>82</v>
      </c>
      <c r="B84" t="s">
        <v>9915</v>
      </c>
      <c r="F84" t="s">
        <v>9914</v>
      </c>
      <c r="G84" t="s">
        <v>14</v>
      </c>
      <c r="H84" t="s">
        <v>13</v>
      </c>
      <c r="I84" t="s">
        <v>9913</v>
      </c>
      <c r="N84">
        <v>1</v>
      </c>
      <c r="O84" t="s">
        <v>9912</v>
      </c>
      <c r="P84">
        <v>7801372001</v>
      </c>
      <c r="R84" s="7">
        <v>32964</v>
      </c>
      <c r="S84" s="8">
        <f t="shared" si="8"/>
        <v>1990</v>
      </c>
      <c r="T84" s="8">
        <v>1990</v>
      </c>
      <c r="U84" s="8">
        <f t="shared" si="9"/>
        <v>32</v>
      </c>
      <c r="V84" s="7">
        <v>32964</v>
      </c>
      <c r="W84" t="s">
        <v>9911</v>
      </c>
      <c r="X84" s="2" t="s">
        <v>126</v>
      </c>
      <c r="Y84" s="6" t="e">
        <f t="shared" si="14"/>
        <v>#VALUE!</v>
      </c>
      <c r="AA84" t="s">
        <v>9910</v>
      </c>
      <c r="AB84">
        <v>35968</v>
      </c>
      <c r="AD84" t="s">
        <v>5</v>
      </c>
      <c r="AE84">
        <v>57</v>
      </c>
      <c r="AF84">
        <v>4</v>
      </c>
      <c r="AH84" t="s">
        <v>531</v>
      </c>
      <c r="AI84" t="s">
        <v>9909</v>
      </c>
      <c r="AK84" t="s">
        <v>9908</v>
      </c>
      <c r="AL84">
        <v>0</v>
      </c>
      <c r="AM84" s="5">
        <f t="shared" si="10"/>
        <v>0</v>
      </c>
      <c r="AN84" s="4">
        <f t="shared" si="15"/>
        <v>0</v>
      </c>
      <c r="AO84" s="3"/>
      <c r="AP84">
        <v>0</v>
      </c>
      <c r="AR84" t="s">
        <v>0</v>
      </c>
      <c r="AT84" s="2" t="s">
        <v>126</v>
      </c>
      <c r="AU84" s="1" t="e">
        <f t="shared" si="11"/>
        <v>#VALUE!</v>
      </c>
      <c r="AV84" s="1" t="e">
        <f t="shared" si="12"/>
        <v>#VALUE!</v>
      </c>
      <c r="AW84" s="1" t="e">
        <f t="shared" si="13"/>
        <v>#VALUE!</v>
      </c>
    </row>
    <row r="85" spans="1:49" x14ac:dyDescent="0.2">
      <c r="A85">
        <v>83</v>
      </c>
      <c r="B85" t="s">
        <v>9907</v>
      </c>
      <c r="F85" t="s">
        <v>9906</v>
      </c>
      <c r="G85" t="s">
        <v>14</v>
      </c>
      <c r="H85" t="s">
        <v>13</v>
      </c>
      <c r="I85" t="s">
        <v>9905</v>
      </c>
      <c r="J85">
        <v>60009628</v>
      </c>
      <c r="K85" t="s">
        <v>9264</v>
      </c>
      <c r="L85" t="s">
        <v>9263</v>
      </c>
      <c r="M85" t="s">
        <v>184</v>
      </c>
      <c r="N85">
        <v>2</v>
      </c>
      <c r="O85" t="s">
        <v>9904</v>
      </c>
      <c r="P85" t="s">
        <v>9903</v>
      </c>
      <c r="Q85" t="s">
        <v>9260</v>
      </c>
      <c r="R85" s="7">
        <v>32964</v>
      </c>
      <c r="S85" s="8">
        <f t="shared" si="8"/>
        <v>1990</v>
      </c>
      <c r="T85" s="8">
        <v>1990</v>
      </c>
      <c r="U85" s="8">
        <f t="shared" si="9"/>
        <v>32</v>
      </c>
      <c r="V85" s="7">
        <v>32964</v>
      </c>
      <c r="W85" t="s">
        <v>9259</v>
      </c>
      <c r="X85" s="2" t="s">
        <v>126</v>
      </c>
      <c r="Y85" s="6" t="e">
        <f t="shared" si="14"/>
        <v>#VALUE!</v>
      </c>
      <c r="AA85">
        <v>3932648</v>
      </c>
      <c r="AB85">
        <v>18207</v>
      </c>
      <c r="AD85" t="s">
        <v>5</v>
      </c>
      <c r="AE85">
        <v>18</v>
      </c>
      <c r="AF85">
        <v>2</v>
      </c>
      <c r="AH85" t="s">
        <v>9207</v>
      </c>
      <c r="AI85" t="s">
        <v>9902</v>
      </c>
      <c r="AK85" t="s">
        <v>9901</v>
      </c>
      <c r="AL85">
        <v>0</v>
      </c>
      <c r="AM85" s="5">
        <f t="shared" si="10"/>
        <v>0</v>
      </c>
      <c r="AN85" s="4">
        <f t="shared" si="15"/>
        <v>0</v>
      </c>
      <c r="AO85" s="3"/>
      <c r="AP85">
        <v>0</v>
      </c>
      <c r="AR85" t="s">
        <v>0</v>
      </c>
      <c r="AT85" s="2" t="s">
        <v>126</v>
      </c>
      <c r="AU85" s="1" t="e">
        <f t="shared" si="11"/>
        <v>#VALUE!</v>
      </c>
      <c r="AV85" s="1" t="e">
        <f t="shared" si="12"/>
        <v>#VALUE!</v>
      </c>
      <c r="AW85" s="1" t="e">
        <f t="shared" si="13"/>
        <v>#VALUE!</v>
      </c>
    </row>
    <row r="86" spans="1:49" x14ac:dyDescent="0.2">
      <c r="A86">
        <v>84</v>
      </c>
      <c r="B86" t="s">
        <v>9900</v>
      </c>
      <c r="C86" t="s">
        <v>9899</v>
      </c>
      <c r="F86" t="s">
        <v>9898</v>
      </c>
      <c r="G86" t="s">
        <v>14</v>
      </c>
      <c r="H86" t="s">
        <v>13</v>
      </c>
      <c r="I86" t="s">
        <v>9897</v>
      </c>
      <c r="J86">
        <v>60000874</v>
      </c>
      <c r="K86" t="s">
        <v>9896</v>
      </c>
      <c r="L86" t="s">
        <v>9895</v>
      </c>
      <c r="M86" t="s">
        <v>4034</v>
      </c>
      <c r="N86">
        <v>2</v>
      </c>
      <c r="O86" t="s">
        <v>9894</v>
      </c>
      <c r="P86" t="s">
        <v>9893</v>
      </c>
      <c r="Q86" t="s">
        <v>9892</v>
      </c>
      <c r="R86" s="7">
        <v>32964</v>
      </c>
      <c r="S86" s="8">
        <f t="shared" si="8"/>
        <v>1990</v>
      </c>
      <c r="T86" s="8">
        <v>1990</v>
      </c>
      <c r="U86" s="8">
        <f t="shared" si="9"/>
        <v>32</v>
      </c>
      <c r="V86" s="7">
        <v>32964</v>
      </c>
      <c r="W86" t="s">
        <v>9239</v>
      </c>
      <c r="X86" s="2">
        <v>0.61499999999999999</v>
      </c>
      <c r="Y86" s="6">
        <f t="shared" si="14"/>
        <v>1.6417073756706976E-2</v>
      </c>
      <c r="AA86">
        <v>1959271</v>
      </c>
      <c r="AB86">
        <v>12141</v>
      </c>
      <c r="AC86">
        <v>15729559</v>
      </c>
      <c r="AD86" t="s">
        <v>5</v>
      </c>
      <c r="AE86">
        <v>11</v>
      </c>
      <c r="AF86">
        <v>4</v>
      </c>
      <c r="AH86" t="s">
        <v>9891</v>
      </c>
      <c r="AI86" t="s">
        <v>9890</v>
      </c>
      <c r="AK86" t="s">
        <v>9889</v>
      </c>
      <c r="AL86">
        <v>4</v>
      </c>
      <c r="AM86" s="5">
        <f t="shared" si="10"/>
        <v>0.125</v>
      </c>
      <c r="AN86" s="4">
        <f t="shared" si="15"/>
        <v>1.893222264293828E-4</v>
      </c>
      <c r="AO86" s="3"/>
      <c r="AP86">
        <v>0</v>
      </c>
      <c r="AR86" t="s">
        <v>0</v>
      </c>
      <c r="AT86" s="2" t="s">
        <v>126</v>
      </c>
      <c r="AU86" s="1">
        <f t="shared" si="11"/>
        <v>1.1548748297623697</v>
      </c>
      <c r="AV86" s="1">
        <f t="shared" si="12"/>
        <v>0.83031979915681797</v>
      </c>
      <c r="AW86" s="1">
        <f t="shared" si="13"/>
        <v>0.50576476855126606</v>
      </c>
    </row>
    <row r="87" spans="1:49" x14ac:dyDescent="0.2">
      <c r="A87">
        <v>85</v>
      </c>
      <c r="B87" t="s">
        <v>9888</v>
      </c>
      <c r="F87" t="s">
        <v>9887</v>
      </c>
      <c r="G87" t="s">
        <v>14</v>
      </c>
      <c r="H87" t="s">
        <v>13</v>
      </c>
      <c r="I87" t="s">
        <v>9886</v>
      </c>
      <c r="J87">
        <v>101454517</v>
      </c>
      <c r="K87" t="s">
        <v>9885</v>
      </c>
      <c r="M87" t="s">
        <v>197</v>
      </c>
      <c r="N87">
        <v>1</v>
      </c>
      <c r="O87" t="s">
        <v>9884</v>
      </c>
      <c r="P87">
        <v>57225791529</v>
      </c>
      <c r="Q87">
        <v>101454517</v>
      </c>
      <c r="R87" s="7">
        <v>32964</v>
      </c>
      <c r="S87" s="8">
        <f t="shared" si="8"/>
        <v>1990</v>
      </c>
      <c r="T87" s="8">
        <v>1990</v>
      </c>
      <c r="U87" s="8">
        <f t="shared" si="9"/>
        <v>32</v>
      </c>
      <c r="V87" s="7">
        <v>32964</v>
      </c>
      <c r="W87" t="s">
        <v>9883</v>
      </c>
      <c r="X87" s="2">
        <v>0.69799999999999995</v>
      </c>
      <c r="Y87" s="6">
        <f t="shared" si="14"/>
        <v>1.86327113531406E-2</v>
      </c>
      <c r="AA87">
        <v>219142</v>
      </c>
      <c r="AB87">
        <v>29585</v>
      </c>
      <c r="AD87" t="s">
        <v>5</v>
      </c>
      <c r="AE87">
        <v>38</v>
      </c>
      <c r="AF87">
        <v>2</v>
      </c>
      <c r="AH87" t="s">
        <v>9882</v>
      </c>
      <c r="AI87" t="s">
        <v>9881</v>
      </c>
      <c r="AK87" t="s">
        <v>9880</v>
      </c>
      <c r="AL87">
        <v>0</v>
      </c>
      <c r="AM87" s="5">
        <f t="shared" si="10"/>
        <v>0</v>
      </c>
      <c r="AN87" s="4">
        <f t="shared" si="15"/>
        <v>0</v>
      </c>
      <c r="AO87" s="3"/>
      <c r="AP87">
        <v>0</v>
      </c>
      <c r="AR87" t="s">
        <v>0</v>
      </c>
      <c r="AT87" s="2">
        <v>1.5309999999999999</v>
      </c>
      <c r="AU87" s="1">
        <f t="shared" si="11"/>
        <v>1.304289794719842</v>
      </c>
      <c r="AV87" s="1">
        <f t="shared" si="12"/>
        <v>0.93163556765703004</v>
      </c>
      <c r="AW87" s="1">
        <f t="shared" si="13"/>
        <v>0.558981340594218</v>
      </c>
    </row>
    <row r="88" spans="1:49" x14ac:dyDescent="0.2">
      <c r="A88">
        <v>86</v>
      </c>
      <c r="B88" t="s">
        <v>9879</v>
      </c>
      <c r="F88" t="s">
        <v>9878</v>
      </c>
      <c r="G88" t="s">
        <v>14</v>
      </c>
      <c r="H88" t="s">
        <v>13</v>
      </c>
      <c r="I88" t="s">
        <v>9877</v>
      </c>
      <c r="J88">
        <v>60103907</v>
      </c>
      <c r="K88" t="s">
        <v>9876</v>
      </c>
      <c r="L88" t="s">
        <v>466</v>
      </c>
      <c r="M88" t="s">
        <v>267</v>
      </c>
      <c r="N88">
        <v>2</v>
      </c>
      <c r="O88" t="s">
        <v>9875</v>
      </c>
      <c r="P88" t="s">
        <v>9874</v>
      </c>
      <c r="Q88" t="s">
        <v>9873</v>
      </c>
      <c r="R88" s="7">
        <v>32964</v>
      </c>
      <c r="S88" s="8">
        <f t="shared" si="8"/>
        <v>1990</v>
      </c>
      <c r="T88" s="8">
        <v>1990</v>
      </c>
      <c r="U88" s="8">
        <f t="shared" si="9"/>
        <v>32</v>
      </c>
      <c r="V88" s="7">
        <v>32964</v>
      </c>
      <c r="W88" t="s">
        <v>1444</v>
      </c>
      <c r="X88" s="2">
        <v>0.111</v>
      </c>
      <c r="Y88" s="6">
        <f t="shared" si="14"/>
        <v>2.9630816048690639E-3</v>
      </c>
      <c r="AA88">
        <v>87566621</v>
      </c>
      <c r="AB88">
        <v>24890</v>
      </c>
      <c r="AD88" t="s">
        <v>5</v>
      </c>
      <c r="AE88">
        <v>73</v>
      </c>
      <c r="AF88">
        <v>4</v>
      </c>
      <c r="AH88" t="s">
        <v>9872</v>
      </c>
      <c r="AI88" t="s">
        <v>9871</v>
      </c>
      <c r="AK88" t="s">
        <v>9870</v>
      </c>
      <c r="AL88">
        <v>0</v>
      </c>
      <c r="AM88" s="5">
        <f t="shared" si="10"/>
        <v>0</v>
      </c>
      <c r="AN88" s="4">
        <f t="shared" si="15"/>
        <v>0</v>
      </c>
      <c r="AO88" s="3"/>
      <c r="AP88">
        <v>0</v>
      </c>
      <c r="AR88" t="s">
        <v>0</v>
      </c>
      <c r="AT88" s="2" t="s">
        <v>126</v>
      </c>
      <c r="AU88" s="1">
        <f t="shared" si="11"/>
        <v>0.20741571234083445</v>
      </c>
      <c r="AV88" s="1">
        <f t="shared" si="12"/>
        <v>0.1481540802434532</v>
      </c>
      <c r="AW88" s="1">
        <f t="shared" si="13"/>
        <v>8.8892448146071903E-2</v>
      </c>
    </row>
    <row r="89" spans="1:49" x14ac:dyDescent="0.2">
      <c r="A89">
        <v>87</v>
      </c>
      <c r="B89" t="s">
        <v>9869</v>
      </c>
      <c r="F89" t="s">
        <v>9868</v>
      </c>
      <c r="G89" t="s">
        <v>14</v>
      </c>
      <c r="H89" t="s">
        <v>13</v>
      </c>
      <c r="I89" t="s">
        <v>9867</v>
      </c>
      <c r="J89">
        <v>60092258</v>
      </c>
      <c r="K89" t="s">
        <v>6577</v>
      </c>
      <c r="L89" t="s">
        <v>6576</v>
      </c>
      <c r="M89" t="s">
        <v>267</v>
      </c>
      <c r="N89">
        <v>4</v>
      </c>
      <c r="O89" t="s">
        <v>9866</v>
      </c>
      <c r="P89" t="s">
        <v>9865</v>
      </c>
      <c r="Q89" t="s">
        <v>9864</v>
      </c>
      <c r="R89" s="7">
        <v>32964</v>
      </c>
      <c r="S89" s="8">
        <f t="shared" si="8"/>
        <v>1990</v>
      </c>
      <c r="T89" s="8">
        <v>1990</v>
      </c>
      <c r="U89" s="8">
        <f t="shared" si="9"/>
        <v>32</v>
      </c>
      <c r="V89" s="7">
        <v>32964</v>
      </c>
      <c r="W89" t="s">
        <v>1444</v>
      </c>
      <c r="X89" s="2">
        <v>0.111</v>
      </c>
      <c r="Y89" s="6">
        <f t="shared" si="14"/>
        <v>2.9630816048690639E-3</v>
      </c>
      <c r="AA89">
        <v>87566621</v>
      </c>
      <c r="AB89">
        <v>24890</v>
      </c>
      <c r="AD89" t="s">
        <v>5</v>
      </c>
      <c r="AE89">
        <v>73</v>
      </c>
      <c r="AF89">
        <v>4</v>
      </c>
      <c r="AH89" t="s">
        <v>9863</v>
      </c>
      <c r="AI89" t="s">
        <v>9862</v>
      </c>
      <c r="AK89" t="s">
        <v>9861</v>
      </c>
      <c r="AL89">
        <v>0</v>
      </c>
      <c r="AM89" s="5">
        <f t="shared" si="10"/>
        <v>0</v>
      </c>
      <c r="AN89" s="4">
        <f t="shared" si="15"/>
        <v>0</v>
      </c>
      <c r="AO89" s="3"/>
      <c r="AP89">
        <v>0</v>
      </c>
      <c r="AR89" t="s">
        <v>0</v>
      </c>
      <c r="AT89" s="2" t="s">
        <v>126</v>
      </c>
      <c r="AU89" s="1">
        <f t="shared" si="11"/>
        <v>0.20741571234083445</v>
      </c>
      <c r="AV89" s="1">
        <f t="shared" si="12"/>
        <v>0.1481540802434532</v>
      </c>
      <c r="AW89" s="1">
        <f t="shared" si="13"/>
        <v>8.8892448146071903E-2</v>
      </c>
    </row>
    <row r="90" spans="1:49" x14ac:dyDescent="0.2">
      <c r="A90">
        <v>88</v>
      </c>
      <c r="B90" t="s">
        <v>9860</v>
      </c>
      <c r="F90" t="s">
        <v>9859</v>
      </c>
      <c r="G90" t="s">
        <v>14</v>
      </c>
      <c r="H90" t="s">
        <v>13</v>
      </c>
      <c r="I90" t="s">
        <v>9858</v>
      </c>
      <c r="J90">
        <v>60025555</v>
      </c>
      <c r="K90" t="s">
        <v>1448</v>
      </c>
      <c r="L90" t="s">
        <v>466</v>
      </c>
      <c r="M90" t="s">
        <v>267</v>
      </c>
      <c r="N90">
        <v>3</v>
      </c>
      <c r="O90" t="s">
        <v>9857</v>
      </c>
      <c r="P90" t="s">
        <v>9856</v>
      </c>
      <c r="Q90" t="s">
        <v>4576</v>
      </c>
      <c r="R90" s="7">
        <v>32964</v>
      </c>
      <c r="S90" s="8">
        <f t="shared" si="8"/>
        <v>1990</v>
      </c>
      <c r="T90" s="8">
        <v>1990</v>
      </c>
      <c r="U90" s="8">
        <f t="shared" si="9"/>
        <v>32</v>
      </c>
      <c r="V90" s="7">
        <v>32964</v>
      </c>
      <c r="W90" t="s">
        <v>1444</v>
      </c>
      <c r="X90" s="2">
        <v>0.111</v>
      </c>
      <c r="Y90" s="6">
        <f t="shared" si="14"/>
        <v>2.9630816048690639E-3</v>
      </c>
      <c r="AA90">
        <v>87566621</v>
      </c>
      <c r="AB90">
        <v>24890</v>
      </c>
      <c r="AD90" t="s">
        <v>5</v>
      </c>
      <c r="AE90">
        <v>73</v>
      </c>
      <c r="AF90">
        <v>4</v>
      </c>
      <c r="AH90" t="s">
        <v>9855</v>
      </c>
      <c r="AI90" t="s">
        <v>9854</v>
      </c>
      <c r="AK90" t="s">
        <v>9853</v>
      </c>
      <c r="AL90">
        <v>0</v>
      </c>
      <c r="AM90" s="5">
        <f t="shared" si="10"/>
        <v>0</v>
      </c>
      <c r="AN90" s="4">
        <f t="shared" si="15"/>
        <v>0</v>
      </c>
      <c r="AO90" s="3"/>
      <c r="AP90">
        <v>0</v>
      </c>
      <c r="AR90" t="s">
        <v>0</v>
      </c>
      <c r="AT90" s="2" t="s">
        <v>126</v>
      </c>
      <c r="AU90" s="1">
        <f t="shared" si="11"/>
        <v>0.20741571234083445</v>
      </c>
      <c r="AV90" s="1">
        <f t="shared" si="12"/>
        <v>0.1481540802434532</v>
      </c>
      <c r="AW90" s="1">
        <f t="shared" si="13"/>
        <v>8.8892448146071903E-2</v>
      </c>
    </row>
    <row r="91" spans="1:49" x14ac:dyDescent="0.2">
      <c r="A91">
        <v>89</v>
      </c>
      <c r="B91" t="s">
        <v>9852</v>
      </c>
      <c r="F91" t="s">
        <v>9851</v>
      </c>
      <c r="G91" t="s">
        <v>14</v>
      </c>
      <c r="H91" t="s">
        <v>13</v>
      </c>
      <c r="I91" t="s">
        <v>3203</v>
      </c>
      <c r="J91">
        <v>117249317</v>
      </c>
      <c r="K91" t="s">
        <v>9850</v>
      </c>
      <c r="L91" t="s">
        <v>6341</v>
      </c>
      <c r="M91" t="s">
        <v>267</v>
      </c>
      <c r="N91">
        <v>2</v>
      </c>
      <c r="O91" t="s">
        <v>9849</v>
      </c>
      <c r="P91" t="s">
        <v>9848</v>
      </c>
      <c r="Q91" t="s">
        <v>9847</v>
      </c>
      <c r="R91" s="7">
        <v>32964</v>
      </c>
      <c r="S91" s="8">
        <f t="shared" si="8"/>
        <v>1990</v>
      </c>
      <c r="T91" s="8">
        <v>1990</v>
      </c>
      <c r="U91" s="8">
        <f t="shared" si="9"/>
        <v>32</v>
      </c>
      <c r="V91" s="7">
        <v>32964</v>
      </c>
      <c r="W91" t="s">
        <v>1444</v>
      </c>
      <c r="X91" s="2">
        <v>0.111</v>
      </c>
      <c r="Y91" s="6">
        <f t="shared" si="14"/>
        <v>2.9630816048690639E-3</v>
      </c>
      <c r="AA91">
        <v>87566621</v>
      </c>
      <c r="AB91">
        <v>24890</v>
      </c>
      <c r="AD91" t="s">
        <v>5</v>
      </c>
      <c r="AE91">
        <v>73</v>
      </c>
      <c r="AF91">
        <v>4</v>
      </c>
      <c r="AH91" t="s">
        <v>9846</v>
      </c>
      <c r="AI91" t="s">
        <v>9845</v>
      </c>
      <c r="AK91" t="s">
        <v>9844</v>
      </c>
      <c r="AL91">
        <v>0</v>
      </c>
      <c r="AM91" s="5">
        <f t="shared" si="10"/>
        <v>0</v>
      </c>
      <c r="AN91" s="4">
        <f t="shared" si="15"/>
        <v>0</v>
      </c>
      <c r="AO91" s="3"/>
      <c r="AP91">
        <v>0</v>
      </c>
      <c r="AR91" t="s">
        <v>0</v>
      </c>
      <c r="AT91" s="2" t="s">
        <v>126</v>
      </c>
      <c r="AU91" s="1">
        <f t="shared" si="11"/>
        <v>0.20741571234083445</v>
      </c>
      <c r="AV91" s="1">
        <f t="shared" si="12"/>
        <v>0.1481540802434532</v>
      </c>
      <c r="AW91" s="1">
        <f t="shared" si="13"/>
        <v>8.8892448146071903E-2</v>
      </c>
    </row>
    <row r="92" spans="1:49" x14ac:dyDescent="0.2">
      <c r="A92">
        <v>90</v>
      </c>
      <c r="B92" t="s">
        <v>9843</v>
      </c>
      <c r="F92" t="s">
        <v>9842</v>
      </c>
      <c r="G92" t="s">
        <v>14</v>
      </c>
      <c r="H92" t="s">
        <v>13</v>
      </c>
      <c r="I92" t="s">
        <v>9841</v>
      </c>
      <c r="J92">
        <v>60031126</v>
      </c>
      <c r="K92" t="s">
        <v>6064</v>
      </c>
      <c r="L92" t="s">
        <v>466</v>
      </c>
      <c r="M92" t="s">
        <v>267</v>
      </c>
      <c r="N92">
        <v>4</v>
      </c>
      <c r="O92" t="s">
        <v>9840</v>
      </c>
      <c r="P92" t="s">
        <v>9839</v>
      </c>
      <c r="Q92" t="s">
        <v>7023</v>
      </c>
      <c r="R92" s="7">
        <v>32964</v>
      </c>
      <c r="S92" s="8">
        <f t="shared" si="8"/>
        <v>1990</v>
      </c>
      <c r="T92" s="8">
        <v>1990</v>
      </c>
      <c r="U92" s="8">
        <f t="shared" si="9"/>
        <v>32</v>
      </c>
      <c r="V92" s="7">
        <v>32964</v>
      </c>
      <c r="W92" t="s">
        <v>1444</v>
      </c>
      <c r="X92" s="2">
        <v>0.111</v>
      </c>
      <c r="Y92" s="6">
        <f t="shared" si="14"/>
        <v>2.9630816048690639E-3</v>
      </c>
      <c r="AA92">
        <v>87566621</v>
      </c>
      <c r="AB92">
        <v>24890</v>
      </c>
      <c r="AD92" t="s">
        <v>5</v>
      </c>
      <c r="AE92">
        <v>73</v>
      </c>
      <c r="AF92">
        <v>4</v>
      </c>
      <c r="AH92" t="s">
        <v>9838</v>
      </c>
      <c r="AI92" t="s">
        <v>9837</v>
      </c>
      <c r="AK92" t="s">
        <v>9836</v>
      </c>
      <c r="AL92">
        <v>1</v>
      </c>
      <c r="AM92" s="5">
        <f t="shared" si="10"/>
        <v>3.125E-2</v>
      </c>
      <c r="AN92" s="4">
        <f t="shared" si="15"/>
        <v>4.73305566073457E-5</v>
      </c>
      <c r="AO92" s="3"/>
      <c r="AP92">
        <v>0</v>
      </c>
      <c r="AR92" t="s">
        <v>0</v>
      </c>
      <c r="AT92" s="2" t="s">
        <v>126</v>
      </c>
      <c r="AU92" s="1">
        <f t="shared" si="11"/>
        <v>0.20883562903905478</v>
      </c>
      <c r="AV92" s="1">
        <f t="shared" si="12"/>
        <v>0.15052060807382048</v>
      </c>
      <c r="AW92" s="1">
        <f t="shared" si="13"/>
        <v>9.2205587108586104E-2</v>
      </c>
    </row>
    <row r="93" spans="1:49" x14ac:dyDescent="0.2">
      <c r="A93">
        <v>91</v>
      </c>
      <c r="B93" t="s">
        <v>9835</v>
      </c>
      <c r="F93" t="s">
        <v>9834</v>
      </c>
      <c r="G93" t="s">
        <v>14</v>
      </c>
      <c r="H93" t="s">
        <v>13</v>
      </c>
      <c r="I93" t="s">
        <v>9833</v>
      </c>
      <c r="N93">
        <v>1</v>
      </c>
      <c r="O93" t="s">
        <v>9832</v>
      </c>
      <c r="P93">
        <v>7005534658</v>
      </c>
      <c r="R93" s="7">
        <v>32964</v>
      </c>
      <c r="S93" s="8">
        <f t="shared" si="8"/>
        <v>1990</v>
      </c>
      <c r="T93" s="8">
        <v>1990</v>
      </c>
      <c r="U93" s="8">
        <f t="shared" si="9"/>
        <v>32</v>
      </c>
      <c r="V93" s="7">
        <v>32964</v>
      </c>
      <c r="W93" t="s">
        <v>390</v>
      </c>
      <c r="X93" s="2">
        <v>0.14099999999999999</v>
      </c>
      <c r="Y93" s="6">
        <f t="shared" si="14"/>
        <v>3.7639144710498915E-3</v>
      </c>
      <c r="AA93">
        <v>402508</v>
      </c>
      <c r="AB93">
        <v>20868</v>
      </c>
      <c r="AD93" t="s">
        <v>5</v>
      </c>
      <c r="AE93">
        <v>45</v>
      </c>
      <c r="AF93">
        <v>4</v>
      </c>
      <c r="AH93" t="s">
        <v>9831</v>
      </c>
      <c r="AI93" t="s">
        <v>9830</v>
      </c>
      <c r="AK93" t="s">
        <v>9829</v>
      </c>
      <c r="AL93">
        <v>0</v>
      </c>
      <c r="AM93" s="5">
        <f t="shared" si="10"/>
        <v>0</v>
      </c>
      <c r="AN93" s="4">
        <f t="shared" si="15"/>
        <v>0</v>
      </c>
      <c r="AO93" s="3"/>
      <c r="AP93">
        <v>0</v>
      </c>
      <c r="AR93" t="s">
        <v>0</v>
      </c>
      <c r="AT93" s="2" t="s">
        <v>126</v>
      </c>
      <c r="AU93" s="1">
        <f t="shared" si="11"/>
        <v>0.26347401297349238</v>
      </c>
      <c r="AV93" s="1">
        <f t="shared" si="12"/>
        <v>0.18819572355249459</v>
      </c>
      <c r="AW93" s="1">
        <f t="shared" si="13"/>
        <v>0.11291743413149673</v>
      </c>
    </row>
    <row r="94" spans="1:49" x14ac:dyDescent="0.2">
      <c r="A94">
        <v>92</v>
      </c>
      <c r="B94" t="s">
        <v>9828</v>
      </c>
      <c r="F94" t="s">
        <v>9827</v>
      </c>
      <c r="G94" t="s">
        <v>14</v>
      </c>
      <c r="H94" t="s">
        <v>13</v>
      </c>
      <c r="I94" t="s">
        <v>9826</v>
      </c>
      <c r="N94">
        <v>3</v>
      </c>
      <c r="O94" t="s">
        <v>9825</v>
      </c>
      <c r="P94" t="s">
        <v>9824</v>
      </c>
      <c r="Q94" t="s">
        <v>391</v>
      </c>
      <c r="R94" s="7">
        <v>32964</v>
      </c>
      <c r="S94" s="8">
        <f t="shared" si="8"/>
        <v>1990</v>
      </c>
      <c r="T94" s="8">
        <v>1990</v>
      </c>
      <c r="U94" s="8">
        <f t="shared" si="9"/>
        <v>32</v>
      </c>
      <c r="V94" s="7">
        <v>32964</v>
      </c>
      <c r="W94" t="s">
        <v>390</v>
      </c>
      <c r="X94" s="2">
        <v>0.14099999999999999</v>
      </c>
      <c r="Y94" s="6">
        <f t="shared" si="14"/>
        <v>3.7639144710498915E-3</v>
      </c>
      <c r="AA94">
        <v>402508</v>
      </c>
      <c r="AB94">
        <v>20868</v>
      </c>
      <c r="AD94" t="s">
        <v>5</v>
      </c>
      <c r="AE94">
        <v>45</v>
      </c>
      <c r="AF94">
        <v>4</v>
      </c>
      <c r="AH94" t="s">
        <v>9823</v>
      </c>
      <c r="AI94" t="s">
        <v>9822</v>
      </c>
      <c r="AK94" t="s">
        <v>9821</v>
      </c>
      <c r="AL94">
        <v>0</v>
      </c>
      <c r="AM94" s="5">
        <f t="shared" si="10"/>
        <v>0</v>
      </c>
      <c r="AN94" s="4">
        <f t="shared" si="15"/>
        <v>0</v>
      </c>
      <c r="AO94" s="3"/>
      <c r="AP94">
        <v>0</v>
      </c>
      <c r="AR94" t="s">
        <v>0</v>
      </c>
      <c r="AT94" s="2" t="s">
        <v>126</v>
      </c>
      <c r="AU94" s="1">
        <f t="shared" si="11"/>
        <v>0.26347401297349238</v>
      </c>
      <c r="AV94" s="1">
        <f t="shared" si="12"/>
        <v>0.18819572355249459</v>
      </c>
      <c r="AW94" s="1">
        <f t="shared" si="13"/>
        <v>0.11291743413149673</v>
      </c>
    </row>
    <row r="95" spans="1:49" x14ac:dyDescent="0.2">
      <c r="A95">
        <v>93</v>
      </c>
      <c r="B95" t="s">
        <v>9820</v>
      </c>
      <c r="F95" t="s">
        <v>9819</v>
      </c>
      <c r="G95" t="s">
        <v>14</v>
      </c>
      <c r="H95" t="s">
        <v>13</v>
      </c>
      <c r="I95" t="s">
        <v>9818</v>
      </c>
      <c r="N95">
        <v>2</v>
      </c>
      <c r="O95" t="s">
        <v>9817</v>
      </c>
      <c r="P95" t="s">
        <v>9816</v>
      </c>
      <c r="Q95" t="s">
        <v>119</v>
      </c>
      <c r="R95" s="7">
        <v>32964</v>
      </c>
      <c r="S95" s="8">
        <f t="shared" si="8"/>
        <v>1990</v>
      </c>
      <c r="T95" s="8">
        <v>1990</v>
      </c>
      <c r="U95" s="8">
        <f t="shared" si="9"/>
        <v>32</v>
      </c>
      <c r="V95" s="7">
        <v>32964</v>
      </c>
      <c r="W95" t="s">
        <v>390</v>
      </c>
      <c r="X95" s="2">
        <v>0.14099999999999999</v>
      </c>
      <c r="Y95" s="6">
        <f t="shared" si="14"/>
        <v>3.7639144710498915E-3</v>
      </c>
      <c r="AA95">
        <v>402508</v>
      </c>
      <c r="AB95">
        <v>20868</v>
      </c>
      <c r="AD95" t="s">
        <v>5</v>
      </c>
      <c r="AE95">
        <v>45</v>
      </c>
      <c r="AF95">
        <v>4</v>
      </c>
      <c r="AH95" t="s">
        <v>9191</v>
      </c>
      <c r="AI95" t="s">
        <v>9815</v>
      </c>
      <c r="AK95" t="s">
        <v>9814</v>
      </c>
      <c r="AL95">
        <v>0</v>
      </c>
      <c r="AM95" s="5">
        <f t="shared" si="10"/>
        <v>0</v>
      </c>
      <c r="AN95" s="4">
        <f t="shared" si="15"/>
        <v>0</v>
      </c>
      <c r="AO95" s="3"/>
      <c r="AP95">
        <v>0</v>
      </c>
      <c r="AR95" t="s">
        <v>0</v>
      </c>
      <c r="AT95" s="2" t="s">
        <v>126</v>
      </c>
      <c r="AU95" s="1">
        <f t="shared" si="11"/>
        <v>0.26347401297349238</v>
      </c>
      <c r="AV95" s="1">
        <f t="shared" si="12"/>
        <v>0.18819572355249459</v>
      </c>
      <c r="AW95" s="1">
        <f t="shared" si="13"/>
        <v>0.11291743413149673</v>
      </c>
    </row>
    <row r="96" spans="1:49" x14ac:dyDescent="0.2">
      <c r="A96">
        <v>94</v>
      </c>
      <c r="B96" t="s">
        <v>9813</v>
      </c>
      <c r="F96" t="s">
        <v>9812</v>
      </c>
      <c r="G96" t="s">
        <v>14</v>
      </c>
      <c r="H96" t="s">
        <v>13</v>
      </c>
      <c r="I96" t="s">
        <v>9811</v>
      </c>
      <c r="N96">
        <v>3</v>
      </c>
      <c r="O96" t="s">
        <v>9810</v>
      </c>
      <c r="P96" t="s">
        <v>9809</v>
      </c>
      <c r="Q96" t="s">
        <v>391</v>
      </c>
      <c r="R96" s="7">
        <v>32964</v>
      </c>
      <c r="S96" s="8">
        <f t="shared" si="8"/>
        <v>1990</v>
      </c>
      <c r="T96" s="8">
        <v>1990</v>
      </c>
      <c r="U96" s="8">
        <f t="shared" si="9"/>
        <v>32</v>
      </c>
      <c r="V96" s="7">
        <v>32964</v>
      </c>
      <c r="W96" t="s">
        <v>390</v>
      </c>
      <c r="X96" s="2">
        <v>0.14099999999999999</v>
      </c>
      <c r="Y96" s="6">
        <f t="shared" si="14"/>
        <v>3.7639144710498915E-3</v>
      </c>
      <c r="AA96">
        <v>402508</v>
      </c>
      <c r="AB96">
        <v>20868</v>
      </c>
      <c r="AD96" t="s">
        <v>5</v>
      </c>
      <c r="AE96">
        <v>45</v>
      </c>
      <c r="AF96">
        <v>4</v>
      </c>
      <c r="AH96" t="s">
        <v>9808</v>
      </c>
      <c r="AI96" t="s">
        <v>9807</v>
      </c>
      <c r="AK96" t="s">
        <v>9806</v>
      </c>
      <c r="AL96">
        <v>0</v>
      </c>
      <c r="AM96" s="5">
        <f t="shared" si="10"/>
        <v>0</v>
      </c>
      <c r="AN96" s="4">
        <f t="shared" si="15"/>
        <v>0</v>
      </c>
      <c r="AO96" s="3"/>
      <c r="AP96">
        <v>0</v>
      </c>
      <c r="AR96" t="s">
        <v>0</v>
      </c>
      <c r="AT96" s="2" t="s">
        <v>126</v>
      </c>
      <c r="AU96" s="1">
        <f t="shared" si="11"/>
        <v>0.26347401297349238</v>
      </c>
      <c r="AV96" s="1">
        <f t="shared" si="12"/>
        <v>0.18819572355249459</v>
      </c>
      <c r="AW96" s="1">
        <f t="shared" si="13"/>
        <v>0.11291743413149673</v>
      </c>
    </row>
    <row r="97" spans="1:49" x14ac:dyDescent="0.2">
      <c r="A97">
        <v>95</v>
      </c>
      <c r="B97" t="s">
        <v>9805</v>
      </c>
      <c r="F97" t="s">
        <v>9804</v>
      </c>
      <c r="G97" t="s">
        <v>14</v>
      </c>
      <c r="H97" t="s">
        <v>13</v>
      </c>
      <c r="I97" t="s">
        <v>9662</v>
      </c>
      <c r="N97">
        <v>1</v>
      </c>
      <c r="O97" t="s">
        <v>9661</v>
      </c>
      <c r="P97">
        <v>6701411909</v>
      </c>
      <c r="R97" s="7">
        <v>32964</v>
      </c>
      <c r="S97" s="8">
        <f t="shared" si="8"/>
        <v>1990</v>
      </c>
      <c r="T97" s="8">
        <v>1990</v>
      </c>
      <c r="U97" s="8">
        <f t="shared" si="9"/>
        <v>32</v>
      </c>
      <c r="V97" s="7">
        <v>32964</v>
      </c>
      <c r="W97" t="s">
        <v>390</v>
      </c>
      <c r="X97" s="2">
        <v>0.14099999999999999</v>
      </c>
      <c r="Y97" s="6">
        <f t="shared" si="14"/>
        <v>3.7639144710498915E-3</v>
      </c>
      <c r="AA97">
        <v>402508</v>
      </c>
      <c r="AB97">
        <v>20868</v>
      </c>
      <c r="AD97" t="s">
        <v>5</v>
      </c>
      <c r="AE97">
        <v>45</v>
      </c>
      <c r="AF97">
        <v>4</v>
      </c>
      <c r="AH97" t="s">
        <v>669</v>
      </c>
      <c r="AI97" t="s">
        <v>9803</v>
      </c>
      <c r="AK97" t="s">
        <v>9802</v>
      </c>
      <c r="AL97">
        <v>0</v>
      </c>
      <c r="AM97" s="5">
        <f t="shared" si="10"/>
        <v>0</v>
      </c>
      <c r="AN97" s="4">
        <f t="shared" si="15"/>
        <v>0</v>
      </c>
      <c r="AO97" s="3"/>
      <c r="AP97">
        <v>0</v>
      </c>
      <c r="AR97" t="s">
        <v>0</v>
      </c>
      <c r="AT97" s="2" t="s">
        <v>126</v>
      </c>
      <c r="AU97" s="1">
        <f t="shared" si="11"/>
        <v>0.26347401297349238</v>
      </c>
      <c r="AV97" s="1">
        <f t="shared" si="12"/>
        <v>0.18819572355249459</v>
      </c>
      <c r="AW97" s="1">
        <f t="shared" si="13"/>
        <v>0.11291743413149673</v>
      </c>
    </row>
    <row r="98" spans="1:49" x14ac:dyDescent="0.2">
      <c r="A98">
        <v>96</v>
      </c>
      <c r="B98" t="s">
        <v>9801</v>
      </c>
      <c r="C98" t="s">
        <v>9800</v>
      </c>
      <c r="F98" t="s">
        <v>9799</v>
      </c>
      <c r="G98" t="s">
        <v>14</v>
      </c>
      <c r="H98" t="s">
        <v>13</v>
      </c>
      <c r="I98" t="s">
        <v>1109</v>
      </c>
      <c r="J98">
        <v>60018373</v>
      </c>
      <c r="K98" t="s">
        <v>137</v>
      </c>
      <c r="L98" t="s">
        <v>136</v>
      </c>
      <c r="M98" t="s">
        <v>135</v>
      </c>
      <c r="N98">
        <v>3</v>
      </c>
      <c r="O98" t="s">
        <v>9798</v>
      </c>
      <c r="P98" t="s">
        <v>9797</v>
      </c>
      <c r="Q98" t="s">
        <v>132</v>
      </c>
      <c r="R98" s="7">
        <v>32964</v>
      </c>
      <c r="S98" s="8">
        <f t="shared" si="8"/>
        <v>1990</v>
      </c>
      <c r="T98" s="8">
        <v>1990</v>
      </c>
      <c r="U98" s="8">
        <f t="shared" si="9"/>
        <v>32</v>
      </c>
      <c r="V98" s="7">
        <v>32964</v>
      </c>
      <c r="W98" t="s">
        <v>9796</v>
      </c>
      <c r="X98" s="2">
        <v>0.8</v>
      </c>
      <c r="Y98" s="6">
        <f t="shared" si="14"/>
        <v>2.1355543098155415E-2</v>
      </c>
      <c r="AA98">
        <v>1741578</v>
      </c>
      <c r="AB98">
        <v>23457</v>
      </c>
      <c r="AC98" t="s">
        <v>9795</v>
      </c>
      <c r="AD98" t="s">
        <v>5</v>
      </c>
      <c r="AE98">
        <v>160</v>
      </c>
      <c r="AF98">
        <v>1</v>
      </c>
      <c r="AH98" t="s">
        <v>9794</v>
      </c>
      <c r="AI98" t="s">
        <v>9793</v>
      </c>
      <c r="AJ98" t="s">
        <v>9792</v>
      </c>
      <c r="AK98" t="s">
        <v>9791</v>
      </c>
      <c r="AL98">
        <v>48</v>
      </c>
      <c r="AM98" s="5">
        <f t="shared" si="10"/>
        <v>1.5</v>
      </c>
      <c r="AN98" s="4">
        <f t="shared" si="15"/>
        <v>2.2718667171525938E-3</v>
      </c>
      <c r="AO98" s="3"/>
      <c r="AP98">
        <v>0</v>
      </c>
      <c r="AR98" t="s">
        <v>0</v>
      </c>
      <c r="AT98" s="2" t="s">
        <v>126</v>
      </c>
      <c r="AU98" s="1">
        <f t="shared" si="11"/>
        <v>1.5630440183854566</v>
      </c>
      <c r="AV98" s="1">
        <f t="shared" si="12"/>
        <v>1.1813704907654006</v>
      </c>
      <c r="AW98" s="1">
        <f t="shared" si="13"/>
        <v>0.799696963145344</v>
      </c>
    </row>
    <row r="99" spans="1:49" x14ac:dyDescent="0.2">
      <c r="A99">
        <v>97</v>
      </c>
      <c r="B99" t="s">
        <v>9790</v>
      </c>
      <c r="C99" t="s">
        <v>9789</v>
      </c>
      <c r="E99">
        <v>2329059</v>
      </c>
      <c r="F99" t="s">
        <v>9788</v>
      </c>
      <c r="G99" t="s">
        <v>14</v>
      </c>
      <c r="H99" t="s">
        <v>13</v>
      </c>
      <c r="I99" t="s">
        <v>9787</v>
      </c>
      <c r="J99">
        <v>60030807</v>
      </c>
      <c r="K99" t="s">
        <v>9786</v>
      </c>
      <c r="L99" t="s">
        <v>9785</v>
      </c>
      <c r="M99" t="s">
        <v>135</v>
      </c>
      <c r="N99">
        <v>1</v>
      </c>
      <c r="O99" t="s">
        <v>9784</v>
      </c>
      <c r="P99">
        <v>6602724826</v>
      </c>
      <c r="Q99">
        <v>60030807</v>
      </c>
      <c r="R99" s="7">
        <v>32964</v>
      </c>
      <c r="S99" s="8">
        <f t="shared" si="8"/>
        <v>1990</v>
      </c>
      <c r="T99" s="8">
        <v>1990</v>
      </c>
      <c r="U99" s="8">
        <f t="shared" si="9"/>
        <v>32</v>
      </c>
      <c r="V99" s="7">
        <v>32964</v>
      </c>
      <c r="W99" t="s">
        <v>9783</v>
      </c>
      <c r="X99" s="2" t="s">
        <v>126</v>
      </c>
      <c r="Y99" s="6" t="e">
        <f t="shared" si="14"/>
        <v>#VALUE!</v>
      </c>
      <c r="AA99">
        <v>3015564</v>
      </c>
      <c r="AB99">
        <v>39031</v>
      </c>
      <c r="AC99" t="s">
        <v>9782</v>
      </c>
      <c r="AD99" t="s">
        <v>5</v>
      </c>
      <c r="AE99">
        <v>93</v>
      </c>
      <c r="AF99">
        <v>6</v>
      </c>
      <c r="AH99" t="s">
        <v>9781</v>
      </c>
      <c r="AI99" t="s">
        <v>9780</v>
      </c>
      <c r="AK99" t="s">
        <v>9779</v>
      </c>
      <c r="AL99">
        <v>44</v>
      </c>
      <c r="AM99" s="5">
        <f t="shared" si="10"/>
        <v>1.375</v>
      </c>
      <c r="AN99" s="4">
        <f t="shared" si="15"/>
        <v>2.0825444907232107E-3</v>
      </c>
      <c r="AO99" s="3"/>
      <c r="AP99">
        <v>0</v>
      </c>
      <c r="AR99" t="s">
        <v>0</v>
      </c>
      <c r="AT99" s="2" t="s">
        <v>126</v>
      </c>
      <c r="AU99" s="1" t="e">
        <f t="shared" si="11"/>
        <v>#VALUE!</v>
      </c>
      <c r="AV99" s="1" t="e">
        <f t="shared" si="12"/>
        <v>#VALUE!</v>
      </c>
      <c r="AW99" s="1" t="e">
        <f t="shared" si="13"/>
        <v>#VALUE!</v>
      </c>
    </row>
    <row r="100" spans="1:49" x14ac:dyDescent="0.2">
      <c r="A100">
        <v>98</v>
      </c>
      <c r="B100" t="s">
        <v>9778</v>
      </c>
      <c r="C100" t="s">
        <v>9777</v>
      </c>
      <c r="F100" t="s">
        <v>9776</v>
      </c>
      <c r="G100" t="s">
        <v>14</v>
      </c>
      <c r="H100" t="s">
        <v>13</v>
      </c>
      <c r="I100" t="s">
        <v>9775</v>
      </c>
      <c r="J100">
        <v>60025641</v>
      </c>
      <c r="K100" t="s">
        <v>7186</v>
      </c>
      <c r="L100" t="s">
        <v>7185</v>
      </c>
      <c r="M100" t="s">
        <v>135</v>
      </c>
      <c r="N100">
        <v>1</v>
      </c>
      <c r="O100" t="s">
        <v>9774</v>
      </c>
      <c r="P100">
        <v>55887806800</v>
      </c>
      <c r="Q100">
        <v>60025641</v>
      </c>
      <c r="R100" s="7">
        <v>32964</v>
      </c>
      <c r="S100" s="8">
        <f t="shared" si="8"/>
        <v>1990</v>
      </c>
      <c r="T100" s="8">
        <v>1990</v>
      </c>
      <c r="U100" s="8">
        <f t="shared" si="9"/>
        <v>32</v>
      </c>
      <c r="V100" s="7">
        <v>32964</v>
      </c>
      <c r="W100" t="s">
        <v>9773</v>
      </c>
      <c r="X100" s="2">
        <v>0.8</v>
      </c>
      <c r="Y100" s="6">
        <f t="shared" si="14"/>
        <v>2.1355543098155415E-2</v>
      </c>
      <c r="AA100">
        <v>3407594</v>
      </c>
      <c r="AB100">
        <v>23456</v>
      </c>
      <c r="AC100">
        <v>14321351</v>
      </c>
      <c r="AD100" t="s">
        <v>5</v>
      </c>
      <c r="AE100">
        <v>166</v>
      </c>
      <c r="AF100">
        <v>6</v>
      </c>
      <c r="AH100" t="s">
        <v>9772</v>
      </c>
      <c r="AI100" t="s">
        <v>9771</v>
      </c>
      <c r="AJ100" t="s">
        <v>9770</v>
      </c>
      <c r="AK100" t="s">
        <v>9769</v>
      </c>
      <c r="AL100">
        <v>81</v>
      </c>
      <c r="AM100" s="5">
        <f t="shared" si="10"/>
        <v>2.53125</v>
      </c>
      <c r="AN100" s="4">
        <f t="shared" si="15"/>
        <v>3.8337750851950019E-3</v>
      </c>
      <c r="AO100" s="3"/>
      <c r="AP100">
        <v>0</v>
      </c>
      <c r="AR100" t="s">
        <v>0</v>
      </c>
      <c r="AT100" s="2" t="s">
        <v>126</v>
      </c>
      <c r="AU100" s="1">
        <f t="shared" si="11"/>
        <v>1.609901269426729</v>
      </c>
      <c r="AV100" s="1">
        <f t="shared" si="12"/>
        <v>1.2594659091675209</v>
      </c>
      <c r="AW100" s="1">
        <f t="shared" si="13"/>
        <v>0.90903054890831247</v>
      </c>
    </row>
    <row r="101" spans="1:49" x14ac:dyDescent="0.2">
      <c r="A101">
        <v>99</v>
      </c>
      <c r="B101" t="s">
        <v>9768</v>
      </c>
      <c r="C101" t="s">
        <v>9767</v>
      </c>
      <c r="F101" t="s">
        <v>9766</v>
      </c>
      <c r="G101" t="s">
        <v>14</v>
      </c>
      <c r="H101" t="s">
        <v>13</v>
      </c>
      <c r="I101" t="s">
        <v>9765</v>
      </c>
      <c r="J101">
        <v>60025038</v>
      </c>
      <c r="K101" t="s">
        <v>199</v>
      </c>
      <c r="L101" t="s">
        <v>198</v>
      </c>
      <c r="M101" t="s">
        <v>197</v>
      </c>
      <c r="N101">
        <v>3</v>
      </c>
      <c r="O101" t="s">
        <v>9764</v>
      </c>
      <c r="P101" t="s">
        <v>9763</v>
      </c>
      <c r="Q101" t="s">
        <v>9762</v>
      </c>
      <c r="R101" s="7">
        <v>32964</v>
      </c>
      <c r="S101" s="8">
        <f t="shared" si="8"/>
        <v>1990</v>
      </c>
      <c r="T101" s="8">
        <v>1990</v>
      </c>
      <c r="U101" s="8">
        <f t="shared" si="9"/>
        <v>32</v>
      </c>
      <c r="V101" s="7">
        <v>32964</v>
      </c>
      <c r="W101" t="s">
        <v>9455</v>
      </c>
      <c r="X101" s="2">
        <v>1.1579999999999999</v>
      </c>
      <c r="Y101" s="6">
        <f t="shared" si="14"/>
        <v>3.0912148634579962E-2</v>
      </c>
      <c r="AA101">
        <v>1668595</v>
      </c>
      <c r="AB101">
        <v>14223</v>
      </c>
      <c r="AC101">
        <v>15735079</v>
      </c>
      <c r="AD101" t="s">
        <v>5</v>
      </c>
      <c r="AE101">
        <v>24</v>
      </c>
      <c r="AF101">
        <v>1</v>
      </c>
      <c r="AH101" t="s">
        <v>1908</v>
      </c>
      <c r="AI101" t="s">
        <v>9761</v>
      </c>
      <c r="AJ101" t="s">
        <v>9760</v>
      </c>
      <c r="AK101" t="s">
        <v>9759</v>
      </c>
      <c r="AL101">
        <v>35</v>
      </c>
      <c r="AM101" s="5">
        <f t="shared" si="10"/>
        <v>1.09375</v>
      </c>
      <c r="AN101" s="4">
        <f t="shared" si="15"/>
        <v>1.6565694812570996E-3</v>
      </c>
      <c r="AO101" s="3"/>
      <c r="AP101">
        <v>0</v>
      </c>
      <c r="AR101" t="s">
        <v>0</v>
      </c>
      <c r="AT101" s="2">
        <v>3.573</v>
      </c>
      <c r="AU101" s="1">
        <f t="shared" si="11"/>
        <v>2.21354748885831</v>
      </c>
      <c r="AV101" s="1">
        <f t="shared" si="12"/>
        <v>1.6284359057918529</v>
      </c>
      <c r="AW101" s="1">
        <f t="shared" si="13"/>
        <v>1.0433243227253959</v>
      </c>
    </row>
    <row r="102" spans="1:49" x14ac:dyDescent="0.2">
      <c r="A102">
        <v>100</v>
      </c>
      <c r="B102" t="s">
        <v>9758</v>
      </c>
      <c r="C102" t="s">
        <v>9757</v>
      </c>
      <c r="F102" t="s">
        <v>9756</v>
      </c>
      <c r="G102" t="s">
        <v>14</v>
      </c>
      <c r="H102" t="s">
        <v>13</v>
      </c>
      <c r="I102" t="s">
        <v>9755</v>
      </c>
      <c r="J102">
        <v>60013141</v>
      </c>
      <c r="K102" t="s">
        <v>5467</v>
      </c>
      <c r="L102" t="s">
        <v>5466</v>
      </c>
      <c r="M102" t="s">
        <v>5465</v>
      </c>
      <c r="N102">
        <v>2</v>
      </c>
      <c r="O102" t="s">
        <v>9754</v>
      </c>
      <c r="P102" t="s">
        <v>9753</v>
      </c>
      <c r="Q102" t="s">
        <v>9752</v>
      </c>
      <c r="R102" s="7">
        <v>32964</v>
      </c>
      <c r="S102" s="8">
        <f t="shared" si="8"/>
        <v>1990</v>
      </c>
      <c r="T102" s="8">
        <v>1990</v>
      </c>
      <c r="U102" s="8">
        <f t="shared" si="9"/>
        <v>32</v>
      </c>
      <c r="V102" s="7">
        <v>32964</v>
      </c>
      <c r="W102" t="s">
        <v>9480</v>
      </c>
      <c r="X102" s="2">
        <v>0.85499999999999998</v>
      </c>
      <c r="Y102" s="6">
        <f t="shared" si="14"/>
        <v>2.28237366861536E-2</v>
      </c>
      <c r="AA102">
        <v>980331</v>
      </c>
      <c r="AB102">
        <v>23342</v>
      </c>
      <c r="AC102">
        <v>15731561</v>
      </c>
      <c r="AD102" t="s">
        <v>5</v>
      </c>
      <c r="AE102">
        <v>16</v>
      </c>
      <c r="AF102">
        <v>4</v>
      </c>
      <c r="AH102" t="s">
        <v>9751</v>
      </c>
      <c r="AI102" t="s">
        <v>9750</v>
      </c>
      <c r="AJ102" t="s">
        <v>9749</v>
      </c>
      <c r="AK102" t="s">
        <v>9748</v>
      </c>
      <c r="AL102">
        <v>59</v>
      </c>
      <c r="AM102" s="5">
        <f t="shared" si="10"/>
        <v>1.84375</v>
      </c>
      <c r="AN102" s="4">
        <f t="shared" si="15"/>
        <v>2.7925028398333965E-3</v>
      </c>
      <c r="AO102" s="3"/>
      <c r="AP102">
        <v>0</v>
      </c>
      <c r="AR102" t="s">
        <v>0</v>
      </c>
      <c r="AT102" s="2">
        <v>2.6259999999999999</v>
      </c>
      <c r="AU102" s="1">
        <f t="shared" si="11"/>
        <v>1.6814366532257536</v>
      </c>
      <c r="AV102" s="1">
        <f t="shared" si="12"/>
        <v>1.2808119762993497</v>
      </c>
      <c r="AW102" s="1">
        <f t="shared" si="13"/>
        <v>0.88018729937294571</v>
      </c>
    </row>
    <row r="103" spans="1:49" x14ac:dyDescent="0.2">
      <c r="A103">
        <v>101</v>
      </c>
      <c r="B103" t="s">
        <v>9747</v>
      </c>
      <c r="C103" t="s">
        <v>9746</v>
      </c>
      <c r="F103" t="s">
        <v>9745</v>
      </c>
      <c r="G103" t="s">
        <v>14</v>
      </c>
      <c r="H103" t="s">
        <v>13</v>
      </c>
      <c r="I103" t="s">
        <v>9744</v>
      </c>
      <c r="J103">
        <v>60072285</v>
      </c>
      <c r="K103" t="s">
        <v>1652</v>
      </c>
      <c r="L103" t="s">
        <v>1651</v>
      </c>
      <c r="M103" t="s">
        <v>135</v>
      </c>
      <c r="N103">
        <v>3</v>
      </c>
      <c r="O103" t="s">
        <v>9743</v>
      </c>
      <c r="P103" t="s">
        <v>9742</v>
      </c>
      <c r="Q103" t="s">
        <v>9741</v>
      </c>
      <c r="R103" s="7">
        <v>32964</v>
      </c>
      <c r="S103" s="8">
        <f t="shared" si="8"/>
        <v>1990</v>
      </c>
      <c r="T103" s="8">
        <v>1990</v>
      </c>
      <c r="U103" s="8">
        <f t="shared" si="9"/>
        <v>32</v>
      </c>
      <c r="V103" s="7">
        <v>32964</v>
      </c>
      <c r="W103" t="s">
        <v>3169</v>
      </c>
      <c r="X103" s="2">
        <v>0.30099999999999999</v>
      </c>
      <c r="Y103" s="6">
        <f t="shared" si="14"/>
        <v>8.0350230906809754E-3</v>
      </c>
      <c r="AA103">
        <v>9395075</v>
      </c>
      <c r="AB103">
        <v>14954</v>
      </c>
      <c r="AC103">
        <v>18657125</v>
      </c>
      <c r="AD103" t="s">
        <v>5</v>
      </c>
      <c r="AE103">
        <v>45</v>
      </c>
      <c r="AF103" s="9">
        <v>44289</v>
      </c>
      <c r="AH103" t="s">
        <v>5612</v>
      </c>
      <c r="AI103" t="s">
        <v>9740</v>
      </c>
      <c r="AJ103" t="s">
        <v>9739</v>
      </c>
      <c r="AK103" t="s">
        <v>9738</v>
      </c>
      <c r="AL103">
        <v>65</v>
      </c>
      <c r="AM103" s="5">
        <f t="shared" si="10"/>
        <v>2.03125</v>
      </c>
      <c r="AN103" s="4">
        <f t="shared" si="15"/>
        <v>3.0764861794774704E-3</v>
      </c>
      <c r="AO103" s="3"/>
      <c r="AP103">
        <v>1</v>
      </c>
      <c r="AR103" t="s">
        <v>0</v>
      </c>
      <c r="AT103" s="2" t="s">
        <v>126</v>
      </c>
      <c r="AU103" s="1">
        <f t="shared" si="11"/>
        <v>0.65474620173199238</v>
      </c>
      <c r="AV103" s="1">
        <f t="shared" si="12"/>
        <v>0.55557546350792231</v>
      </c>
      <c r="AW103" s="1">
        <f t="shared" si="13"/>
        <v>0.45640472528385218</v>
      </c>
    </row>
    <row r="104" spans="1:49" x14ac:dyDescent="0.2">
      <c r="A104">
        <v>102</v>
      </c>
      <c r="B104" t="s">
        <v>9737</v>
      </c>
      <c r="E104">
        <v>2303442</v>
      </c>
      <c r="F104" t="s">
        <v>9736</v>
      </c>
      <c r="G104" t="s">
        <v>14</v>
      </c>
      <c r="H104" t="s">
        <v>13</v>
      </c>
      <c r="I104" t="s">
        <v>309</v>
      </c>
      <c r="J104">
        <v>60026415</v>
      </c>
      <c r="K104" t="s">
        <v>308</v>
      </c>
      <c r="L104" t="s">
        <v>307</v>
      </c>
      <c r="M104" t="s">
        <v>197</v>
      </c>
      <c r="N104">
        <v>2</v>
      </c>
      <c r="O104" t="s">
        <v>9735</v>
      </c>
      <c r="P104" t="s">
        <v>305</v>
      </c>
      <c r="Q104" t="s">
        <v>304</v>
      </c>
      <c r="R104" s="7">
        <v>32955</v>
      </c>
      <c r="S104" s="8">
        <f t="shared" si="8"/>
        <v>1990</v>
      </c>
      <c r="T104" s="8">
        <v>1990</v>
      </c>
      <c r="U104" s="8">
        <f t="shared" si="9"/>
        <v>32</v>
      </c>
      <c r="V104" s="7">
        <v>1990</v>
      </c>
      <c r="W104" t="s">
        <v>9734</v>
      </c>
      <c r="X104" s="2">
        <v>2.3610000000000002</v>
      </c>
      <c r="Y104" s="6">
        <f t="shared" si="14"/>
        <v>6.3025546568431179E-2</v>
      </c>
      <c r="AA104">
        <v>219258</v>
      </c>
      <c r="AB104">
        <v>17592</v>
      </c>
      <c r="AD104" t="s">
        <v>5</v>
      </c>
      <c r="AE104">
        <v>265</v>
      </c>
      <c r="AF104">
        <v>6</v>
      </c>
      <c r="AH104" t="s">
        <v>9733</v>
      </c>
      <c r="AI104" t="s">
        <v>9732</v>
      </c>
      <c r="AK104" t="s">
        <v>9731</v>
      </c>
      <c r="AL104">
        <v>13</v>
      </c>
      <c r="AM104" s="5">
        <f t="shared" si="10"/>
        <v>0.40625</v>
      </c>
      <c r="AN104" s="4">
        <f t="shared" si="15"/>
        <v>6.1529723589549411E-4</v>
      </c>
      <c r="AO104" s="3"/>
      <c r="AP104">
        <v>0</v>
      </c>
      <c r="AR104" t="s">
        <v>0</v>
      </c>
      <c r="AT104" s="2">
        <v>5.157</v>
      </c>
      <c r="AU104" s="1">
        <f t="shared" si="11"/>
        <v>4.4302471768670468</v>
      </c>
      <c r="AV104" s="1">
        <f t="shared" si="12"/>
        <v>3.1820421902163338</v>
      </c>
      <c r="AW104" s="1">
        <f t="shared" si="13"/>
        <v>1.9338372035656199</v>
      </c>
    </row>
    <row r="105" spans="1:49" x14ac:dyDescent="0.2">
      <c r="A105">
        <v>103</v>
      </c>
      <c r="B105" t="s">
        <v>9730</v>
      </c>
      <c r="C105" t="s">
        <v>9729</v>
      </c>
      <c r="F105" t="s">
        <v>9728</v>
      </c>
      <c r="G105" t="s">
        <v>14</v>
      </c>
      <c r="H105" t="s">
        <v>13</v>
      </c>
      <c r="I105" t="s">
        <v>9727</v>
      </c>
      <c r="J105">
        <v>60030162</v>
      </c>
      <c r="K105" t="s">
        <v>9726</v>
      </c>
      <c r="L105" t="s">
        <v>7252</v>
      </c>
      <c r="M105" t="s">
        <v>197</v>
      </c>
      <c r="N105">
        <v>4</v>
      </c>
      <c r="O105" t="s">
        <v>9725</v>
      </c>
      <c r="P105" t="s">
        <v>9724</v>
      </c>
      <c r="Q105" t="s">
        <v>9723</v>
      </c>
      <c r="R105" s="7">
        <v>32947</v>
      </c>
      <c r="S105" s="8">
        <f t="shared" si="8"/>
        <v>1990</v>
      </c>
      <c r="T105" s="8">
        <v>1990</v>
      </c>
      <c r="U105" s="8">
        <f t="shared" si="9"/>
        <v>32</v>
      </c>
      <c r="V105" s="7">
        <v>32947</v>
      </c>
      <c r="W105" t="s">
        <v>9722</v>
      </c>
      <c r="X105" s="2">
        <v>1.524</v>
      </c>
      <c r="Y105" s="6">
        <f t="shared" si="14"/>
        <v>4.0682309601986065E-2</v>
      </c>
      <c r="AA105">
        <v>1469592</v>
      </c>
      <c r="AB105">
        <v>12863</v>
      </c>
      <c r="AC105">
        <v>15394794</v>
      </c>
      <c r="AD105" t="s">
        <v>5</v>
      </c>
      <c r="AE105">
        <v>15</v>
      </c>
      <c r="AF105">
        <v>6</v>
      </c>
      <c r="AH105" t="s">
        <v>9721</v>
      </c>
      <c r="AI105" t="s">
        <v>9720</v>
      </c>
      <c r="AK105" t="s">
        <v>9719</v>
      </c>
      <c r="AL105">
        <v>103</v>
      </c>
      <c r="AM105" s="5">
        <f t="shared" si="10"/>
        <v>3.21875</v>
      </c>
      <c r="AN105" s="4">
        <f t="shared" si="15"/>
        <v>4.8750473305566077E-3</v>
      </c>
      <c r="AO105" s="3"/>
      <c r="AP105">
        <v>0</v>
      </c>
      <c r="AR105" t="s">
        <v>0</v>
      </c>
      <c r="AT105" s="2">
        <v>3.7759999999999998</v>
      </c>
      <c r="AU105" s="1">
        <f t="shared" si="11"/>
        <v>2.9940130920557229</v>
      </c>
      <c r="AV105" s="1">
        <f t="shared" si="12"/>
        <v>2.2778678466271338</v>
      </c>
      <c r="AW105" s="1">
        <f t="shared" si="13"/>
        <v>1.5617226011985446</v>
      </c>
    </row>
    <row r="106" spans="1:49" x14ac:dyDescent="0.2">
      <c r="A106">
        <v>104</v>
      </c>
      <c r="B106" t="s">
        <v>9718</v>
      </c>
      <c r="C106" t="s">
        <v>9717</v>
      </c>
      <c r="D106" t="s">
        <v>9716</v>
      </c>
      <c r="F106" t="s">
        <v>9715</v>
      </c>
      <c r="G106" t="s">
        <v>14</v>
      </c>
      <c r="H106" t="s">
        <v>13</v>
      </c>
      <c r="I106" t="s">
        <v>9714</v>
      </c>
      <c r="J106">
        <v>60029170</v>
      </c>
      <c r="K106" t="s">
        <v>7690</v>
      </c>
      <c r="L106" t="s">
        <v>7689</v>
      </c>
      <c r="M106" t="s">
        <v>209</v>
      </c>
      <c r="N106">
        <v>3</v>
      </c>
      <c r="O106" t="s">
        <v>9713</v>
      </c>
      <c r="P106" t="s">
        <v>9712</v>
      </c>
      <c r="Q106" t="s">
        <v>9711</v>
      </c>
      <c r="R106" s="7">
        <v>32947</v>
      </c>
      <c r="S106" s="8">
        <f t="shared" si="8"/>
        <v>1990</v>
      </c>
      <c r="T106" s="8">
        <v>1990</v>
      </c>
      <c r="U106" s="8">
        <f t="shared" si="9"/>
        <v>32</v>
      </c>
      <c r="V106" s="7">
        <v>32947</v>
      </c>
      <c r="W106" t="s">
        <v>9100</v>
      </c>
      <c r="X106" s="2">
        <v>1.59</v>
      </c>
      <c r="Y106" s="6">
        <f t="shared" si="14"/>
        <v>4.2444141907583888E-2</v>
      </c>
      <c r="AA106">
        <v>52728</v>
      </c>
      <c r="AB106">
        <v>16791</v>
      </c>
      <c r="AD106" t="s">
        <v>5</v>
      </c>
      <c r="AE106">
        <v>1016</v>
      </c>
      <c r="AF106">
        <v>1</v>
      </c>
      <c r="AH106" t="s">
        <v>9710</v>
      </c>
      <c r="AI106" t="s">
        <v>9709</v>
      </c>
      <c r="AJ106" t="s">
        <v>9708</v>
      </c>
      <c r="AK106" t="s">
        <v>9707</v>
      </c>
      <c r="AL106">
        <v>17</v>
      </c>
      <c r="AM106" s="5">
        <f t="shared" si="10"/>
        <v>0.53125</v>
      </c>
      <c r="AN106" s="4">
        <f t="shared" si="15"/>
        <v>8.0461946232487697E-4</v>
      </c>
      <c r="AO106" s="3"/>
      <c r="AP106">
        <v>0</v>
      </c>
      <c r="AR106" t="s">
        <v>0</v>
      </c>
      <c r="AT106" s="2" t="s">
        <v>126</v>
      </c>
      <c r="AU106" s="1">
        <f t="shared" si="11"/>
        <v>2.9952285174006184</v>
      </c>
      <c r="AV106" s="1">
        <f t="shared" si="12"/>
        <v>2.1624380684954385</v>
      </c>
      <c r="AW106" s="1">
        <f t="shared" si="13"/>
        <v>1.3296476195902578</v>
      </c>
    </row>
    <row r="107" spans="1:49" x14ac:dyDescent="0.2">
      <c r="A107">
        <v>105</v>
      </c>
      <c r="B107" t="s">
        <v>9706</v>
      </c>
      <c r="C107" t="s">
        <v>9705</v>
      </c>
      <c r="D107" t="s">
        <v>9704</v>
      </c>
      <c r="F107" t="s">
        <v>9703</v>
      </c>
      <c r="G107" t="s">
        <v>14</v>
      </c>
      <c r="H107" t="s">
        <v>13</v>
      </c>
      <c r="I107" t="s">
        <v>9702</v>
      </c>
      <c r="J107">
        <v>60007762</v>
      </c>
      <c r="K107" t="s">
        <v>8164</v>
      </c>
      <c r="L107" t="s">
        <v>8163</v>
      </c>
      <c r="M107" t="s">
        <v>135</v>
      </c>
      <c r="N107">
        <v>4</v>
      </c>
      <c r="O107" t="s">
        <v>9701</v>
      </c>
      <c r="P107" t="s">
        <v>9700</v>
      </c>
      <c r="Q107" t="s">
        <v>9699</v>
      </c>
      <c r="R107" s="7">
        <v>32947</v>
      </c>
      <c r="S107" s="8">
        <f t="shared" si="8"/>
        <v>1990</v>
      </c>
      <c r="T107" s="8">
        <v>1990</v>
      </c>
      <c r="U107" s="8">
        <f t="shared" si="9"/>
        <v>32</v>
      </c>
      <c r="V107" s="7">
        <v>32947</v>
      </c>
      <c r="W107" t="s">
        <v>9100</v>
      </c>
      <c r="X107" s="2">
        <v>1.59</v>
      </c>
      <c r="Y107" s="6">
        <f t="shared" si="14"/>
        <v>4.2444141907583888E-2</v>
      </c>
      <c r="AA107">
        <v>52728</v>
      </c>
      <c r="AB107">
        <v>16791</v>
      </c>
      <c r="AD107" t="s">
        <v>5</v>
      </c>
      <c r="AE107">
        <v>1016</v>
      </c>
      <c r="AF107">
        <v>1</v>
      </c>
      <c r="AH107" t="s">
        <v>9698</v>
      </c>
      <c r="AI107" t="s">
        <v>9697</v>
      </c>
      <c r="AJ107" t="s">
        <v>9696</v>
      </c>
      <c r="AK107" t="s">
        <v>9695</v>
      </c>
      <c r="AL107">
        <v>5</v>
      </c>
      <c r="AM107" s="5">
        <f t="shared" si="10"/>
        <v>0.15625</v>
      </c>
      <c r="AN107" s="4">
        <f t="shared" si="15"/>
        <v>2.3665278303672851E-4</v>
      </c>
      <c r="AO107" s="3"/>
      <c r="AP107">
        <v>0</v>
      </c>
      <c r="AQ107" t="s">
        <v>1100</v>
      </c>
      <c r="AR107" t="s">
        <v>0</v>
      </c>
      <c r="AS107" t="s">
        <v>1098</v>
      </c>
      <c r="AT107" s="2" t="s">
        <v>126</v>
      </c>
      <c r="AU107" s="1">
        <f t="shared" si="11"/>
        <v>2.9781895170219741</v>
      </c>
      <c r="AV107" s="1">
        <f t="shared" si="12"/>
        <v>2.1340397345310307</v>
      </c>
      <c r="AW107" s="1">
        <f t="shared" si="13"/>
        <v>1.2898899520400875</v>
      </c>
    </row>
    <row r="108" spans="1:49" x14ac:dyDescent="0.2">
      <c r="A108">
        <v>106</v>
      </c>
      <c r="B108" t="s">
        <v>9694</v>
      </c>
      <c r="C108" t="s">
        <v>9693</v>
      </c>
      <c r="F108" t="s">
        <v>9692</v>
      </c>
      <c r="G108" t="s">
        <v>14</v>
      </c>
      <c r="H108" t="s">
        <v>13</v>
      </c>
      <c r="I108" t="s">
        <v>9691</v>
      </c>
      <c r="J108">
        <v>60007457</v>
      </c>
      <c r="K108" t="s">
        <v>9690</v>
      </c>
      <c r="L108" t="s">
        <v>6659</v>
      </c>
      <c r="M108" t="s">
        <v>4187</v>
      </c>
      <c r="N108">
        <v>1</v>
      </c>
      <c r="O108" t="s">
        <v>9689</v>
      </c>
      <c r="P108">
        <v>15049241600</v>
      </c>
      <c r="Q108">
        <v>60007457</v>
      </c>
      <c r="R108" s="7">
        <v>32933</v>
      </c>
      <c r="S108" s="8">
        <f t="shared" si="8"/>
        <v>1990</v>
      </c>
      <c r="T108" s="8">
        <v>1990</v>
      </c>
      <c r="U108" s="8">
        <f t="shared" si="9"/>
        <v>32</v>
      </c>
      <c r="V108" s="7">
        <v>32933</v>
      </c>
      <c r="W108" t="s">
        <v>9455</v>
      </c>
      <c r="X108" s="2">
        <v>1.1579999999999999</v>
      </c>
      <c r="Y108" s="6">
        <f t="shared" si="14"/>
        <v>3.0912148634579962E-2</v>
      </c>
      <c r="AA108">
        <v>1668595</v>
      </c>
      <c r="AB108">
        <v>14223</v>
      </c>
      <c r="AC108">
        <v>15735079</v>
      </c>
      <c r="AD108" t="s">
        <v>5</v>
      </c>
      <c r="AE108">
        <v>23</v>
      </c>
      <c r="AF108">
        <v>3</v>
      </c>
      <c r="AH108" t="s">
        <v>9688</v>
      </c>
      <c r="AI108" t="s">
        <v>9687</v>
      </c>
      <c r="AJ108" t="s">
        <v>9686</v>
      </c>
      <c r="AK108" t="s">
        <v>9685</v>
      </c>
      <c r="AL108">
        <v>12</v>
      </c>
      <c r="AM108" s="5">
        <f t="shared" si="10"/>
        <v>0.375</v>
      </c>
      <c r="AN108" s="4">
        <f t="shared" si="15"/>
        <v>5.6796667928814845E-4</v>
      </c>
      <c r="AO108" s="3"/>
      <c r="AP108">
        <v>0</v>
      </c>
      <c r="AR108" t="s">
        <v>0</v>
      </c>
      <c r="AT108" s="2">
        <v>3.573</v>
      </c>
      <c r="AU108" s="1">
        <f t="shared" si="11"/>
        <v>2.1808894047992413</v>
      </c>
      <c r="AV108" s="1">
        <f t="shared" si="12"/>
        <v>1.5740057656934054</v>
      </c>
      <c r="AW108" s="1">
        <f t="shared" si="13"/>
        <v>0.96712212658756924</v>
      </c>
    </row>
    <row r="109" spans="1:49" x14ac:dyDescent="0.2">
      <c r="A109">
        <v>107</v>
      </c>
      <c r="B109" t="s">
        <v>9684</v>
      </c>
      <c r="C109" t="s">
        <v>9683</v>
      </c>
      <c r="F109" t="s">
        <v>9682</v>
      </c>
      <c r="G109" t="s">
        <v>14</v>
      </c>
      <c r="H109" t="s">
        <v>13</v>
      </c>
      <c r="I109" t="s">
        <v>9681</v>
      </c>
      <c r="J109">
        <v>60072948</v>
      </c>
      <c r="K109" t="s">
        <v>9680</v>
      </c>
      <c r="L109" t="s">
        <v>8666</v>
      </c>
      <c r="M109" t="s">
        <v>1637</v>
      </c>
      <c r="N109">
        <v>1</v>
      </c>
      <c r="O109" t="s">
        <v>9679</v>
      </c>
      <c r="P109">
        <v>57198296308</v>
      </c>
      <c r="Q109">
        <v>60072948</v>
      </c>
      <c r="R109" s="7">
        <v>32933</v>
      </c>
      <c r="S109" s="8">
        <f t="shared" si="8"/>
        <v>1990</v>
      </c>
      <c r="T109" s="8">
        <v>1990</v>
      </c>
      <c r="U109" s="8">
        <f t="shared" si="9"/>
        <v>32</v>
      </c>
      <c r="V109" s="7">
        <v>32933</v>
      </c>
      <c r="W109" t="s">
        <v>9678</v>
      </c>
      <c r="X109" s="2" t="s">
        <v>126</v>
      </c>
      <c r="Y109" s="6" t="e">
        <f t="shared" si="14"/>
        <v>#VALUE!</v>
      </c>
      <c r="AA109">
        <v>138959</v>
      </c>
      <c r="AB109">
        <v>75714</v>
      </c>
      <c r="AC109">
        <v>15738248</v>
      </c>
      <c r="AD109" t="s">
        <v>5</v>
      </c>
      <c r="AE109">
        <v>35</v>
      </c>
      <c r="AF109">
        <v>1</v>
      </c>
      <c r="AH109" t="s">
        <v>9677</v>
      </c>
      <c r="AI109" t="s">
        <v>9676</v>
      </c>
      <c r="AJ109" t="s">
        <v>9675</v>
      </c>
      <c r="AK109" t="s">
        <v>9674</v>
      </c>
      <c r="AL109">
        <v>22</v>
      </c>
      <c r="AM109" s="5">
        <f t="shared" si="10"/>
        <v>0.6875</v>
      </c>
      <c r="AN109" s="4">
        <f t="shared" si="15"/>
        <v>1.0412722453616054E-3</v>
      </c>
      <c r="AO109" s="3"/>
      <c r="AP109">
        <v>0</v>
      </c>
      <c r="AR109" t="s">
        <v>0</v>
      </c>
      <c r="AT109" s="2" t="s">
        <v>126</v>
      </c>
      <c r="AU109" s="1" t="e">
        <f t="shared" si="11"/>
        <v>#VALUE!</v>
      </c>
      <c r="AV109" s="1" t="e">
        <f t="shared" si="12"/>
        <v>#VALUE!</v>
      </c>
      <c r="AW109" s="1" t="e">
        <f t="shared" si="13"/>
        <v>#VALUE!</v>
      </c>
    </row>
    <row r="110" spans="1:49" x14ac:dyDescent="0.2">
      <c r="A110">
        <v>108</v>
      </c>
      <c r="B110" t="s">
        <v>9673</v>
      </c>
      <c r="C110" t="s">
        <v>9672</v>
      </c>
      <c r="F110" t="s">
        <v>9671</v>
      </c>
      <c r="G110" t="s">
        <v>14</v>
      </c>
      <c r="H110" t="s">
        <v>13</v>
      </c>
      <c r="I110" t="s">
        <v>9670</v>
      </c>
      <c r="N110">
        <v>2</v>
      </c>
      <c r="O110" t="s">
        <v>9669</v>
      </c>
      <c r="P110" t="s">
        <v>9668</v>
      </c>
      <c r="Q110" t="s">
        <v>119</v>
      </c>
      <c r="R110" s="7">
        <v>32933</v>
      </c>
      <c r="S110" s="8">
        <f t="shared" si="8"/>
        <v>1990</v>
      </c>
      <c r="T110" s="8">
        <v>1990</v>
      </c>
      <c r="U110" s="8">
        <f t="shared" si="9"/>
        <v>32</v>
      </c>
      <c r="V110" s="7">
        <v>32933</v>
      </c>
      <c r="W110" t="s">
        <v>9667</v>
      </c>
      <c r="X110" s="2">
        <v>0.36199999999999999</v>
      </c>
      <c r="Y110" s="6">
        <f t="shared" si="14"/>
        <v>9.6633832519153248E-3</v>
      </c>
      <c r="AA110">
        <v>1915665</v>
      </c>
      <c r="AB110">
        <v>13614</v>
      </c>
      <c r="AC110">
        <v>15738922</v>
      </c>
      <c r="AD110" t="s">
        <v>5</v>
      </c>
      <c r="AE110">
        <v>26</v>
      </c>
      <c r="AF110">
        <v>2</v>
      </c>
      <c r="AH110" t="s">
        <v>9666</v>
      </c>
      <c r="AL110">
        <v>0</v>
      </c>
      <c r="AM110" s="5">
        <f t="shared" si="10"/>
        <v>0</v>
      </c>
      <c r="AN110" s="4">
        <f t="shared" si="15"/>
        <v>0</v>
      </c>
      <c r="AO110" s="3"/>
      <c r="AP110">
        <v>0</v>
      </c>
      <c r="AR110" t="s">
        <v>0</v>
      </c>
      <c r="AT110" s="2">
        <v>1.333</v>
      </c>
      <c r="AU110" s="1">
        <f t="shared" si="11"/>
        <v>0.67643682763407265</v>
      </c>
      <c r="AV110" s="1">
        <f t="shared" si="12"/>
        <v>0.48316916259576626</v>
      </c>
      <c r="AW110" s="1">
        <f t="shared" si="13"/>
        <v>0.28990149755745975</v>
      </c>
    </row>
    <row r="111" spans="1:49" x14ac:dyDescent="0.2">
      <c r="A111">
        <v>109</v>
      </c>
      <c r="B111" t="s">
        <v>9665</v>
      </c>
      <c r="C111" t="s">
        <v>9664</v>
      </c>
      <c r="F111" t="s">
        <v>9663</v>
      </c>
      <c r="G111" t="s">
        <v>14</v>
      </c>
      <c r="H111" t="s">
        <v>13</v>
      </c>
      <c r="I111" t="s">
        <v>9662</v>
      </c>
      <c r="N111">
        <v>1</v>
      </c>
      <c r="O111" t="s">
        <v>9661</v>
      </c>
      <c r="P111">
        <v>6701411909</v>
      </c>
      <c r="R111" s="7">
        <v>32933</v>
      </c>
      <c r="S111" s="8">
        <f t="shared" si="8"/>
        <v>1990</v>
      </c>
      <c r="T111" s="8">
        <v>1990</v>
      </c>
      <c r="U111" s="8">
        <f t="shared" si="9"/>
        <v>32</v>
      </c>
      <c r="V111" s="7">
        <v>32933</v>
      </c>
      <c r="W111" t="s">
        <v>9321</v>
      </c>
      <c r="X111" s="2">
        <v>0.14899999999999999</v>
      </c>
      <c r="Y111" s="6">
        <f t="shared" si="14"/>
        <v>3.977469902031446E-3</v>
      </c>
      <c r="AA111">
        <v>5431972</v>
      </c>
      <c r="AB111">
        <v>15425</v>
      </c>
      <c r="AC111">
        <v>15738906</v>
      </c>
      <c r="AD111" t="s">
        <v>5</v>
      </c>
      <c r="AE111">
        <v>33</v>
      </c>
      <c r="AF111">
        <v>3</v>
      </c>
      <c r="AH111" t="s">
        <v>9660</v>
      </c>
      <c r="AL111">
        <v>0</v>
      </c>
      <c r="AM111" s="5">
        <f t="shared" si="10"/>
        <v>0</v>
      </c>
      <c r="AN111" s="4">
        <f t="shared" si="15"/>
        <v>0</v>
      </c>
      <c r="AO111" s="3"/>
      <c r="AP111">
        <v>0</v>
      </c>
      <c r="AR111" t="s">
        <v>0</v>
      </c>
      <c r="AT111" s="2" t="s">
        <v>126</v>
      </c>
      <c r="AU111" s="1">
        <f t="shared" si="11"/>
        <v>0.2784228931422012</v>
      </c>
      <c r="AV111" s="1">
        <f t="shared" si="12"/>
        <v>0.19887349510157229</v>
      </c>
      <c r="AW111" s="1">
        <f t="shared" si="13"/>
        <v>0.11932409706094337</v>
      </c>
    </row>
    <row r="112" spans="1:49" x14ac:dyDescent="0.2">
      <c r="A112">
        <v>110</v>
      </c>
      <c r="B112" t="s">
        <v>9659</v>
      </c>
      <c r="C112" t="s">
        <v>9658</v>
      </c>
      <c r="F112" t="s">
        <v>9657</v>
      </c>
      <c r="G112" t="s">
        <v>14</v>
      </c>
      <c r="H112" t="s">
        <v>13</v>
      </c>
      <c r="I112" t="s">
        <v>9656</v>
      </c>
      <c r="N112">
        <v>1</v>
      </c>
      <c r="O112" t="s">
        <v>9655</v>
      </c>
      <c r="P112">
        <v>57224290069</v>
      </c>
      <c r="R112" s="7">
        <v>32933</v>
      </c>
      <c r="S112" s="8">
        <f t="shared" si="8"/>
        <v>1990</v>
      </c>
      <c r="T112" s="8">
        <v>1990</v>
      </c>
      <c r="U112" s="8">
        <f t="shared" si="9"/>
        <v>32</v>
      </c>
      <c r="V112" s="7">
        <v>32933</v>
      </c>
      <c r="W112" t="s">
        <v>9321</v>
      </c>
      <c r="X112" s="2">
        <v>0.14899999999999999</v>
      </c>
      <c r="Y112" s="6">
        <f t="shared" si="14"/>
        <v>3.977469902031446E-3</v>
      </c>
      <c r="AA112">
        <v>5431972</v>
      </c>
      <c r="AB112">
        <v>15425</v>
      </c>
      <c r="AC112">
        <v>15738906</v>
      </c>
      <c r="AD112" t="s">
        <v>5</v>
      </c>
      <c r="AE112">
        <v>33</v>
      </c>
      <c r="AF112">
        <v>3</v>
      </c>
      <c r="AH112" t="s">
        <v>733</v>
      </c>
      <c r="AL112">
        <v>0</v>
      </c>
      <c r="AM112" s="5">
        <f t="shared" si="10"/>
        <v>0</v>
      </c>
      <c r="AN112" s="4">
        <f t="shared" si="15"/>
        <v>0</v>
      </c>
      <c r="AO112" s="3"/>
      <c r="AP112">
        <v>0</v>
      </c>
      <c r="AR112" t="s">
        <v>0</v>
      </c>
      <c r="AT112" s="2" t="s">
        <v>126</v>
      </c>
      <c r="AU112" s="1">
        <f t="shared" si="11"/>
        <v>0.2784228931422012</v>
      </c>
      <c r="AV112" s="1">
        <f t="shared" si="12"/>
        <v>0.19887349510157229</v>
      </c>
      <c r="AW112" s="1">
        <f t="shared" si="13"/>
        <v>0.11932409706094337</v>
      </c>
    </row>
    <row r="113" spans="1:49" x14ac:dyDescent="0.2">
      <c r="A113">
        <v>111</v>
      </c>
      <c r="B113" t="s">
        <v>9654</v>
      </c>
      <c r="C113" t="s">
        <v>9653</v>
      </c>
      <c r="F113" t="s">
        <v>9652</v>
      </c>
      <c r="G113" t="s">
        <v>14</v>
      </c>
      <c r="H113" t="s">
        <v>13</v>
      </c>
      <c r="I113" t="s">
        <v>9651</v>
      </c>
      <c r="J113">
        <v>60003970</v>
      </c>
      <c r="K113" t="s">
        <v>9650</v>
      </c>
      <c r="L113" t="s">
        <v>9649</v>
      </c>
      <c r="M113" t="s">
        <v>854</v>
      </c>
      <c r="N113">
        <v>2</v>
      </c>
      <c r="O113" t="s">
        <v>9648</v>
      </c>
      <c r="P113" t="s">
        <v>9647</v>
      </c>
      <c r="Q113" t="s">
        <v>9646</v>
      </c>
      <c r="R113" s="7">
        <v>32933</v>
      </c>
      <c r="S113" s="8">
        <f t="shared" si="8"/>
        <v>1990</v>
      </c>
      <c r="T113" s="8">
        <v>1990</v>
      </c>
      <c r="U113" s="8">
        <f t="shared" si="9"/>
        <v>32</v>
      </c>
      <c r="V113" s="7">
        <v>32933</v>
      </c>
      <c r="W113" t="s">
        <v>9239</v>
      </c>
      <c r="X113" s="2">
        <v>0.61499999999999999</v>
      </c>
      <c r="Y113" s="6">
        <f t="shared" si="14"/>
        <v>1.6417073756706976E-2</v>
      </c>
      <c r="AA113">
        <v>1959271</v>
      </c>
      <c r="AB113">
        <v>12141</v>
      </c>
      <c r="AC113">
        <v>15729559</v>
      </c>
      <c r="AD113" t="s">
        <v>5</v>
      </c>
      <c r="AE113">
        <v>11</v>
      </c>
      <c r="AF113">
        <v>3</v>
      </c>
      <c r="AH113" t="s">
        <v>9645</v>
      </c>
      <c r="AI113" t="s">
        <v>9644</v>
      </c>
      <c r="AK113" t="s">
        <v>9643</v>
      </c>
      <c r="AL113">
        <v>1</v>
      </c>
      <c r="AM113" s="5">
        <f t="shared" si="10"/>
        <v>3.125E-2</v>
      </c>
      <c r="AN113" s="4">
        <f t="shared" si="15"/>
        <v>4.73305566073457E-5</v>
      </c>
      <c r="AO113" s="3"/>
      <c r="AP113">
        <v>0</v>
      </c>
      <c r="AR113" t="s">
        <v>0</v>
      </c>
      <c r="AT113" s="2" t="s">
        <v>126</v>
      </c>
      <c r="AU113" s="1">
        <f t="shared" si="11"/>
        <v>1.1506150796677086</v>
      </c>
      <c r="AV113" s="1">
        <f t="shared" si="12"/>
        <v>0.82322021566571602</v>
      </c>
      <c r="AW113" s="1">
        <f t="shared" si="13"/>
        <v>0.49582535166372338</v>
      </c>
    </row>
    <row r="114" spans="1:49" x14ac:dyDescent="0.2">
      <c r="A114">
        <v>112</v>
      </c>
      <c r="B114" t="s">
        <v>9642</v>
      </c>
      <c r="F114" t="s">
        <v>9641</v>
      </c>
      <c r="G114" t="s">
        <v>14</v>
      </c>
      <c r="H114" t="s">
        <v>13</v>
      </c>
      <c r="I114" t="s">
        <v>9640</v>
      </c>
      <c r="J114">
        <v>60104206</v>
      </c>
      <c r="K114" t="s">
        <v>9639</v>
      </c>
      <c r="L114" t="s">
        <v>9638</v>
      </c>
      <c r="M114" t="s">
        <v>267</v>
      </c>
      <c r="N114">
        <v>1</v>
      </c>
      <c r="O114" t="s">
        <v>9637</v>
      </c>
      <c r="P114">
        <v>7402089913</v>
      </c>
      <c r="Q114">
        <v>60104206</v>
      </c>
      <c r="R114" s="7">
        <v>32933</v>
      </c>
      <c r="S114" s="8">
        <f t="shared" si="8"/>
        <v>1990</v>
      </c>
      <c r="T114" s="8">
        <v>1990</v>
      </c>
      <c r="U114" s="8">
        <f t="shared" si="9"/>
        <v>32</v>
      </c>
      <c r="V114" s="7">
        <v>32933</v>
      </c>
      <c r="W114" t="s">
        <v>9636</v>
      </c>
      <c r="X114" s="2" t="s">
        <v>126</v>
      </c>
      <c r="Y114" s="6" t="e">
        <f t="shared" si="14"/>
        <v>#VALUE!</v>
      </c>
      <c r="AA114">
        <v>9248625</v>
      </c>
      <c r="AB114">
        <v>12897</v>
      </c>
      <c r="AD114" t="s">
        <v>5</v>
      </c>
      <c r="AE114">
        <v>7</v>
      </c>
      <c r="AF114">
        <v>2</v>
      </c>
      <c r="AH114" t="s">
        <v>9635</v>
      </c>
      <c r="AI114" t="s">
        <v>9634</v>
      </c>
      <c r="AK114" t="s">
        <v>9633</v>
      </c>
      <c r="AL114">
        <v>2</v>
      </c>
      <c r="AM114" s="5">
        <f t="shared" si="10"/>
        <v>6.25E-2</v>
      </c>
      <c r="AN114" s="4">
        <f t="shared" si="15"/>
        <v>9.46611132146914E-5</v>
      </c>
      <c r="AO114" s="3"/>
      <c r="AP114">
        <v>0</v>
      </c>
      <c r="AR114" t="s">
        <v>0</v>
      </c>
      <c r="AT114" s="2" t="s">
        <v>126</v>
      </c>
      <c r="AU114" s="1" t="e">
        <f t="shared" si="11"/>
        <v>#VALUE!</v>
      </c>
      <c r="AV114" s="1" t="e">
        <f t="shared" si="12"/>
        <v>#VALUE!</v>
      </c>
      <c r="AW114" s="1" t="e">
        <f t="shared" si="13"/>
        <v>#VALUE!</v>
      </c>
    </row>
    <row r="115" spans="1:49" x14ac:dyDescent="0.2">
      <c r="A115">
        <v>113</v>
      </c>
      <c r="B115" t="s">
        <v>9632</v>
      </c>
      <c r="F115" t="s">
        <v>9631</v>
      </c>
      <c r="G115" t="s">
        <v>14</v>
      </c>
      <c r="H115" t="s">
        <v>13</v>
      </c>
      <c r="I115" t="s">
        <v>9630</v>
      </c>
      <c r="J115">
        <v>60017386</v>
      </c>
      <c r="K115" t="s">
        <v>9629</v>
      </c>
      <c r="L115" t="s">
        <v>9628</v>
      </c>
      <c r="M115" t="s">
        <v>267</v>
      </c>
      <c r="N115">
        <v>4</v>
      </c>
      <c r="O115" t="s">
        <v>9627</v>
      </c>
      <c r="P115" t="s">
        <v>9626</v>
      </c>
      <c r="Q115" t="s">
        <v>9625</v>
      </c>
      <c r="R115" s="7">
        <v>32933</v>
      </c>
      <c r="S115" s="8">
        <f t="shared" si="8"/>
        <v>1990</v>
      </c>
      <c r="T115" s="8">
        <v>1990</v>
      </c>
      <c r="U115" s="8">
        <f t="shared" si="9"/>
        <v>32</v>
      </c>
      <c r="V115" s="7">
        <v>32933</v>
      </c>
      <c r="W115" t="s">
        <v>9624</v>
      </c>
      <c r="X115" s="2" t="s">
        <v>126</v>
      </c>
      <c r="Y115" s="6" t="e">
        <f t="shared" si="14"/>
        <v>#VALUE!</v>
      </c>
      <c r="AA115">
        <v>2667606</v>
      </c>
      <c r="AB115">
        <v>34233</v>
      </c>
      <c r="AD115" t="s">
        <v>5</v>
      </c>
      <c r="AE115">
        <v>89</v>
      </c>
      <c r="AF115">
        <v>2</v>
      </c>
      <c r="AH115" t="s">
        <v>9623</v>
      </c>
      <c r="AI115" t="s">
        <v>9622</v>
      </c>
      <c r="AK115" t="s">
        <v>9621</v>
      </c>
      <c r="AL115">
        <v>140</v>
      </c>
      <c r="AM115" s="5">
        <f t="shared" si="10"/>
        <v>4.375</v>
      </c>
      <c r="AN115" s="4">
        <f t="shared" si="15"/>
        <v>6.6262779250283984E-3</v>
      </c>
      <c r="AO115" s="3"/>
      <c r="AP115">
        <v>0</v>
      </c>
      <c r="AR115" t="s">
        <v>0</v>
      </c>
      <c r="AT115" s="2" t="s">
        <v>126</v>
      </c>
      <c r="AU115" s="1" t="e">
        <f t="shared" si="11"/>
        <v>#VALUE!</v>
      </c>
      <c r="AV115" s="1" t="e">
        <f t="shared" si="12"/>
        <v>#VALUE!</v>
      </c>
      <c r="AW115" s="1" t="e">
        <f t="shared" si="13"/>
        <v>#VALUE!</v>
      </c>
    </row>
    <row r="116" spans="1:49" x14ac:dyDescent="0.2">
      <c r="A116">
        <v>114</v>
      </c>
      <c r="B116" t="s">
        <v>9620</v>
      </c>
      <c r="F116" t="s">
        <v>9619</v>
      </c>
      <c r="G116" t="s">
        <v>14</v>
      </c>
      <c r="H116" t="s">
        <v>13</v>
      </c>
      <c r="I116" t="s">
        <v>9618</v>
      </c>
      <c r="J116">
        <v>60028673</v>
      </c>
      <c r="K116" t="s">
        <v>595</v>
      </c>
      <c r="L116" t="s">
        <v>594</v>
      </c>
      <c r="M116" t="s">
        <v>135</v>
      </c>
      <c r="N116">
        <v>2</v>
      </c>
      <c r="O116" t="s">
        <v>9617</v>
      </c>
      <c r="P116" t="s">
        <v>9616</v>
      </c>
      <c r="Q116" t="s">
        <v>9615</v>
      </c>
      <c r="R116" s="7">
        <v>32933</v>
      </c>
      <c r="S116" s="8">
        <f t="shared" si="8"/>
        <v>1990</v>
      </c>
      <c r="T116" s="8">
        <v>1990</v>
      </c>
      <c r="U116" s="8">
        <f t="shared" si="9"/>
        <v>32</v>
      </c>
      <c r="V116" s="7">
        <v>32933</v>
      </c>
      <c r="W116" t="s">
        <v>9614</v>
      </c>
      <c r="X116" s="2" t="s">
        <v>126</v>
      </c>
      <c r="Y116" s="6" t="e">
        <f t="shared" si="14"/>
        <v>#VALUE!</v>
      </c>
      <c r="AA116">
        <v>3444880</v>
      </c>
      <c r="AB116">
        <v>38773</v>
      </c>
      <c r="AD116" t="s">
        <v>5</v>
      </c>
      <c r="AE116">
        <v>13</v>
      </c>
      <c r="AF116">
        <v>2</v>
      </c>
      <c r="AH116" t="s">
        <v>9613</v>
      </c>
      <c r="AI116" t="s">
        <v>9612</v>
      </c>
      <c r="AK116" t="s">
        <v>9611</v>
      </c>
      <c r="AL116">
        <v>0</v>
      </c>
      <c r="AM116" s="5">
        <f t="shared" si="10"/>
        <v>0</v>
      </c>
      <c r="AN116" s="4">
        <f t="shared" si="15"/>
        <v>0</v>
      </c>
      <c r="AO116" s="3"/>
      <c r="AP116">
        <v>0</v>
      </c>
      <c r="AR116" t="s">
        <v>0</v>
      </c>
      <c r="AT116" s="2" t="s">
        <v>126</v>
      </c>
      <c r="AU116" s="1" t="e">
        <f t="shared" si="11"/>
        <v>#VALUE!</v>
      </c>
      <c r="AV116" s="1" t="e">
        <f t="shared" si="12"/>
        <v>#VALUE!</v>
      </c>
      <c r="AW116" s="1" t="e">
        <f t="shared" si="13"/>
        <v>#VALUE!</v>
      </c>
    </row>
    <row r="117" spans="1:49" x14ac:dyDescent="0.2">
      <c r="A117">
        <v>115</v>
      </c>
      <c r="B117" t="s">
        <v>9610</v>
      </c>
      <c r="C117" t="s">
        <v>9609</v>
      </c>
      <c r="F117" t="s">
        <v>9608</v>
      </c>
      <c r="G117" t="s">
        <v>14</v>
      </c>
      <c r="H117" t="s">
        <v>13</v>
      </c>
      <c r="I117" t="s">
        <v>9607</v>
      </c>
      <c r="J117">
        <v>60019894</v>
      </c>
      <c r="K117" t="s">
        <v>4004</v>
      </c>
      <c r="L117" t="s">
        <v>4003</v>
      </c>
      <c r="M117" t="s">
        <v>1637</v>
      </c>
      <c r="N117">
        <v>3</v>
      </c>
      <c r="O117" t="s">
        <v>9606</v>
      </c>
      <c r="P117" t="s">
        <v>9605</v>
      </c>
      <c r="Q117" t="s">
        <v>9604</v>
      </c>
      <c r="R117" s="7">
        <v>32933</v>
      </c>
      <c r="S117" s="8">
        <f t="shared" si="8"/>
        <v>1990</v>
      </c>
      <c r="T117" s="8">
        <v>1990</v>
      </c>
      <c r="U117" s="8">
        <f t="shared" si="9"/>
        <v>32</v>
      </c>
      <c r="V117" s="7">
        <v>32933</v>
      </c>
      <c r="W117" t="s">
        <v>9603</v>
      </c>
      <c r="X117" s="2">
        <v>0.33800000000000002</v>
      </c>
      <c r="Y117" s="6">
        <f t="shared" si="14"/>
        <v>9.0227169589706634E-3</v>
      </c>
      <c r="AA117">
        <v>34347</v>
      </c>
      <c r="AB117">
        <v>17722</v>
      </c>
      <c r="AC117">
        <v>19589395</v>
      </c>
      <c r="AD117" t="s">
        <v>5</v>
      </c>
      <c r="AE117">
        <v>45</v>
      </c>
      <c r="AF117" s="9">
        <v>44289</v>
      </c>
      <c r="AH117" t="s">
        <v>9602</v>
      </c>
      <c r="AI117" t="s">
        <v>9601</v>
      </c>
      <c r="AJ117" t="s">
        <v>9600</v>
      </c>
      <c r="AK117" t="s">
        <v>9599</v>
      </c>
      <c r="AL117">
        <v>4</v>
      </c>
      <c r="AM117" s="5">
        <f t="shared" si="10"/>
        <v>0.125</v>
      </c>
      <c r="AN117" s="4">
        <f t="shared" si="15"/>
        <v>1.893222264293828E-4</v>
      </c>
      <c r="AO117" s="3"/>
      <c r="AP117">
        <v>0</v>
      </c>
      <c r="AR117" t="s">
        <v>0</v>
      </c>
      <c r="AT117" s="2" t="s">
        <v>126</v>
      </c>
      <c r="AU117" s="1">
        <f t="shared" si="11"/>
        <v>0.63726985392082791</v>
      </c>
      <c r="AV117" s="1">
        <f t="shared" si="12"/>
        <v>0.4606019592700023</v>
      </c>
      <c r="AW117" s="1">
        <f t="shared" si="13"/>
        <v>0.2839340646191767</v>
      </c>
    </row>
    <row r="118" spans="1:49" x14ac:dyDescent="0.2">
      <c r="A118">
        <v>116</v>
      </c>
      <c r="B118" t="s">
        <v>9598</v>
      </c>
      <c r="F118" t="s">
        <v>9597</v>
      </c>
      <c r="G118" t="s">
        <v>14</v>
      </c>
      <c r="H118" t="s">
        <v>13</v>
      </c>
      <c r="I118" t="s">
        <v>9596</v>
      </c>
      <c r="N118">
        <v>3</v>
      </c>
      <c r="O118" t="s">
        <v>9595</v>
      </c>
      <c r="P118" t="s">
        <v>9594</v>
      </c>
      <c r="Q118" t="s">
        <v>391</v>
      </c>
      <c r="R118" s="7">
        <v>32933</v>
      </c>
      <c r="S118" s="8">
        <f t="shared" si="8"/>
        <v>1990</v>
      </c>
      <c r="T118" s="8">
        <v>1990</v>
      </c>
      <c r="U118" s="8">
        <f t="shared" si="9"/>
        <v>32</v>
      </c>
      <c r="V118" s="7">
        <v>32933</v>
      </c>
      <c r="W118" t="s">
        <v>390</v>
      </c>
      <c r="X118" s="2">
        <v>0.14099999999999999</v>
      </c>
      <c r="Y118" s="6">
        <f t="shared" si="14"/>
        <v>3.7639144710498915E-3</v>
      </c>
      <c r="AA118">
        <v>402508</v>
      </c>
      <c r="AB118">
        <v>20868</v>
      </c>
      <c r="AD118" t="s">
        <v>5</v>
      </c>
      <c r="AE118">
        <v>45</v>
      </c>
      <c r="AF118">
        <v>3</v>
      </c>
      <c r="AH118" t="s">
        <v>9593</v>
      </c>
      <c r="AI118" t="s">
        <v>9592</v>
      </c>
      <c r="AK118" t="s">
        <v>9591</v>
      </c>
      <c r="AL118">
        <v>0</v>
      </c>
      <c r="AM118" s="5">
        <f t="shared" si="10"/>
        <v>0</v>
      </c>
      <c r="AN118" s="4">
        <f t="shared" si="15"/>
        <v>0</v>
      </c>
      <c r="AO118" s="3"/>
      <c r="AP118">
        <v>0</v>
      </c>
      <c r="AR118" t="s">
        <v>0</v>
      </c>
      <c r="AT118" s="2" t="s">
        <v>126</v>
      </c>
      <c r="AU118" s="1">
        <f t="shared" si="11"/>
        <v>0.26347401297349238</v>
      </c>
      <c r="AV118" s="1">
        <f t="shared" si="12"/>
        <v>0.18819572355249459</v>
      </c>
      <c r="AW118" s="1">
        <f t="shared" si="13"/>
        <v>0.11291743413149673</v>
      </c>
    </row>
    <row r="119" spans="1:49" x14ac:dyDescent="0.2">
      <c r="A119">
        <v>117</v>
      </c>
      <c r="B119" t="s">
        <v>9590</v>
      </c>
      <c r="F119" t="s">
        <v>9589</v>
      </c>
      <c r="G119" t="s">
        <v>14</v>
      </c>
      <c r="H119" t="s">
        <v>13</v>
      </c>
      <c r="I119" t="s">
        <v>9588</v>
      </c>
      <c r="N119">
        <v>3</v>
      </c>
      <c r="O119" t="s">
        <v>9587</v>
      </c>
      <c r="P119" t="s">
        <v>9586</v>
      </c>
      <c r="Q119" t="s">
        <v>391</v>
      </c>
      <c r="R119" s="7">
        <v>32933</v>
      </c>
      <c r="S119" s="8">
        <f t="shared" si="8"/>
        <v>1990</v>
      </c>
      <c r="T119" s="8">
        <v>1990</v>
      </c>
      <c r="U119" s="8">
        <f t="shared" si="9"/>
        <v>32</v>
      </c>
      <c r="V119" s="7">
        <v>32933</v>
      </c>
      <c r="W119" t="s">
        <v>390</v>
      </c>
      <c r="X119" s="2">
        <v>0.14099999999999999</v>
      </c>
      <c r="Y119" s="6">
        <f t="shared" si="14"/>
        <v>3.7639144710498915E-3</v>
      </c>
      <c r="AA119">
        <v>402508</v>
      </c>
      <c r="AB119">
        <v>20868</v>
      </c>
      <c r="AD119" t="s">
        <v>5</v>
      </c>
      <c r="AE119">
        <v>45</v>
      </c>
      <c r="AF119">
        <v>3</v>
      </c>
      <c r="AH119" t="s">
        <v>1203</v>
      </c>
      <c r="AI119" t="s">
        <v>9585</v>
      </c>
      <c r="AK119" t="s">
        <v>9584</v>
      </c>
      <c r="AL119">
        <v>0</v>
      </c>
      <c r="AM119" s="5">
        <f t="shared" si="10"/>
        <v>0</v>
      </c>
      <c r="AN119" s="4">
        <f t="shared" si="15"/>
        <v>0</v>
      </c>
      <c r="AO119" s="3"/>
      <c r="AP119">
        <v>0</v>
      </c>
      <c r="AR119" t="s">
        <v>0</v>
      </c>
      <c r="AT119" s="2" t="s">
        <v>126</v>
      </c>
      <c r="AU119" s="1">
        <f t="shared" si="11"/>
        <v>0.26347401297349238</v>
      </c>
      <c r="AV119" s="1">
        <f t="shared" si="12"/>
        <v>0.18819572355249459</v>
      </c>
      <c r="AW119" s="1">
        <f t="shared" si="13"/>
        <v>0.11291743413149673</v>
      </c>
    </row>
    <row r="120" spans="1:49" x14ac:dyDescent="0.2">
      <c r="A120">
        <v>118</v>
      </c>
      <c r="B120" t="s">
        <v>9583</v>
      </c>
      <c r="F120" t="s">
        <v>9582</v>
      </c>
      <c r="G120" t="s">
        <v>14</v>
      </c>
      <c r="H120" t="s">
        <v>13</v>
      </c>
      <c r="I120" t="s">
        <v>9581</v>
      </c>
      <c r="N120">
        <v>5</v>
      </c>
      <c r="O120" t="s">
        <v>9580</v>
      </c>
      <c r="P120" t="s">
        <v>9579</v>
      </c>
      <c r="Q120" t="s">
        <v>6122</v>
      </c>
      <c r="R120" s="7">
        <v>32933</v>
      </c>
      <c r="S120" s="8">
        <f t="shared" si="8"/>
        <v>1990</v>
      </c>
      <c r="T120" s="8">
        <v>1990</v>
      </c>
      <c r="U120" s="8">
        <f t="shared" si="9"/>
        <v>32</v>
      </c>
      <c r="V120" s="7">
        <v>32933</v>
      </c>
      <c r="W120" t="s">
        <v>390</v>
      </c>
      <c r="X120" s="2">
        <v>0.14099999999999999</v>
      </c>
      <c r="Y120" s="6">
        <f t="shared" si="14"/>
        <v>3.7639144710498915E-3</v>
      </c>
      <c r="AA120">
        <v>402508</v>
      </c>
      <c r="AB120">
        <v>20868</v>
      </c>
      <c r="AD120" t="s">
        <v>5</v>
      </c>
      <c r="AE120">
        <v>45</v>
      </c>
      <c r="AF120">
        <v>3</v>
      </c>
      <c r="AH120" t="s">
        <v>9578</v>
      </c>
      <c r="AI120" t="s">
        <v>9577</v>
      </c>
      <c r="AK120" t="s">
        <v>9576</v>
      </c>
      <c r="AL120">
        <v>0</v>
      </c>
      <c r="AM120" s="5">
        <f t="shared" si="10"/>
        <v>0</v>
      </c>
      <c r="AN120" s="4">
        <f t="shared" si="15"/>
        <v>0</v>
      </c>
      <c r="AO120" s="3"/>
      <c r="AP120">
        <v>0</v>
      </c>
      <c r="AR120" t="s">
        <v>0</v>
      </c>
      <c r="AT120" s="2" t="s">
        <v>126</v>
      </c>
      <c r="AU120" s="1">
        <f t="shared" si="11"/>
        <v>0.26347401297349238</v>
      </c>
      <c r="AV120" s="1">
        <f t="shared" si="12"/>
        <v>0.18819572355249459</v>
      </c>
      <c r="AW120" s="1">
        <f t="shared" si="13"/>
        <v>0.11291743413149673</v>
      </c>
    </row>
    <row r="121" spans="1:49" x14ac:dyDescent="0.2">
      <c r="A121">
        <v>119</v>
      </c>
      <c r="B121" t="s">
        <v>9575</v>
      </c>
      <c r="F121" t="s">
        <v>9574</v>
      </c>
      <c r="G121" t="s">
        <v>14</v>
      </c>
      <c r="H121" t="s">
        <v>13</v>
      </c>
      <c r="I121" t="s">
        <v>9573</v>
      </c>
      <c r="N121">
        <v>7</v>
      </c>
      <c r="O121" t="s">
        <v>9572</v>
      </c>
      <c r="P121" t="s">
        <v>9571</v>
      </c>
      <c r="Q121" t="s">
        <v>1181</v>
      </c>
      <c r="R121" s="7">
        <v>32933</v>
      </c>
      <c r="S121" s="8">
        <f t="shared" si="8"/>
        <v>1990</v>
      </c>
      <c r="T121" s="8">
        <v>1990</v>
      </c>
      <c r="U121" s="8">
        <f t="shared" si="9"/>
        <v>32</v>
      </c>
      <c r="V121" s="7">
        <v>32933</v>
      </c>
      <c r="W121" t="s">
        <v>390</v>
      </c>
      <c r="X121" s="2">
        <v>0.14099999999999999</v>
      </c>
      <c r="Y121" s="6">
        <f t="shared" si="14"/>
        <v>3.7639144710498915E-3</v>
      </c>
      <c r="AA121">
        <v>402508</v>
      </c>
      <c r="AB121">
        <v>20868</v>
      </c>
      <c r="AD121" t="s">
        <v>5</v>
      </c>
      <c r="AE121">
        <v>45</v>
      </c>
      <c r="AF121">
        <v>3</v>
      </c>
      <c r="AH121" t="s">
        <v>9570</v>
      </c>
      <c r="AI121" t="s">
        <v>9569</v>
      </c>
      <c r="AK121" t="s">
        <v>9568</v>
      </c>
      <c r="AL121">
        <v>0</v>
      </c>
      <c r="AM121" s="5">
        <f t="shared" si="10"/>
        <v>0</v>
      </c>
      <c r="AN121" s="4">
        <f t="shared" si="15"/>
        <v>0</v>
      </c>
      <c r="AO121" s="3"/>
      <c r="AP121">
        <v>0</v>
      </c>
      <c r="AR121" t="s">
        <v>0</v>
      </c>
      <c r="AT121" s="2" t="s">
        <v>126</v>
      </c>
      <c r="AU121" s="1">
        <f t="shared" si="11"/>
        <v>0.26347401297349238</v>
      </c>
      <c r="AV121" s="1">
        <f t="shared" si="12"/>
        <v>0.18819572355249459</v>
      </c>
      <c r="AW121" s="1">
        <f t="shared" si="13"/>
        <v>0.11291743413149673</v>
      </c>
    </row>
    <row r="122" spans="1:49" x14ac:dyDescent="0.2">
      <c r="A122">
        <v>120</v>
      </c>
      <c r="B122" t="s">
        <v>9567</v>
      </c>
      <c r="F122" t="s">
        <v>9566</v>
      </c>
      <c r="G122" t="s">
        <v>14</v>
      </c>
      <c r="H122" t="s">
        <v>13</v>
      </c>
      <c r="I122" t="s">
        <v>9565</v>
      </c>
      <c r="N122">
        <v>2</v>
      </c>
      <c r="O122" t="s">
        <v>9564</v>
      </c>
      <c r="P122" t="s">
        <v>9563</v>
      </c>
      <c r="Q122" t="s">
        <v>119</v>
      </c>
      <c r="R122" s="7">
        <v>32933</v>
      </c>
      <c r="S122" s="8">
        <f t="shared" si="8"/>
        <v>1990</v>
      </c>
      <c r="T122" s="8">
        <v>1990</v>
      </c>
      <c r="U122" s="8">
        <f t="shared" si="9"/>
        <v>32</v>
      </c>
      <c r="V122" s="7">
        <v>32933</v>
      </c>
      <c r="W122" t="s">
        <v>390</v>
      </c>
      <c r="X122" s="2">
        <v>0.14099999999999999</v>
      </c>
      <c r="Y122" s="6">
        <f t="shared" si="14"/>
        <v>3.7639144710498915E-3</v>
      </c>
      <c r="AA122">
        <v>402508</v>
      </c>
      <c r="AB122">
        <v>20868</v>
      </c>
      <c r="AD122" t="s">
        <v>5</v>
      </c>
      <c r="AE122">
        <v>45</v>
      </c>
      <c r="AF122">
        <v>3</v>
      </c>
      <c r="AH122" t="s">
        <v>9562</v>
      </c>
      <c r="AI122" t="s">
        <v>9561</v>
      </c>
      <c r="AK122" t="s">
        <v>9560</v>
      </c>
      <c r="AL122">
        <v>0</v>
      </c>
      <c r="AM122" s="5">
        <f t="shared" si="10"/>
        <v>0</v>
      </c>
      <c r="AN122" s="4">
        <f t="shared" si="15"/>
        <v>0</v>
      </c>
      <c r="AO122" s="3"/>
      <c r="AP122">
        <v>0</v>
      </c>
      <c r="AR122" t="s">
        <v>0</v>
      </c>
      <c r="AT122" s="2" t="s">
        <v>126</v>
      </c>
      <c r="AU122" s="1">
        <f t="shared" si="11"/>
        <v>0.26347401297349238</v>
      </c>
      <c r="AV122" s="1">
        <f t="shared" si="12"/>
        <v>0.18819572355249459</v>
      </c>
      <c r="AW122" s="1">
        <f t="shared" si="13"/>
        <v>0.11291743413149673</v>
      </c>
    </row>
    <row r="123" spans="1:49" x14ac:dyDescent="0.2">
      <c r="A123">
        <v>121</v>
      </c>
      <c r="B123" t="s">
        <v>9559</v>
      </c>
      <c r="F123" t="s">
        <v>9558</v>
      </c>
      <c r="G123" t="s">
        <v>14</v>
      </c>
      <c r="H123" t="s">
        <v>13</v>
      </c>
      <c r="I123" t="s">
        <v>9557</v>
      </c>
      <c r="N123">
        <v>1</v>
      </c>
      <c r="O123" t="s">
        <v>9556</v>
      </c>
      <c r="P123">
        <v>6506342578</v>
      </c>
      <c r="R123" s="7">
        <v>32933</v>
      </c>
      <c r="S123" s="8">
        <f t="shared" si="8"/>
        <v>1990</v>
      </c>
      <c r="T123" s="8">
        <v>1990</v>
      </c>
      <c r="U123" s="8">
        <f t="shared" si="9"/>
        <v>32</v>
      </c>
      <c r="V123" s="7">
        <v>32933</v>
      </c>
      <c r="W123" t="s">
        <v>390</v>
      </c>
      <c r="X123" s="2">
        <v>0.14099999999999999</v>
      </c>
      <c r="Y123" s="6">
        <f t="shared" si="14"/>
        <v>3.7639144710498915E-3</v>
      </c>
      <c r="AA123">
        <v>402508</v>
      </c>
      <c r="AB123">
        <v>20868</v>
      </c>
      <c r="AD123" t="s">
        <v>5</v>
      </c>
      <c r="AE123">
        <v>45</v>
      </c>
      <c r="AF123">
        <v>3</v>
      </c>
      <c r="AH123" t="s">
        <v>9555</v>
      </c>
      <c r="AI123" t="s">
        <v>9554</v>
      </c>
      <c r="AK123" t="s">
        <v>9553</v>
      </c>
      <c r="AL123">
        <v>5</v>
      </c>
      <c r="AM123" s="5">
        <f t="shared" si="10"/>
        <v>0.15625</v>
      </c>
      <c r="AN123" s="4">
        <f t="shared" si="15"/>
        <v>2.3665278303672851E-4</v>
      </c>
      <c r="AO123" s="3"/>
      <c r="AP123">
        <v>0</v>
      </c>
      <c r="AR123" t="s">
        <v>0</v>
      </c>
      <c r="AT123" s="2" t="s">
        <v>126</v>
      </c>
      <c r="AU123" s="1">
        <f t="shared" si="11"/>
        <v>0.27057359646459422</v>
      </c>
      <c r="AV123" s="1">
        <f t="shared" si="12"/>
        <v>0.200028362704331</v>
      </c>
      <c r="AW123" s="1">
        <f t="shared" si="13"/>
        <v>0.12948312894406774</v>
      </c>
    </row>
    <row r="124" spans="1:49" x14ac:dyDescent="0.2">
      <c r="A124">
        <v>122</v>
      </c>
      <c r="B124" t="s">
        <v>9552</v>
      </c>
      <c r="C124" t="s">
        <v>9551</v>
      </c>
      <c r="E124">
        <v>1972028</v>
      </c>
      <c r="F124" t="s">
        <v>9550</v>
      </c>
      <c r="G124" t="s">
        <v>14</v>
      </c>
      <c r="H124" t="s">
        <v>13</v>
      </c>
      <c r="I124" t="s">
        <v>9549</v>
      </c>
      <c r="J124">
        <v>60014439</v>
      </c>
      <c r="K124" t="s">
        <v>8232</v>
      </c>
      <c r="L124" t="s">
        <v>8231</v>
      </c>
      <c r="M124" t="s">
        <v>197</v>
      </c>
      <c r="N124">
        <v>2</v>
      </c>
      <c r="O124" t="s">
        <v>9548</v>
      </c>
      <c r="P124" t="s">
        <v>9547</v>
      </c>
      <c r="Q124" t="s">
        <v>9546</v>
      </c>
      <c r="R124" s="7">
        <v>32933</v>
      </c>
      <c r="S124" s="8">
        <f t="shared" si="8"/>
        <v>1990</v>
      </c>
      <c r="T124" s="8">
        <v>1990</v>
      </c>
      <c r="U124" s="8">
        <f t="shared" si="9"/>
        <v>32</v>
      </c>
      <c r="V124" s="7">
        <v>32933</v>
      </c>
      <c r="W124" t="s">
        <v>9519</v>
      </c>
      <c r="X124" s="2">
        <v>1.43</v>
      </c>
      <c r="Y124" s="6">
        <f t="shared" si="14"/>
        <v>3.8173033287952803E-2</v>
      </c>
      <c r="AA124">
        <v>62960</v>
      </c>
      <c r="AB124">
        <v>16867</v>
      </c>
      <c r="AC124">
        <v>15204995</v>
      </c>
      <c r="AD124" t="s">
        <v>5</v>
      </c>
      <c r="AE124">
        <v>29</v>
      </c>
      <c r="AF124">
        <v>18</v>
      </c>
      <c r="AH124" t="s">
        <v>9545</v>
      </c>
      <c r="AI124" t="s">
        <v>9544</v>
      </c>
      <c r="AK124" t="s">
        <v>9543</v>
      </c>
      <c r="AL124">
        <v>47</v>
      </c>
      <c r="AM124" s="5">
        <f t="shared" si="10"/>
        <v>1.46875</v>
      </c>
      <c r="AN124" s="4">
        <f t="shared" si="15"/>
        <v>2.2245361605452482E-3</v>
      </c>
      <c r="AO124" s="3"/>
      <c r="AP124">
        <v>0</v>
      </c>
      <c r="AR124" t="s">
        <v>0</v>
      </c>
      <c r="AT124" s="2">
        <v>3.1619999999999999</v>
      </c>
      <c r="AU124" s="1">
        <f t="shared" si="11"/>
        <v>2.7388484149730536</v>
      </c>
      <c r="AV124" s="1">
        <f t="shared" si="12"/>
        <v>2.0198784724249026</v>
      </c>
      <c r="AW124" s="1">
        <f t="shared" si="13"/>
        <v>1.3009085298767515</v>
      </c>
    </row>
    <row r="125" spans="1:49" x14ac:dyDescent="0.2">
      <c r="A125">
        <v>123</v>
      </c>
      <c r="B125" t="s">
        <v>9542</v>
      </c>
      <c r="C125" t="s">
        <v>9541</v>
      </c>
      <c r="F125" t="s">
        <v>9540</v>
      </c>
      <c r="G125" t="s">
        <v>14</v>
      </c>
      <c r="H125" t="s">
        <v>13</v>
      </c>
      <c r="I125" t="s">
        <v>9539</v>
      </c>
      <c r="J125">
        <v>60103678</v>
      </c>
      <c r="K125" t="s">
        <v>9538</v>
      </c>
      <c r="L125" t="s">
        <v>9537</v>
      </c>
      <c r="M125" t="s">
        <v>197</v>
      </c>
      <c r="N125">
        <v>2</v>
      </c>
      <c r="O125" t="s">
        <v>9536</v>
      </c>
      <c r="P125" t="s">
        <v>9535</v>
      </c>
      <c r="Q125" t="s">
        <v>9534</v>
      </c>
      <c r="R125" s="7">
        <v>32933</v>
      </c>
      <c r="S125" s="8">
        <f t="shared" ref="S125:S188" si="16">YEAR(R125)</f>
        <v>1990</v>
      </c>
      <c r="T125" s="8">
        <v>1990</v>
      </c>
      <c r="U125" s="8">
        <f t="shared" ref="U125:U188" si="17">2022-T125</f>
        <v>32</v>
      </c>
      <c r="V125" s="7">
        <v>32933</v>
      </c>
      <c r="W125" t="s">
        <v>9508</v>
      </c>
      <c r="X125" s="2" t="s">
        <v>126</v>
      </c>
      <c r="Y125" s="6" t="e">
        <f t="shared" si="14"/>
        <v>#VALUE!</v>
      </c>
      <c r="AA125">
        <v>144754</v>
      </c>
      <c r="AB125">
        <v>74305</v>
      </c>
      <c r="AC125">
        <v>14209071</v>
      </c>
      <c r="AD125" t="s">
        <v>5</v>
      </c>
      <c r="AE125">
        <v>46</v>
      </c>
      <c r="AF125">
        <v>3</v>
      </c>
      <c r="AH125" t="s">
        <v>9533</v>
      </c>
      <c r="AI125" t="s">
        <v>9532</v>
      </c>
      <c r="AJ125" t="s">
        <v>9531</v>
      </c>
      <c r="AK125" t="s">
        <v>9530</v>
      </c>
      <c r="AL125">
        <v>10</v>
      </c>
      <c r="AM125" s="5">
        <f t="shared" ref="AM125:AM188" si="18">AL125/U125</f>
        <v>0.3125</v>
      </c>
      <c r="AN125" s="4">
        <f t="shared" si="15"/>
        <v>4.7330556607345703E-4</v>
      </c>
      <c r="AO125" s="3"/>
      <c r="AP125">
        <v>0</v>
      </c>
      <c r="AR125" t="s">
        <v>0</v>
      </c>
      <c r="AT125" s="2" t="s">
        <v>126</v>
      </c>
      <c r="AU125" s="1" t="e">
        <f t="shared" ref="AU125:AU188" si="19">(Y125*0.7+AN125*0.3)*100</f>
        <v>#VALUE!</v>
      </c>
      <c r="AV125" s="1" t="e">
        <f t="shared" ref="AV125:AV188" si="20">(Y125*0.5+AN125*0.5)*100</f>
        <v>#VALUE!</v>
      </c>
      <c r="AW125" s="1" t="e">
        <f t="shared" ref="AW125:AW188" si="21">(Y125*0.3+AN125*0.7)*100</f>
        <v>#VALUE!</v>
      </c>
    </row>
    <row r="126" spans="1:49" x14ac:dyDescent="0.2">
      <c r="A126">
        <v>124</v>
      </c>
      <c r="B126" t="s">
        <v>9529</v>
      </c>
      <c r="C126" t="s">
        <v>9528</v>
      </c>
      <c r="E126">
        <v>2350541</v>
      </c>
      <c r="F126" t="s">
        <v>9527</v>
      </c>
      <c r="G126" t="s">
        <v>14</v>
      </c>
      <c r="H126" t="s">
        <v>13</v>
      </c>
      <c r="I126" t="s">
        <v>9526</v>
      </c>
      <c r="J126" t="s">
        <v>9525</v>
      </c>
      <c r="K126" t="s">
        <v>9524</v>
      </c>
      <c r="L126" t="s">
        <v>9523</v>
      </c>
      <c r="M126" t="s">
        <v>70</v>
      </c>
      <c r="N126">
        <v>4</v>
      </c>
      <c r="O126" t="s">
        <v>9522</v>
      </c>
      <c r="P126" t="s">
        <v>9521</v>
      </c>
      <c r="Q126" t="s">
        <v>9520</v>
      </c>
      <c r="R126" s="7">
        <v>32933</v>
      </c>
      <c r="S126" s="8">
        <f t="shared" si="16"/>
        <v>1990</v>
      </c>
      <c r="T126" s="8">
        <v>1990</v>
      </c>
      <c r="U126" s="8">
        <f t="shared" si="17"/>
        <v>32</v>
      </c>
      <c r="V126" s="7">
        <v>32933</v>
      </c>
      <c r="W126" t="s">
        <v>9519</v>
      </c>
      <c r="X126" s="2">
        <v>1.43</v>
      </c>
      <c r="Y126" s="6">
        <f t="shared" si="14"/>
        <v>3.8173033287952803E-2</v>
      </c>
      <c r="AA126">
        <v>62960</v>
      </c>
      <c r="AB126">
        <v>16867</v>
      </c>
      <c r="AC126">
        <v>15204995</v>
      </c>
      <c r="AD126" t="s">
        <v>5</v>
      </c>
      <c r="AE126">
        <v>29</v>
      </c>
      <c r="AF126">
        <v>18</v>
      </c>
      <c r="AH126" t="s">
        <v>9518</v>
      </c>
      <c r="AI126" t="s">
        <v>9517</v>
      </c>
      <c r="AK126" t="s">
        <v>9516</v>
      </c>
      <c r="AL126">
        <v>96</v>
      </c>
      <c r="AM126" s="5">
        <f t="shared" si="18"/>
        <v>3</v>
      </c>
      <c r="AN126" s="4">
        <f t="shared" si="15"/>
        <v>4.5437334343051876E-3</v>
      </c>
      <c r="AO126" s="3"/>
      <c r="AP126">
        <v>0</v>
      </c>
      <c r="AR126" t="s">
        <v>0</v>
      </c>
      <c r="AT126" s="2">
        <v>3.1619999999999999</v>
      </c>
      <c r="AU126" s="1">
        <f t="shared" si="19"/>
        <v>2.8084243331858518</v>
      </c>
      <c r="AV126" s="1">
        <f t="shared" si="20"/>
        <v>2.1358383361128999</v>
      </c>
      <c r="AW126" s="1">
        <f t="shared" si="21"/>
        <v>1.463252339039947</v>
      </c>
    </row>
    <row r="127" spans="1:49" x14ac:dyDescent="0.2">
      <c r="A127">
        <v>125</v>
      </c>
      <c r="B127" t="s">
        <v>9515</v>
      </c>
      <c r="C127" t="s">
        <v>9514</v>
      </c>
      <c r="F127" t="s">
        <v>9513</v>
      </c>
      <c r="G127" t="s">
        <v>14</v>
      </c>
      <c r="H127" t="s">
        <v>13</v>
      </c>
      <c r="I127" t="s">
        <v>9512</v>
      </c>
      <c r="J127">
        <v>60019722</v>
      </c>
      <c r="K127" t="s">
        <v>1077</v>
      </c>
      <c r="L127" t="s">
        <v>594</v>
      </c>
      <c r="M127" t="s">
        <v>135</v>
      </c>
      <c r="N127">
        <v>3</v>
      </c>
      <c r="O127" t="s">
        <v>9511</v>
      </c>
      <c r="P127" t="s">
        <v>9510</v>
      </c>
      <c r="Q127" t="s">
        <v>9509</v>
      </c>
      <c r="R127" s="7">
        <v>32933</v>
      </c>
      <c r="S127" s="8">
        <f t="shared" si="16"/>
        <v>1990</v>
      </c>
      <c r="T127" s="8">
        <v>1990</v>
      </c>
      <c r="U127" s="8">
        <f t="shared" si="17"/>
        <v>32</v>
      </c>
      <c r="V127" s="7">
        <v>32933</v>
      </c>
      <c r="W127" t="s">
        <v>9508</v>
      </c>
      <c r="X127" s="2" t="s">
        <v>126</v>
      </c>
      <c r="Y127" s="6" t="e">
        <f t="shared" si="14"/>
        <v>#VALUE!</v>
      </c>
      <c r="AA127">
        <v>144754</v>
      </c>
      <c r="AB127">
        <v>74305</v>
      </c>
      <c r="AC127">
        <v>14209071</v>
      </c>
      <c r="AD127" t="s">
        <v>5</v>
      </c>
      <c r="AE127">
        <v>46</v>
      </c>
      <c r="AF127">
        <v>3</v>
      </c>
      <c r="AH127" t="s">
        <v>9507</v>
      </c>
      <c r="AI127" t="s">
        <v>9506</v>
      </c>
      <c r="AJ127" t="s">
        <v>9505</v>
      </c>
      <c r="AK127" t="s">
        <v>9504</v>
      </c>
      <c r="AL127">
        <v>17</v>
      </c>
      <c r="AM127" s="5">
        <f t="shared" si="18"/>
        <v>0.53125</v>
      </c>
      <c r="AN127" s="4">
        <f t="shared" si="15"/>
        <v>8.0461946232487697E-4</v>
      </c>
      <c r="AO127" s="3"/>
      <c r="AP127">
        <v>0</v>
      </c>
      <c r="AR127" t="s">
        <v>0</v>
      </c>
      <c r="AT127" s="2" t="s">
        <v>126</v>
      </c>
      <c r="AU127" s="1" t="e">
        <f t="shared" si="19"/>
        <v>#VALUE!</v>
      </c>
      <c r="AV127" s="1" t="e">
        <f t="shared" si="20"/>
        <v>#VALUE!</v>
      </c>
      <c r="AW127" s="1" t="e">
        <f t="shared" si="21"/>
        <v>#VALUE!</v>
      </c>
    </row>
    <row r="128" spans="1:49" x14ac:dyDescent="0.2">
      <c r="A128">
        <v>126</v>
      </c>
      <c r="B128" t="s">
        <v>9503</v>
      </c>
      <c r="C128" t="s">
        <v>9502</v>
      </c>
      <c r="F128" t="s">
        <v>9501</v>
      </c>
      <c r="G128" t="s">
        <v>14</v>
      </c>
      <c r="H128" t="s">
        <v>13</v>
      </c>
      <c r="I128" t="s">
        <v>9500</v>
      </c>
      <c r="J128" t="s">
        <v>9499</v>
      </c>
      <c r="K128" t="s">
        <v>9498</v>
      </c>
      <c r="L128" t="s">
        <v>9497</v>
      </c>
      <c r="M128" t="s">
        <v>84</v>
      </c>
      <c r="N128">
        <v>2</v>
      </c>
      <c r="O128" t="s">
        <v>9496</v>
      </c>
      <c r="P128" t="s">
        <v>9495</v>
      </c>
      <c r="Q128" t="s">
        <v>9494</v>
      </c>
      <c r="R128" s="7">
        <v>32933</v>
      </c>
      <c r="S128" s="8">
        <f t="shared" si="16"/>
        <v>1990</v>
      </c>
      <c r="T128" s="8">
        <v>1990</v>
      </c>
      <c r="U128" s="8">
        <f t="shared" si="17"/>
        <v>32</v>
      </c>
      <c r="V128" s="7">
        <v>32933</v>
      </c>
      <c r="W128" t="s">
        <v>249</v>
      </c>
      <c r="X128" s="2">
        <v>0.53400000000000003</v>
      </c>
      <c r="Y128" s="6">
        <f t="shared" si="14"/>
        <v>1.4254825018018741E-2</v>
      </c>
      <c r="AA128">
        <v>8927553</v>
      </c>
      <c r="AB128">
        <v>20484</v>
      </c>
      <c r="AC128">
        <v>15728889</v>
      </c>
      <c r="AD128" t="s">
        <v>5</v>
      </c>
      <c r="AE128">
        <v>3</v>
      </c>
      <c r="AF128">
        <v>2</v>
      </c>
      <c r="AH128" t="s">
        <v>9493</v>
      </c>
      <c r="AI128" t="s">
        <v>9492</v>
      </c>
      <c r="AJ128" t="s">
        <v>9491</v>
      </c>
      <c r="AK128" t="s">
        <v>9490</v>
      </c>
      <c r="AL128">
        <v>14</v>
      </c>
      <c r="AM128" s="5">
        <f t="shared" si="18"/>
        <v>0.4375</v>
      </c>
      <c r="AN128" s="4">
        <f t="shared" si="15"/>
        <v>6.6262779250283988E-4</v>
      </c>
      <c r="AO128" s="3"/>
      <c r="AP128">
        <v>0</v>
      </c>
      <c r="AR128" t="s">
        <v>0</v>
      </c>
      <c r="AT128" s="2">
        <v>1.3089999999999999</v>
      </c>
      <c r="AU128" s="1">
        <f t="shared" si="19"/>
        <v>1.0177165850363969</v>
      </c>
      <c r="AV128" s="1">
        <f t="shared" si="20"/>
        <v>0.74587264052607904</v>
      </c>
      <c r="AW128" s="1">
        <f t="shared" si="21"/>
        <v>0.47402869601576092</v>
      </c>
    </row>
    <row r="129" spans="1:49" x14ac:dyDescent="0.2">
      <c r="A129">
        <v>127</v>
      </c>
      <c r="B129" t="s">
        <v>9489</v>
      </c>
      <c r="C129" t="s">
        <v>9488</v>
      </c>
      <c r="F129" t="s">
        <v>9487</v>
      </c>
      <c r="G129" t="s">
        <v>14</v>
      </c>
      <c r="H129" t="s">
        <v>13</v>
      </c>
      <c r="I129" t="s">
        <v>9486</v>
      </c>
      <c r="J129">
        <v>60024997</v>
      </c>
      <c r="K129" t="s">
        <v>9485</v>
      </c>
      <c r="L129" t="s">
        <v>9484</v>
      </c>
      <c r="M129" t="s">
        <v>197</v>
      </c>
      <c r="N129">
        <v>2</v>
      </c>
      <c r="O129" t="s">
        <v>9483</v>
      </c>
      <c r="P129" t="s">
        <v>9482</v>
      </c>
      <c r="Q129" t="s">
        <v>9481</v>
      </c>
      <c r="R129" s="7">
        <v>32933</v>
      </c>
      <c r="S129" s="8">
        <f t="shared" si="16"/>
        <v>1990</v>
      </c>
      <c r="T129" s="8">
        <v>1990</v>
      </c>
      <c r="U129" s="8">
        <f t="shared" si="17"/>
        <v>32</v>
      </c>
      <c r="V129" s="7">
        <v>32933</v>
      </c>
      <c r="W129" t="s">
        <v>9480</v>
      </c>
      <c r="X129" s="2">
        <v>0.85499999999999998</v>
      </c>
      <c r="Y129" s="6">
        <f t="shared" si="14"/>
        <v>2.28237366861536E-2</v>
      </c>
      <c r="AA129">
        <v>980331</v>
      </c>
      <c r="AB129">
        <v>23342</v>
      </c>
      <c r="AC129">
        <v>15731561</v>
      </c>
      <c r="AD129" t="s">
        <v>5</v>
      </c>
      <c r="AE129">
        <v>16</v>
      </c>
      <c r="AF129">
        <v>3</v>
      </c>
      <c r="AH129" t="s">
        <v>9479</v>
      </c>
      <c r="AI129" t="s">
        <v>9478</v>
      </c>
      <c r="AJ129" t="s">
        <v>9477</v>
      </c>
      <c r="AK129" t="s">
        <v>9476</v>
      </c>
      <c r="AL129">
        <v>10</v>
      </c>
      <c r="AM129" s="5">
        <f t="shared" si="18"/>
        <v>0.3125</v>
      </c>
      <c r="AN129" s="4">
        <f t="shared" si="15"/>
        <v>4.7330556607345703E-4</v>
      </c>
      <c r="AO129" s="3"/>
      <c r="AP129">
        <v>0</v>
      </c>
      <c r="AR129" t="s">
        <v>0</v>
      </c>
      <c r="AT129" s="2">
        <v>2.6259999999999999</v>
      </c>
      <c r="AU129" s="1">
        <f t="shared" si="19"/>
        <v>1.6118607350129555</v>
      </c>
      <c r="AV129" s="1">
        <f t="shared" si="20"/>
        <v>1.1648521126113527</v>
      </c>
      <c r="AW129" s="1">
        <f t="shared" si="21"/>
        <v>0.71784349020975002</v>
      </c>
    </row>
    <row r="130" spans="1:49" x14ac:dyDescent="0.2">
      <c r="A130">
        <v>128</v>
      </c>
      <c r="B130" t="s">
        <v>9475</v>
      </c>
      <c r="C130" t="s">
        <v>9474</v>
      </c>
      <c r="F130" t="s">
        <v>9473</v>
      </c>
      <c r="G130" t="s">
        <v>14</v>
      </c>
      <c r="H130" t="s">
        <v>13</v>
      </c>
      <c r="I130" t="s">
        <v>9472</v>
      </c>
      <c r="J130">
        <v>60119141</v>
      </c>
      <c r="K130" t="s">
        <v>9471</v>
      </c>
      <c r="L130" t="s">
        <v>9470</v>
      </c>
      <c r="M130" t="s">
        <v>197</v>
      </c>
      <c r="N130">
        <v>2</v>
      </c>
      <c r="O130" t="s">
        <v>9469</v>
      </c>
      <c r="P130" t="s">
        <v>9468</v>
      </c>
      <c r="Q130" t="s">
        <v>9467</v>
      </c>
      <c r="R130" s="7">
        <v>32933</v>
      </c>
      <c r="S130" s="8">
        <f t="shared" si="16"/>
        <v>1990</v>
      </c>
      <c r="T130" s="8">
        <v>1990</v>
      </c>
      <c r="U130" s="8">
        <f t="shared" si="17"/>
        <v>32</v>
      </c>
      <c r="V130" s="7">
        <v>32933</v>
      </c>
      <c r="W130" t="s">
        <v>9455</v>
      </c>
      <c r="X130" s="2">
        <v>1.1579999999999999</v>
      </c>
      <c r="Y130" s="6">
        <f t="shared" ref="Y130:Y193" si="22">(X130-$Z$4)/($Z$3-$Z$4)</f>
        <v>3.0912148634579962E-2</v>
      </c>
      <c r="AA130">
        <v>1668595</v>
      </c>
      <c r="AB130">
        <v>14223</v>
      </c>
      <c r="AC130">
        <v>15735079</v>
      </c>
      <c r="AD130" t="s">
        <v>5</v>
      </c>
      <c r="AE130">
        <v>23</v>
      </c>
      <c r="AF130">
        <v>3</v>
      </c>
      <c r="AH130" t="s">
        <v>2327</v>
      </c>
      <c r="AI130" t="s">
        <v>9466</v>
      </c>
      <c r="AJ130" t="s">
        <v>9465</v>
      </c>
      <c r="AK130" t="s">
        <v>9464</v>
      </c>
      <c r="AL130">
        <v>7</v>
      </c>
      <c r="AM130" s="5">
        <f t="shared" si="18"/>
        <v>0.21875</v>
      </c>
      <c r="AN130" s="4">
        <f t="shared" ref="AN130:AN193" si="23">(AM130-$AO$4)/($AO$3-$AO$4)</f>
        <v>3.3131389625141994E-4</v>
      </c>
      <c r="AO130" s="3"/>
      <c r="AP130">
        <v>0</v>
      </c>
      <c r="AR130" t="s">
        <v>0</v>
      </c>
      <c r="AT130" s="2">
        <v>3.573</v>
      </c>
      <c r="AU130" s="1">
        <f t="shared" si="19"/>
        <v>2.1737898213081399</v>
      </c>
      <c r="AV130" s="1">
        <f t="shared" si="20"/>
        <v>1.562173126541569</v>
      </c>
      <c r="AW130" s="1">
        <f t="shared" si="21"/>
        <v>0.95055643177499816</v>
      </c>
    </row>
    <row r="131" spans="1:49" x14ac:dyDescent="0.2">
      <c r="A131">
        <v>129</v>
      </c>
      <c r="B131" t="s">
        <v>9463</v>
      </c>
      <c r="C131" t="s">
        <v>9462</v>
      </c>
      <c r="F131" t="s">
        <v>9461</v>
      </c>
      <c r="G131" t="s">
        <v>14</v>
      </c>
      <c r="H131" t="s">
        <v>13</v>
      </c>
      <c r="I131" t="s">
        <v>9460</v>
      </c>
      <c r="J131">
        <v>60008134</v>
      </c>
      <c r="K131" t="s">
        <v>9459</v>
      </c>
      <c r="L131" t="s">
        <v>8335</v>
      </c>
      <c r="M131" t="s">
        <v>1637</v>
      </c>
      <c r="N131">
        <v>3</v>
      </c>
      <c r="O131" t="s">
        <v>9458</v>
      </c>
      <c r="P131" t="s">
        <v>9457</v>
      </c>
      <c r="Q131" t="s">
        <v>9456</v>
      </c>
      <c r="R131" s="7">
        <v>32933</v>
      </c>
      <c r="S131" s="8">
        <f t="shared" si="16"/>
        <v>1990</v>
      </c>
      <c r="T131" s="8">
        <v>1990</v>
      </c>
      <c r="U131" s="8">
        <f t="shared" si="17"/>
        <v>32</v>
      </c>
      <c r="V131" s="7">
        <v>32933</v>
      </c>
      <c r="W131" t="s">
        <v>9455</v>
      </c>
      <c r="X131" s="2">
        <v>1.1579999999999999</v>
      </c>
      <c r="Y131" s="6">
        <f t="shared" si="22"/>
        <v>3.0912148634579962E-2</v>
      </c>
      <c r="AA131">
        <v>1668595</v>
      </c>
      <c r="AB131">
        <v>14223</v>
      </c>
      <c r="AC131">
        <v>15735079</v>
      </c>
      <c r="AD131" t="s">
        <v>5</v>
      </c>
      <c r="AE131">
        <v>23</v>
      </c>
      <c r="AF131">
        <v>3</v>
      </c>
      <c r="AH131" t="s">
        <v>9454</v>
      </c>
      <c r="AI131" t="s">
        <v>9453</v>
      </c>
      <c r="AJ131" t="s">
        <v>9452</v>
      </c>
      <c r="AK131" t="s">
        <v>9451</v>
      </c>
      <c r="AL131">
        <v>29</v>
      </c>
      <c r="AM131" s="5">
        <f t="shared" si="18"/>
        <v>0.90625</v>
      </c>
      <c r="AN131" s="4">
        <f t="shared" si="23"/>
        <v>1.3725861416130254E-3</v>
      </c>
      <c r="AO131" s="3"/>
      <c r="AP131">
        <v>0</v>
      </c>
      <c r="AR131" t="s">
        <v>0</v>
      </c>
      <c r="AT131" s="2">
        <v>3.573</v>
      </c>
      <c r="AU131" s="1">
        <f t="shared" si="19"/>
        <v>2.2050279886689879</v>
      </c>
      <c r="AV131" s="1">
        <f t="shared" si="20"/>
        <v>1.6142367388096495</v>
      </c>
      <c r="AW131" s="1">
        <f t="shared" si="21"/>
        <v>1.0234454889503106</v>
      </c>
    </row>
    <row r="132" spans="1:49" x14ac:dyDescent="0.2">
      <c r="A132">
        <v>130</v>
      </c>
      <c r="B132" t="s">
        <v>9450</v>
      </c>
      <c r="C132" t="s">
        <v>9449</v>
      </c>
      <c r="F132" t="s">
        <v>9448</v>
      </c>
      <c r="G132" t="s">
        <v>14</v>
      </c>
      <c r="H132" t="s">
        <v>13</v>
      </c>
      <c r="I132" t="s">
        <v>7764</v>
      </c>
      <c r="J132">
        <v>60012689</v>
      </c>
      <c r="K132" t="s">
        <v>9447</v>
      </c>
      <c r="L132" t="s">
        <v>9446</v>
      </c>
      <c r="M132" t="s">
        <v>135</v>
      </c>
      <c r="N132">
        <v>5</v>
      </c>
      <c r="O132" t="s">
        <v>9445</v>
      </c>
      <c r="P132" t="s">
        <v>9444</v>
      </c>
      <c r="Q132" t="s">
        <v>9443</v>
      </c>
      <c r="R132" s="7">
        <v>32933</v>
      </c>
      <c r="S132" s="8">
        <f t="shared" si="16"/>
        <v>1990</v>
      </c>
      <c r="T132" s="8">
        <v>1990</v>
      </c>
      <c r="U132" s="8">
        <f t="shared" si="17"/>
        <v>32</v>
      </c>
      <c r="V132" s="7">
        <v>32933</v>
      </c>
      <c r="W132" t="s">
        <v>9442</v>
      </c>
      <c r="X132" s="2">
        <v>1.2529999999999999</v>
      </c>
      <c r="Y132" s="6">
        <f t="shared" si="22"/>
        <v>3.3448119377485916E-2</v>
      </c>
      <c r="AA132">
        <v>320935</v>
      </c>
      <c r="AB132">
        <v>16646</v>
      </c>
      <c r="AC132">
        <v>14322048</v>
      </c>
      <c r="AD132" t="s">
        <v>5</v>
      </c>
      <c r="AE132">
        <v>180</v>
      </c>
      <c r="AF132">
        <v>4</v>
      </c>
      <c r="AH132" t="s">
        <v>9441</v>
      </c>
      <c r="AI132" t="s">
        <v>9440</v>
      </c>
      <c r="AJ132" t="s">
        <v>9439</v>
      </c>
      <c r="AK132" t="s">
        <v>9438</v>
      </c>
      <c r="AL132">
        <v>85</v>
      </c>
      <c r="AM132" s="5">
        <f t="shared" si="18"/>
        <v>2.65625</v>
      </c>
      <c r="AN132" s="4">
        <f t="shared" si="23"/>
        <v>4.0230973116243849E-3</v>
      </c>
      <c r="AO132" s="3"/>
      <c r="AP132">
        <v>0</v>
      </c>
      <c r="AR132" t="s">
        <v>0</v>
      </c>
      <c r="AT132" s="2">
        <v>4.1159999999999997</v>
      </c>
      <c r="AU132" s="1">
        <f t="shared" si="19"/>
        <v>2.4620612757727454</v>
      </c>
      <c r="AV132" s="1">
        <f t="shared" si="20"/>
        <v>1.8735608344555148</v>
      </c>
      <c r="AW132" s="1">
        <f t="shared" si="21"/>
        <v>1.2850603931382842</v>
      </c>
    </row>
    <row r="133" spans="1:49" x14ac:dyDescent="0.2">
      <c r="A133">
        <v>131</v>
      </c>
      <c r="B133" t="s">
        <v>9437</v>
      </c>
      <c r="C133" t="s">
        <v>9436</v>
      </c>
      <c r="D133" t="s">
        <v>9435</v>
      </c>
      <c r="E133">
        <v>2105847</v>
      </c>
      <c r="F133" t="s">
        <v>9434</v>
      </c>
      <c r="G133" t="s">
        <v>14</v>
      </c>
      <c r="H133" t="s">
        <v>13</v>
      </c>
      <c r="I133" t="s">
        <v>9433</v>
      </c>
      <c r="J133">
        <v>60032838</v>
      </c>
      <c r="K133" t="s">
        <v>9432</v>
      </c>
      <c r="L133" t="s">
        <v>9431</v>
      </c>
      <c r="M133" t="s">
        <v>197</v>
      </c>
      <c r="N133">
        <v>2</v>
      </c>
      <c r="O133" t="s">
        <v>9430</v>
      </c>
      <c r="P133" t="s">
        <v>9429</v>
      </c>
      <c r="Q133" t="s">
        <v>9428</v>
      </c>
      <c r="R133" s="7">
        <v>32927</v>
      </c>
      <c r="S133" s="8">
        <f t="shared" si="16"/>
        <v>1990</v>
      </c>
      <c r="T133" s="8">
        <v>1990</v>
      </c>
      <c r="U133" s="8">
        <f t="shared" si="17"/>
        <v>32</v>
      </c>
      <c r="V133" s="7">
        <v>32927</v>
      </c>
      <c r="W133" t="s">
        <v>9427</v>
      </c>
      <c r="X133" s="2">
        <v>26.303999999999998</v>
      </c>
      <c r="Y133" s="6">
        <f t="shared" si="22"/>
        <v>0.70217025706735003</v>
      </c>
      <c r="AA133">
        <v>928674</v>
      </c>
      <c r="AB133">
        <v>18434</v>
      </c>
      <c r="AD133" t="s">
        <v>5</v>
      </c>
      <c r="AE133">
        <v>60</v>
      </c>
      <c r="AF133">
        <v>4</v>
      </c>
      <c r="AH133" t="s">
        <v>9426</v>
      </c>
      <c r="AI133" t="s">
        <v>9425</v>
      </c>
      <c r="AK133" t="s">
        <v>9424</v>
      </c>
      <c r="AL133">
        <v>188</v>
      </c>
      <c r="AM133" s="5">
        <f t="shared" si="18"/>
        <v>5.875</v>
      </c>
      <c r="AN133" s="4">
        <f t="shared" si="23"/>
        <v>8.8981446421809926E-3</v>
      </c>
      <c r="AO133" s="3"/>
      <c r="AP133">
        <v>0</v>
      </c>
      <c r="AQ133" t="s">
        <v>1425</v>
      </c>
      <c r="AR133" t="s">
        <v>0</v>
      </c>
      <c r="AS133" t="s">
        <v>1423</v>
      </c>
      <c r="AT133" s="2">
        <v>41.582000000000001</v>
      </c>
      <c r="AU133" s="1">
        <f t="shared" si="19"/>
        <v>49.418862333979931</v>
      </c>
      <c r="AV133" s="1">
        <f t="shared" si="20"/>
        <v>35.553420085476553</v>
      </c>
      <c r="AW133" s="1">
        <f t="shared" si="21"/>
        <v>21.687977836973172</v>
      </c>
    </row>
    <row r="134" spans="1:49" x14ac:dyDescent="0.2">
      <c r="A134">
        <v>132</v>
      </c>
      <c r="B134" t="s">
        <v>9423</v>
      </c>
      <c r="C134" t="s">
        <v>9422</v>
      </c>
      <c r="D134" t="s">
        <v>9421</v>
      </c>
      <c r="E134">
        <v>11536463</v>
      </c>
      <c r="F134" t="s">
        <v>9420</v>
      </c>
      <c r="G134" t="s">
        <v>14</v>
      </c>
      <c r="H134" t="s">
        <v>13</v>
      </c>
      <c r="I134" t="s">
        <v>4555</v>
      </c>
      <c r="J134">
        <v>60003892</v>
      </c>
      <c r="K134" t="s">
        <v>9419</v>
      </c>
      <c r="L134" t="s">
        <v>9418</v>
      </c>
      <c r="M134" t="s">
        <v>197</v>
      </c>
      <c r="N134">
        <v>3</v>
      </c>
      <c r="O134" t="s">
        <v>9417</v>
      </c>
      <c r="P134" t="s">
        <v>9416</v>
      </c>
      <c r="Q134" t="s">
        <v>9415</v>
      </c>
      <c r="R134" s="7">
        <v>32926</v>
      </c>
      <c r="S134" s="8">
        <f t="shared" si="16"/>
        <v>1990</v>
      </c>
      <c r="T134" s="8">
        <v>1990</v>
      </c>
      <c r="U134" s="8">
        <f t="shared" si="17"/>
        <v>32</v>
      </c>
      <c r="V134" s="7">
        <v>32926</v>
      </c>
      <c r="W134" t="s">
        <v>9100</v>
      </c>
      <c r="X134" s="2">
        <v>1.59</v>
      </c>
      <c r="Y134" s="6">
        <f t="shared" si="22"/>
        <v>4.2444141907583888E-2</v>
      </c>
      <c r="AA134">
        <v>52728</v>
      </c>
      <c r="AB134">
        <v>16791</v>
      </c>
      <c r="AD134" t="s">
        <v>5</v>
      </c>
      <c r="AE134">
        <v>1015</v>
      </c>
      <c r="AF134">
        <v>3</v>
      </c>
      <c r="AH134" t="s">
        <v>9414</v>
      </c>
      <c r="AI134" t="s">
        <v>9413</v>
      </c>
      <c r="AJ134" t="s">
        <v>9412</v>
      </c>
      <c r="AK134" t="s">
        <v>9411</v>
      </c>
      <c r="AL134">
        <v>64</v>
      </c>
      <c r="AM134" s="5">
        <f t="shared" si="18"/>
        <v>2</v>
      </c>
      <c r="AN134" s="4">
        <f t="shared" si="23"/>
        <v>3.0291556228701248E-3</v>
      </c>
      <c r="AO134" s="3"/>
      <c r="AP134">
        <v>0</v>
      </c>
      <c r="AQ134" t="s">
        <v>3028</v>
      </c>
      <c r="AR134" t="s">
        <v>9410</v>
      </c>
      <c r="AS134" t="s">
        <v>3026</v>
      </c>
      <c r="AT134" s="2" t="s">
        <v>126</v>
      </c>
      <c r="AU134" s="1">
        <f t="shared" si="19"/>
        <v>3.061964602216976</v>
      </c>
      <c r="AV134" s="1">
        <f t="shared" si="20"/>
        <v>2.2736648765227003</v>
      </c>
      <c r="AW134" s="1">
        <f t="shared" si="21"/>
        <v>1.4853651508284251</v>
      </c>
    </row>
    <row r="135" spans="1:49" x14ac:dyDescent="0.2">
      <c r="A135">
        <v>133</v>
      </c>
      <c r="B135" t="s">
        <v>9409</v>
      </c>
      <c r="C135" t="s">
        <v>9408</v>
      </c>
      <c r="D135" t="s">
        <v>9407</v>
      </c>
      <c r="F135" t="s">
        <v>9406</v>
      </c>
      <c r="G135" t="s">
        <v>14</v>
      </c>
      <c r="H135" t="s">
        <v>13</v>
      </c>
      <c r="I135" t="s">
        <v>9405</v>
      </c>
      <c r="J135">
        <v>60003878</v>
      </c>
      <c r="K135" t="s">
        <v>9348</v>
      </c>
      <c r="L135" t="s">
        <v>2146</v>
      </c>
      <c r="M135" t="s">
        <v>223</v>
      </c>
      <c r="N135">
        <v>1</v>
      </c>
      <c r="O135" t="s">
        <v>9404</v>
      </c>
      <c r="P135">
        <v>7402920758</v>
      </c>
      <c r="Q135">
        <v>60003878</v>
      </c>
      <c r="R135" s="7">
        <v>32926</v>
      </c>
      <c r="S135" s="8">
        <f t="shared" si="16"/>
        <v>1990</v>
      </c>
      <c r="T135" s="8">
        <v>1990</v>
      </c>
      <c r="U135" s="8">
        <f t="shared" si="17"/>
        <v>32</v>
      </c>
      <c r="V135" s="7">
        <v>32926</v>
      </c>
      <c r="W135" t="s">
        <v>9100</v>
      </c>
      <c r="X135" s="2">
        <v>1.59</v>
      </c>
      <c r="Y135" s="6">
        <f t="shared" si="22"/>
        <v>4.2444141907583888E-2</v>
      </c>
      <c r="AA135">
        <v>52728</v>
      </c>
      <c r="AB135">
        <v>16791</v>
      </c>
      <c r="AD135" t="s">
        <v>5</v>
      </c>
      <c r="AE135">
        <v>1015</v>
      </c>
      <c r="AF135">
        <v>3</v>
      </c>
      <c r="AH135" t="s">
        <v>9403</v>
      </c>
      <c r="AI135" t="s">
        <v>9402</v>
      </c>
      <c r="AJ135" t="s">
        <v>9401</v>
      </c>
      <c r="AK135" t="s">
        <v>9400</v>
      </c>
      <c r="AL135">
        <v>20</v>
      </c>
      <c r="AM135" s="5">
        <f t="shared" si="18"/>
        <v>0.625</v>
      </c>
      <c r="AN135" s="4">
        <f t="shared" si="23"/>
        <v>9.4661113214691405E-4</v>
      </c>
      <c r="AO135" s="3"/>
      <c r="AP135">
        <v>0</v>
      </c>
      <c r="AR135" t="s">
        <v>9399</v>
      </c>
      <c r="AS135" t="s">
        <v>9339</v>
      </c>
      <c r="AT135" s="2" t="s">
        <v>126</v>
      </c>
      <c r="AU135" s="1">
        <f t="shared" si="19"/>
        <v>2.9994882674952796</v>
      </c>
      <c r="AV135" s="1">
        <f t="shared" si="20"/>
        <v>2.1695376519865399</v>
      </c>
      <c r="AW135" s="1">
        <f t="shared" si="21"/>
        <v>1.3395870364778006</v>
      </c>
    </row>
    <row r="136" spans="1:49" x14ac:dyDescent="0.2">
      <c r="A136">
        <v>134</v>
      </c>
      <c r="B136" t="s">
        <v>9398</v>
      </c>
      <c r="C136" t="s">
        <v>9397</v>
      </c>
      <c r="D136" t="s">
        <v>9396</v>
      </c>
      <c r="F136" t="s">
        <v>9395</v>
      </c>
      <c r="G136" t="s">
        <v>14</v>
      </c>
      <c r="H136" t="s">
        <v>13</v>
      </c>
      <c r="I136" t="s">
        <v>9394</v>
      </c>
      <c r="J136" t="s">
        <v>9393</v>
      </c>
      <c r="K136" t="s">
        <v>9392</v>
      </c>
      <c r="L136" t="s">
        <v>8956</v>
      </c>
      <c r="M136" t="s">
        <v>2774</v>
      </c>
      <c r="N136">
        <v>4</v>
      </c>
      <c r="O136" t="s">
        <v>9391</v>
      </c>
      <c r="P136" t="s">
        <v>9390</v>
      </c>
      <c r="Q136" t="s">
        <v>9389</v>
      </c>
      <c r="R136" s="7">
        <v>32926</v>
      </c>
      <c r="S136" s="8">
        <f t="shared" si="16"/>
        <v>1990</v>
      </c>
      <c r="T136" s="8">
        <v>1990</v>
      </c>
      <c r="U136" s="8">
        <f t="shared" si="17"/>
        <v>32</v>
      </c>
      <c r="V136" s="7">
        <v>32926</v>
      </c>
      <c r="W136" t="s">
        <v>9100</v>
      </c>
      <c r="X136" s="2">
        <v>1.59</v>
      </c>
      <c r="Y136" s="6">
        <f t="shared" si="22"/>
        <v>4.2444141907583888E-2</v>
      </c>
      <c r="AA136">
        <v>52728</v>
      </c>
      <c r="AB136">
        <v>16791</v>
      </c>
      <c r="AD136" t="s">
        <v>5</v>
      </c>
      <c r="AE136">
        <v>1015</v>
      </c>
      <c r="AF136">
        <v>3</v>
      </c>
      <c r="AH136" t="s">
        <v>9388</v>
      </c>
      <c r="AI136" t="s">
        <v>9387</v>
      </c>
      <c r="AJ136" t="s">
        <v>9386</v>
      </c>
      <c r="AK136" t="s">
        <v>9385</v>
      </c>
      <c r="AL136">
        <v>85</v>
      </c>
      <c r="AM136" s="5">
        <f t="shared" si="18"/>
        <v>2.65625</v>
      </c>
      <c r="AN136" s="4">
        <f t="shared" si="23"/>
        <v>4.0230973116243849E-3</v>
      </c>
      <c r="AO136" s="3"/>
      <c r="AP136">
        <v>0</v>
      </c>
      <c r="AR136" t="s">
        <v>9384</v>
      </c>
      <c r="AT136" s="2" t="s">
        <v>126</v>
      </c>
      <c r="AU136" s="1">
        <f t="shared" si="19"/>
        <v>3.0917828528796036</v>
      </c>
      <c r="AV136" s="1">
        <f t="shared" si="20"/>
        <v>2.3233619609604137</v>
      </c>
      <c r="AW136" s="1">
        <f t="shared" si="21"/>
        <v>1.5549410690412233</v>
      </c>
    </row>
    <row r="137" spans="1:49" x14ac:dyDescent="0.2">
      <c r="A137">
        <v>135</v>
      </c>
      <c r="B137" t="s">
        <v>9383</v>
      </c>
      <c r="C137" t="s">
        <v>9382</v>
      </c>
      <c r="D137" t="s">
        <v>9381</v>
      </c>
      <c r="F137" t="s">
        <v>9380</v>
      </c>
      <c r="G137" t="s">
        <v>14</v>
      </c>
      <c r="H137" t="s">
        <v>13</v>
      </c>
      <c r="I137" t="s">
        <v>9379</v>
      </c>
      <c r="J137">
        <v>100424741</v>
      </c>
      <c r="K137" t="s">
        <v>9378</v>
      </c>
      <c r="L137" t="s">
        <v>9377</v>
      </c>
      <c r="M137" t="s">
        <v>197</v>
      </c>
      <c r="N137">
        <v>1</v>
      </c>
      <c r="O137" t="s">
        <v>9376</v>
      </c>
      <c r="P137">
        <v>57225390749</v>
      </c>
      <c r="Q137">
        <v>100424741</v>
      </c>
      <c r="R137" s="7">
        <v>32912</v>
      </c>
      <c r="S137" s="8">
        <f t="shared" si="16"/>
        <v>1990</v>
      </c>
      <c r="T137" s="8">
        <v>1990</v>
      </c>
      <c r="U137" s="8">
        <f t="shared" si="17"/>
        <v>32</v>
      </c>
      <c r="V137" s="7">
        <v>32912</v>
      </c>
      <c r="W137" t="s">
        <v>9375</v>
      </c>
      <c r="X137" s="2">
        <v>1.3149999999999999</v>
      </c>
      <c r="Y137" s="6">
        <f t="shared" si="22"/>
        <v>3.5103173967592965E-2</v>
      </c>
      <c r="AA137" t="s">
        <v>9374</v>
      </c>
      <c r="AB137">
        <v>13030</v>
      </c>
      <c r="AC137">
        <v>10958568</v>
      </c>
      <c r="AD137" t="s">
        <v>5</v>
      </c>
      <c r="AE137">
        <v>136</v>
      </c>
      <c r="AF137">
        <v>3</v>
      </c>
      <c r="AH137" t="s">
        <v>9373</v>
      </c>
      <c r="AI137" t="s">
        <v>9372</v>
      </c>
      <c r="AK137" t="s">
        <v>9371</v>
      </c>
      <c r="AL137">
        <v>0</v>
      </c>
      <c r="AM137" s="5">
        <f t="shared" si="18"/>
        <v>0</v>
      </c>
      <c r="AN137" s="4">
        <f t="shared" si="23"/>
        <v>0</v>
      </c>
      <c r="AO137" s="3"/>
      <c r="AP137">
        <v>0</v>
      </c>
      <c r="AQ137" t="s">
        <v>3470</v>
      </c>
      <c r="AR137" t="s">
        <v>9370</v>
      </c>
      <c r="AS137" t="s">
        <v>9369</v>
      </c>
      <c r="AT137" s="2">
        <v>3.6549999999999998</v>
      </c>
      <c r="AU137" s="1">
        <f t="shared" si="19"/>
        <v>2.4572221777315075</v>
      </c>
      <c r="AV137" s="1">
        <f t="shared" si="20"/>
        <v>1.7551586983796483</v>
      </c>
      <c r="AW137" s="1">
        <f t="shared" si="21"/>
        <v>1.0530952190277889</v>
      </c>
    </row>
    <row r="138" spans="1:49" x14ac:dyDescent="0.2">
      <c r="A138">
        <v>136</v>
      </c>
      <c r="B138" t="s">
        <v>9368</v>
      </c>
      <c r="C138" t="s">
        <v>9367</v>
      </c>
      <c r="D138">
        <v>5272890900342</v>
      </c>
      <c r="F138" t="s">
        <v>9366</v>
      </c>
      <c r="G138" t="s">
        <v>14</v>
      </c>
      <c r="H138" t="s">
        <v>13</v>
      </c>
      <c r="I138" t="s">
        <v>9365</v>
      </c>
      <c r="J138" t="s">
        <v>9364</v>
      </c>
      <c r="K138" t="s">
        <v>9363</v>
      </c>
      <c r="L138" t="s">
        <v>9362</v>
      </c>
      <c r="M138" t="s">
        <v>9361</v>
      </c>
      <c r="N138">
        <v>6</v>
      </c>
      <c r="O138" t="s">
        <v>9360</v>
      </c>
      <c r="P138" t="s">
        <v>9359</v>
      </c>
      <c r="Q138" t="s">
        <v>9358</v>
      </c>
      <c r="R138" s="7">
        <v>32906</v>
      </c>
      <c r="S138" s="8">
        <f t="shared" si="16"/>
        <v>1990</v>
      </c>
      <c r="T138" s="8">
        <v>1990</v>
      </c>
      <c r="U138" s="8">
        <f t="shared" si="17"/>
        <v>32</v>
      </c>
      <c r="V138" s="7">
        <v>32906</v>
      </c>
      <c r="W138" t="s">
        <v>9100</v>
      </c>
      <c r="X138" s="2">
        <v>1.59</v>
      </c>
      <c r="Y138" s="6">
        <f t="shared" si="22"/>
        <v>4.2444141907583888E-2</v>
      </c>
      <c r="AA138">
        <v>52728</v>
      </c>
      <c r="AB138">
        <v>16791</v>
      </c>
      <c r="AD138" t="s">
        <v>5</v>
      </c>
      <c r="AE138">
        <v>1015</v>
      </c>
      <c r="AF138">
        <v>2</v>
      </c>
      <c r="AH138" t="s">
        <v>9357</v>
      </c>
      <c r="AI138" t="s">
        <v>9356</v>
      </c>
      <c r="AJ138" t="s">
        <v>9355</v>
      </c>
      <c r="AK138" t="s">
        <v>9354</v>
      </c>
      <c r="AL138">
        <v>17</v>
      </c>
      <c r="AM138" s="5">
        <f t="shared" si="18"/>
        <v>0.53125</v>
      </c>
      <c r="AN138" s="4">
        <f t="shared" si="23"/>
        <v>8.0461946232487697E-4</v>
      </c>
      <c r="AO138" s="3"/>
      <c r="AP138">
        <v>0</v>
      </c>
      <c r="AQ138" t="s">
        <v>1100</v>
      </c>
      <c r="AR138" t="s">
        <v>9328</v>
      </c>
      <c r="AS138" t="s">
        <v>1098</v>
      </c>
      <c r="AT138" s="2" t="s">
        <v>126</v>
      </c>
      <c r="AU138" s="1">
        <f t="shared" si="19"/>
        <v>2.9952285174006184</v>
      </c>
      <c r="AV138" s="1">
        <f t="shared" si="20"/>
        <v>2.1624380684954385</v>
      </c>
      <c r="AW138" s="1">
        <f t="shared" si="21"/>
        <v>1.3296476195902578</v>
      </c>
    </row>
    <row r="139" spans="1:49" x14ac:dyDescent="0.2">
      <c r="A139">
        <v>137</v>
      </c>
      <c r="B139" t="s">
        <v>9353</v>
      </c>
      <c r="C139" t="s">
        <v>9352</v>
      </c>
      <c r="D139" t="s">
        <v>9351</v>
      </c>
      <c r="F139" t="s">
        <v>9350</v>
      </c>
      <c r="G139" t="s">
        <v>14</v>
      </c>
      <c r="H139" t="s">
        <v>13</v>
      </c>
      <c r="I139" t="s">
        <v>9349</v>
      </c>
      <c r="J139">
        <v>60003878</v>
      </c>
      <c r="K139" t="s">
        <v>9348</v>
      </c>
      <c r="L139" t="s">
        <v>2146</v>
      </c>
      <c r="M139" t="s">
        <v>223</v>
      </c>
      <c r="N139">
        <v>3</v>
      </c>
      <c r="O139" t="s">
        <v>9347</v>
      </c>
      <c r="P139" t="s">
        <v>9346</v>
      </c>
      <c r="Q139" t="s">
        <v>9345</v>
      </c>
      <c r="R139" s="7">
        <v>32906</v>
      </c>
      <c r="S139" s="8">
        <f t="shared" si="16"/>
        <v>1990</v>
      </c>
      <c r="T139" s="8">
        <v>1990</v>
      </c>
      <c r="U139" s="8">
        <f t="shared" si="17"/>
        <v>32</v>
      </c>
      <c r="V139" s="7">
        <v>32906</v>
      </c>
      <c r="W139" t="s">
        <v>9100</v>
      </c>
      <c r="X139" s="2">
        <v>1.59</v>
      </c>
      <c r="Y139" s="6">
        <f t="shared" si="22"/>
        <v>4.2444141907583888E-2</v>
      </c>
      <c r="AA139">
        <v>52728</v>
      </c>
      <c r="AB139">
        <v>16791</v>
      </c>
      <c r="AD139" t="s">
        <v>5</v>
      </c>
      <c r="AE139">
        <v>1015</v>
      </c>
      <c r="AF139">
        <v>2</v>
      </c>
      <c r="AH139" t="s">
        <v>9344</v>
      </c>
      <c r="AI139" t="s">
        <v>9343</v>
      </c>
      <c r="AJ139" t="s">
        <v>9342</v>
      </c>
      <c r="AK139" t="s">
        <v>9341</v>
      </c>
      <c r="AL139">
        <v>59</v>
      </c>
      <c r="AM139" s="5">
        <f t="shared" si="18"/>
        <v>1.84375</v>
      </c>
      <c r="AN139" s="4">
        <f t="shared" si="23"/>
        <v>2.7925028398333965E-3</v>
      </c>
      <c r="AO139" s="3"/>
      <c r="AP139">
        <v>0</v>
      </c>
      <c r="AQ139" t="s">
        <v>9340</v>
      </c>
      <c r="AR139" t="s">
        <v>0</v>
      </c>
      <c r="AS139" t="s">
        <v>9339</v>
      </c>
      <c r="AT139" s="2" t="s">
        <v>126</v>
      </c>
      <c r="AU139" s="1">
        <f t="shared" si="19"/>
        <v>3.0548650187258741</v>
      </c>
      <c r="AV139" s="1">
        <f t="shared" si="20"/>
        <v>2.2618322373708644</v>
      </c>
      <c r="AW139" s="1">
        <f t="shared" si="21"/>
        <v>1.4687994560158542</v>
      </c>
    </row>
    <row r="140" spans="1:49" x14ac:dyDescent="0.2">
      <c r="A140">
        <v>138</v>
      </c>
      <c r="B140" t="s">
        <v>9338</v>
      </c>
      <c r="C140" t="s">
        <v>9337</v>
      </c>
      <c r="D140">
        <v>5272890900353</v>
      </c>
      <c r="F140" t="s">
        <v>9336</v>
      </c>
      <c r="G140" t="s">
        <v>14</v>
      </c>
      <c r="H140" t="s">
        <v>13</v>
      </c>
      <c r="I140" t="s">
        <v>9335</v>
      </c>
      <c r="J140">
        <v>60009731</v>
      </c>
      <c r="K140" t="s">
        <v>917</v>
      </c>
      <c r="L140" t="s">
        <v>916</v>
      </c>
      <c r="M140" t="s">
        <v>135</v>
      </c>
      <c r="N140">
        <v>2</v>
      </c>
      <c r="O140" t="s">
        <v>9334</v>
      </c>
      <c r="P140" t="s">
        <v>9333</v>
      </c>
      <c r="Q140" t="s">
        <v>913</v>
      </c>
      <c r="R140" s="7">
        <v>32906</v>
      </c>
      <c r="S140" s="8">
        <f t="shared" si="16"/>
        <v>1990</v>
      </c>
      <c r="T140" s="8">
        <v>1990</v>
      </c>
      <c r="U140" s="8">
        <f t="shared" si="17"/>
        <v>32</v>
      </c>
      <c r="V140" s="7">
        <v>32906</v>
      </c>
      <c r="W140" t="s">
        <v>9100</v>
      </c>
      <c r="X140" s="2">
        <v>1.59</v>
      </c>
      <c r="Y140" s="6">
        <f t="shared" si="22"/>
        <v>4.2444141907583888E-2</v>
      </c>
      <c r="AA140">
        <v>52728</v>
      </c>
      <c r="AB140">
        <v>16791</v>
      </c>
      <c r="AD140" t="s">
        <v>5</v>
      </c>
      <c r="AE140">
        <v>1015</v>
      </c>
      <c r="AF140">
        <v>2</v>
      </c>
      <c r="AH140" t="s">
        <v>9332</v>
      </c>
      <c r="AI140" t="s">
        <v>9331</v>
      </c>
      <c r="AJ140" t="s">
        <v>9330</v>
      </c>
      <c r="AK140" t="s">
        <v>9329</v>
      </c>
      <c r="AL140">
        <v>14</v>
      </c>
      <c r="AM140" s="5">
        <f t="shared" si="18"/>
        <v>0.4375</v>
      </c>
      <c r="AN140" s="4">
        <f t="shared" si="23"/>
        <v>6.6262779250283988E-4</v>
      </c>
      <c r="AO140" s="3"/>
      <c r="AP140">
        <v>0</v>
      </c>
      <c r="AQ140" t="s">
        <v>1100</v>
      </c>
      <c r="AR140" t="s">
        <v>9328</v>
      </c>
      <c r="AS140" t="s">
        <v>1098</v>
      </c>
      <c r="AT140" s="2" t="s">
        <v>126</v>
      </c>
      <c r="AU140" s="1">
        <f t="shared" si="19"/>
        <v>2.9909687673059575</v>
      </c>
      <c r="AV140" s="1">
        <f t="shared" si="20"/>
        <v>2.1553384850043362</v>
      </c>
      <c r="AW140" s="1">
        <f t="shared" si="21"/>
        <v>1.3197082027027154</v>
      </c>
    </row>
    <row r="141" spans="1:49" x14ac:dyDescent="0.2">
      <c r="A141">
        <v>139</v>
      </c>
      <c r="B141" t="s">
        <v>9327</v>
      </c>
      <c r="C141" t="s">
        <v>9326</v>
      </c>
      <c r="F141" t="s">
        <v>9325</v>
      </c>
      <c r="G141" t="s">
        <v>14</v>
      </c>
      <c r="H141" t="s">
        <v>13</v>
      </c>
      <c r="I141" t="s">
        <v>9324</v>
      </c>
      <c r="N141">
        <v>2</v>
      </c>
      <c r="O141" t="s">
        <v>9323</v>
      </c>
      <c r="P141" t="s">
        <v>9322</v>
      </c>
      <c r="Q141" t="s">
        <v>119</v>
      </c>
      <c r="R141" s="7">
        <v>32905</v>
      </c>
      <c r="S141" s="8">
        <f t="shared" si="16"/>
        <v>1990</v>
      </c>
      <c r="T141" s="8">
        <v>1990</v>
      </c>
      <c r="U141" s="8">
        <f t="shared" si="17"/>
        <v>32</v>
      </c>
      <c r="V141" s="7">
        <v>32905</v>
      </c>
      <c r="W141" t="s">
        <v>9321</v>
      </c>
      <c r="X141" s="2">
        <v>0.14899999999999999</v>
      </c>
      <c r="Y141" s="6">
        <f t="shared" si="22"/>
        <v>3.977469902031446E-3</v>
      </c>
      <c r="AA141">
        <v>5431972</v>
      </c>
      <c r="AB141">
        <v>15425</v>
      </c>
      <c r="AC141">
        <v>15738906</v>
      </c>
      <c r="AD141" t="s">
        <v>5</v>
      </c>
      <c r="AE141">
        <v>33</v>
      </c>
      <c r="AF141">
        <v>2</v>
      </c>
      <c r="AH141" t="s">
        <v>9320</v>
      </c>
      <c r="AL141">
        <v>0</v>
      </c>
      <c r="AM141" s="5">
        <f t="shared" si="18"/>
        <v>0</v>
      </c>
      <c r="AN141" s="4">
        <f t="shared" si="23"/>
        <v>0</v>
      </c>
      <c r="AO141" s="3"/>
      <c r="AP141">
        <v>0</v>
      </c>
      <c r="AR141" t="s">
        <v>0</v>
      </c>
      <c r="AT141" s="2" t="s">
        <v>126</v>
      </c>
      <c r="AU141" s="1">
        <f t="shared" si="19"/>
        <v>0.2784228931422012</v>
      </c>
      <c r="AV141" s="1">
        <f t="shared" si="20"/>
        <v>0.19887349510157229</v>
      </c>
      <c r="AW141" s="1">
        <f t="shared" si="21"/>
        <v>0.11932409706094337</v>
      </c>
    </row>
    <row r="142" spans="1:49" x14ac:dyDescent="0.2">
      <c r="A142">
        <v>140</v>
      </c>
      <c r="B142" t="s">
        <v>9319</v>
      </c>
      <c r="F142" t="s">
        <v>9318</v>
      </c>
      <c r="G142" t="s">
        <v>14</v>
      </c>
      <c r="H142" t="s">
        <v>13</v>
      </c>
      <c r="I142" t="s">
        <v>9265</v>
      </c>
      <c r="J142">
        <v>60009628</v>
      </c>
      <c r="K142" t="s">
        <v>9264</v>
      </c>
      <c r="L142" t="s">
        <v>9263</v>
      </c>
      <c r="M142" t="s">
        <v>184</v>
      </c>
      <c r="N142">
        <v>2</v>
      </c>
      <c r="O142" t="s">
        <v>9317</v>
      </c>
      <c r="P142" t="s">
        <v>9316</v>
      </c>
      <c r="Q142" t="s">
        <v>9260</v>
      </c>
      <c r="R142" s="7">
        <v>32905</v>
      </c>
      <c r="S142" s="8">
        <f t="shared" si="16"/>
        <v>1990</v>
      </c>
      <c r="T142" s="8">
        <v>1990</v>
      </c>
      <c r="U142" s="8">
        <f t="shared" si="17"/>
        <v>32</v>
      </c>
      <c r="V142" s="7">
        <v>32905</v>
      </c>
      <c r="W142" t="s">
        <v>9259</v>
      </c>
      <c r="X142" s="2" t="s">
        <v>126</v>
      </c>
      <c r="Y142" s="6" t="e">
        <f t="shared" si="22"/>
        <v>#VALUE!</v>
      </c>
      <c r="AA142">
        <v>3932648</v>
      </c>
      <c r="AB142">
        <v>18207</v>
      </c>
      <c r="AD142" t="s">
        <v>5</v>
      </c>
      <c r="AE142">
        <v>18</v>
      </c>
      <c r="AF142">
        <v>1</v>
      </c>
      <c r="AH142" t="s">
        <v>9315</v>
      </c>
      <c r="AI142" t="s">
        <v>9314</v>
      </c>
      <c r="AK142" t="s">
        <v>9313</v>
      </c>
      <c r="AL142">
        <v>0</v>
      </c>
      <c r="AM142" s="5">
        <f t="shared" si="18"/>
        <v>0</v>
      </c>
      <c r="AN142" s="4">
        <f t="shared" si="23"/>
        <v>0</v>
      </c>
      <c r="AO142" s="3"/>
      <c r="AP142">
        <v>0</v>
      </c>
      <c r="AR142" t="s">
        <v>0</v>
      </c>
      <c r="AT142" s="2" t="s">
        <v>126</v>
      </c>
      <c r="AU142" s="1" t="e">
        <f t="shared" si="19"/>
        <v>#VALUE!</v>
      </c>
      <c r="AV142" s="1" t="e">
        <f t="shared" si="20"/>
        <v>#VALUE!</v>
      </c>
      <c r="AW142" s="1" t="e">
        <f t="shared" si="21"/>
        <v>#VALUE!</v>
      </c>
    </row>
    <row r="143" spans="1:49" x14ac:dyDescent="0.2">
      <c r="A143">
        <v>141</v>
      </c>
      <c r="B143" t="s">
        <v>9312</v>
      </c>
      <c r="F143" t="s">
        <v>9311</v>
      </c>
      <c r="G143" t="s">
        <v>14</v>
      </c>
      <c r="H143" t="s">
        <v>13</v>
      </c>
      <c r="I143" t="s">
        <v>9310</v>
      </c>
      <c r="J143">
        <v>60009628</v>
      </c>
      <c r="K143" t="s">
        <v>9264</v>
      </c>
      <c r="L143" t="s">
        <v>9263</v>
      </c>
      <c r="M143" t="s">
        <v>184</v>
      </c>
      <c r="N143">
        <v>4</v>
      </c>
      <c r="O143" t="s">
        <v>9309</v>
      </c>
      <c r="P143" t="s">
        <v>9308</v>
      </c>
      <c r="Q143" t="s">
        <v>9307</v>
      </c>
      <c r="R143" s="7">
        <v>32905</v>
      </c>
      <c r="S143" s="8">
        <f t="shared" si="16"/>
        <v>1990</v>
      </c>
      <c r="T143" s="8">
        <v>1990</v>
      </c>
      <c r="U143" s="8">
        <f t="shared" si="17"/>
        <v>32</v>
      </c>
      <c r="V143" s="7">
        <v>32905</v>
      </c>
      <c r="W143" t="s">
        <v>9259</v>
      </c>
      <c r="X143" s="2" t="s">
        <v>126</v>
      </c>
      <c r="Y143" s="6" t="e">
        <f t="shared" si="22"/>
        <v>#VALUE!</v>
      </c>
      <c r="AA143">
        <v>3932648</v>
      </c>
      <c r="AB143">
        <v>18207</v>
      </c>
      <c r="AD143" t="s">
        <v>5</v>
      </c>
      <c r="AE143">
        <v>18</v>
      </c>
      <c r="AF143">
        <v>1</v>
      </c>
      <c r="AH143" t="s">
        <v>9306</v>
      </c>
      <c r="AI143" t="s">
        <v>9305</v>
      </c>
      <c r="AK143" t="s">
        <v>9304</v>
      </c>
      <c r="AL143">
        <v>0</v>
      </c>
      <c r="AM143" s="5">
        <f t="shared" si="18"/>
        <v>0</v>
      </c>
      <c r="AN143" s="4">
        <f t="shared" si="23"/>
        <v>0</v>
      </c>
      <c r="AO143" s="3"/>
      <c r="AP143">
        <v>0</v>
      </c>
      <c r="AR143" t="s">
        <v>0</v>
      </c>
      <c r="AT143" s="2" t="s">
        <v>126</v>
      </c>
      <c r="AU143" s="1" t="e">
        <f t="shared" si="19"/>
        <v>#VALUE!</v>
      </c>
      <c r="AV143" s="1" t="e">
        <f t="shared" si="20"/>
        <v>#VALUE!</v>
      </c>
      <c r="AW143" s="1" t="e">
        <f t="shared" si="21"/>
        <v>#VALUE!</v>
      </c>
    </row>
    <row r="144" spans="1:49" x14ac:dyDescent="0.2">
      <c r="A144">
        <v>142</v>
      </c>
      <c r="B144" t="s">
        <v>9303</v>
      </c>
      <c r="F144" t="s">
        <v>9302</v>
      </c>
      <c r="G144" t="s">
        <v>14</v>
      </c>
      <c r="H144" t="s">
        <v>13</v>
      </c>
      <c r="I144" t="s">
        <v>9301</v>
      </c>
      <c r="N144">
        <v>2</v>
      </c>
      <c r="O144" t="s">
        <v>9300</v>
      </c>
      <c r="P144" t="s">
        <v>9299</v>
      </c>
      <c r="Q144" t="s">
        <v>119</v>
      </c>
      <c r="R144" s="7">
        <v>32905</v>
      </c>
      <c r="S144" s="8">
        <f t="shared" si="16"/>
        <v>1990</v>
      </c>
      <c r="T144" s="8">
        <v>1990</v>
      </c>
      <c r="U144" s="8">
        <f t="shared" si="17"/>
        <v>32</v>
      </c>
      <c r="V144" s="7">
        <v>32905</v>
      </c>
      <c r="W144" t="s">
        <v>9298</v>
      </c>
      <c r="X144" s="2" t="s">
        <v>126</v>
      </c>
      <c r="Y144" s="6" t="e">
        <f t="shared" si="22"/>
        <v>#VALUE!</v>
      </c>
      <c r="AA144">
        <v>97853</v>
      </c>
      <c r="AB144">
        <v>15018</v>
      </c>
      <c r="AD144" t="s">
        <v>5</v>
      </c>
      <c r="AE144">
        <v>60</v>
      </c>
      <c r="AF144">
        <v>2</v>
      </c>
      <c r="AH144" t="s">
        <v>9297</v>
      </c>
      <c r="AI144" t="s">
        <v>9296</v>
      </c>
      <c r="AK144" t="s">
        <v>9295</v>
      </c>
      <c r="AL144">
        <v>0</v>
      </c>
      <c r="AM144" s="5">
        <f t="shared" si="18"/>
        <v>0</v>
      </c>
      <c r="AN144" s="4">
        <f t="shared" si="23"/>
        <v>0</v>
      </c>
      <c r="AO144" s="3"/>
      <c r="AP144">
        <v>0</v>
      </c>
      <c r="AR144" t="s">
        <v>0</v>
      </c>
      <c r="AT144" s="2" t="s">
        <v>126</v>
      </c>
      <c r="AU144" s="1" t="e">
        <f t="shared" si="19"/>
        <v>#VALUE!</v>
      </c>
      <c r="AV144" s="1" t="e">
        <f t="shared" si="20"/>
        <v>#VALUE!</v>
      </c>
      <c r="AW144" s="1" t="e">
        <f t="shared" si="21"/>
        <v>#VALUE!</v>
      </c>
    </row>
    <row r="145" spans="1:49" x14ac:dyDescent="0.2">
      <c r="A145">
        <v>143</v>
      </c>
      <c r="B145" t="s">
        <v>9294</v>
      </c>
      <c r="F145" t="s">
        <v>9293</v>
      </c>
      <c r="G145" t="s">
        <v>14</v>
      </c>
      <c r="H145" t="s">
        <v>13</v>
      </c>
      <c r="I145" t="s">
        <v>9292</v>
      </c>
      <c r="N145">
        <v>1</v>
      </c>
      <c r="O145" t="s">
        <v>9291</v>
      </c>
      <c r="P145">
        <v>7006138855</v>
      </c>
      <c r="R145" s="7">
        <v>32905</v>
      </c>
      <c r="S145" s="8">
        <f t="shared" si="16"/>
        <v>1990</v>
      </c>
      <c r="T145" s="8">
        <v>1990</v>
      </c>
      <c r="U145" s="8">
        <f t="shared" si="17"/>
        <v>32</v>
      </c>
      <c r="V145" s="7">
        <v>32905</v>
      </c>
      <c r="W145" t="s">
        <v>9290</v>
      </c>
      <c r="X145" s="2" t="s">
        <v>126</v>
      </c>
      <c r="Y145" s="6" t="e">
        <f t="shared" si="22"/>
        <v>#VALUE!</v>
      </c>
      <c r="AA145" t="s">
        <v>9289</v>
      </c>
      <c r="AB145">
        <v>33832</v>
      </c>
      <c r="AD145" t="s">
        <v>5</v>
      </c>
      <c r="AE145">
        <v>23</v>
      </c>
      <c r="AF145">
        <v>12</v>
      </c>
      <c r="AH145" t="s">
        <v>4752</v>
      </c>
      <c r="AI145" t="s">
        <v>9288</v>
      </c>
      <c r="AK145" t="s">
        <v>9287</v>
      </c>
      <c r="AL145">
        <v>0</v>
      </c>
      <c r="AM145" s="5">
        <f t="shared" si="18"/>
        <v>0</v>
      </c>
      <c r="AN145" s="4">
        <f t="shared" si="23"/>
        <v>0</v>
      </c>
      <c r="AO145" s="3"/>
      <c r="AP145">
        <v>0</v>
      </c>
      <c r="AR145" t="s">
        <v>0</v>
      </c>
      <c r="AT145" s="2" t="s">
        <v>126</v>
      </c>
      <c r="AU145" s="1" t="e">
        <f t="shared" si="19"/>
        <v>#VALUE!</v>
      </c>
      <c r="AV145" s="1" t="e">
        <f t="shared" si="20"/>
        <v>#VALUE!</v>
      </c>
      <c r="AW145" s="1" t="e">
        <f t="shared" si="21"/>
        <v>#VALUE!</v>
      </c>
    </row>
    <row r="146" spans="1:49" x14ac:dyDescent="0.2">
      <c r="A146">
        <v>144</v>
      </c>
      <c r="B146" t="s">
        <v>9286</v>
      </c>
      <c r="C146" t="s">
        <v>9285</v>
      </c>
      <c r="F146" t="s">
        <v>9284</v>
      </c>
      <c r="G146" t="s">
        <v>14</v>
      </c>
      <c r="H146" t="s">
        <v>13</v>
      </c>
      <c r="I146" t="s">
        <v>788</v>
      </c>
      <c r="J146">
        <v>60013372</v>
      </c>
      <c r="K146" t="s">
        <v>787</v>
      </c>
      <c r="L146" t="s">
        <v>786</v>
      </c>
      <c r="M146" t="s">
        <v>197</v>
      </c>
      <c r="N146">
        <v>5</v>
      </c>
      <c r="O146" t="s">
        <v>9283</v>
      </c>
      <c r="P146" t="s">
        <v>9282</v>
      </c>
      <c r="Q146" t="s">
        <v>9281</v>
      </c>
      <c r="R146" s="7">
        <v>32905</v>
      </c>
      <c r="S146" s="8">
        <f t="shared" si="16"/>
        <v>1990</v>
      </c>
      <c r="T146" s="8">
        <v>1990</v>
      </c>
      <c r="U146" s="8">
        <f t="shared" si="17"/>
        <v>32</v>
      </c>
      <c r="V146" s="7">
        <v>32905</v>
      </c>
      <c r="W146" t="s">
        <v>9239</v>
      </c>
      <c r="X146" s="2">
        <v>0.61499999999999999</v>
      </c>
      <c r="Y146" s="6">
        <f t="shared" si="22"/>
        <v>1.6417073756706976E-2</v>
      </c>
      <c r="AA146">
        <v>1959271</v>
      </c>
      <c r="AB146">
        <v>12141</v>
      </c>
      <c r="AC146">
        <v>15729559</v>
      </c>
      <c r="AD146" t="s">
        <v>5</v>
      </c>
      <c r="AE146">
        <v>11</v>
      </c>
      <c r="AF146">
        <v>2</v>
      </c>
      <c r="AH146" t="s">
        <v>9280</v>
      </c>
      <c r="AI146" t="s">
        <v>9279</v>
      </c>
      <c r="AK146" t="s">
        <v>9278</v>
      </c>
      <c r="AL146">
        <v>14</v>
      </c>
      <c r="AM146" s="5">
        <f t="shared" si="18"/>
        <v>0.4375</v>
      </c>
      <c r="AN146" s="4">
        <f t="shared" si="23"/>
        <v>6.6262779250283988E-4</v>
      </c>
      <c r="AO146" s="3"/>
      <c r="AP146">
        <v>0</v>
      </c>
      <c r="AR146" t="s">
        <v>0</v>
      </c>
      <c r="AT146" s="2" t="s">
        <v>126</v>
      </c>
      <c r="AU146" s="1">
        <f t="shared" si="19"/>
        <v>1.1690739967445734</v>
      </c>
      <c r="AV146" s="1">
        <f t="shared" si="20"/>
        <v>0.85398507746049079</v>
      </c>
      <c r="AW146" s="1">
        <f t="shared" si="21"/>
        <v>0.53889615817640801</v>
      </c>
    </row>
    <row r="147" spans="1:49" x14ac:dyDescent="0.2">
      <c r="A147">
        <v>145</v>
      </c>
      <c r="B147" t="s">
        <v>9277</v>
      </c>
      <c r="C147" t="s">
        <v>9276</v>
      </c>
      <c r="F147" t="s">
        <v>9275</v>
      </c>
      <c r="G147" t="s">
        <v>14</v>
      </c>
      <c r="H147" t="s">
        <v>13</v>
      </c>
      <c r="I147" t="s">
        <v>9274</v>
      </c>
      <c r="J147">
        <v>60010818</v>
      </c>
      <c r="K147" t="s">
        <v>6006</v>
      </c>
      <c r="L147" t="s">
        <v>6005</v>
      </c>
      <c r="M147" t="s">
        <v>253</v>
      </c>
      <c r="N147">
        <v>3</v>
      </c>
      <c r="O147" t="s">
        <v>9273</v>
      </c>
      <c r="P147" t="s">
        <v>9272</v>
      </c>
      <c r="Q147" t="s">
        <v>9271</v>
      </c>
      <c r="R147" s="7">
        <v>32905</v>
      </c>
      <c r="S147" s="8">
        <f t="shared" si="16"/>
        <v>1990</v>
      </c>
      <c r="T147" s="8">
        <v>1990</v>
      </c>
      <c r="U147" s="8">
        <f t="shared" si="17"/>
        <v>32</v>
      </c>
      <c r="V147" s="7">
        <v>32905</v>
      </c>
      <c r="W147" t="s">
        <v>9239</v>
      </c>
      <c r="X147" s="2">
        <v>0.61499999999999999</v>
      </c>
      <c r="Y147" s="6">
        <f t="shared" si="22"/>
        <v>1.6417073756706976E-2</v>
      </c>
      <c r="AA147">
        <v>1959271</v>
      </c>
      <c r="AB147">
        <v>12141</v>
      </c>
      <c r="AC147">
        <v>15729559</v>
      </c>
      <c r="AD147" t="s">
        <v>5</v>
      </c>
      <c r="AE147">
        <v>11</v>
      </c>
      <c r="AF147">
        <v>2</v>
      </c>
      <c r="AH147" t="s">
        <v>3013</v>
      </c>
      <c r="AI147" t="s">
        <v>9270</v>
      </c>
      <c r="AJ147" t="s">
        <v>9269</v>
      </c>
      <c r="AK147" t="s">
        <v>9268</v>
      </c>
      <c r="AL147">
        <v>1</v>
      </c>
      <c r="AM147" s="5">
        <f t="shared" si="18"/>
        <v>3.125E-2</v>
      </c>
      <c r="AN147" s="4">
        <f t="shared" si="23"/>
        <v>4.73305566073457E-5</v>
      </c>
      <c r="AO147" s="3"/>
      <c r="AP147">
        <v>0</v>
      </c>
      <c r="AR147" t="s">
        <v>0</v>
      </c>
      <c r="AT147" s="2" t="s">
        <v>126</v>
      </c>
      <c r="AU147" s="1">
        <f t="shared" si="19"/>
        <v>1.1506150796677086</v>
      </c>
      <c r="AV147" s="1">
        <f t="shared" si="20"/>
        <v>0.82322021566571602</v>
      </c>
      <c r="AW147" s="1">
        <f t="shared" si="21"/>
        <v>0.49582535166372338</v>
      </c>
    </row>
    <row r="148" spans="1:49" x14ac:dyDescent="0.2">
      <c r="A148">
        <v>146</v>
      </c>
      <c r="B148" t="s">
        <v>9267</v>
      </c>
      <c r="F148" t="s">
        <v>9266</v>
      </c>
      <c r="G148" t="s">
        <v>14</v>
      </c>
      <c r="H148" t="s">
        <v>13</v>
      </c>
      <c r="I148" t="s">
        <v>9265</v>
      </c>
      <c r="J148">
        <v>60009628</v>
      </c>
      <c r="K148" t="s">
        <v>9264</v>
      </c>
      <c r="L148" t="s">
        <v>9263</v>
      </c>
      <c r="M148" t="s">
        <v>184</v>
      </c>
      <c r="N148">
        <v>2</v>
      </c>
      <c r="O148" t="s">
        <v>9262</v>
      </c>
      <c r="P148" t="s">
        <v>9261</v>
      </c>
      <c r="Q148" t="s">
        <v>9260</v>
      </c>
      <c r="R148" s="7">
        <v>32905</v>
      </c>
      <c r="S148" s="8">
        <f t="shared" si="16"/>
        <v>1990</v>
      </c>
      <c r="T148" s="8">
        <v>1990</v>
      </c>
      <c r="U148" s="8">
        <f t="shared" si="17"/>
        <v>32</v>
      </c>
      <c r="V148" s="7">
        <v>32905</v>
      </c>
      <c r="W148" t="s">
        <v>9259</v>
      </c>
      <c r="X148" s="2" t="s">
        <v>126</v>
      </c>
      <c r="Y148" s="6" t="e">
        <f t="shared" si="22"/>
        <v>#VALUE!</v>
      </c>
      <c r="AA148">
        <v>3932648</v>
      </c>
      <c r="AB148">
        <v>18207</v>
      </c>
      <c r="AD148" t="s">
        <v>5</v>
      </c>
      <c r="AE148">
        <v>18</v>
      </c>
      <c r="AF148">
        <v>1</v>
      </c>
      <c r="AH148" t="s">
        <v>9258</v>
      </c>
      <c r="AI148" t="s">
        <v>9257</v>
      </c>
      <c r="AK148" t="s">
        <v>9256</v>
      </c>
      <c r="AL148">
        <v>0</v>
      </c>
      <c r="AM148" s="5">
        <f t="shared" si="18"/>
        <v>0</v>
      </c>
      <c r="AN148" s="4">
        <f t="shared" si="23"/>
        <v>0</v>
      </c>
      <c r="AO148" s="3"/>
      <c r="AP148">
        <v>0</v>
      </c>
      <c r="AR148" t="s">
        <v>0</v>
      </c>
      <c r="AT148" s="2" t="s">
        <v>126</v>
      </c>
      <c r="AU148" s="1" t="e">
        <f t="shared" si="19"/>
        <v>#VALUE!</v>
      </c>
      <c r="AV148" s="1" t="e">
        <f t="shared" si="20"/>
        <v>#VALUE!</v>
      </c>
      <c r="AW148" s="1" t="e">
        <f t="shared" si="21"/>
        <v>#VALUE!</v>
      </c>
    </row>
    <row r="149" spans="1:49" x14ac:dyDescent="0.2">
      <c r="A149">
        <v>147</v>
      </c>
      <c r="B149" t="s">
        <v>9255</v>
      </c>
      <c r="F149" t="s">
        <v>9254</v>
      </c>
      <c r="G149" t="s">
        <v>14</v>
      </c>
      <c r="H149" t="s">
        <v>13</v>
      </c>
      <c r="I149" t="s">
        <v>9253</v>
      </c>
      <c r="N149">
        <v>1</v>
      </c>
      <c r="O149" t="s">
        <v>9252</v>
      </c>
      <c r="P149">
        <v>7003844528</v>
      </c>
      <c r="R149" s="7">
        <v>32905</v>
      </c>
      <c r="S149" s="8">
        <f t="shared" si="16"/>
        <v>1990</v>
      </c>
      <c r="T149" s="8">
        <v>1990</v>
      </c>
      <c r="U149" s="8">
        <f t="shared" si="17"/>
        <v>32</v>
      </c>
      <c r="V149" s="7">
        <v>32905</v>
      </c>
      <c r="W149" t="s">
        <v>9251</v>
      </c>
      <c r="X149" s="2" t="s">
        <v>126</v>
      </c>
      <c r="Y149" s="6" t="e">
        <f t="shared" si="22"/>
        <v>#VALUE!</v>
      </c>
      <c r="AA149" t="s">
        <v>9250</v>
      </c>
      <c r="AB149">
        <v>36132</v>
      </c>
      <c r="AD149" t="s">
        <v>5</v>
      </c>
      <c r="AE149">
        <v>8</v>
      </c>
      <c r="AF149">
        <v>2</v>
      </c>
      <c r="AH149" t="s">
        <v>9249</v>
      </c>
      <c r="AI149" t="s">
        <v>9248</v>
      </c>
      <c r="AK149" t="s">
        <v>9247</v>
      </c>
      <c r="AL149">
        <v>0</v>
      </c>
      <c r="AM149" s="5">
        <f t="shared" si="18"/>
        <v>0</v>
      </c>
      <c r="AN149" s="4">
        <f t="shared" si="23"/>
        <v>0</v>
      </c>
      <c r="AO149" s="3"/>
      <c r="AP149">
        <v>0</v>
      </c>
      <c r="AR149" t="s">
        <v>0</v>
      </c>
      <c r="AT149" s="2" t="s">
        <v>126</v>
      </c>
      <c r="AU149" s="1" t="e">
        <f t="shared" si="19"/>
        <v>#VALUE!</v>
      </c>
      <c r="AV149" s="1" t="e">
        <f t="shared" si="20"/>
        <v>#VALUE!</v>
      </c>
      <c r="AW149" s="1" t="e">
        <f t="shared" si="21"/>
        <v>#VALUE!</v>
      </c>
    </row>
    <row r="150" spans="1:49" x14ac:dyDescent="0.2">
      <c r="A150">
        <v>148</v>
      </c>
      <c r="B150" t="s">
        <v>9246</v>
      </c>
      <c r="C150" t="s">
        <v>9245</v>
      </c>
      <c r="F150" t="s">
        <v>9244</v>
      </c>
      <c r="G150" t="s">
        <v>14</v>
      </c>
      <c r="H150" t="s">
        <v>13</v>
      </c>
      <c r="I150" t="s">
        <v>9243</v>
      </c>
      <c r="J150">
        <v>60000765</v>
      </c>
      <c r="K150" t="s">
        <v>9242</v>
      </c>
      <c r="L150" t="s">
        <v>9241</v>
      </c>
      <c r="M150" t="s">
        <v>135</v>
      </c>
      <c r="N150">
        <v>1</v>
      </c>
      <c r="O150" t="s">
        <v>9240</v>
      </c>
      <c r="P150">
        <v>16434589800</v>
      </c>
      <c r="Q150">
        <v>60000765</v>
      </c>
      <c r="R150" s="7">
        <v>32905</v>
      </c>
      <c r="S150" s="8">
        <f t="shared" si="16"/>
        <v>1990</v>
      </c>
      <c r="T150" s="8">
        <v>1990</v>
      </c>
      <c r="U150" s="8">
        <f t="shared" si="17"/>
        <v>32</v>
      </c>
      <c r="V150" s="7">
        <v>32905</v>
      </c>
      <c r="W150" t="s">
        <v>9239</v>
      </c>
      <c r="X150" s="2">
        <v>0.61499999999999999</v>
      </c>
      <c r="Y150" s="6">
        <f t="shared" si="22"/>
        <v>1.6417073756706976E-2</v>
      </c>
      <c r="AA150">
        <v>1959271</v>
      </c>
      <c r="AB150">
        <v>12141</v>
      </c>
      <c r="AC150">
        <v>15729559</v>
      </c>
      <c r="AD150" t="s">
        <v>5</v>
      </c>
      <c r="AE150">
        <v>11</v>
      </c>
      <c r="AF150">
        <v>2</v>
      </c>
      <c r="AH150" t="s">
        <v>6400</v>
      </c>
      <c r="AI150" t="s">
        <v>9238</v>
      </c>
      <c r="AJ150" t="s">
        <v>9237</v>
      </c>
      <c r="AK150" t="s">
        <v>9236</v>
      </c>
      <c r="AL150">
        <v>3</v>
      </c>
      <c r="AM150" s="5">
        <f t="shared" si="18"/>
        <v>9.375E-2</v>
      </c>
      <c r="AN150" s="4">
        <f t="shared" si="23"/>
        <v>1.4199166982203711E-4</v>
      </c>
      <c r="AO150" s="3"/>
      <c r="AP150">
        <v>0</v>
      </c>
      <c r="AR150" t="s">
        <v>0</v>
      </c>
      <c r="AT150" s="2" t="s">
        <v>126</v>
      </c>
      <c r="AU150" s="1">
        <f t="shared" si="19"/>
        <v>1.1534549130641492</v>
      </c>
      <c r="AV150" s="1">
        <f t="shared" si="20"/>
        <v>0.82795327132645058</v>
      </c>
      <c r="AW150" s="1">
        <f t="shared" si="21"/>
        <v>0.50245162958875178</v>
      </c>
    </row>
    <row r="151" spans="1:49" x14ac:dyDescent="0.2">
      <c r="A151">
        <v>149</v>
      </c>
      <c r="B151" t="s">
        <v>9235</v>
      </c>
      <c r="F151" t="s">
        <v>9234</v>
      </c>
      <c r="G151" t="s">
        <v>14</v>
      </c>
      <c r="H151" t="s">
        <v>13</v>
      </c>
      <c r="I151" t="s">
        <v>9233</v>
      </c>
      <c r="N151">
        <v>2</v>
      </c>
      <c r="O151" t="s">
        <v>9232</v>
      </c>
      <c r="P151" t="s">
        <v>9231</v>
      </c>
      <c r="Q151" t="s">
        <v>119</v>
      </c>
      <c r="R151" s="7">
        <v>32905</v>
      </c>
      <c r="S151" s="8">
        <f t="shared" si="16"/>
        <v>1990</v>
      </c>
      <c r="T151" s="8">
        <v>1990</v>
      </c>
      <c r="U151" s="8">
        <f t="shared" si="17"/>
        <v>32</v>
      </c>
      <c r="V151" s="7">
        <v>32905</v>
      </c>
      <c r="W151" t="s">
        <v>390</v>
      </c>
      <c r="X151" s="2">
        <v>0.14099999999999999</v>
      </c>
      <c r="Y151" s="6">
        <f t="shared" si="22"/>
        <v>3.7639144710498915E-3</v>
      </c>
      <c r="AA151">
        <v>402508</v>
      </c>
      <c r="AB151">
        <v>20868</v>
      </c>
      <c r="AD151" t="s">
        <v>5</v>
      </c>
      <c r="AE151">
        <v>45</v>
      </c>
      <c r="AF151">
        <v>2</v>
      </c>
      <c r="AH151" t="s">
        <v>9230</v>
      </c>
      <c r="AI151" t="s">
        <v>9229</v>
      </c>
      <c r="AK151" t="s">
        <v>9228</v>
      </c>
      <c r="AL151">
        <v>0</v>
      </c>
      <c r="AM151" s="5">
        <f t="shared" si="18"/>
        <v>0</v>
      </c>
      <c r="AN151" s="4">
        <f t="shared" si="23"/>
        <v>0</v>
      </c>
      <c r="AO151" s="3"/>
      <c r="AP151">
        <v>0</v>
      </c>
      <c r="AR151" t="s">
        <v>0</v>
      </c>
      <c r="AT151" s="2" t="s">
        <v>126</v>
      </c>
      <c r="AU151" s="1">
        <f t="shared" si="19"/>
        <v>0.26347401297349238</v>
      </c>
      <c r="AV151" s="1">
        <f t="shared" si="20"/>
        <v>0.18819572355249459</v>
      </c>
      <c r="AW151" s="1">
        <f t="shared" si="21"/>
        <v>0.11291743413149673</v>
      </c>
    </row>
    <row r="152" spans="1:49" x14ac:dyDescent="0.2">
      <c r="A152">
        <v>150</v>
      </c>
      <c r="B152" t="s">
        <v>9227</v>
      </c>
      <c r="F152" t="s">
        <v>9226</v>
      </c>
      <c r="G152" t="s">
        <v>14</v>
      </c>
      <c r="H152" t="s">
        <v>13</v>
      </c>
      <c r="I152" t="s">
        <v>9225</v>
      </c>
      <c r="N152">
        <v>1</v>
      </c>
      <c r="O152" t="s">
        <v>9224</v>
      </c>
      <c r="P152">
        <v>7004753376</v>
      </c>
      <c r="R152" s="7">
        <v>32905</v>
      </c>
      <c r="S152" s="8">
        <f t="shared" si="16"/>
        <v>1990</v>
      </c>
      <c r="T152" s="8">
        <v>1990</v>
      </c>
      <c r="U152" s="8">
        <f t="shared" si="17"/>
        <v>32</v>
      </c>
      <c r="V152" s="7">
        <v>32905</v>
      </c>
      <c r="W152" t="s">
        <v>390</v>
      </c>
      <c r="X152" s="2">
        <v>0.14099999999999999</v>
      </c>
      <c r="Y152" s="6">
        <f t="shared" si="22"/>
        <v>3.7639144710498915E-3</v>
      </c>
      <c r="AA152">
        <v>402508</v>
      </c>
      <c r="AB152">
        <v>20868</v>
      </c>
      <c r="AD152" t="s">
        <v>5</v>
      </c>
      <c r="AE152">
        <v>45</v>
      </c>
      <c r="AF152">
        <v>2</v>
      </c>
      <c r="AH152" t="s">
        <v>9223</v>
      </c>
      <c r="AI152" t="s">
        <v>9222</v>
      </c>
      <c r="AK152" t="s">
        <v>9221</v>
      </c>
      <c r="AL152">
        <v>0</v>
      </c>
      <c r="AM152" s="5">
        <f t="shared" si="18"/>
        <v>0</v>
      </c>
      <c r="AN152" s="4">
        <f t="shared" si="23"/>
        <v>0</v>
      </c>
      <c r="AO152" s="3"/>
      <c r="AP152">
        <v>0</v>
      </c>
      <c r="AR152" t="s">
        <v>0</v>
      </c>
      <c r="AT152" s="2" t="s">
        <v>126</v>
      </c>
      <c r="AU152" s="1">
        <f t="shared" si="19"/>
        <v>0.26347401297349238</v>
      </c>
      <c r="AV152" s="1">
        <f t="shared" si="20"/>
        <v>0.18819572355249459</v>
      </c>
      <c r="AW152" s="1">
        <f t="shared" si="21"/>
        <v>0.11291743413149673</v>
      </c>
    </row>
    <row r="153" spans="1:49" x14ac:dyDescent="0.2">
      <c r="A153">
        <v>151</v>
      </c>
      <c r="B153" t="s">
        <v>9220</v>
      </c>
      <c r="F153" t="s">
        <v>9219</v>
      </c>
      <c r="G153" t="s">
        <v>14</v>
      </c>
      <c r="H153" t="s">
        <v>13</v>
      </c>
      <c r="I153" t="s">
        <v>9218</v>
      </c>
      <c r="N153">
        <v>2</v>
      </c>
      <c r="O153" t="s">
        <v>9217</v>
      </c>
      <c r="P153" t="s">
        <v>9216</v>
      </c>
      <c r="Q153" t="s">
        <v>119</v>
      </c>
      <c r="R153" s="7">
        <v>32905</v>
      </c>
      <c r="S153" s="8">
        <f t="shared" si="16"/>
        <v>1990</v>
      </c>
      <c r="T153" s="8">
        <v>1990</v>
      </c>
      <c r="U153" s="8">
        <f t="shared" si="17"/>
        <v>32</v>
      </c>
      <c r="V153" s="7">
        <v>32905</v>
      </c>
      <c r="W153" t="s">
        <v>390</v>
      </c>
      <c r="X153" s="2">
        <v>0.14099999999999999</v>
      </c>
      <c r="Y153" s="6">
        <f t="shared" si="22"/>
        <v>3.7639144710498915E-3</v>
      </c>
      <c r="AA153">
        <v>402508</v>
      </c>
      <c r="AB153">
        <v>20868</v>
      </c>
      <c r="AD153" t="s">
        <v>5</v>
      </c>
      <c r="AE153">
        <v>45</v>
      </c>
      <c r="AF153">
        <v>2</v>
      </c>
      <c r="AH153" t="s">
        <v>9215</v>
      </c>
      <c r="AI153" t="s">
        <v>9214</v>
      </c>
      <c r="AK153" t="s">
        <v>9213</v>
      </c>
      <c r="AL153">
        <v>0</v>
      </c>
      <c r="AM153" s="5">
        <f t="shared" si="18"/>
        <v>0</v>
      </c>
      <c r="AN153" s="4">
        <f t="shared" si="23"/>
        <v>0</v>
      </c>
      <c r="AO153" s="3"/>
      <c r="AP153">
        <v>0</v>
      </c>
      <c r="AR153" t="s">
        <v>0</v>
      </c>
      <c r="AT153" s="2" t="s">
        <v>126</v>
      </c>
      <c r="AU153" s="1">
        <f t="shared" si="19"/>
        <v>0.26347401297349238</v>
      </c>
      <c r="AV153" s="1">
        <f t="shared" si="20"/>
        <v>0.18819572355249459</v>
      </c>
      <c r="AW153" s="1">
        <f t="shared" si="21"/>
        <v>0.11291743413149673</v>
      </c>
    </row>
    <row r="154" spans="1:49" x14ac:dyDescent="0.2">
      <c r="A154">
        <v>152</v>
      </c>
      <c r="B154" t="s">
        <v>9212</v>
      </c>
      <c r="F154" t="s">
        <v>9211</v>
      </c>
      <c r="G154" t="s">
        <v>14</v>
      </c>
      <c r="H154" t="s">
        <v>13</v>
      </c>
      <c r="I154" t="s">
        <v>9210</v>
      </c>
      <c r="N154">
        <v>3</v>
      </c>
      <c r="O154" t="s">
        <v>9209</v>
      </c>
      <c r="P154" t="s">
        <v>9208</v>
      </c>
      <c r="Q154" t="s">
        <v>391</v>
      </c>
      <c r="R154" s="7">
        <v>32905</v>
      </c>
      <c r="S154" s="8">
        <f t="shared" si="16"/>
        <v>1990</v>
      </c>
      <c r="T154" s="8">
        <v>1990</v>
      </c>
      <c r="U154" s="8">
        <f t="shared" si="17"/>
        <v>32</v>
      </c>
      <c r="V154" s="7">
        <v>32905</v>
      </c>
      <c r="W154" t="s">
        <v>390</v>
      </c>
      <c r="X154" s="2">
        <v>0.14099999999999999</v>
      </c>
      <c r="Y154" s="6">
        <f t="shared" si="22"/>
        <v>3.7639144710498915E-3</v>
      </c>
      <c r="AA154">
        <v>402508</v>
      </c>
      <c r="AB154">
        <v>20868</v>
      </c>
      <c r="AD154" t="s">
        <v>5</v>
      </c>
      <c r="AE154">
        <v>45</v>
      </c>
      <c r="AF154">
        <v>2</v>
      </c>
      <c r="AH154" t="s">
        <v>9207</v>
      </c>
      <c r="AI154" t="s">
        <v>9206</v>
      </c>
      <c r="AK154" t="s">
        <v>9205</v>
      </c>
      <c r="AL154">
        <v>0</v>
      </c>
      <c r="AM154" s="5">
        <f t="shared" si="18"/>
        <v>0</v>
      </c>
      <c r="AN154" s="4">
        <f t="shared" si="23"/>
        <v>0</v>
      </c>
      <c r="AO154" s="3"/>
      <c r="AP154">
        <v>0</v>
      </c>
      <c r="AR154" t="s">
        <v>0</v>
      </c>
      <c r="AT154" s="2" t="s">
        <v>126</v>
      </c>
      <c r="AU154" s="1">
        <f t="shared" si="19"/>
        <v>0.26347401297349238</v>
      </c>
      <c r="AV154" s="1">
        <f t="shared" si="20"/>
        <v>0.18819572355249459</v>
      </c>
      <c r="AW154" s="1">
        <f t="shared" si="21"/>
        <v>0.11291743413149673</v>
      </c>
    </row>
    <row r="155" spans="1:49" x14ac:dyDescent="0.2">
      <c r="A155">
        <v>153</v>
      </c>
      <c r="B155" t="s">
        <v>9204</v>
      </c>
      <c r="F155" t="s">
        <v>9203</v>
      </c>
      <c r="G155" t="s">
        <v>14</v>
      </c>
      <c r="H155" t="s">
        <v>13</v>
      </c>
      <c r="I155" t="s">
        <v>9202</v>
      </c>
      <c r="N155">
        <v>2</v>
      </c>
      <c r="O155" t="s">
        <v>9201</v>
      </c>
      <c r="P155" t="s">
        <v>9200</v>
      </c>
      <c r="Q155" t="s">
        <v>119</v>
      </c>
      <c r="R155" s="7">
        <v>32905</v>
      </c>
      <c r="S155" s="8">
        <f t="shared" si="16"/>
        <v>1990</v>
      </c>
      <c r="T155" s="8">
        <v>1990</v>
      </c>
      <c r="U155" s="8">
        <f t="shared" si="17"/>
        <v>32</v>
      </c>
      <c r="V155" s="7">
        <v>32905</v>
      </c>
      <c r="W155" t="s">
        <v>390</v>
      </c>
      <c r="X155" s="2">
        <v>0.14099999999999999</v>
      </c>
      <c r="Y155" s="6">
        <f t="shared" si="22"/>
        <v>3.7639144710498915E-3</v>
      </c>
      <c r="AA155">
        <v>402508</v>
      </c>
      <c r="AB155">
        <v>20868</v>
      </c>
      <c r="AD155" t="s">
        <v>5</v>
      </c>
      <c r="AE155">
        <v>45</v>
      </c>
      <c r="AF155">
        <v>2</v>
      </c>
      <c r="AH155" t="s">
        <v>9199</v>
      </c>
      <c r="AI155" t="s">
        <v>9198</v>
      </c>
      <c r="AK155" t="s">
        <v>9197</v>
      </c>
      <c r="AL155">
        <v>1</v>
      </c>
      <c r="AM155" s="5">
        <f t="shared" si="18"/>
        <v>3.125E-2</v>
      </c>
      <c r="AN155" s="4">
        <f t="shared" si="23"/>
        <v>4.73305566073457E-5</v>
      </c>
      <c r="AO155" s="3"/>
      <c r="AP155">
        <v>0</v>
      </c>
      <c r="AR155" t="s">
        <v>0</v>
      </c>
      <c r="AT155" s="2" t="s">
        <v>126</v>
      </c>
      <c r="AU155" s="1">
        <f t="shared" si="19"/>
        <v>0.26489392967171271</v>
      </c>
      <c r="AV155" s="1">
        <f t="shared" si="20"/>
        <v>0.19056225138286187</v>
      </c>
      <c r="AW155" s="1">
        <f t="shared" si="21"/>
        <v>0.11623057309401094</v>
      </c>
    </row>
    <row r="156" spans="1:49" x14ac:dyDescent="0.2">
      <c r="A156">
        <v>154</v>
      </c>
      <c r="B156" t="s">
        <v>9196</v>
      </c>
      <c r="F156" t="s">
        <v>9195</v>
      </c>
      <c r="G156" t="s">
        <v>14</v>
      </c>
      <c r="H156" t="s">
        <v>13</v>
      </c>
      <c r="I156" t="s">
        <v>9194</v>
      </c>
      <c r="N156">
        <v>2</v>
      </c>
      <c r="O156" t="s">
        <v>9193</v>
      </c>
      <c r="P156" t="s">
        <v>9192</v>
      </c>
      <c r="Q156" t="s">
        <v>119</v>
      </c>
      <c r="R156" s="7">
        <v>32905</v>
      </c>
      <c r="S156" s="8">
        <f t="shared" si="16"/>
        <v>1990</v>
      </c>
      <c r="T156" s="8">
        <v>1990</v>
      </c>
      <c r="U156" s="8">
        <f t="shared" si="17"/>
        <v>32</v>
      </c>
      <c r="V156" s="7">
        <v>32905</v>
      </c>
      <c r="W156" t="s">
        <v>390</v>
      </c>
      <c r="X156" s="2">
        <v>0.14099999999999999</v>
      </c>
      <c r="Y156" s="6">
        <f t="shared" si="22"/>
        <v>3.7639144710498915E-3</v>
      </c>
      <c r="AA156">
        <v>402508</v>
      </c>
      <c r="AB156">
        <v>20868</v>
      </c>
      <c r="AD156" t="s">
        <v>5</v>
      </c>
      <c r="AE156">
        <v>45</v>
      </c>
      <c r="AF156">
        <v>2</v>
      </c>
      <c r="AH156" t="s">
        <v>9191</v>
      </c>
      <c r="AI156" t="s">
        <v>9190</v>
      </c>
      <c r="AK156" t="s">
        <v>9189</v>
      </c>
      <c r="AL156">
        <v>0</v>
      </c>
      <c r="AM156" s="5">
        <f t="shared" si="18"/>
        <v>0</v>
      </c>
      <c r="AN156" s="4">
        <f t="shared" si="23"/>
        <v>0</v>
      </c>
      <c r="AO156" s="3"/>
      <c r="AP156">
        <v>0</v>
      </c>
      <c r="AR156" t="s">
        <v>0</v>
      </c>
      <c r="AT156" s="2" t="s">
        <v>126</v>
      </c>
      <c r="AU156" s="1">
        <f t="shared" si="19"/>
        <v>0.26347401297349238</v>
      </c>
      <c r="AV156" s="1">
        <f t="shared" si="20"/>
        <v>0.18819572355249459</v>
      </c>
      <c r="AW156" s="1">
        <f t="shared" si="21"/>
        <v>0.11291743413149673</v>
      </c>
    </row>
    <row r="157" spans="1:49" x14ac:dyDescent="0.2">
      <c r="A157">
        <v>155</v>
      </c>
      <c r="B157" t="s">
        <v>9188</v>
      </c>
      <c r="C157" t="s">
        <v>9187</v>
      </c>
      <c r="F157" t="s">
        <v>9186</v>
      </c>
      <c r="G157" t="s">
        <v>14</v>
      </c>
      <c r="H157" t="s">
        <v>13</v>
      </c>
      <c r="I157" t="s">
        <v>9185</v>
      </c>
      <c r="J157" t="s">
        <v>9184</v>
      </c>
      <c r="K157" t="s">
        <v>9183</v>
      </c>
      <c r="L157" t="s">
        <v>9182</v>
      </c>
      <c r="M157" t="s">
        <v>7760</v>
      </c>
      <c r="N157">
        <v>3</v>
      </c>
      <c r="O157" t="s">
        <v>9181</v>
      </c>
      <c r="P157" t="s">
        <v>9180</v>
      </c>
      <c r="Q157" t="s">
        <v>9179</v>
      </c>
      <c r="R157" s="7">
        <v>32905</v>
      </c>
      <c r="S157" s="8">
        <f t="shared" si="16"/>
        <v>1990</v>
      </c>
      <c r="T157" s="8">
        <v>1990</v>
      </c>
      <c r="U157" s="8">
        <f t="shared" si="17"/>
        <v>32</v>
      </c>
      <c r="V157" s="7">
        <v>32905</v>
      </c>
      <c r="W157" t="s">
        <v>9178</v>
      </c>
      <c r="X157" s="2">
        <v>0.93</v>
      </c>
      <c r="Y157" s="6">
        <f t="shared" si="22"/>
        <v>2.4825818851605671E-2</v>
      </c>
      <c r="AA157">
        <v>253162</v>
      </c>
      <c r="AB157">
        <v>12165</v>
      </c>
      <c r="AC157">
        <v>14321793</v>
      </c>
      <c r="AD157" t="s">
        <v>5</v>
      </c>
      <c r="AE157">
        <v>107</v>
      </c>
      <c r="AF157">
        <v>1</v>
      </c>
      <c r="AH157" t="s">
        <v>9177</v>
      </c>
      <c r="AI157" t="s">
        <v>9176</v>
      </c>
      <c r="AK157" t="s">
        <v>9175</v>
      </c>
      <c r="AL157">
        <v>28</v>
      </c>
      <c r="AM157" s="5">
        <f t="shared" si="18"/>
        <v>0.875</v>
      </c>
      <c r="AN157" s="4">
        <f t="shared" si="23"/>
        <v>1.3252555850056798E-3</v>
      </c>
      <c r="AO157" s="3"/>
      <c r="AP157">
        <v>0</v>
      </c>
      <c r="AR157" t="s">
        <v>0</v>
      </c>
      <c r="AT157" s="2">
        <v>2.573</v>
      </c>
      <c r="AU157" s="1">
        <f t="shared" si="19"/>
        <v>1.7775649871625672</v>
      </c>
      <c r="AV157" s="1">
        <f t="shared" si="20"/>
        <v>1.3075537218305675</v>
      </c>
      <c r="AW157" s="1">
        <f t="shared" si="21"/>
        <v>0.83754245649856762</v>
      </c>
    </row>
    <row r="158" spans="1:49" x14ac:dyDescent="0.2">
      <c r="A158">
        <v>156</v>
      </c>
      <c r="B158" t="s">
        <v>9174</v>
      </c>
      <c r="C158" t="s">
        <v>9173</v>
      </c>
      <c r="F158" t="s">
        <v>9172</v>
      </c>
      <c r="G158" t="s">
        <v>14</v>
      </c>
      <c r="H158" t="s">
        <v>13</v>
      </c>
      <c r="I158" t="s">
        <v>5292</v>
      </c>
      <c r="J158">
        <v>60016908</v>
      </c>
      <c r="K158" t="s">
        <v>9171</v>
      </c>
      <c r="L158" t="s">
        <v>9170</v>
      </c>
      <c r="M158" t="s">
        <v>135</v>
      </c>
      <c r="N158">
        <v>1</v>
      </c>
      <c r="O158" t="s">
        <v>9169</v>
      </c>
      <c r="P158">
        <v>7801344921</v>
      </c>
      <c r="Q158">
        <v>60016908</v>
      </c>
      <c r="R158" s="7">
        <v>32905</v>
      </c>
      <c r="S158" s="8">
        <f t="shared" si="16"/>
        <v>1990</v>
      </c>
      <c r="T158" s="8">
        <v>1990</v>
      </c>
      <c r="U158" s="8">
        <f t="shared" si="17"/>
        <v>32</v>
      </c>
      <c r="V158" s="7">
        <v>32905</v>
      </c>
      <c r="W158" t="s">
        <v>9168</v>
      </c>
      <c r="X158" s="2">
        <v>0.83599999999999997</v>
      </c>
      <c r="Y158" s="6">
        <f t="shared" si="22"/>
        <v>2.2316542537572408E-2</v>
      </c>
      <c r="AA158" t="s">
        <v>9167</v>
      </c>
      <c r="AB158">
        <v>19036</v>
      </c>
      <c r="AC158">
        <v>16156102</v>
      </c>
      <c r="AD158" t="s">
        <v>5</v>
      </c>
      <c r="AE158">
        <v>154</v>
      </c>
      <c r="AF158">
        <v>1</v>
      </c>
      <c r="AH158" t="s">
        <v>9166</v>
      </c>
      <c r="AI158" t="s">
        <v>9165</v>
      </c>
      <c r="AJ158" t="s">
        <v>9164</v>
      </c>
      <c r="AK158" t="s">
        <v>9163</v>
      </c>
      <c r="AL158">
        <v>73</v>
      </c>
      <c r="AM158" s="5">
        <f t="shared" si="18"/>
        <v>2.28125</v>
      </c>
      <c r="AN158" s="4">
        <f t="shared" si="23"/>
        <v>3.4551306323362362E-3</v>
      </c>
      <c r="AO158" s="3"/>
      <c r="AP158">
        <v>0</v>
      </c>
      <c r="AR158" t="s">
        <v>0</v>
      </c>
      <c r="AT158" s="2">
        <v>3.3559999999999999</v>
      </c>
      <c r="AU158" s="1">
        <f t="shared" si="19"/>
        <v>1.6658118966001556</v>
      </c>
      <c r="AV158" s="1">
        <f t="shared" si="20"/>
        <v>1.2885836584954322</v>
      </c>
      <c r="AW158" s="1">
        <f t="shared" si="21"/>
        <v>0.91135542039070883</v>
      </c>
    </row>
    <row r="159" spans="1:49" x14ac:dyDescent="0.2">
      <c r="A159">
        <v>157</v>
      </c>
      <c r="B159" t="s">
        <v>9162</v>
      </c>
      <c r="C159" t="s">
        <v>9161</v>
      </c>
      <c r="F159" t="s">
        <v>9160</v>
      </c>
      <c r="G159" t="s">
        <v>14</v>
      </c>
      <c r="H159" t="s">
        <v>13</v>
      </c>
      <c r="I159" t="s">
        <v>9159</v>
      </c>
      <c r="J159" t="s">
        <v>9158</v>
      </c>
      <c r="K159" t="s">
        <v>9157</v>
      </c>
      <c r="L159" t="s">
        <v>9156</v>
      </c>
      <c r="M159" t="s">
        <v>1702</v>
      </c>
      <c r="N159">
        <v>4</v>
      </c>
      <c r="O159" t="s">
        <v>9155</v>
      </c>
      <c r="P159" t="s">
        <v>9154</v>
      </c>
      <c r="Q159" t="s">
        <v>9153</v>
      </c>
      <c r="R159" s="7">
        <v>32905</v>
      </c>
      <c r="S159" s="8">
        <f t="shared" si="16"/>
        <v>1990</v>
      </c>
      <c r="T159" s="8">
        <v>1990</v>
      </c>
      <c r="U159" s="8">
        <f t="shared" si="17"/>
        <v>32</v>
      </c>
      <c r="V159" s="7">
        <v>32905</v>
      </c>
      <c r="W159" t="s">
        <v>369</v>
      </c>
      <c r="X159" s="2">
        <v>2.3759999999999999</v>
      </c>
      <c r="Y159" s="6">
        <f t="shared" si="22"/>
        <v>6.3425963001521576E-2</v>
      </c>
      <c r="AA159" t="s">
        <v>368</v>
      </c>
      <c r="AB159">
        <v>26765</v>
      </c>
      <c r="AC159">
        <v>15384357</v>
      </c>
      <c r="AD159" t="s">
        <v>5</v>
      </c>
      <c r="AE159">
        <v>349</v>
      </c>
      <c r="AF159">
        <v>2</v>
      </c>
      <c r="AH159" t="s">
        <v>9152</v>
      </c>
      <c r="AI159" t="s">
        <v>9151</v>
      </c>
      <c r="AJ159" t="s">
        <v>9150</v>
      </c>
      <c r="AK159" t="s">
        <v>9149</v>
      </c>
      <c r="AL159">
        <v>76</v>
      </c>
      <c r="AM159" s="5">
        <f t="shared" si="18"/>
        <v>2.375</v>
      </c>
      <c r="AN159" s="4">
        <f t="shared" si="23"/>
        <v>3.5971223021582736E-3</v>
      </c>
      <c r="AO159" s="3"/>
      <c r="AP159">
        <v>0</v>
      </c>
      <c r="AR159" t="s">
        <v>0</v>
      </c>
      <c r="AT159" s="2">
        <v>5.8739999999999997</v>
      </c>
      <c r="AU159" s="1">
        <f t="shared" si="19"/>
        <v>4.5477310791712586</v>
      </c>
      <c r="AV159" s="1">
        <f t="shared" si="20"/>
        <v>3.3511542651839927</v>
      </c>
      <c r="AW159" s="1">
        <f t="shared" si="21"/>
        <v>2.1545774511967264</v>
      </c>
    </row>
    <row r="160" spans="1:49" x14ac:dyDescent="0.2">
      <c r="A160">
        <v>158</v>
      </c>
      <c r="B160" t="s">
        <v>9148</v>
      </c>
      <c r="C160" t="s">
        <v>9147</v>
      </c>
      <c r="D160" t="s">
        <v>9146</v>
      </c>
      <c r="F160" t="s">
        <v>9145</v>
      </c>
      <c r="G160" t="s">
        <v>14</v>
      </c>
      <c r="H160" t="s">
        <v>13</v>
      </c>
      <c r="I160" t="s">
        <v>9144</v>
      </c>
      <c r="J160" t="s">
        <v>9138</v>
      </c>
      <c r="K160" t="s">
        <v>9143</v>
      </c>
      <c r="L160" t="s">
        <v>9142</v>
      </c>
      <c r="M160" t="s">
        <v>9141</v>
      </c>
      <c r="N160">
        <v>2</v>
      </c>
      <c r="O160" t="s">
        <v>9140</v>
      </c>
      <c r="P160" t="s">
        <v>9139</v>
      </c>
      <c r="Q160" t="s">
        <v>9138</v>
      </c>
      <c r="R160" s="7">
        <v>32902</v>
      </c>
      <c r="S160" s="8">
        <f t="shared" si="16"/>
        <v>1990</v>
      </c>
      <c r="T160" s="8">
        <v>1990</v>
      </c>
      <c r="U160" s="8">
        <f t="shared" si="17"/>
        <v>32</v>
      </c>
      <c r="V160" s="7">
        <v>32902</v>
      </c>
      <c r="W160" t="s">
        <v>9137</v>
      </c>
      <c r="X160" s="2">
        <v>0.499</v>
      </c>
      <c r="Y160" s="6">
        <f t="shared" si="22"/>
        <v>1.332052000747444E-2</v>
      </c>
      <c r="AA160">
        <v>3759601</v>
      </c>
      <c r="AB160">
        <v>29464</v>
      </c>
      <c r="AD160" t="s">
        <v>5</v>
      </c>
      <c r="AE160">
        <v>143</v>
      </c>
      <c r="AF160">
        <v>8</v>
      </c>
      <c r="AH160" t="s">
        <v>9136</v>
      </c>
      <c r="AI160" t="s">
        <v>9135</v>
      </c>
      <c r="AK160" t="s">
        <v>9134</v>
      </c>
      <c r="AL160">
        <v>3</v>
      </c>
      <c r="AM160" s="5">
        <f t="shared" si="18"/>
        <v>9.375E-2</v>
      </c>
      <c r="AN160" s="4">
        <f t="shared" si="23"/>
        <v>1.4199166982203711E-4</v>
      </c>
      <c r="AO160" s="3"/>
      <c r="AP160">
        <v>0</v>
      </c>
      <c r="AR160" t="s">
        <v>0</v>
      </c>
      <c r="AT160" s="2">
        <v>2.6539999999999999</v>
      </c>
      <c r="AU160" s="1">
        <f t="shared" si="19"/>
        <v>0.93669615061787193</v>
      </c>
      <c r="AV160" s="1">
        <f t="shared" si="20"/>
        <v>0.67312558386482391</v>
      </c>
      <c r="AW160" s="1">
        <f t="shared" si="21"/>
        <v>0.40955501711177578</v>
      </c>
    </row>
    <row r="161" spans="1:49" x14ac:dyDescent="0.2">
      <c r="A161">
        <v>159</v>
      </c>
      <c r="B161" t="s">
        <v>9133</v>
      </c>
      <c r="C161" t="s">
        <v>9132</v>
      </c>
      <c r="D161" t="s">
        <v>9131</v>
      </c>
      <c r="E161">
        <v>2184090</v>
      </c>
      <c r="F161" t="s">
        <v>9130</v>
      </c>
      <c r="G161" t="s">
        <v>14</v>
      </c>
      <c r="H161" t="s">
        <v>13</v>
      </c>
      <c r="I161" t="s">
        <v>9129</v>
      </c>
      <c r="J161" t="s">
        <v>9128</v>
      </c>
      <c r="K161" t="s">
        <v>9127</v>
      </c>
      <c r="L161" t="s">
        <v>9126</v>
      </c>
      <c r="M161" t="s">
        <v>84</v>
      </c>
      <c r="N161">
        <v>4</v>
      </c>
      <c r="O161" t="s">
        <v>9125</v>
      </c>
      <c r="P161" t="s">
        <v>9124</v>
      </c>
      <c r="Q161" t="s">
        <v>9123</v>
      </c>
      <c r="R161" s="7">
        <v>32888</v>
      </c>
      <c r="S161" s="8">
        <f t="shared" si="16"/>
        <v>1990</v>
      </c>
      <c r="T161" s="8">
        <v>1990</v>
      </c>
      <c r="U161" s="8">
        <f t="shared" si="17"/>
        <v>32</v>
      </c>
      <c r="V161" s="7">
        <v>32888</v>
      </c>
      <c r="W161" t="s">
        <v>9122</v>
      </c>
      <c r="X161" s="2">
        <v>0.89900000000000002</v>
      </c>
      <c r="Y161" s="6">
        <f t="shared" si="22"/>
        <v>2.399829155655215E-2</v>
      </c>
      <c r="AA161">
        <v>3781097</v>
      </c>
      <c r="AB161">
        <v>19706</v>
      </c>
      <c r="AC161">
        <v>15746968</v>
      </c>
      <c r="AD161" t="s">
        <v>5</v>
      </c>
      <c r="AE161">
        <v>67</v>
      </c>
      <c r="AF161" s="9">
        <v>44228</v>
      </c>
      <c r="AH161" t="s">
        <v>9121</v>
      </c>
      <c r="AI161" t="s">
        <v>9120</v>
      </c>
      <c r="AJ161" t="s">
        <v>9119</v>
      </c>
      <c r="AK161" t="s">
        <v>9118</v>
      </c>
      <c r="AL161">
        <v>21</v>
      </c>
      <c r="AM161" s="5">
        <f t="shared" si="18"/>
        <v>0.65625</v>
      </c>
      <c r="AN161" s="4">
        <f t="shared" si="23"/>
        <v>9.9394168875425971E-4</v>
      </c>
      <c r="AO161" s="3"/>
      <c r="AP161">
        <v>1</v>
      </c>
      <c r="AQ161" t="s">
        <v>1425</v>
      </c>
      <c r="AR161" t="s">
        <v>9117</v>
      </c>
      <c r="AS161" t="s">
        <v>1423</v>
      </c>
      <c r="AT161" s="2">
        <v>2.742</v>
      </c>
      <c r="AU161" s="1">
        <f t="shared" si="19"/>
        <v>1.7096986596212778</v>
      </c>
      <c r="AV161" s="1">
        <f t="shared" si="20"/>
        <v>1.2496116622653204</v>
      </c>
      <c r="AW161" s="1">
        <f t="shared" si="21"/>
        <v>0.78952466490936257</v>
      </c>
    </row>
    <row r="162" spans="1:49" x14ac:dyDescent="0.2">
      <c r="A162">
        <v>160</v>
      </c>
      <c r="B162" t="s">
        <v>9116</v>
      </c>
      <c r="C162" t="s">
        <v>9115</v>
      </c>
      <c r="F162" t="s">
        <v>9114</v>
      </c>
      <c r="G162" t="s">
        <v>14</v>
      </c>
      <c r="H162" t="s">
        <v>13</v>
      </c>
      <c r="I162" t="s">
        <v>4783</v>
      </c>
      <c r="J162">
        <v>60031806</v>
      </c>
      <c r="K162" t="s">
        <v>4782</v>
      </c>
      <c r="L162" t="s">
        <v>4781</v>
      </c>
      <c r="M162" t="s">
        <v>1224</v>
      </c>
      <c r="N162">
        <v>3</v>
      </c>
      <c r="O162" t="s">
        <v>9113</v>
      </c>
      <c r="P162" t="s">
        <v>9112</v>
      </c>
      <c r="Q162" t="s">
        <v>7646</v>
      </c>
      <c r="R162" s="7">
        <v>32887</v>
      </c>
      <c r="S162" s="8">
        <f t="shared" si="16"/>
        <v>1990</v>
      </c>
      <c r="T162" s="8">
        <v>1990</v>
      </c>
      <c r="U162" s="8">
        <f t="shared" si="17"/>
        <v>32</v>
      </c>
      <c r="V162" s="7">
        <v>32887</v>
      </c>
      <c r="W162" t="s">
        <v>9111</v>
      </c>
      <c r="X162" s="2">
        <v>0.85699999999999998</v>
      </c>
      <c r="Y162" s="6">
        <f t="shared" si="22"/>
        <v>2.287712554389899E-2</v>
      </c>
      <c r="AA162">
        <v>223727</v>
      </c>
      <c r="AB162">
        <v>28570</v>
      </c>
      <c r="AC162">
        <v>13616463</v>
      </c>
      <c r="AD162" t="s">
        <v>5</v>
      </c>
      <c r="AE162">
        <v>23</v>
      </c>
      <c r="AF162">
        <v>1</v>
      </c>
      <c r="AH162" s="9">
        <v>44348</v>
      </c>
      <c r="AI162" t="s">
        <v>9110</v>
      </c>
      <c r="AK162" t="s">
        <v>9109</v>
      </c>
      <c r="AL162">
        <v>15</v>
      </c>
      <c r="AM162" s="5">
        <f t="shared" si="18"/>
        <v>0.46875</v>
      </c>
      <c r="AN162" s="4">
        <f t="shared" si="23"/>
        <v>7.0995834911018554E-4</v>
      </c>
      <c r="AO162" s="3"/>
      <c r="AP162">
        <v>0</v>
      </c>
      <c r="AR162" t="s">
        <v>0</v>
      </c>
      <c r="AT162" s="2" t="s">
        <v>126</v>
      </c>
      <c r="AU162" s="1">
        <f t="shared" si="19"/>
        <v>1.6226975385462348</v>
      </c>
      <c r="AV162" s="1">
        <f t="shared" si="20"/>
        <v>1.1793541946504589</v>
      </c>
      <c r="AW162" s="1">
        <f t="shared" si="21"/>
        <v>0.73601085075468275</v>
      </c>
    </row>
    <row r="163" spans="1:49" x14ac:dyDescent="0.2">
      <c r="A163">
        <v>161</v>
      </c>
      <c r="B163" t="s">
        <v>9108</v>
      </c>
      <c r="C163" t="s">
        <v>9107</v>
      </c>
      <c r="D163" t="s">
        <v>9106</v>
      </c>
      <c r="F163" t="s">
        <v>9105</v>
      </c>
      <c r="G163" t="s">
        <v>14</v>
      </c>
      <c r="H163" t="s">
        <v>13</v>
      </c>
      <c r="I163" t="s">
        <v>9104</v>
      </c>
      <c r="J163">
        <v>60003729</v>
      </c>
      <c r="K163" t="s">
        <v>8384</v>
      </c>
      <c r="L163" t="s">
        <v>8383</v>
      </c>
      <c r="M163" t="s">
        <v>1637</v>
      </c>
      <c r="N163">
        <v>2</v>
      </c>
      <c r="O163" t="s">
        <v>9103</v>
      </c>
      <c r="P163" t="s">
        <v>9102</v>
      </c>
      <c r="Q163" t="s">
        <v>9101</v>
      </c>
      <c r="R163" s="7">
        <v>32877</v>
      </c>
      <c r="S163" s="8">
        <f t="shared" si="16"/>
        <v>1990</v>
      </c>
      <c r="T163" s="8">
        <v>1990</v>
      </c>
      <c r="U163" s="8">
        <f t="shared" si="17"/>
        <v>32</v>
      </c>
      <c r="V163" s="7">
        <v>32877</v>
      </c>
      <c r="W163" t="s">
        <v>9100</v>
      </c>
      <c r="X163" s="2">
        <v>1.59</v>
      </c>
      <c r="Y163" s="6">
        <f t="shared" si="22"/>
        <v>4.2444141907583888E-2</v>
      </c>
      <c r="AA163">
        <v>52728</v>
      </c>
      <c r="AB163">
        <v>16791</v>
      </c>
      <c r="AD163" t="s">
        <v>5</v>
      </c>
      <c r="AE163">
        <v>1015</v>
      </c>
      <c r="AF163">
        <v>1</v>
      </c>
      <c r="AH163" t="s">
        <v>9099</v>
      </c>
      <c r="AI163" t="s">
        <v>9098</v>
      </c>
      <c r="AJ163" t="s">
        <v>9097</v>
      </c>
      <c r="AK163" t="s">
        <v>9096</v>
      </c>
      <c r="AL163">
        <v>44</v>
      </c>
      <c r="AM163" s="5">
        <f t="shared" si="18"/>
        <v>1.375</v>
      </c>
      <c r="AN163" s="4">
        <f t="shared" si="23"/>
        <v>2.0825444907232107E-3</v>
      </c>
      <c r="AO163" s="3"/>
      <c r="AP163">
        <v>0</v>
      </c>
      <c r="AR163" t="s">
        <v>0</v>
      </c>
      <c r="AT163" s="2" t="s">
        <v>126</v>
      </c>
      <c r="AU163" s="1">
        <f t="shared" si="19"/>
        <v>3.0335662682525686</v>
      </c>
      <c r="AV163" s="1">
        <f t="shared" si="20"/>
        <v>2.2263343199153551</v>
      </c>
      <c r="AW163" s="1">
        <f t="shared" si="21"/>
        <v>1.4191023715781412</v>
      </c>
    </row>
    <row r="164" spans="1:49" x14ac:dyDescent="0.2">
      <c r="A164">
        <v>162</v>
      </c>
      <c r="B164" t="s">
        <v>9095</v>
      </c>
      <c r="F164" t="s">
        <v>9094</v>
      </c>
      <c r="G164" t="s">
        <v>14</v>
      </c>
      <c r="H164" t="s">
        <v>13</v>
      </c>
      <c r="I164" t="s">
        <v>9093</v>
      </c>
      <c r="J164">
        <v>60000990</v>
      </c>
      <c r="K164" t="s">
        <v>5680</v>
      </c>
      <c r="L164" t="s">
        <v>210</v>
      </c>
      <c r="M164" t="s">
        <v>209</v>
      </c>
      <c r="N164">
        <v>1</v>
      </c>
      <c r="O164" t="s">
        <v>9092</v>
      </c>
      <c r="P164">
        <v>7003967768</v>
      </c>
      <c r="Q164">
        <v>60000990</v>
      </c>
      <c r="R164" s="7">
        <v>32874</v>
      </c>
      <c r="S164" s="8">
        <f t="shared" si="16"/>
        <v>1990</v>
      </c>
      <c r="T164" s="8">
        <v>1990</v>
      </c>
      <c r="U164" s="8">
        <f t="shared" si="17"/>
        <v>32</v>
      </c>
      <c r="V164" s="7">
        <v>1990</v>
      </c>
      <c r="W164" t="s">
        <v>9091</v>
      </c>
      <c r="X164" s="2" t="s">
        <v>126</v>
      </c>
      <c r="Y164" s="6" t="e">
        <f t="shared" si="22"/>
        <v>#VALUE!</v>
      </c>
      <c r="AA164">
        <v>3668746</v>
      </c>
      <c r="AB164">
        <v>64260</v>
      </c>
      <c r="AD164" t="s">
        <v>5</v>
      </c>
      <c r="AF164">
        <v>740</v>
      </c>
      <c r="AI164" t="s">
        <v>9090</v>
      </c>
      <c r="AK164" t="s">
        <v>9089</v>
      </c>
      <c r="AL164">
        <v>0</v>
      </c>
      <c r="AM164" s="5">
        <f t="shared" si="18"/>
        <v>0</v>
      </c>
      <c r="AN164" s="4">
        <f t="shared" si="23"/>
        <v>0</v>
      </c>
      <c r="AO164" s="3"/>
      <c r="AP164">
        <v>0</v>
      </c>
      <c r="AR164" t="s">
        <v>0</v>
      </c>
      <c r="AT164" s="2" t="s">
        <v>126</v>
      </c>
      <c r="AU164" s="1" t="e">
        <f t="shared" si="19"/>
        <v>#VALUE!</v>
      </c>
      <c r="AV164" s="1" t="e">
        <f t="shared" si="20"/>
        <v>#VALUE!</v>
      </c>
      <c r="AW164" s="1" t="e">
        <f t="shared" si="21"/>
        <v>#VALUE!</v>
      </c>
    </row>
    <row r="165" spans="1:49" x14ac:dyDescent="0.2">
      <c r="A165">
        <v>163</v>
      </c>
      <c r="B165" t="s">
        <v>9088</v>
      </c>
      <c r="C165" t="s">
        <v>9087</v>
      </c>
      <c r="D165" t="s">
        <v>9086</v>
      </c>
      <c r="F165" t="s">
        <v>9085</v>
      </c>
      <c r="G165" t="s">
        <v>14</v>
      </c>
      <c r="H165" t="s">
        <v>13</v>
      </c>
      <c r="I165" t="s">
        <v>8974</v>
      </c>
      <c r="J165" t="s">
        <v>8973</v>
      </c>
      <c r="K165" t="s">
        <v>8972</v>
      </c>
      <c r="L165" t="s">
        <v>8971</v>
      </c>
      <c r="M165" t="s">
        <v>8970</v>
      </c>
      <c r="N165">
        <v>2</v>
      </c>
      <c r="O165" t="s">
        <v>8969</v>
      </c>
      <c r="P165" t="s">
        <v>8968</v>
      </c>
      <c r="Q165" t="s">
        <v>8967</v>
      </c>
      <c r="R165" s="7">
        <v>32874</v>
      </c>
      <c r="S165" s="8">
        <f t="shared" si="16"/>
        <v>1990</v>
      </c>
      <c r="T165" s="8">
        <v>1990</v>
      </c>
      <c r="U165" s="8">
        <f t="shared" si="17"/>
        <v>32</v>
      </c>
      <c r="V165" s="7">
        <v>1990</v>
      </c>
      <c r="W165" t="s">
        <v>7833</v>
      </c>
      <c r="X165" s="2">
        <v>1.032</v>
      </c>
      <c r="Y165" s="6">
        <f t="shared" si="22"/>
        <v>2.7548650596620487E-2</v>
      </c>
      <c r="AA165">
        <v>1761617</v>
      </c>
      <c r="AB165">
        <v>19257</v>
      </c>
      <c r="AD165" t="s">
        <v>5</v>
      </c>
      <c r="AE165">
        <v>136</v>
      </c>
      <c r="AF165">
        <v>3</v>
      </c>
      <c r="AH165" t="s">
        <v>9084</v>
      </c>
      <c r="AI165" t="s">
        <v>9083</v>
      </c>
      <c r="AJ165" t="s">
        <v>9082</v>
      </c>
      <c r="AK165" t="s">
        <v>9081</v>
      </c>
      <c r="AL165">
        <v>11</v>
      </c>
      <c r="AM165" s="5">
        <f t="shared" si="18"/>
        <v>0.34375</v>
      </c>
      <c r="AN165" s="4">
        <f t="shared" si="23"/>
        <v>5.2063612268080268E-4</v>
      </c>
      <c r="AO165" s="3"/>
      <c r="AP165">
        <v>0</v>
      </c>
      <c r="AR165" t="s">
        <v>0</v>
      </c>
      <c r="AT165" s="2">
        <v>3.5489999999999999</v>
      </c>
      <c r="AU165" s="1">
        <f t="shared" si="19"/>
        <v>1.944024625443858</v>
      </c>
      <c r="AV165" s="1">
        <f t="shared" si="20"/>
        <v>1.4034643359650645</v>
      </c>
      <c r="AW165" s="1">
        <f t="shared" si="21"/>
        <v>0.86290404648627062</v>
      </c>
    </row>
    <row r="166" spans="1:49" x14ac:dyDescent="0.2">
      <c r="A166">
        <v>164</v>
      </c>
      <c r="B166" t="s">
        <v>9080</v>
      </c>
      <c r="C166" t="s">
        <v>9079</v>
      </c>
      <c r="D166" t="s">
        <v>9078</v>
      </c>
      <c r="F166" t="s">
        <v>9077</v>
      </c>
      <c r="G166" t="s">
        <v>14</v>
      </c>
      <c r="H166" t="s">
        <v>13</v>
      </c>
      <c r="I166" t="s">
        <v>9076</v>
      </c>
      <c r="J166">
        <v>60000481</v>
      </c>
      <c r="K166" t="s">
        <v>9075</v>
      </c>
      <c r="L166" t="s">
        <v>9074</v>
      </c>
      <c r="M166" t="s">
        <v>184</v>
      </c>
      <c r="N166">
        <v>4</v>
      </c>
      <c r="O166" t="s">
        <v>9073</v>
      </c>
      <c r="P166" t="s">
        <v>9072</v>
      </c>
      <c r="Q166" t="s">
        <v>9071</v>
      </c>
      <c r="R166" s="7">
        <v>32874</v>
      </c>
      <c r="S166" s="8">
        <f t="shared" si="16"/>
        <v>1990</v>
      </c>
      <c r="T166" s="8">
        <v>1990</v>
      </c>
      <c r="U166" s="8">
        <f t="shared" si="17"/>
        <v>32</v>
      </c>
      <c r="V166" s="7">
        <v>1990</v>
      </c>
      <c r="W166" t="s">
        <v>7833</v>
      </c>
      <c r="X166" s="2">
        <v>1.032</v>
      </c>
      <c r="Y166" s="6">
        <f t="shared" si="22"/>
        <v>2.7548650596620487E-2</v>
      </c>
      <c r="AA166">
        <v>1761617</v>
      </c>
      <c r="AB166">
        <v>19257</v>
      </c>
      <c r="AD166" t="s">
        <v>5</v>
      </c>
      <c r="AE166">
        <v>136</v>
      </c>
      <c r="AF166">
        <v>4</v>
      </c>
      <c r="AH166" t="s">
        <v>9070</v>
      </c>
      <c r="AI166" t="s">
        <v>9069</v>
      </c>
      <c r="AJ166" t="s">
        <v>9068</v>
      </c>
      <c r="AK166" t="s">
        <v>9067</v>
      </c>
      <c r="AL166">
        <v>1</v>
      </c>
      <c r="AM166" s="5">
        <f t="shared" si="18"/>
        <v>3.125E-2</v>
      </c>
      <c r="AN166" s="4">
        <f t="shared" si="23"/>
        <v>4.73305566073457E-5</v>
      </c>
      <c r="AO166" s="3"/>
      <c r="AP166">
        <v>0</v>
      </c>
      <c r="AR166" t="s">
        <v>0</v>
      </c>
      <c r="AT166" s="2">
        <v>3.5489999999999999</v>
      </c>
      <c r="AU166" s="1">
        <f t="shared" si="19"/>
        <v>1.9298254584616543</v>
      </c>
      <c r="AV166" s="1">
        <f t="shared" si="20"/>
        <v>1.3797990576613917</v>
      </c>
      <c r="AW166" s="1">
        <f t="shared" si="21"/>
        <v>0.82977265686112867</v>
      </c>
    </row>
    <row r="167" spans="1:49" x14ac:dyDescent="0.2">
      <c r="A167">
        <v>165</v>
      </c>
      <c r="B167" t="s">
        <v>9066</v>
      </c>
      <c r="C167" t="s">
        <v>9065</v>
      </c>
      <c r="F167" t="s">
        <v>9064</v>
      </c>
      <c r="G167" t="s">
        <v>14</v>
      </c>
      <c r="H167" t="s">
        <v>13</v>
      </c>
      <c r="I167" t="s">
        <v>9063</v>
      </c>
      <c r="J167">
        <v>60091909</v>
      </c>
      <c r="K167" t="s">
        <v>9062</v>
      </c>
      <c r="L167" t="s">
        <v>662</v>
      </c>
      <c r="M167" t="s">
        <v>253</v>
      </c>
      <c r="N167">
        <v>1</v>
      </c>
      <c r="O167" t="s">
        <v>9061</v>
      </c>
      <c r="P167">
        <v>7403386457</v>
      </c>
      <c r="Q167">
        <v>60091909</v>
      </c>
      <c r="R167" s="7">
        <v>32874</v>
      </c>
      <c r="S167" s="8">
        <f t="shared" si="16"/>
        <v>1990</v>
      </c>
      <c r="T167" s="8">
        <v>1990</v>
      </c>
      <c r="U167" s="8">
        <f t="shared" si="17"/>
        <v>32</v>
      </c>
      <c r="V167" s="7">
        <v>1990</v>
      </c>
      <c r="W167" t="s">
        <v>8136</v>
      </c>
      <c r="X167" s="2">
        <v>0.312</v>
      </c>
      <c r="Y167" s="6">
        <f t="shared" si="22"/>
        <v>8.3286618082806119E-3</v>
      </c>
      <c r="AA167">
        <v>9540695</v>
      </c>
      <c r="AB167">
        <v>61637</v>
      </c>
      <c r="AD167" t="s">
        <v>5</v>
      </c>
      <c r="AE167">
        <v>2</v>
      </c>
      <c r="AF167">
        <v>2</v>
      </c>
      <c r="AH167" t="s">
        <v>9060</v>
      </c>
      <c r="AI167" t="s">
        <v>9059</v>
      </c>
      <c r="AK167" t="s">
        <v>9058</v>
      </c>
      <c r="AL167">
        <v>0</v>
      </c>
      <c r="AM167" s="5">
        <f t="shared" si="18"/>
        <v>0</v>
      </c>
      <c r="AN167" s="4">
        <f t="shared" si="23"/>
        <v>0</v>
      </c>
      <c r="AO167" s="3"/>
      <c r="AP167">
        <v>0</v>
      </c>
      <c r="AR167" t="s">
        <v>0</v>
      </c>
      <c r="AT167" s="2" t="s">
        <v>126</v>
      </c>
      <c r="AU167" s="1">
        <f t="shared" si="19"/>
        <v>0.5830063265796428</v>
      </c>
      <c r="AV167" s="1">
        <f t="shared" si="20"/>
        <v>0.41643309041403059</v>
      </c>
      <c r="AW167" s="1">
        <f t="shared" si="21"/>
        <v>0.24985985424841833</v>
      </c>
    </row>
    <row r="168" spans="1:49" x14ac:dyDescent="0.2">
      <c r="A168">
        <v>166</v>
      </c>
      <c r="B168" t="s">
        <v>9057</v>
      </c>
      <c r="C168" t="s">
        <v>9056</v>
      </c>
      <c r="F168" t="s">
        <v>9055</v>
      </c>
      <c r="G168" t="s">
        <v>14</v>
      </c>
      <c r="H168" t="s">
        <v>13</v>
      </c>
      <c r="I168" t="s">
        <v>9054</v>
      </c>
      <c r="J168">
        <v>60008150</v>
      </c>
      <c r="K168" t="s">
        <v>9053</v>
      </c>
      <c r="L168" t="s">
        <v>8279</v>
      </c>
      <c r="M168" t="s">
        <v>267</v>
      </c>
      <c r="N168">
        <v>1</v>
      </c>
      <c r="O168" t="s">
        <v>9052</v>
      </c>
      <c r="P168">
        <v>56274447800</v>
      </c>
      <c r="Q168">
        <v>60008150</v>
      </c>
      <c r="R168" s="7">
        <v>32874</v>
      </c>
      <c r="S168" s="8">
        <f t="shared" si="16"/>
        <v>1990</v>
      </c>
      <c r="T168" s="8">
        <v>1990</v>
      </c>
      <c r="U168" s="8">
        <f t="shared" si="17"/>
        <v>32</v>
      </c>
      <c r="V168" s="7">
        <v>1990</v>
      </c>
      <c r="W168" t="s">
        <v>9051</v>
      </c>
      <c r="X168" s="2">
        <v>0.39200000000000002</v>
      </c>
      <c r="Y168" s="6">
        <f t="shared" si="22"/>
        <v>1.0464216118096155E-2</v>
      </c>
      <c r="AA168">
        <v>9106340</v>
      </c>
      <c r="AB168">
        <v>22683</v>
      </c>
      <c r="AC168">
        <v>13482246</v>
      </c>
      <c r="AD168" t="s">
        <v>5</v>
      </c>
      <c r="AE168">
        <v>6</v>
      </c>
      <c r="AF168">
        <v>1</v>
      </c>
      <c r="AH168" t="s">
        <v>9050</v>
      </c>
      <c r="AJ168" t="s">
        <v>9049</v>
      </c>
      <c r="AL168">
        <v>3</v>
      </c>
      <c r="AM168" s="5">
        <f t="shared" si="18"/>
        <v>9.375E-2</v>
      </c>
      <c r="AN168" s="4">
        <f t="shared" si="23"/>
        <v>1.4199166982203711E-4</v>
      </c>
      <c r="AO168" s="3"/>
      <c r="AP168">
        <v>1</v>
      </c>
      <c r="AR168" t="s">
        <v>0</v>
      </c>
      <c r="AT168" s="2">
        <v>2.081</v>
      </c>
      <c r="AU168" s="1">
        <f t="shared" si="19"/>
        <v>0.73675487836139186</v>
      </c>
      <c r="AV168" s="1">
        <f t="shared" si="20"/>
        <v>0.53031038939590958</v>
      </c>
      <c r="AW168" s="1">
        <f t="shared" si="21"/>
        <v>0.32386590043042723</v>
      </c>
    </row>
    <row r="169" spans="1:49" x14ac:dyDescent="0.2">
      <c r="A169">
        <v>167</v>
      </c>
      <c r="B169" t="s">
        <v>9048</v>
      </c>
      <c r="C169" t="s">
        <v>9047</v>
      </c>
      <c r="F169" t="s">
        <v>9046</v>
      </c>
      <c r="G169" t="s">
        <v>14</v>
      </c>
      <c r="H169" t="s">
        <v>13</v>
      </c>
      <c r="I169" t="s">
        <v>9045</v>
      </c>
      <c r="J169" t="s">
        <v>9044</v>
      </c>
      <c r="K169" t="s">
        <v>9043</v>
      </c>
      <c r="L169" t="s">
        <v>9042</v>
      </c>
      <c r="M169" t="s">
        <v>9041</v>
      </c>
      <c r="N169">
        <v>2</v>
      </c>
      <c r="O169" t="s">
        <v>9040</v>
      </c>
      <c r="P169" t="s">
        <v>9039</v>
      </c>
      <c r="Q169" t="s">
        <v>9038</v>
      </c>
      <c r="R169" s="7">
        <v>32874</v>
      </c>
      <c r="S169" s="8">
        <f t="shared" si="16"/>
        <v>1990</v>
      </c>
      <c r="T169" s="8">
        <v>1990</v>
      </c>
      <c r="U169" s="8">
        <f t="shared" si="17"/>
        <v>32</v>
      </c>
      <c r="V169" s="7">
        <v>1990</v>
      </c>
      <c r="W169" t="s">
        <v>9019</v>
      </c>
      <c r="X169" s="2">
        <v>0.46300000000000002</v>
      </c>
      <c r="Y169" s="6">
        <f t="shared" si="22"/>
        <v>1.2359520568057447E-2</v>
      </c>
      <c r="AA169">
        <v>36862</v>
      </c>
      <c r="AB169">
        <v>19141</v>
      </c>
      <c r="AC169" t="s">
        <v>9018</v>
      </c>
      <c r="AD169" t="s">
        <v>5</v>
      </c>
      <c r="AE169">
        <v>25</v>
      </c>
      <c r="AF169">
        <v>2</v>
      </c>
      <c r="AH169" t="s">
        <v>9037</v>
      </c>
      <c r="AI169" t="s">
        <v>9036</v>
      </c>
      <c r="AK169" t="s">
        <v>9035</v>
      </c>
      <c r="AL169">
        <v>32</v>
      </c>
      <c r="AM169" s="5">
        <f t="shared" si="18"/>
        <v>1</v>
      </c>
      <c r="AN169" s="4">
        <f t="shared" si="23"/>
        <v>1.5145778114350624E-3</v>
      </c>
      <c r="AO169" s="3"/>
      <c r="AP169">
        <v>1</v>
      </c>
      <c r="AR169" t="s">
        <v>0</v>
      </c>
      <c r="AT169" s="2">
        <v>1.403</v>
      </c>
      <c r="AU169" s="1">
        <f t="shared" si="19"/>
        <v>0.91060377410707316</v>
      </c>
      <c r="AV169" s="1">
        <f t="shared" si="20"/>
        <v>0.6937049189746255</v>
      </c>
      <c r="AW169" s="1">
        <f t="shared" si="21"/>
        <v>0.47680606384217772</v>
      </c>
    </row>
    <row r="170" spans="1:49" x14ac:dyDescent="0.2">
      <c r="A170">
        <v>168</v>
      </c>
      <c r="B170" t="s">
        <v>9034</v>
      </c>
      <c r="C170" t="s">
        <v>9033</v>
      </c>
      <c r="F170" t="s">
        <v>9032</v>
      </c>
      <c r="G170" t="s">
        <v>14</v>
      </c>
      <c r="H170" t="s">
        <v>13</v>
      </c>
      <c r="I170" t="s">
        <v>9031</v>
      </c>
      <c r="J170">
        <v>60011418</v>
      </c>
      <c r="K170" t="s">
        <v>9030</v>
      </c>
      <c r="L170" t="s">
        <v>9029</v>
      </c>
      <c r="M170" t="s">
        <v>267</v>
      </c>
      <c r="N170">
        <v>1</v>
      </c>
      <c r="O170" t="s">
        <v>9028</v>
      </c>
      <c r="P170">
        <v>57192343992</v>
      </c>
      <c r="Q170">
        <v>60011418</v>
      </c>
      <c r="R170" s="7">
        <v>32874</v>
      </c>
      <c r="S170" s="8">
        <f t="shared" si="16"/>
        <v>1990</v>
      </c>
      <c r="T170" s="8">
        <v>1990</v>
      </c>
      <c r="U170" s="8">
        <f t="shared" si="17"/>
        <v>32</v>
      </c>
      <c r="V170" s="7">
        <v>1990</v>
      </c>
      <c r="W170" t="s">
        <v>9019</v>
      </c>
      <c r="X170" s="2">
        <v>0.46300000000000002</v>
      </c>
      <c r="Y170" s="6">
        <f t="shared" si="22"/>
        <v>1.2359520568057447E-2</v>
      </c>
      <c r="AA170">
        <v>36862</v>
      </c>
      <c r="AB170">
        <v>19141</v>
      </c>
      <c r="AC170" t="s">
        <v>9018</v>
      </c>
      <c r="AD170" t="s">
        <v>5</v>
      </c>
      <c r="AE170">
        <v>25</v>
      </c>
      <c r="AF170">
        <v>4</v>
      </c>
      <c r="AH170" t="s">
        <v>9027</v>
      </c>
      <c r="AI170" t="s">
        <v>9026</v>
      </c>
      <c r="AK170" t="s">
        <v>9025</v>
      </c>
      <c r="AL170">
        <v>40</v>
      </c>
      <c r="AM170" s="5">
        <f t="shared" si="18"/>
        <v>1.25</v>
      </c>
      <c r="AN170" s="4">
        <f t="shared" si="23"/>
        <v>1.8932222642938281E-3</v>
      </c>
      <c r="AO170" s="3"/>
      <c r="AP170">
        <v>1</v>
      </c>
      <c r="AR170" t="s">
        <v>0</v>
      </c>
      <c r="AT170" s="2">
        <v>1.403</v>
      </c>
      <c r="AU170" s="1">
        <f t="shared" si="19"/>
        <v>0.92196310769283607</v>
      </c>
      <c r="AV170" s="1">
        <f t="shared" si="20"/>
        <v>0.71263714161756375</v>
      </c>
      <c r="AW170" s="1">
        <f t="shared" si="21"/>
        <v>0.50331117554229132</v>
      </c>
    </row>
    <row r="171" spans="1:49" x14ac:dyDescent="0.2">
      <c r="A171">
        <v>169</v>
      </c>
      <c r="B171" t="s">
        <v>9024</v>
      </c>
      <c r="C171" t="s">
        <v>9023</v>
      </c>
      <c r="F171" t="s">
        <v>9022</v>
      </c>
      <c r="G171" t="s">
        <v>14</v>
      </c>
      <c r="H171" t="s">
        <v>13</v>
      </c>
      <c r="I171" t="s">
        <v>9021</v>
      </c>
      <c r="J171">
        <v>60014652</v>
      </c>
      <c r="K171" t="s">
        <v>3753</v>
      </c>
      <c r="L171" t="s">
        <v>3752</v>
      </c>
      <c r="M171" t="s">
        <v>267</v>
      </c>
      <c r="N171">
        <v>1</v>
      </c>
      <c r="O171" t="s">
        <v>9020</v>
      </c>
      <c r="P171">
        <v>7202762252</v>
      </c>
      <c r="Q171">
        <v>60014652</v>
      </c>
      <c r="R171" s="7">
        <v>32874</v>
      </c>
      <c r="S171" s="8">
        <f t="shared" si="16"/>
        <v>1990</v>
      </c>
      <c r="T171" s="8">
        <v>1990</v>
      </c>
      <c r="U171" s="8">
        <f t="shared" si="17"/>
        <v>32</v>
      </c>
      <c r="V171" s="7">
        <v>1990</v>
      </c>
      <c r="W171" t="s">
        <v>9019</v>
      </c>
      <c r="X171" s="2">
        <v>0.46300000000000002</v>
      </c>
      <c r="Y171" s="6">
        <f t="shared" si="22"/>
        <v>1.2359520568057447E-2</v>
      </c>
      <c r="AA171">
        <v>36862</v>
      </c>
      <c r="AB171">
        <v>19141</v>
      </c>
      <c r="AC171" t="s">
        <v>9018</v>
      </c>
      <c r="AD171" t="s">
        <v>5</v>
      </c>
      <c r="AE171">
        <v>25</v>
      </c>
      <c r="AF171">
        <v>4</v>
      </c>
      <c r="AH171" t="s">
        <v>9017</v>
      </c>
      <c r="AI171" t="s">
        <v>9016</v>
      </c>
      <c r="AK171" t="s">
        <v>9015</v>
      </c>
      <c r="AL171">
        <v>21</v>
      </c>
      <c r="AM171" s="5">
        <f t="shared" si="18"/>
        <v>0.65625</v>
      </c>
      <c r="AN171" s="4">
        <f t="shared" si="23"/>
        <v>9.9394168875425971E-4</v>
      </c>
      <c r="AO171" s="3"/>
      <c r="AP171">
        <v>1</v>
      </c>
      <c r="AR171" t="s">
        <v>0</v>
      </c>
      <c r="AT171" s="2">
        <v>1.403</v>
      </c>
      <c r="AU171" s="1">
        <f t="shared" si="19"/>
        <v>0.89498469042664908</v>
      </c>
      <c r="AV171" s="1">
        <f t="shared" si="20"/>
        <v>0.66767311284058539</v>
      </c>
      <c r="AW171" s="1">
        <f t="shared" si="21"/>
        <v>0.4403615352545216</v>
      </c>
    </row>
    <row r="172" spans="1:49" x14ac:dyDescent="0.2">
      <c r="A172">
        <v>170</v>
      </c>
      <c r="B172" t="s">
        <v>9014</v>
      </c>
      <c r="C172" t="s">
        <v>1199</v>
      </c>
      <c r="F172" t="s">
        <v>9013</v>
      </c>
      <c r="G172" t="s">
        <v>14</v>
      </c>
      <c r="H172" t="s">
        <v>13</v>
      </c>
      <c r="I172" t="s">
        <v>1197</v>
      </c>
      <c r="J172" t="s">
        <v>9012</v>
      </c>
      <c r="K172" t="s">
        <v>9011</v>
      </c>
      <c r="L172" t="s">
        <v>9010</v>
      </c>
      <c r="M172" t="s">
        <v>84</v>
      </c>
      <c r="N172">
        <v>2</v>
      </c>
      <c r="O172" t="s">
        <v>1194</v>
      </c>
      <c r="P172" t="s">
        <v>1193</v>
      </c>
      <c r="Q172" t="s">
        <v>9009</v>
      </c>
      <c r="R172" s="7">
        <v>32874</v>
      </c>
      <c r="S172" s="8">
        <f t="shared" si="16"/>
        <v>1990</v>
      </c>
      <c r="T172" s="8">
        <v>1990</v>
      </c>
      <c r="U172" s="8">
        <f t="shared" si="17"/>
        <v>32</v>
      </c>
      <c r="V172" s="7">
        <v>32874</v>
      </c>
      <c r="W172" t="s">
        <v>1190</v>
      </c>
      <c r="X172" s="2">
        <v>1.573</v>
      </c>
      <c r="Y172" s="6">
        <f t="shared" si="22"/>
        <v>4.1990336616748086E-2</v>
      </c>
      <c r="AA172">
        <v>7315090</v>
      </c>
      <c r="AB172">
        <v>29586</v>
      </c>
      <c r="AD172" t="s">
        <v>5</v>
      </c>
      <c r="AE172">
        <v>13</v>
      </c>
      <c r="AF172">
        <v>1</v>
      </c>
      <c r="AH172" t="s">
        <v>9008</v>
      </c>
      <c r="AI172" t="s">
        <v>9007</v>
      </c>
      <c r="AK172" t="s">
        <v>9006</v>
      </c>
      <c r="AL172">
        <v>0</v>
      </c>
      <c r="AM172" s="5">
        <f t="shared" si="18"/>
        <v>0</v>
      </c>
      <c r="AN172" s="4">
        <f t="shared" si="23"/>
        <v>0</v>
      </c>
      <c r="AO172" s="3"/>
      <c r="AP172">
        <v>0</v>
      </c>
      <c r="AQ172" t="s">
        <v>1279</v>
      </c>
      <c r="AR172" t="s">
        <v>2753</v>
      </c>
      <c r="AS172" t="s">
        <v>1278</v>
      </c>
      <c r="AT172" s="2" t="s">
        <v>126</v>
      </c>
      <c r="AU172" s="1">
        <f t="shared" si="19"/>
        <v>2.939323563172366</v>
      </c>
      <c r="AV172" s="1">
        <f t="shared" si="20"/>
        <v>2.0995168308374041</v>
      </c>
      <c r="AW172" s="1">
        <f t="shared" si="21"/>
        <v>1.2597100985024425</v>
      </c>
    </row>
    <row r="173" spans="1:49" x14ac:dyDescent="0.2">
      <c r="A173">
        <v>171</v>
      </c>
      <c r="B173" t="s">
        <v>9005</v>
      </c>
      <c r="C173" t="s">
        <v>9004</v>
      </c>
      <c r="F173" t="s">
        <v>9003</v>
      </c>
      <c r="G173" t="s">
        <v>14</v>
      </c>
      <c r="H173" t="s">
        <v>13</v>
      </c>
      <c r="I173" t="s">
        <v>9002</v>
      </c>
      <c r="J173">
        <v>60012556</v>
      </c>
      <c r="K173" t="s">
        <v>9001</v>
      </c>
      <c r="L173" t="s">
        <v>9000</v>
      </c>
      <c r="M173" t="s">
        <v>135</v>
      </c>
      <c r="N173">
        <v>3</v>
      </c>
      <c r="O173" t="s">
        <v>8999</v>
      </c>
      <c r="P173" t="s">
        <v>8998</v>
      </c>
      <c r="Q173" t="s">
        <v>8997</v>
      </c>
      <c r="R173" s="7">
        <v>32874</v>
      </c>
      <c r="S173" s="8">
        <f t="shared" si="16"/>
        <v>1990</v>
      </c>
      <c r="T173" s="8">
        <v>1990</v>
      </c>
      <c r="U173" s="8">
        <f t="shared" si="17"/>
        <v>32</v>
      </c>
      <c r="V173" s="7">
        <v>32994</v>
      </c>
      <c r="W173" t="s">
        <v>8161</v>
      </c>
      <c r="X173" s="2" t="s">
        <v>126</v>
      </c>
      <c r="Y173" s="6" t="e">
        <f t="shared" si="22"/>
        <v>#VALUE!</v>
      </c>
      <c r="AA173">
        <v>9328629</v>
      </c>
      <c r="AB173">
        <v>39561</v>
      </c>
      <c r="AC173">
        <v>14388677</v>
      </c>
      <c r="AD173" t="s">
        <v>5</v>
      </c>
      <c r="AE173">
        <v>103</v>
      </c>
      <c r="AF173">
        <v>2</v>
      </c>
      <c r="AH173" t="s">
        <v>8996</v>
      </c>
      <c r="AI173" t="s">
        <v>8995</v>
      </c>
      <c r="AJ173" t="s">
        <v>8994</v>
      </c>
      <c r="AK173" t="s">
        <v>8993</v>
      </c>
      <c r="AL173">
        <v>5</v>
      </c>
      <c r="AM173" s="5">
        <f t="shared" si="18"/>
        <v>0.15625</v>
      </c>
      <c r="AN173" s="4">
        <f t="shared" si="23"/>
        <v>2.3665278303672851E-4</v>
      </c>
      <c r="AO173" s="3"/>
      <c r="AP173">
        <v>0</v>
      </c>
      <c r="AR173" t="s">
        <v>0</v>
      </c>
      <c r="AT173" s="2" t="s">
        <v>126</v>
      </c>
      <c r="AU173" s="1" t="e">
        <f t="shared" si="19"/>
        <v>#VALUE!</v>
      </c>
      <c r="AV173" s="1" t="e">
        <f t="shared" si="20"/>
        <v>#VALUE!</v>
      </c>
      <c r="AW173" s="1" t="e">
        <f t="shared" si="21"/>
        <v>#VALUE!</v>
      </c>
    </row>
    <row r="174" spans="1:49" x14ac:dyDescent="0.2">
      <c r="A174">
        <v>172</v>
      </c>
      <c r="B174" t="s">
        <v>8992</v>
      </c>
      <c r="C174" t="s">
        <v>8991</v>
      </c>
      <c r="F174" t="s">
        <v>8990</v>
      </c>
      <c r="G174" t="s">
        <v>14</v>
      </c>
      <c r="H174" t="s">
        <v>13</v>
      </c>
      <c r="I174" t="s">
        <v>8989</v>
      </c>
      <c r="J174" t="s">
        <v>8988</v>
      </c>
      <c r="K174" t="s">
        <v>8987</v>
      </c>
      <c r="L174" t="s">
        <v>8986</v>
      </c>
      <c r="M174" t="s">
        <v>8985</v>
      </c>
      <c r="N174">
        <v>6</v>
      </c>
      <c r="O174" t="s">
        <v>8984</v>
      </c>
      <c r="P174" t="s">
        <v>8983</v>
      </c>
      <c r="Q174" t="s">
        <v>8982</v>
      </c>
      <c r="R174" s="7">
        <v>32874</v>
      </c>
      <c r="S174" s="8">
        <f t="shared" si="16"/>
        <v>1990</v>
      </c>
      <c r="T174" s="8">
        <v>1990</v>
      </c>
      <c r="U174" s="8">
        <f t="shared" si="17"/>
        <v>32</v>
      </c>
      <c r="V174" s="7">
        <v>33086</v>
      </c>
      <c r="W174" t="s">
        <v>8952</v>
      </c>
      <c r="X174" s="2">
        <v>0.81799999999999995</v>
      </c>
      <c r="Y174" s="6">
        <f t="shared" si="22"/>
        <v>2.1836042817863912E-2</v>
      </c>
      <c r="AA174">
        <v>318655</v>
      </c>
      <c r="AB174">
        <v>27010</v>
      </c>
      <c r="AC174">
        <v>17511097</v>
      </c>
      <c r="AD174" t="s">
        <v>5</v>
      </c>
      <c r="AE174">
        <v>52</v>
      </c>
      <c r="AF174">
        <v>2</v>
      </c>
      <c r="AH174" t="s">
        <v>8981</v>
      </c>
      <c r="AI174" t="s">
        <v>8980</v>
      </c>
      <c r="AK174" t="s">
        <v>8979</v>
      </c>
      <c r="AL174">
        <v>226</v>
      </c>
      <c r="AM174" s="5">
        <f t="shared" si="18"/>
        <v>7.0625</v>
      </c>
      <c r="AN174" s="4">
        <f t="shared" si="23"/>
        <v>1.0696705793260129E-2</v>
      </c>
      <c r="AO174" s="3"/>
      <c r="AP174">
        <v>0</v>
      </c>
      <c r="AR174" t="s">
        <v>0</v>
      </c>
      <c r="AT174" s="2">
        <v>3.4209999999999998</v>
      </c>
      <c r="AU174" s="1">
        <f t="shared" si="19"/>
        <v>1.8494241710482775</v>
      </c>
      <c r="AV174" s="1">
        <f t="shared" si="20"/>
        <v>1.6266374305562019</v>
      </c>
      <c r="AW174" s="1">
        <f t="shared" si="21"/>
        <v>1.4038506900641261</v>
      </c>
    </row>
    <row r="175" spans="1:49" x14ac:dyDescent="0.2">
      <c r="A175">
        <v>173</v>
      </c>
      <c r="B175" t="s">
        <v>8978</v>
      </c>
      <c r="C175" t="s">
        <v>8977</v>
      </c>
      <c r="D175" t="s">
        <v>8976</v>
      </c>
      <c r="F175" t="s">
        <v>8975</v>
      </c>
      <c r="G175" t="s">
        <v>14</v>
      </c>
      <c r="H175" t="s">
        <v>13</v>
      </c>
      <c r="I175" t="s">
        <v>8974</v>
      </c>
      <c r="J175" t="s">
        <v>8973</v>
      </c>
      <c r="K175" t="s">
        <v>8972</v>
      </c>
      <c r="L175" t="s">
        <v>8971</v>
      </c>
      <c r="M175" t="s">
        <v>8970</v>
      </c>
      <c r="N175">
        <v>2</v>
      </c>
      <c r="O175" t="s">
        <v>8969</v>
      </c>
      <c r="P175" t="s">
        <v>8968</v>
      </c>
      <c r="Q175" t="s">
        <v>8967</v>
      </c>
      <c r="R175" s="7">
        <v>32874</v>
      </c>
      <c r="S175" s="8">
        <f t="shared" si="16"/>
        <v>1990</v>
      </c>
      <c r="T175" s="8">
        <v>1990</v>
      </c>
      <c r="U175" s="8">
        <f t="shared" si="17"/>
        <v>32</v>
      </c>
      <c r="V175" s="7">
        <v>1990</v>
      </c>
      <c r="W175" t="s">
        <v>7833</v>
      </c>
      <c r="X175" s="2">
        <v>1.032</v>
      </c>
      <c r="Y175" s="6">
        <f t="shared" si="22"/>
        <v>2.7548650596620487E-2</v>
      </c>
      <c r="AA175">
        <v>1761617</v>
      </c>
      <c r="AB175">
        <v>19257</v>
      </c>
      <c r="AD175" t="s">
        <v>5</v>
      </c>
      <c r="AE175">
        <v>136</v>
      </c>
      <c r="AF175">
        <v>3</v>
      </c>
      <c r="AH175" t="s">
        <v>8966</v>
      </c>
      <c r="AI175" t="s">
        <v>8965</v>
      </c>
      <c r="AJ175" t="s">
        <v>8964</v>
      </c>
      <c r="AK175" t="s">
        <v>8963</v>
      </c>
      <c r="AL175">
        <v>23</v>
      </c>
      <c r="AM175" s="5">
        <f t="shared" si="18"/>
        <v>0.71875</v>
      </c>
      <c r="AN175" s="4">
        <f t="shared" si="23"/>
        <v>1.0886028019689512E-3</v>
      </c>
      <c r="AO175" s="3"/>
      <c r="AP175">
        <v>0</v>
      </c>
      <c r="AR175" t="s">
        <v>0</v>
      </c>
      <c r="AT175" s="2">
        <v>3.5489999999999999</v>
      </c>
      <c r="AU175" s="1">
        <f t="shared" si="19"/>
        <v>1.9610636258225023</v>
      </c>
      <c r="AV175" s="1">
        <f t="shared" si="20"/>
        <v>1.4318626699294719</v>
      </c>
      <c r="AW175" s="1">
        <f t="shared" si="21"/>
        <v>0.90266171403644102</v>
      </c>
    </row>
    <row r="176" spans="1:49" x14ac:dyDescent="0.2">
      <c r="A176">
        <v>174</v>
      </c>
      <c r="B176" t="s">
        <v>8962</v>
      </c>
      <c r="C176" t="s">
        <v>8961</v>
      </c>
      <c r="F176" t="s">
        <v>8960</v>
      </c>
      <c r="G176" t="s">
        <v>14</v>
      </c>
      <c r="H176" t="s">
        <v>13</v>
      </c>
      <c r="I176" t="s">
        <v>8959</v>
      </c>
      <c r="J176" t="s">
        <v>8958</v>
      </c>
      <c r="K176" t="s">
        <v>8957</v>
      </c>
      <c r="L176" t="s">
        <v>8956</v>
      </c>
      <c r="M176" t="s">
        <v>2774</v>
      </c>
      <c r="N176">
        <v>3</v>
      </c>
      <c r="O176" t="s">
        <v>8955</v>
      </c>
      <c r="P176" t="s">
        <v>8954</v>
      </c>
      <c r="Q176" t="s">
        <v>8953</v>
      </c>
      <c r="R176" s="7">
        <v>32874</v>
      </c>
      <c r="S176" s="8">
        <f t="shared" si="16"/>
        <v>1990</v>
      </c>
      <c r="T176" s="8">
        <v>1990</v>
      </c>
      <c r="U176" s="8">
        <f t="shared" si="17"/>
        <v>32</v>
      </c>
      <c r="V176" s="7">
        <v>33055</v>
      </c>
      <c r="W176" t="s">
        <v>8952</v>
      </c>
      <c r="X176" s="2">
        <v>0.81799999999999995</v>
      </c>
      <c r="Y176" s="6">
        <f t="shared" si="22"/>
        <v>2.1836042817863912E-2</v>
      </c>
      <c r="AA176">
        <v>318655</v>
      </c>
      <c r="AB176">
        <v>27010</v>
      </c>
      <c r="AC176">
        <v>17511097</v>
      </c>
      <c r="AD176" t="s">
        <v>5</v>
      </c>
      <c r="AE176">
        <v>52</v>
      </c>
      <c r="AF176">
        <v>1</v>
      </c>
      <c r="AH176" t="s">
        <v>8951</v>
      </c>
      <c r="AI176" t="s">
        <v>8950</v>
      </c>
      <c r="AK176" t="s">
        <v>8949</v>
      </c>
      <c r="AL176">
        <v>4</v>
      </c>
      <c r="AM176" s="5">
        <f t="shared" si="18"/>
        <v>0.125</v>
      </c>
      <c r="AN176" s="4">
        <f t="shared" si="23"/>
        <v>1.893222264293828E-4</v>
      </c>
      <c r="AO176" s="3"/>
      <c r="AP176">
        <v>0</v>
      </c>
      <c r="AR176" t="s">
        <v>0</v>
      </c>
      <c r="AT176" s="2">
        <v>3.4209999999999998</v>
      </c>
      <c r="AU176" s="1">
        <f t="shared" si="19"/>
        <v>1.5342026640433553</v>
      </c>
      <c r="AV176" s="1">
        <f t="shared" si="20"/>
        <v>1.1012682522146648</v>
      </c>
      <c r="AW176" s="1">
        <f t="shared" si="21"/>
        <v>0.66833384038597421</v>
      </c>
    </row>
    <row r="177" spans="1:49" x14ac:dyDescent="0.2">
      <c r="A177">
        <v>175</v>
      </c>
      <c r="B177" t="s">
        <v>8948</v>
      </c>
      <c r="C177" t="s">
        <v>8947</v>
      </c>
      <c r="F177" t="s">
        <v>8946</v>
      </c>
      <c r="G177" t="s">
        <v>14</v>
      </c>
      <c r="H177" t="s">
        <v>13</v>
      </c>
      <c r="I177" t="s">
        <v>8945</v>
      </c>
      <c r="J177" t="s">
        <v>8944</v>
      </c>
      <c r="K177" t="s">
        <v>8943</v>
      </c>
      <c r="L177" t="s">
        <v>8942</v>
      </c>
      <c r="M177" t="s">
        <v>8941</v>
      </c>
      <c r="N177">
        <v>4</v>
      </c>
      <c r="O177" t="s">
        <v>8940</v>
      </c>
      <c r="P177" t="s">
        <v>8939</v>
      </c>
      <c r="Q177" t="s">
        <v>8938</v>
      </c>
      <c r="R177" s="7">
        <v>32874</v>
      </c>
      <c r="S177" s="8">
        <f t="shared" si="16"/>
        <v>1990</v>
      </c>
      <c r="T177" s="8">
        <v>1990</v>
      </c>
      <c r="U177" s="8">
        <f t="shared" si="17"/>
        <v>32</v>
      </c>
      <c r="V177" s="7">
        <v>33117</v>
      </c>
      <c r="W177" t="s">
        <v>8937</v>
      </c>
      <c r="X177" s="2">
        <v>0.85</v>
      </c>
      <c r="Y177" s="6">
        <f t="shared" si="22"/>
        <v>2.2690264541790128E-2</v>
      </c>
      <c r="AA177">
        <v>223646</v>
      </c>
      <c r="AB177">
        <v>19225</v>
      </c>
      <c r="AC177">
        <v>15298817</v>
      </c>
      <c r="AD177" t="s">
        <v>5</v>
      </c>
      <c r="AE177">
        <v>26</v>
      </c>
      <c r="AF177">
        <v>3</v>
      </c>
      <c r="AH177" t="s">
        <v>8936</v>
      </c>
      <c r="AI177" t="s">
        <v>8935</v>
      </c>
      <c r="AJ177" t="s">
        <v>8934</v>
      </c>
      <c r="AK177" t="s">
        <v>8933</v>
      </c>
      <c r="AL177">
        <v>20</v>
      </c>
      <c r="AM177" s="5">
        <f t="shared" si="18"/>
        <v>0.625</v>
      </c>
      <c r="AN177" s="4">
        <f t="shared" si="23"/>
        <v>9.4661113214691405E-4</v>
      </c>
      <c r="AO177" s="3"/>
      <c r="AP177">
        <v>0</v>
      </c>
      <c r="AR177" t="s">
        <v>0</v>
      </c>
      <c r="AT177" s="2">
        <v>2.923</v>
      </c>
      <c r="AU177" s="1">
        <f t="shared" si="19"/>
        <v>1.6167168518897164</v>
      </c>
      <c r="AV177" s="1">
        <f t="shared" si="20"/>
        <v>1.1818437836968521</v>
      </c>
      <c r="AW177" s="1">
        <f t="shared" si="21"/>
        <v>0.74697071550398786</v>
      </c>
    </row>
    <row r="178" spans="1:49" x14ac:dyDescent="0.2">
      <c r="A178">
        <v>176</v>
      </c>
      <c r="B178" t="s">
        <v>8932</v>
      </c>
      <c r="C178" t="s">
        <v>8931</v>
      </c>
      <c r="F178" t="s">
        <v>8930</v>
      </c>
      <c r="G178" t="s">
        <v>14</v>
      </c>
      <c r="H178" t="s">
        <v>13</v>
      </c>
      <c r="I178" t="s">
        <v>8929</v>
      </c>
      <c r="J178" t="s">
        <v>8924</v>
      </c>
      <c r="K178" t="s">
        <v>8928</v>
      </c>
      <c r="L178" t="s">
        <v>8927</v>
      </c>
      <c r="M178" t="s">
        <v>2827</v>
      </c>
      <c r="N178">
        <v>2</v>
      </c>
      <c r="O178" t="s">
        <v>8926</v>
      </c>
      <c r="P178" t="s">
        <v>8925</v>
      </c>
      <c r="Q178" t="s">
        <v>8924</v>
      </c>
      <c r="R178" s="7">
        <v>32874</v>
      </c>
      <c r="S178" s="8">
        <f t="shared" si="16"/>
        <v>1990</v>
      </c>
      <c r="T178" s="8">
        <v>1990</v>
      </c>
      <c r="U178" s="8">
        <f t="shared" si="17"/>
        <v>32</v>
      </c>
      <c r="V178" s="7">
        <v>1990</v>
      </c>
      <c r="W178" t="s">
        <v>8923</v>
      </c>
      <c r="X178" s="2" t="s">
        <v>126</v>
      </c>
      <c r="Y178" s="6" t="e">
        <f t="shared" si="22"/>
        <v>#VALUE!</v>
      </c>
      <c r="AA178">
        <v>3738493</v>
      </c>
      <c r="AB178">
        <v>21100855881</v>
      </c>
      <c r="AC178">
        <v>18600743</v>
      </c>
      <c r="AD178" t="s">
        <v>5</v>
      </c>
      <c r="AE178">
        <v>66</v>
      </c>
      <c r="AF178">
        <v>1</v>
      </c>
      <c r="AH178" t="s">
        <v>8922</v>
      </c>
      <c r="AI178" t="s">
        <v>8921</v>
      </c>
      <c r="AJ178" t="s">
        <v>8920</v>
      </c>
      <c r="AK178" t="s">
        <v>8919</v>
      </c>
      <c r="AL178">
        <v>1</v>
      </c>
      <c r="AM178" s="5">
        <f t="shared" si="18"/>
        <v>3.125E-2</v>
      </c>
      <c r="AN178" s="4">
        <f t="shared" si="23"/>
        <v>4.73305566073457E-5</v>
      </c>
      <c r="AO178" s="3"/>
      <c r="AP178">
        <v>0</v>
      </c>
      <c r="AR178" t="s">
        <v>0</v>
      </c>
      <c r="AT178" s="2" t="s">
        <v>126</v>
      </c>
      <c r="AU178" s="1" t="e">
        <f t="shared" si="19"/>
        <v>#VALUE!</v>
      </c>
      <c r="AV178" s="1" t="e">
        <f t="shared" si="20"/>
        <v>#VALUE!</v>
      </c>
      <c r="AW178" s="1" t="e">
        <f t="shared" si="21"/>
        <v>#VALUE!</v>
      </c>
    </row>
    <row r="179" spans="1:49" x14ac:dyDescent="0.2">
      <c r="A179">
        <v>177</v>
      </c>
      <c r="B179" t="s">
        <v>8918</v>
      </c>
      <c r="C179" t="s">
        <v>8917</v>
      </c>
      <c r="F179" t="s">
        <v>8916</v>
      </c>
      <c r="G179" t="s">
        <v>14</v>
      </c>
      <c r="H179" t="s">
        <v>13</v>
      </c>
      <c r="I179" t="s">
        <v>8915</v>
      </c>
      <c r="J179">
        <v>60025153</v>
      </c>
      <c r="K179" t="s">
        <v>8914</v>
      </c>
      <c r="L179" t="s">
        <v>8913</v>
      </c>
      <c r="M179" t="s">
        <v>184</v>
      </c>
      <c r="N179">
        <v>3</v>
      </c>
      <c r="O179" t="s">
        <v>8912</v>
      </c>
      <c r="P179" t="s">
        <v>8911</v>
      </c>
      <c r="Q179" t="s">
        <v>8910</v>
      </c>
      <c r="R179" s="7">
        <v>32874</v>
      </c>
      <c r="S179" s="8">
        <f t="shared" si="16"/>
        <v>1990</v>
      </c>
      <c r="T179" s="8">
        <v>1990</v>
      </c>
      <c r="U179" s="8">
        <f t="shared" si="17"/>
        <v>32</v>
      </c>
      <c r="V179" s="7" t="s">
        <v>8909</v>
      </c>
      <c r="W179" t="s">
        <v>6749</v>
      </c>
      <c r="X179" s="2">
        <v>0.34699999999999998</v>
      </c>
      <c r="Y179" s="6">
        <f t="shared" si="22"/>
        <v>9.2629668188249116E-3</v>
      </c>
      <c r="AA179" t="s">
        <v>6748</v>
      </c>
      <c r="AB179">
        <v>18817</v>
      </c>
      <c r="AC179">
        <v>15418251</v>
      </c>
      <c r="AD179" t="s">
        <v>5</v>
      </c>
      <c r="AE179">
        <v>1</v>
      </c>
      <c r="AF179">
        <v>4</v>
      </c>
      <c r="AH179" t="s">
        <v>8908</v>
      </c>
      <c r="AI179" t="s">
        <v>8907</v>
      </c>
      <c r="AK179" t="s">
        <v>8906</v>
      </c>
      <c r="AL179">
        <v>2</v>
      </c>
      <c r="AM179" s="5">
        <f t="shared" si="18"/>
        <v>6.25E-2</v>
      </c>
      <c r="AN179" s="4">
        <f t="shared" si="23"/>
        <v>9.46611132146914E-5</v>
      </c>
      <c r="AO179" s="3"/>
      <c r="AP179">
        <v>0</v>
      </c>
      <c r="AR179" t="s">
        <v>0</v>
      </c>
      <c r="AT179" s="2" t="s">
        <v>126</v>
      </c>
      <c r="AU179" s="1">
        <f t="shared" si="19"/>
        <v>0.65124751071418452</v>
      </c>
      <c r="AV179" s="1">
        <f t="shared" si="20"/>
        <v>0.46788139660198019</v>
      </c>
      <c r="AW179" s="1">
        <f t="shared" si="21"/>
        <v>0.28451528248977576</v>
      </c>
    </row>
    <row r="180" spans="1:49" x14ac:dyDescent="0.2">
      <c r="A180">
        <v>178</v>
      </c>
      <c r="B180" t="s">
        <v>8905</v>
      </c>
      <c r="C180" t="s">
        <v>8904</v>
      </c>
      <c r="F180" t="s">
        <v>8903</v>
      </c>
      <c r="G180" t="s">
        <v>14</v>
      </c>
      <c r="H180" t="s">
        <v>13</v>
      </c>
      <c r="I180" t="s">
        <v>8902</v>
      </c>
      <c r="J180">
        <v>60013341</v>
      </c>
      <c r="K180" t="s">
        <v>8901</v>
      </c>
      <c r="L180" t="s">
        <v>8900</v>
      </c>
      <c r="M180" t="s">
        <v>1224</v>
      </c>
      <c r="N180">
        <v>1</v>
      </c>
      <c r="O180" t="s">
        <v>8899</v>
      </c>
      <c r="P180">
        <v>7003872873</v>
      </c>
      <c r="Q180">
        <v>60013341</v>
      </c>
      <c r="R180" s="7">
        <v>32874</v>
      </c>
      <c r="S180" s="8">
        <f t="shared" si="16"/>
        <v>1990</v>
      </c>
      <c r="T180" s="8">
        <v>1990</v>
      </c>
      <c r="U180" s="8">
        <f t="shared" si="17"/>
        <v>32</v>
      </c>
      <c r="V180" s="7">
        <v>33178</v>
      </c>
      <c r="W180" t="s">
        <v>8887</v>
      </c>
      <c r="X180" s="2" t="s">
        <v>126</v>
      </c>
      <c r="Y180" s="6" t="e">
        <f t="shared" si="22"/>
        <v>#VALUE!</v>
      </c>
      <c r="AA180">
        <v>13266756</v>
      </c>
      <c r="AB180">
        <v>19190</v>
      </c>
      <c r="AC180">
        <v>14406055</v>
      </c>
      <c r="AD180" t="s">
        <v>5</v>
      </c>
      <c r="AE180">
        <v>29</v>
      </c>
      <c r="AF180">
        <v>4</v>
      </c>
      <c r="AH180" t="s">
        <v>8003</v>
      </c>
      <c r="AI180" t="s">
        <v>8898</v>
      </c>
      <c r="AK180" t="s">
        <v>8897</v>
      </c>
      <c r="AL180">
        <v>28</v>
      </c>
      <c r="AM180" s="5">
        <f t="shared" si="18"/>
        <v>0.875</v>
      </c>
      <c r="AN180" s="4">
        <f t="shared" si="23"/>
        <v>1.3252555850056798E-3</v>
      </c>
      <c r="AO180" s="3"/>
      <c r="AP180">
        <v>1</v>
      </c>
      <c r="AR180" t="s">
        <v>0</v>
      </c>
      <c r="AT180" s="2" t="s">
        <v>126</v>
      </c>
      <c r="AU180" s="1" t="e">
        <f t="shared" si="19"/>
        <v>#VALUE!</v>
      </c>
      <c r="AV180" s="1" t="e">
        <f t="shared" si="20"/>
        <v>#VALUE!</v>
      </c>
      <c r="AW180" s="1" t="e">
        <f t="shared" si="21"/>
        <v>#VALUE!</v>
      </c>
    </row>
    <row r="181" spans="1:49" x14ac:dyDescent="0.2">
      <c r="A181">
        <v>179</v>
      </c>
      <c r="B181" t="s">
        <v>8896</v>
      </c>
      <c r="C181" t="s">
        <v>8895</v>
      </c>
      <c r="F181" t="s">
        <v>8894</v>
      </c>
      <c r="G181" t="s">
        <v>14</v>
      </c>
      <c r="H181" t="s">
        <v>13</v>
      </c>
      <c r="I181" t="s">
        <v>8893</v>
      </c>
      <c r="J181">
        <v>101280563</v>
      </c>
      <c r="K181" t="s">
        <v>8892</v>
      </c>
      <c r="L181" t="s">
        <v>8891</v>
      </c>
      <c r="M181" t="s">
        <v>1224</v>
      </c>
      <c r="N181">
        <v>2</v>
      </c>
      <c r="O181" t="s">
        <v>8890</v>
      </c>
      <c r="P181" t="s">
        <v>8889</v>
      </c>
      <c r="Q181" t="s">
        <v>8888</v>
      </c>
      <c r="R181" s="7">
        <v>32874</v>
      </c>
      <c r="S181" s="8">
        <f t="shared" si="16"/>
        <v>1990</v>
      </c>
      <c r="T181" s="8">
        <v>1990</v>
      </c>
      <c r="U181" s="8">
        <f t="shared" si="17"/>
        <v>32</v>
      </c>
      <c r="V181" s="7">
        <v>32905</v>
      </c>
      <c r="W181" t="s">
        <v>8887</v>
      </c>
      <c r="X181" s="2" t="s">
        <v>126</v>
      </c>
      <c r="Y181" s="6" t="e">
        <f t="shared" si="22"/>
        <v>#VALUE!</v>
      </c>
      <c r="AA181">
        <v>13266756</v>
      </c>
      <c r="AB181">
        <v>19190</v>
      </c>
      <c r="AC181">
        <v>14406055</v>
      </c>
      <c r="AD181" t="s">
        <v>5</v>
      </c>
      <c r="AE181">
        <v>29</v>
      </c>
      <c r="AF181">
        <v>1</v>
      </c>
      <c r="AH181" t="s">
        <v>8886</v>
      </c>
      <c r="AI181" t="s">
        <v>8885</v>
      </c>
      <c r="AK181" t="s">
        <v>8884</v>
      </c>
      <c r="AL181">
        <v>8</v>
      </c>
      <c r="AM181" s="5">
        <f t="shared" si="18"/>
        <v>0.25</v>
      </c>
      <c r="AN181" s="4">
        <f t="shared" si="23"/>
        <v>3.786444528587656E-4</v>
      </c>
      <c r="AO181" s="3"/>
      <c r="AP181">
        <v>0</v>
      </c>
      <c r="AR181" t="s">
        <v>0</v>
      </c>
      <c r="AT181" s="2" t="s">
        <v>126</v>
      </c>
      <c r="AU181" s="1" t="e">
        <f t="shared" si="19"/>
        <v>#VALUE!</v>
      </c>
      <c r="AV181" s="1" t="e">
        <f t="shared" si="20"/>
        <v>#VALUE!</v>
      </c>
      <c r="AW181" s="1" t="e">
        <f t="shared" si="21"/>
        <v>#VALUE!</v>
      </c>
    </row>
    <row r="182" spans="1:49" x14ac:dyDescent="0.2">
      <c r="A182">
        <v>180</v>
      </c>
      <c r="B182" t="s">
        <v>8883</v>
      </c>
      <c r="C182" t="s">
        <v>8882</v>
      </c>
      <c r="F182" t="s">
        <v>8881</v>
      </c>
      <c r="G182" t="s">
        <v>14</v>
      </c>
      <c r="H182" t="s">
        <v>13</v>
      </c>
      <c r="I182" t="s">
        <v>8880</v>
      </c>
      <c r="J182">
        <v>60002952</v>
      </c>
      <c r="K182" t="s">
        <v>8879</v>
      </c>
      <c r="L182" t="s">
        <v>8878</v>
      </c>
      <c r="M182" t="s">
        <v>2068</v>
      </c>
      <c r="N182">
        <v>1</v>
      </c>
      <c r="O182" t="s">
        <v>8877</v>
      </c>
      <c r="P182">
        <v>6601993738</v>
      </c>
      <c r="Q182">
        <v>60002952</v>
      </c>
      <c r="R182" s="7">
        <v>32874</v>
      </c>
      <c r="S182" s="8">
        <f t="shared" si="16"/>
        <v>1990</v>
      </c>
      <c r="T182" s="8">
        <v>1990</v>
      </c>
      <c r="U182" s="8">
        <f t="shared" si="17"/>
        <v>32</v>
      </c>
      <c r="V182" s="7">
        <v>32994</v>
      </c>
      <c r="W182" t="s">
        <v>8876</v>
      </c>
      <c r="X182" s="2" t="s">
        <v>126</v>
      </c>
      <c r="Y182" s="6" t="e">
        <f t="shared" si="22"/>
        <v>#VALUE!</v>
      </c>
      <c r="AA182">
        <v>1407791</v>
      </c>
      <c r="AB182">
        <v>13041</v>
      </c>
      <c r="AC182">
        <v>13653040</v>
      </c>
      <c r="AD182" t="s">
        <v>5</v>
      </c>
      <c r="AE182">
        <v>13</v>
      </c>
      <c r="AF182">
        <v>4</v>
      </c>
      <c r="AH182" t="s">
        <v>8875</v>
      </c>
      <c r="AI182" t="s">
        <v>8874</v>
      </c>
      <c r="AJ182" t="s">
        <v>8873</v>
      </c>
      <c r="AK182" t="s">
        <v>8872</v>
      </c>
      <c r="AL182">
        <v>5</v>
      </c>
      <c r="AM182" s="5">
        <f t="shared" si="18"/>
        <v>0.15625</v>
      </c>
      <c r="AN182" s="4">
        <f t="shared" si="23"/>
        <v>2.3665278303672851E-4</v>
      </c>
      <c r="AO182" s="3"/>
      <c r="AP182">
        <v>0</v>
      </c>
      <c r="AR182" t="s">
        <v>0</v>
      </c>
      <c r="AT182" s="2" t="s">
        <v>126</v>
      </c>
      <c r="AU182" s="1" t="e">
        <f t="shared" si="19"/>
        <v>#VALUE!</v>
      </c>
      <c r="AV182" s="1" t="e">
        <f t="shared" si="20"/>
        <v>#VALUE!</v>
      </c>
      <c r="AW182" s="1" t="e">
        <f t="shared" si="21"/>
        <v>#VALUE!</v>
      </c>
    </row>
    <row r="183" spans="1:49" x14ac:dyDescent="0.2">
      <c r="A183">
        <v>181</v>
      </c>
      <c r="B183" t="s">
        <v>8871</v>
      </c>
      <c r="C183" t="s">
        <v>8870</v>
      </c>
      <c r="F183" t="s">
        <v>8869</v>
      </c>
      <c r="G183" t="s">
        <v>14</v>
      </c>
      <c r="H183" t="s">
        <v>13</v>
      </c>
      <c r="I183" t="s">
        <v>8868</v>
      </c>
      <c r="J183">
        <v>60016983</v>
      </c>
      <c r="K183" t="s">
        <v>5915</v>
      </c>
      <c r="L183" t="s">
        <v>5914</v>
      </c>
      <c r="M183" t="s">
        <v>1937</v>
      </c>
      <c r="N183">
        <v>2</v>
      </c>
      <c r="O183" t="s">
        <v>8867</v>
      </c>
      <c r="P183" t="s">
        <v>8866</v>
      </c>
      <c r="Q183" t="s">
        <v>5911</v>
      </c>
      <c r="R183" s="7">
        <v>32874</v>
      </c>
      <c r="S183" s="8">
        <f t="shared" si="16"/>
        <v>1990</v>
      </c>
      <c r="T183" s="8">
        <v>1990</v>
      </c>
      <c r="U183" s="8">
        <f t="shared" si="17"/>
        <v>32</v>
      </c>
      <c r="V183" s="7" t="s">
        <v>8865</v>
      </c>
      <c r="W183" t="s">
        <v>8864</v>
      </c>
      <c r="X183" s="2" t="s">
        <v>126</v>
      </c>
      <c r="Y183" s="6" t="e">
        <f t="shared" si="22"/>
        <v>#VALUE!</v>
      </c>
      <c r="AA183">
        <v>281522</v>
      </c>
      <c r="AB183">
        <v>12174</v>
      </c>
      <c r="AC183">
        <v>21614296</v>
      </c>
      <c r="AD183" t="s">
        <v>5</v>
      </c>
      <c r="AE183">
        <v>37</v>
      </c>
      <c r="AF183">
        <v>4</v>
      </c>
      <c r="AH183" t="s">
        <v>8863</v>
      </c>
      <c r="AI183" t="s">
        <v>8862</v>
      </c>
      <c r="AK183" t="s">
        <v>8861</v>
      </c>
      <c r="AL183">
        <v>19</v>
      </c>
      <c r="AM183" s="5">
        <f t="shared" si="18"/>
        <v>0.59375</v>
      </c>
      <c r="AN183" s="4">
        <f t="shared" si="23"/>
        <v>8.9928057553956839E-4</v>
      </c>
      <c r="AO183" s="3"/>
      <c r="AP183">
        <v>0</v>
      </c>
      <c r="AR183" t="s">
        <v>0</v>
      </c>
      <c r="AT183" s="2" t="s">
        <v>126</v>
      </c>
      <c r="AU183" s="1" t="e">
        <f t="shared" si="19"/>
        <v>#VALUE!</v>
      </c>
      <c r="AV183" s="1" t="e">
        <f t="shared" si="20"/>
        <v>#VALUE!</v>
      </c>
      <c r="AW183" s="1" t="e">
        <f t="shared" si="21"/>
        <v>#VALUE!</v>
      </c>
    </row>
    <row r="184" spans="1:49" x14ac:dyDescent="0.2">
      <c r="A184">
        <v>182</v>
      </c>
      <c r="B184" t="s">
        <v>8860</v>
      </c>
      <c r="F184" t="s">
        <v>8859</v>
      </c>
      <c r="G184" t="s">
        <v>14</v>
      </c>
      <c r="H184" t="s">
        <v>13</v>
      </c>
      <c r="I184" t="s">
        <v>8858</v>
      </c>
      <c r="J184" t="s">
        <v>8857</v>
      </c>
      <c r="K184" t="s">
        <v>8856</v>
      </c>
      <c r="L184" t="s">
        <v>8855</v>
      </c>
      <c r="M184" t="s">
        <v>7584</v>
      </c>
      <c r="N184">
        <v>3</v>
      </c>
      <c r="O184" t="s">
        <v>8854</v>
      </c>
      <c r="P184" t="s">
        <v>8853</v>
      </c>
      <c r="Q184" t="s">
        <v>8852</v>
      </c>
      <c r="R184" s="7">
        <v>32874</v>
      </c>
      <c r="S184" s="8">
        <f t="shared" si="16"/>
        <v>1990</v>
      </c>
      <c r="T184" s="8">
        <v>1990</v>
      </c>
      <c r="U184" s="8">
        <f t="shared" si="17"/>
        <v>32</v>
      </c>
      <c r="V184" s="7">
        <v>1990</v>
      </c>
      <c r="W184" t="s">
        <v>8851</v>
      </c>
      <c r="X184" s="2">
        <v>2.137</v>
      </c>
      <c r="Y184" s="6">
        <f t="shared" si="22"/>
        <v>5.7045994500947654E-2</v>
      </c>
      <c r="AA184">
        <v>46361</v>
      </c>
      <c r="AB184">
        <v>26750</v>
      </c>
      <c r="AC184">
        <v>14320746</v>
      </c>
      <c r="AD184" t="s">
        <v>5</v>
      </c>
      <c r="AE184">
        <v>232</v>
      </c>
      <c r="AH184" t="s">
        <v>8850</v>
      </c>
      <c r="AI184" t="s">
        <v>8849</v>
      </c>
      <c r="AJ184" t="s">
        <v>8848</v>
      </c>
      <c r="AK184" t="s">
        <v>8847</v>
      </c>
      <c r="AL184">
        <v>40</v>
      </c>
      <c r="AM184" s="5">
        <f t="shared" si="18"/>
        <v>1.25</v>
      </c>
      <c r="AN184" s="4">
        <f t="shared" si="23"/>
        <v>1.8932222642938281E-3</v>
      </c>
      <c r="AO184" s="3"/>
      <c r="AP184">
        <v>0</v>
      </c>
      <c r="AR184" t="s">
        <v>0</v>
      </c>
      <c r="AT184" s="2" t="s">
        <v>126</v>
      </c>
      <c r="AU184" s="1">
        <f t="shared" si="19"/>
        <v>4.0500162829951503</v>
      </c>
      <c r="AV184" s="1">
        <f t="shared" si="20"/>
        <v>2.9469608382620742</v>
      </c>
      <c r="AW184" s="1">
        <f t="shared" si="21"/>
        <v>1.8439053935289975</v>
      </c>
    </row>
    <row r="185" spans="1:49" x14ac:dyDescent="0.2">
      <c r="A185">
        <v>183</v>
      </c>
      <c r="B185" t="s">
        <v>8846</v>
      </c>
      <c r="C185" t="s">
        <v>8845</v>
      </c>
      <c r="F185" t="s">
        <v>8844</v>
      </c>
      <c r="G185" t="s">
        <v>14</v>
      </c>
      <c r="H185" t="s">
        <v>13</v>
      </c>
      <c r="I185" t="s">
        <v>8843</v>
      </c>
      <c r="J185" t="s">
        <v>8842</v>
      </c>
      <c r="K185" t="s">
        <v>8841</v>
      </c>
      <c r="L185" t="s">
        <v>8840</v>
      </c>
      <c r="M185" t="s">
        <v>84</v>
      </c>
      <c r="N185">
        <v>3</v>
      </c>
      <c r="O185" t="s">
        <v>8839</v>
      </c>
      <c r="P185" t="s">
        <v>8838</v>
      </c>
      <c r="Q185" t="s">
        <v>8837</v>
      </c>
      <c r="R185" s="7">
        <v>32874</v>
      </c>
      <c r="S185" s="8">
        <f t="shared" si="16"/>
        <v>1990</v>
      </c>
      <c r="T185" s="8">
        <v>1990</v>
      </c>
      <c r="U185" s="8">
        <f t="shared" si="17"/>
        <v>32</v>
      </c>
      <c r="V185" s="7">
        <v>33147</v>
      </c>
      <c r="W185" t="s">
        <v>8836</v>
      </c>
      <c r="X185" s="2">
        <v>0.66800000000000004</v>
      </c>
      <c r="Y185" s="6">
        <f t="shared" si="22"/>
        <v>1.7831878486959774E-2</v>
      </c>
      <c r="AA185" t="s">
        <v>8835</v>
      </c>
      <c r="AB185">
        <v>29593</v>
      </c>
      <c r="AC185">
        <v>21553165</v>
      </c>
      <c r="AD185" t="s">
        <v>5</v>
      </c>
      <c r="AE185">
        <v>29</v>
      </c>
      <c r="AF185">
        <v>28</v>
      </c>
      <c r="AH185" t="s">
        <v>8834</v>
      </c>
      <c r="AI185" t="s">
        <v>8833</v>
      </c>
      <c r="AK185" t="s">
        <v>8832</v>
      </c>
      <c r="AL185">
        <v>42</v>
      </c>
      <c r="AM185" s="5">
        <f t="shared" si="18"/>
        <v>1.3125</v>
      </c>
      <c r="AN185" s="4">
        <f t="shared" si="23"/>
        <v>1.9878833775085194E-3</v>
      </c>
      <c r="AO185" s="3"/>
      <c r="AP185">
        <v>0</v>
      </c>
      <c r="AR185" t="s">
        <v>0</v>
      </c>
      <c r="AT185" s="2">
        <v>1.98</v>
      </c>
      <c r="AU185" s="1">
        <f t="shared" si="19"/>
        <v>1.3078679954124395</v>
      </c>
      <c r="AV185" s="1">
        <f t="shared" si="20"/>
        <v>0.99098809322341475</v>
      </c>
      <c r="AW185" s="1">
        <f t="shared" si="21"/>
        <v>0.67410819103438957</v>
      </c>
    </row>
    <row r="186" spans="1:49" x14ac:dyDescent="0.2">
      <c r="A186">
        <v>184</v>
      </c>
      <c r="B186" t="s">
        <v>8831</v>
      </c>
      <c r="C186" t="s">
        <v>8830</v>
      </c>
      <c r="F186" t="s">
        <v>8829</v>
      </c>
      <c r="G186" t="s">
        <v>14</v>
      </c>
      <c r="H186" t="s">
        <v>13</v>
      </c>
      <c r="I186" t="s">
        <v>8828</v>
      </c>
      <c r="J186" t="s">
        <v>8827</v>
      </c>
      <c r="K186" t="s">
        <v>8826</v>
      </c>
      <c r="L186" t="s">
        <v>8825</v>
      </c>
      <c r="M186" t="s">
        <v>84</v>
      </c>
      <c r="N186">
        <v>2</v>
      </c>
      <c r="O186" t="s">
        <v>8824</v>
      </c>
      <c r="P186" t="s">
        <v>8823</v>
      </c>
      <c r="Q186" t="s">
        <v>8822</v>
      </c>
      <c r="R186" s="7">
        <v>32874</v>
      </c>
      <c r="S186" s="8">
        <f t="shared" si="16"/>
        <v>1990</v>
      </c>
      <c r="T186" s="8">
        <v>1990</v>
      </c>
      <c r="U186" s="8">
        <f t="shared" si="17"/>
        <v>32</v>
      </c>
      <c r="V186" s="7">
        <v>1990</v>
      </c>
      <c r="W186" t="s">
        <v>8821</v>
      </c>
      <c r="X186" s="2">
        <v>0.35699999999999998</v>
      </c>
      <c r="Y186" s="6">
        <f t="shared" si="22"/>
        <v>9.5299111075518531E-3</v>
      </c>
      <c r="AA186" t="s">
        <v>8820</v>
      </c>
      <c r="AB186">
        <v>24682</v>
      </c>
      <c r="AC186">
        <v>14465698</v>
      </c>
      <c r="AD186" t="s">
        <v>5</v>
      </c>
      <c r="AE186">
        <v>37</v>
      </c>
      <c r="AF186">
        <v>6</v>
      </c>
      <c r="AH186" t="s">
        <v>8819</v>
      </c>
      <c r="AI186" t="s">
        <v>8818</v>
      </c>
      <c r="AK186" t="s">
        <v>8817</v>
      </c>
      <c r="AL186">
        <v>7</v>
      </c>
      <c r="AM186" s="5">
        <f t="shared" si="18"/>
        <v>0.21875</v>
      </c>
      <c r="AN186" s="4">
        <f t="shared" si="23"/>
        <v>3.3131389625141994E-4</v>
      </c>
      <c r="AO186" s="3"/>
      <c r="AP186">
        <v>0</v>
      </c>
      <c r="AR186" t="s">
        <v>0</v>
      </c>
      <c r="AT186" s="2">
        <v>0.75700000000000001</v>
      </c>
      <c r="AU186" s="1">
        <f t="shared" si="19"/>
        <v>0.67703319441617227</v>
      </c>
      <c r="AV186" s="1">
        <f t="shared" si="20"/>
        <v>0.49306125019016367</v>
      </c>
      <c r="AW186" s="1">
        <f t="shared" si="21"/>
        <v>0.30908930596415496</v>
      </c>
    </row>
    <row r="187" spans="1:49" x14ac:dyDescent="0.2">
      <c r="A187">
        <v>185</v>
      </c>
      <c r="B187" t="s">
        <v>8816</v>
      </c>
      <c r="C187" t="s">
        <v>8815</v>
      </c>
      <c r="F187" t="s">
        <v>8814</v>
      </c>
      <c r="G187" t="s">
        <v>14</v>
      </c>
      <c r="H187" t="s">
        <v>13</v>
      </c>
      <c r="I187" t="s">
        <v>8813</v>
      </c>
      <c r="J187">
        <v>60068815</v>
      </c>
      <c r="K187" t="s">
        <v>8812</v>
      </c>
      <c r="L187" t="s">
        <v>8811</v>
      </c>
      <c r="M187" t="s">
        <v>8810</v>
      </c>
      <c r="N187">
        <v>1</v>
      </c>
      <c r="O187" t="s">
        <v>8809</v>
      </c>
      <c r="P187">
        <v>57189165968</v>
      </c>
      <c r="Q187">
        <v>60068815</v>
      </c>
      <c r="R187" s="7">
        <v>32874</v>
      </c>
      <c r="S187" s="8">
        <f t="shared" si="16"/>
        <v>1990</v>
      </c>
      <c r="T187" s="8">
        <v>1990</v>
      </c>
      <c r="U187" s="8">
        <f t="shared" si="17"/>
        <v>32</v>
      </c>
      <c r="V187" s="7">
        <v>32874</v>
      </c>
      <c r="W187" t="s">
        <v>8808</v>
      </c>
      <c r="X187" s="2" t="s">
        <v>126</v>
      </c>
      <c r="Y187" s="6" t="e">
        <f t="shared" si="22"/>
        <v>#VALUE!</v>
      </c>
      <c r="AA187">
        <v>1423312</v>
      </c>
      <c r="AB187">
        <v>15449</v>
      </c>
      <c r="AD187" t="s">
        <v>5</v>
      </c>
      <c r="AE187">
        <v>12</v>
      </c>
      <c r="AF187">
        <v>1</v>
      </c>
      <c r="AH187" t="s">
        <v>8807</v>
      </c>
      <c r="AI187" t="s">
        <v>8806</v>
      </c>
      <c r="AJ187" t="s">
        <v>8805</v>
      </c>
      <c r="AK187" t="s">
        <v>8804</v>
      </c>
      <c r="AL187">
        <v>0</v>
      </c>
      <c r="AM187" s="5">
        <f t="shared" si="18"/>
        <v>0</v>
      </c>
      <c r="AN187" s="4">
        <f t="shared" si="23"/>
        <v>0</v>
      </c>
      <c r="AO187" s="3"/>
      <c r="AP187">
        <v>0</v>
      </c>
      <c r="AR187" t="s">
        <v>0</v>
      </c>
      <c r="AT187" s="2" t="s">
        <v>126</v>
      </c>
      <c r="AU187" s="1" t="e">
        <f t="shared" si="19"/>
        <v>#VALUE!</v>
      </c>
      <c r="AV187" s="1" t="e">
        <f t="shared" si="20"/>
        <v>#VALUE!</v>
      </c>
      <c r="AW187" s="1" t="e">
        <f t="shared" si="21"/>
        <v>#VALUE!</v>
      </c>
    </row>
    <row r="188" spans="1:49" x14ac:dyDescent="0.2">
      <c r="A188">
        <v>186</v>
      </c>
      <c r="B188" t="s">
        <v>8803</v>
      </c>
      <c r="C188" t="s">
        <v>8802</v>
      </c>
      <c r="F188" t="s">
        <v>8801</v>
      </c>
      <c r="G188" t="s">
        <v>14</v>
      </c>
      <c r="H188" t="s">
        <v>13</v>
      </c>
      <c r="I188" t="s">
        <v>8800</v>
      </c>
      <c r="J188">
        <v>60022148</v>
      </c>
      <c r="K188" t="s">
        <v>663</v>
      </c>
      <c r="L188" t="s">
        <v>662</v>
      </c>
      <c r="M188" t="s">
        <v>253</v>
      </c>
      <c r="N188">
        <v>1</v>
      </c>
      <c r="O188" t="s">
        <v>8799</v>
      </c>
      <c r="P188">
        <v>7005651378</v>
      </c>
      <c r="Q188">
        <v>60022148</v>
      </c>
      <c r="R188" s="7">
        <v>32874</v>
      </c>
      <c r="S188" s="8">
        <f t="shared" si="16"/>
        <v>1990</v>
      </c>
      <c r="T188" s="8">
        <v>1990</v>
      </c>
      <c r="U188" s="8">
        <f t="shared" si="17"/>
        <v>32</v>
      </c>
      <c r="V188" s="7">
        <v>1990</v>
      </c>
      <c r="W188" t="s">
        <v>8136</v>
      </c>
      <c r="X188" s="2">
        <v>0.312</v>
      </c>
      <c r="Y188" s="6">
        <f t="shared" si="22"/>
        <v>8.3286618082806119E-3</v>
      </c>
      <c r="AA188">
        <v>9540695</v>
      </c>
      <c r="AB188">
        <v>61637</v>
      </c>
      <c r="AD188" t="s">
        <v>5</v>
      </c>
      <c r="AE188">
        <v>2</v>
      </c>
      <c r="AF188">
        <v>1</v>
      </c>
      <c r="AH188" t="s">
        <v>8798</v>
      </c>
      <c r="AI188" t="s">
        <v>8797</v>
      </c>
      <c r="AK188" t="s">
        <v>8796</v>
      </c>
      <c r="AL188">
        <v>1</v>
      </c>
      <c r="AM188" s="5">
        <f t="shared" si="18"/>
        <v>3.125E-2</v>
      </c>
      <c r="AN188" s="4">
        <f t="shared" si="23"/>
        <v>4.73305566073457E-5</v>
      </c>
      <c r="AO188" s="3"/>
      <c r="AP188">
        <v>0</v>
      </c>
      <c r="AR188" t="s">
        <v>0</v>
      </c>
      <c r="AT188" s="2" t="s">
        <v>126</v>
      </c>
      <c r="AU188" s="1">
        <f t="shared" si="19"/>
        <v>0.58442624327786319</v>
      </c>
      <c r="AV188" s="1">
        <f t="shared" si="20"/>
        <v>0.41879961824439788</v>
      </c>
      <c r="AW188" s="1">
        <f t="shared" si="21"/>
        <v>0.25317299321093256</v>
      </c>
    </row>
    <row r="189" spans="1:49" x14ac:dyDescent="0.2">
      <c r="A189">
        <v>187</v>
      </c>
      <c r="B189" t="s">
        <v>8795</v>
      </c>
      <c r="C189" t="s">
        <v>8794</v>
      </c>
      <c r="F189" t="s">
        <v>8793</v>
      </c>
      <c r="G189" t="s">
        <v>14</v>
      </c>
      <c r="H189" t="s">
        <v>13</v>
      </c>
      <c r="R189" s="7">
        <v>32874</v>
      </c>
      <c r="S189" s="8">
        <f t="shared" ref="S189:S252" si="24">YEAR(R189)</f>
        <v>1990</v>
      </c>
      <c r="T189" s="8">
        <v>1990</v>
      </c>
      <c r="U189" s="8">
        <f t="shared" ref="U189:U252" si="25">2022-T189</f>
        <v>32</v>
      </c>
      <c r="V189" s="7">
        <v>1990</v>
      </c>
      <c r="W189" t="s">
        <v>319</v>
      </c>
      <c r="X189" s="2">
        <v>0.68</v>
      </c>
      <c r="Y189" s="6">
        <f t="shared" si="22"/>
        <v>1.8152211633432103E-2</v>
      </c>
      <c r="AA189" t="s">
        <v>318</v>
      </c>
      <c r="AB189">
        <v>20393</v>
      </c>
      <c r="AC189" t="s">
        <v>317</v>
      </c>
      <c r="AD189" t="s">
        <v>5</v>
      </c>
      <c r="AE189">
        <v>21</v>
      </c>
      <c r="AF189">
        <v>3</v>
      </c>
      <c r="AH189" t="s">
        <v>8792</v>
      </c>
      <c r="AI189" t="s">
        <v>8791</v>
      </c>
      <c r="AK189" t="s">
        <v>8790</v>
      </c>
      <c r="AL189">
        <v>8</v>
      </c>
      <c r="AM189" s="5">
        <f t="shared" ref="AM189:AM252" si="26">AL189/U189</f>
        <v>0.25</v>
      </c>
      <c r="AN189" s="4">
        <f t="shared" si="23"/>
        <v>3.786444528587656E-4</v>
      </c>
      <c r="AO189" s="3"/>
      <c r="AP189">
        <v>0</v>
      </c>
      <c r="AR189" t="s">
        <v>0</v>
      </c>
      <c r="AT189" s="2" t="s">
        <v>126</v>
      </c>
      <c r="AU189" s="1">
        <f t="shared" ref="AU189:AU252" si="27">(Y189*0.7+AN189*0.3)*100</f>
        <v>1.2820141479260103</v>
      </c>
      <c r="AV189" s="1">
        <f t="shared" ref="AV189:AV252" si="28">(Y189*0.5+AN189*0.5)*100</f>
        <v>0.92654280431454339</v>
      </c>
      <c r="AW189" s="1">
        <f t="shared" ref="AW189:AW252" si="29">(Y189*0.3+AN189*0.7)*100</f>
        <v>0.57107146070307668</v>
      </c>
    </row>
    <row r="190" spans="1:49" x14ac:dyDescent="0.2">
      <c r="A190">
        <v>188</v>
      </c>
      <c r="B190" t="s">
        <v>8789</v>
      </c>
      <c r="C190" t="s">
        <v>8788</v>
      </c>
      <c r="F190" t="s">
        <v>8787</v>
      </c>
      <c r="G190" t="s">
        <v>14</v>
      </c>
      <c r="H190" t="s">
        <v>13</v>
      </c>
      <c r="I190" t="s">
        <v>8786</v>
      </c>
      <c r="J190">
        <v>60004176</v>
      </c>
      <c r="K190" t="s">
        <v>8785</v>
      </c>
      <c r="L190" t="s">
        <v>8784</v>
      </c>
      <c r="M190" t="s">
        <v>267</v>
      </c>
      <c r="N190">
        <v>3</v>
      </c>
      <c r="O190" t="s">
        <v>8783</v>
      </c>
      <c r="P190" t="s">
        <v>8782</v>
      </c>
      <c r="Q190" t="s">
        <v>8781</v>
      </c>
      <c r="R190" s="7">
        <v>32874</v>
      </c>
      <c r="S190" s="8">
        <f t="shared" si="24"/>
        <v>1990</v>
      </c>
      <c r="T190" s="8">
        <v>1990</v>
      </c>
      <c r="U190" s="8">
        <f t="shared" si="25"/>
        <v>32</v>
      </c>
      <c r="V190" s="7">
        <v>32874</v>
      </c>
      <c r="W190" t="s">
        <v>4388</v>
      </c>
      <c r="X190" s="2">
        <v>0.371</v>
      </c>
      <c r="Y190" s="6">
        <f t="shared" si="22"/>
        <v>9.9036331117695747E-3</v>
      </c>
      <c r="AA190">
        <v>214922</v>
      </c>
      <c r="AB190">
        <v>130262</v>
      </c>
      <c r="AC190">
        <v>13474065</v>
      </c>
      <c r="AD190" t="s">
        <v>5</v>
      </c>
      <c r="AE190">
        <v>29</v>
      </c>
      <c r="AH190" t="s">
        <v>8780</v>
      </c>
      <c r="AI190" t="s">
        <v>8779</v>
      </c>
      <c r="AK190" t="s">
        <v>8778</v>
      </c>
      <c r="AL190">
        <v>1</v>
      </c>
      <c r="AM190" s="5">
        <f t="shared" si="26"/>
        <v>3.125E-2</v>
      </c>
      <c r="AN190" s="4">
        <f t="shared" si="23"/>
        <v>4.73305566073457E-5</v>
      </c>
      <c r="AO190" s="3"/>
      <c r="AP190">
        <v>0</v>
      </c>
      <c r="AR190" t="s">
        <v>0</v>
      </c>
      <c r="AT190" s="2">
        <v>1.48</v>
      </c>
      <c r="AU190" s="1">
        <f t="shared" si="27"/>
        <v>0.69467423452209054</v>
      </c>
      <c r="AV190" s="1">
        <f t="shared" si="28"/>
        <v>0.49754818341884599</v>
      </c>
      <c r="AW190" s="1">
        <f t="shared" si="29"/>
        <v>0.30042213231560144</v>
      </c>
    </row>
    <row r="191" spans="1:49" x14ac:dyDescent="0.2">
      <c r="A191">
        <v>189</v>
      </c>
      <c r="B191" t="s">
        <v>8777</v>
      </c>
      <c r="C191" t="s">
        <v>8776</v>
      </c>
      <c r="F191" t="s">
        <v>8775</v>
      </c>
      <c r="G191" t="s">
        <v>14</v>
      </c>
      <c r="H191" t="s">
        <v>13</v>
      </c>
      <c r="I191" t="s">
        <v>8774</v>
      </c>
      <c r="J191" t="s">
        <v>8773</v>
      </c>
      <c r="K191" t="s">
        <v>8772</v>
      </c>
      <c r="L191" t="s">
        <v>8771</v>
      </c>
      <c r="M191" t="s">
        <v>1702</v>
      </c>
      <c r="N191">
        <v>3</v>
      </c>
      <c r="O191" t="s">
        <v>8770</v>
      </c>
      <c r="P191" t="s">
        <v>8769</v>
      </c>
      <c r="Q191" t="s">
        <v>8768</v>
      </c>
      <c r="R191" s="7">
        <v>32874</v>
      </c>
      <c r="S191" s="8">
        <f t="shared" si="24"/>
        <v>1990</v>
      </c>
      <c r="T191" s="8">
        <v>1990</v>
      </c>
      <c r="U191" s="8">
        <f t="shared" si="25"/>
        <v>32</v>
      </c>
      <c r="V191" s="7">
        <v>33178</v>
      </c>
      <c r="W191" t="s">
        <v>8767</v>
      </c>
      <c r="X191" s="2">
        <v>0.58299999999999996</v>
      </c>
      <c r="Y191" s="6">
        <f t="shared" si="22"/>
        <v>1.5562852032780758E-2</v>
      </c>
      <c r="AA191">
        <v>7342101</v>
      </c>
      <c r="AB191">
        <v>28596</v>
      </c>
      <c r="AC191">
        <v>15208559</v>
      </c>
      <c r="AD191" t="s">
        <v>5</v>
      </c>
      <c r="AE191">
        <v>8</v>
      </c>
      <c r="AF191">
        <v>6</v>
      </c>
      <c r="AH191" t="s">
        <v>8766</v>
      </c>
      <c r="AI191" t="s">
        <v>8765</v>
      </c>
      <c r="AK191" t="s">
        <v>8764</v>
      </c>
      <c r="AL191">
        <v>0</v>
      </c>
      <c r="AM191" s="5">
        <f t="shared" si="26"/>
        <v>0</v>
      </c>
      <c r="AN191" s="4">
        <f t="shared" si="23"/>
        <v>0</v>
      </c>
      <c r="AO191" s="3"/>
      <c r="AP191">
        <v>0</v>
      </c>
      <c r="AR191" t="s">
        <v>0</v>
      </c>
      <c r="AT191" s="2" t="s">
        <v>126</v>
      </c>
      <c r="AU191" s="1">
        <f t="shared" si="27"/>
        <v>1.089399642294653</v>
      </c>
      <c r="AV191" s="1">
        <f t="shared" si="28"/>
        <v>0.77814260163903792</v>
      </c>
      <c r="AW191" s="1">
        <f t="shared" si="29"/>
        <v>0.46688556098342271</v>
      </c>
    </row>
    <row r="192" spans="1:49" x14ac:dyDescent="0.2">
      <c r="A192">
        <v>190</v>
      </c>
      <c r="B192" t="s">
        <v>8763</v>
      </c>
      <c r="C192" t="s">
        <v>8762</v>
      </c>
      <c r="F192" t="s">
        <v>8761</v>
      </c>
      <c r="G192" t="s">
        <v>14</v>
      </c>
      <c r="H192" t="s">
        <v>13</v>
      </c>
      <c r="I192" t="s">
        <v>5308</v>
      </c>
      <c r="J192" t="s">
        <v>8755</v>
      </c>
      <c r="K192" t="s">
        <v>8760</v>
      </c>
      <c r="L192" t="s">
        <v>8759</v>
      </c>
      <c r="M192" t="s">
        <v>8758</v>
      </c>
      <c r="N192">
        <v>2</v>
      </c>
      <c r="O192" t="s">
        <v>8757</v>
      </c>
      <c r="P192" t="s">
        <v>8756</v>
      </c>
      <c r="Q192" t="s">
        <v>8755</v>
      </c>
      <c r="R192" s="7">
        <v>32874</v>
      </c>
      <c r="S192" s="8">
        <f t="shared" si="24"/>
        <v>1990</v>
      </c>
      <c r="T192" s="8">
        <v>1990</v>
      </c>
      <c r="U192" s="8">
        <f t="shared" si="25"/>
        <v>32</v>
      </c>
      <c r="V192" s="7">
        <v>1990</v>
      </c>
      <c r="W192" t="s">
        <v>278</v>
      </c>
      <c r="X192" s="2">
        <v>0.28599999999999998</v>
      </c>
      <c r="Y192" s="6">
        <f t="shared" si="22"/>
        <v>7.6346066575905605E-3</v>
      </c>
      <c r="AA192">
        <v>9205071</v>
      </c>
      <c r="AB192">
        <v>28139</v>
      </c>
      <c r="AC192">
        <v>15693937</v>
      </c>
      <c r="AD192" t="s">
        <v>5</v>
      </c>
      <c r="AE192">
        <v>4</v>
      </c>
      <c r="AF192">
        <v>6</v>
      </c>
      <c r="AH192" t="s">
        <v>8754</v>
      </c>
      <c r="AI192" t="s">
        <v>8753</v>
      </c>
      <c r="AK192" t="s">
        <v>8752</v>
      </c>
      <c r="AL192">
        <v>0</v>
      </c>
      <c r="AM192" s="5">
        <f t="shared" si="26"/>
        <v>0</v>
      </c>
      <c r="AN192" s="4">
        <f t="shared" si="23"/>
        <v>0</v>
      </c>
      <c r="AO192" s="3"/>
      <c r="AP192">
        <v>0</v>
      </c>
      <c r="AR192" t="s">
        <v>0</v>
      </c>
      <c r="AT192" s="2" t="s">
        <v>126</v>
      </c>
      <c r="AU192" s="1">
        <f t="shared" si="27"/>
        <v>0.53442246603133925</v>
      </c>
      <c r="AV192" s="1">
        <f t="shared" si="28"/>
        <v>0.38173033287952801</v>
      </c>
      <c r="AW192" s="1">
        <f t="shared" si="29"/>
        <v>0.22903819972771683</v>
      </c>
    </row>
    <row r="193" spans="1:49" x14ac:dyDescent="0.2">
      <c r="A193">
        <v>191</v>
      </c>
      <c r="B193" t="s">
        <v>8751</v>
      </c>
      <c r="C193" t="s">
        <v>8750</v>
      </c>
      <c r="F193" t="s">
        <v>8749</v>
      </c>
      <c r="G193" t="s">
        <v>14</v>
      </c>
      <c r="H193" t="s">
        <v>13</v>
      </c>
      <c r="I193" t="s">
        <v>8748</v>
      </c>
      <c r="J193">
        <v>60002947</v>
      </c>
      <c r="K193" t="s">
        <v>2450</v>
      </c>
      <c r="L193" t="s">
        <v>2449</v>
      </c>
      <c r="M193" t="s">
        <v>1141</v>
      </c>
      <c r="N193">
        <v>2</v>
      </c>
      <c r="O193" t="s">
        <v>8747</v>
      </c>
      <c r="P193" t="s">
        <v>8746</v>
      </c>
      <c r="Q193" t="s">
        <v>2446</v>
      </c>
      <c r="R193" s="7">
        <v>32874</v>
      </c>
      <c r="S193" s="8">
        <f t="shared" si="24"/>
        <v>1990</v>
      </c>
      <c r="T193" s="8">
        <v>1990</v>
      </c>
      <c r="U193" s="8">
        <f t="shared" si="25"/>
        <v>32</v>
      </c>
      <c r="V193" s="7">
        <v>1990</v>
      </c>
      <c r="W193" t="s">
        <v>278</v>
      </c>
      <c r="X193" s="2">
        <v>0.28599999999999998</v>
      </c>
      <c r="Y193" s="6">
        <f t="shared" si="22"/>
        <v>7.6346066575905605E-3</v>
      </c>
      <c r="AA193">
        <v>9205071</v>
      </c>
      <c r="AB193">
        <v>28139</v>
      </c>
      <c r="AC193">
        <v>15693937</v>
      </c>
      <c r="AD193" t="s">
        <v>5</v>
      </c>
      <c r="AE193">
        <v>4</v>
      </c>
      <c r="AF193">
        <v>3</v>
      </c>
      <c r="AH193" t="s">
        <v>8745</v>
      </c>
      <c r="AI193" t="s">
        <v>8744</v>
      </c>
      <c r="AK193" t="s">
        <v>8743</v>
      </c>
      <c r="AL193">
        <v>0</v>
      </c>
      <c r="AM193" s="5">
        <f t="shared" si="26"/>
        <v>0</v>
      </c>
      <c r="AN193" s="4">
        <f t="shared" si="23"/>
        <v>0</v>
      </c>
      <c r="AO193" s="3"/>
      <c r="AP193">
        <v>0</v>
      </c>
      <c r="AR193" t="s">
        <v>0</v>
      </c>
      <c r="AT193" s="2" t="s">
        <v>126</v>
      </c>
      <c r="AU193" s="1">
        <f t="shared" si="27"/>
        <v>0.53442246603133925</v>
      </c>
      <c r="AV193" s="1">
        <f t="shared" si="28"/>
        <v>0.38173033287952801</v>
      </c>
      <c r="AW193" s="1">
        <f t="shared" si="29"/>
        <v>0.22903819972771683</v>
      </c>
    </row>
    <row r="194" spans="1:49" x14ac:dyDescent="0.2">
      <c r="A194">
        <v>192</v>
      </c>
      <c r="B194" t="s">
        <v>8742</v>
      </c>
      <c r="C194" t="s">
        <v>8741</v>
      </c>
      <c r="F194" t="s">
        <v>8740</v>
      </c>
      <c r="G194" t="s">
        <v>14</v>
      </c>
      <c r="H194" t="s">
        <v>13</v>
      </c>
      <c r="I194" t="s">
        <v>4486</v>
      </c>
      <c r="J194" t="s">
        <v>4485</v>
      </c>
      <c r="K194" t="s">
        <v>4484</v>
      </c>
      <c r="L194" t="s">
        <v>4483</v>
      </c>
      <c r="M194" t="s">
        <v>84</v>
      </c>
      <c r="N194">
        <v>3</v>
      </c>
      <c r="O194" t="s">
        <v>8739</v>
      </c>
      <c r="P194" t="s">
        <v>8738</v>
      </c>
      <c r="Q194" t="s">
        <v>8737</v>
      </c>
      <c r="R194" s="7">
        <v>32874</v>
      </c>
      <c r="S194" s="8">
        <f t="shared" si="24"/>
        <v>1990</v>
      </c>
      <c r="T194" s="8">
        <v>1990</v>
      </c>
      <c r="U194" s="8">
        <f t="shared" si="25"/>
        <v>32</v>
      </c>
      <c r="V194" s="7">
        <v>1990</v>
      </c>
      <c r="W194" t="s">
        <v>278</v>
      </c>
      <c r="X194" s="2">
        <v>0.28599999999999998</v>
      </c>
      <c r="Y194" s="6">
        <f t="shared" ref="Y194:Y257" si="30">(X194-$Z$4)/($Z$3-$Z$4)</f>
        <v>7.6346066575905605E-3</v>
      </c>
      <c r="AA194">
        <v>9205071</v>
      </c>
      <c r="AB194">
        <v>28139</v>
      </c>
      <c r="AC194">
        <v>15693937</v>
      </c>
      <c r="AD194" t="s">
        <v>5</v>
      </c>
      <c r="AE194">
        <v>4</v>
      </c>
      <c r="AF194">
        <v>7</v>
      </c>
      <c r="AH194" t="s">
        <v>8736</v>
      </c>
      <c r="AI194" t="s">
        <v>8735</v>
      </c>
      <c r="AK194" t="s">
        <v>8734</v>
      </c>
      <c r="AL194">
        <v>0</v>
      </c>
      <c r="AM194" s="5">
        <f t="shared" si="26"/>
        <v>0</v>
      </c>
      <c r="AN194" s="4">
        <f t="shared" ref="AN194:AN257" si="31">(AM194-$AO$4)/($AO$3-$AO$4)</f>
        <v>0</v>
      </c>
      <c r="AO194" s="3"/>
      <c r="AP194">
        <v>0</v>
      </c>
      <c r="AQ194" t="s">
        <v>1279</v>
      </c>
      <c r="AR194" t="s">
        <v>0</v>
      </c>
      <c r="AS194" t="s">
        <v>1278</v>
      </c>
      <c r="AT194" s="2" t="s">
        <v>126</v>
      </c>
      <c r="AU194" s="1">
        <f t="shared" si="27"/>
        <v>0.53442246603133925</v>
      </c>
      <c r="AV194" s="1">
        <f t="shared" si="28"/>
        <v>0.38173033287952801</v>
      </c>
      <c r="AW194" s="1">
        <f t="shared" si="29"/>
        <v>0.22903819972771683</v>
      </c>
    </row>
    <row r="195" spans="1:49" x14ac:dyDescent="0.2">
      <c r="A195">
        <v>193</v>
      </c>
      <c r="B195" t="s">
        <v>8733</v>
      </c>
      <c r="C195" t="s">
        <v>8732</v>
      </c>
      <c r="F195" t="s">
        <v>8731</v>
      </c>
      <c r="G195" t="s">
        <v>14</v>
      </c>
      <c r="H195" t="s">
        <v>13</v>
      </c>
      <c r="I195" t="s">
        <v>8730</v>
      </c>
      <c r="J195">
        <v>60027271</v>
      </c>
      <c r="K195" t="s">
        <v>2280</v>
      </c>
      <c r="L195" t="s">
        <v>2279</v>
      </c>
      <c r="M195" t="s">
        <v>197</v>
      </c>
      <c r="N195">
        <v>1</v>
      </c>
      <c r="O195" t="s">
        <v>8729</v>
      </c>
      <c r="P195">
        <v>7202493986</v>
      </c>
      <c r="Q195">
        <v>60027271</v>
      </c>
      <c r="R195" s="7">
        <v>32874</v>
      </c>
      <c r="S195" s="8">
        <f t="shared" si="24"/>
        <v>1990</v>
      </c>
      <c r="T195" s="8">
        <v>1990</v>
      </c>
      <c r="U195" s="8">
        <f t="shared" si="25"/>
        <v>32</v>
      </c>
      <c r="V195" s="7">
        <v>32874</v>
      </c>
      <c r="W195" t="s">
        <v>8728</v>
      </c>
      <c r="X195" s="2">
        <v>0.377</v>
      </c>
      <c r="Y195" s="6">
        <f t="shared" si="30"/>
        <v>1.006379968500574E-2</v>
      </c>
      <c r="AA195">
        <v>9500340</v>
      </c>
      <c r="AB195">
        <v>12181</v>
      </c>
      <c r="AC195">
        <v>13623044</v>
      </c>
      <c r="AD195" t="s">
        <v>5</v>
      </c>
      <c r="AE195">
        <v>37</v>
      </c>
      <c r="AF195">
        <v>1</v>
      </c>
      <c r="AH195" t="s">
        <v>8727</v>
      </c>
      <c r="AI195" t="s">
        <v>8726</v>
      </c>
      <c r="AK195" t="s">
        <v>8725</v>
      </c>
      <c r="AL195">
        <v>1</v>
      </c>
      <c r="AM195" s="5">
        <f t="shared" si="26"/>
        <v>3.125E-2</v>
      </c>
      <c r="AN195" s="4">
        <f t="shared" si="31"/>
        <v>4.73305566073457E-5</v>
      </c>
      <c r="AO195" s="3"/>
      <c r="AP195">
        <v>0</v>
      </c>
      <c r="AR195" t="s">
        <v>0</v>
      </c>
      <c r="AT195" s="2">
        <v>1.464</v>
      </c>
      <c r="AU195" s="1">
        <f t="shared" si="27"/>
        <v>0.70588589464862206</v>
      </c>
      <c r="AV195" s="1">
        <f t="shared" si="28"/>
        <v>0.50555651208065422</v>
      </c>
      <c r="AW195" s="1">
        <f t="shared" si="29"/>
        <v>0.30522712951268638</v>
      </c>
    </row>
    <row r="196" spans="1:49" x14ac:dyDescent="0.2">
      <c r="A196">
        <v>194</v>
      </c>
      <c r="B196" t="s">
        <v>8724</v>
      </c>
      <c r="C196" t="s">
        <v>8723</v>
      </c>
      <c r="F196" t="s">
        <v>8722</v>
      </c>
      <c r="G196" t="s">
        <v>14</v>
      </c>
      <c r="H196" t="s">
        <v>13</v>
      </c>
      <c r="I196" t="s">
        <v>8721</v>
      </c>
      <c r="N196">
        <v>1</v>
      </c>
      <c r="O196" t="s">
        <v>8720</v>
      </c>
      <c r="P196">
        <v>7004873154</v>
      </c>
      <c r="R196" s="7">
        <v>32874</v>
      </c>
      <c r="S196" s="8">
        <f t="shared" si="24"/>
        <v>1990</v>
      </c>
      <c r="T196" s="8">
        <v>1990</v>
      </c>
      <c r="U196" s="8">
        <f t="shared" si="25"/>
        <v>32</v>
      </c>
      <c r="V196" s="7" t="s">
        <v>7</v>
      </c>
      <c r="W196" t="s">
        <v>110</v>
      </c>
      <c r="X196" s="2">
        <v>0.371</v>
      </c>
      <c r="Y196" s="6">
        <f t="shared" si="30"/>
        <v>9.9036331117695747E-3</v>
      </c>
      <c r="AA196">
        <v>486604</v>
      </c>
      <c r="AB196">
        <v>28580</v>
      </c>
      <c r="AC196" t="s">
        <v>109</v>
      </c>
      <c r="AD196" t="s">
        <v>5</v>
      </c>
      <c r="AE196">
        <v>25</v>
      </c>
      <c r="AF196">
        <v>4</v>
      </c>
      <c r="AH196" t="s">
        <v>8719</v>
      </c>
      <c r="AI196" t="s">
        <v>8718</v>
      </c>
      <c r="AK196" t="s">
        <v>8717</v>
      </c>
      <c r="AL196">
        <v>1</v>
      </c>
      <c r="AM196" s="5">
        <f t="shared" si="26"/>
        <v>3.125E-2</v>
      </c>
      <c r="AN196" s="4">
        <f t="shared" si="31"/>
        <v>4.73305566073457E-5</v>
      </c>
      <c r="AO196" s="3"/>
      <c r="AP196">
        <v>0</v>
      </c>
      <c r="AR196" t="s">
        <v>0</v>
      </c>
      <c r="AT196" s="2">
        <v>1.431</v>
      </c>
      <c r="AU196" s="1">
        <f t="shared" si="27"/>
        <v>0.69467423452209054</v>
      </c>
      <c r="AV196" s="1">
        <f t="shared" si="28"/>
        <v>0.49754818341884599</v>
      </c>
      <c r="AW196" s="1">
        <f t="shared" si="29"/>
        <v>0.30042213231560144</v>
      </c>
    </row>
    <row r="197" spans="1:49" x14ac:dyDescent="0.2">
      <c r="A197">
        <v>195</v>
      </c>
      <c r="B197" t="s">
        <v>8716</v>
      </c>
      <c r="C197" t="s">
        <v>8715</v>
      </c>
      <c r="F197" t="s">
        <v>8714</v>
      </c>
      <c r="G197" t="s">
        <v>14</v>
      </c>
      <c r="H197" t="s">
        <v>13</v>
      </c>
      <c r="I197" t="s">
        <v>4364</v>
      </c>
      <c r="N197">
        <v>1</v>
      </c>
      <c r="O197" t="s">
        <v>8713</v>
      </c>
      <c r="P197">
        <v>7005621665</v>
      </c>
      <c r="R197" s="7">
        <v>32874</v>
      </c>
      <c r="S197" s="8">
        <f t="shared" si="24"/>
        <v>1990</v>
      </c>
      <c r="T197" s="8">
        <v>1990</v>
      </c>
      <c r="U197" s="8">
        <f t="shared" si="25"/>
        <v>32</v>
      </c>
      <c r="V197" s="7" t="s">
        <v>7</v>
      </c>
      <c r="W197" t="s">
        <v>110</v>
      </c>
      <c r="X197" s="2">
        <v>0.371</v>
      </c>
      <c r="Y197" s="6">
        <f t="shared" si="30"/>
        <v>9.9036331117695747E-3</v>
      </c>
      <c r="AA197">
        <v>486604</v>
      </c>
      <c r="AB197">
        <v>28580</v>
      </c>
      <c r="AC197" t="s">
        <v>109</v>
      </c>
      <c r="AD197" t="s">
        <v>5</v>
      </c>
      <c r="AE197">
        <v>25</v>
      </c>
      <c r="AF197">
        <v>4</v>
      </c>
      <c r="AH197" t="s">
        <v>8712</v>
      </c>
      <c r="AI197" t="s">
        <v>8711</v>
      </c>
      <c r="AK197" t="s">
        <v>8710</v>
      </c>
      <c r="AL197">
        <v>51</v>
      </c>
      <c r="AM197" s="5">
        <f t="shared" si="26"/>
        <v>1.59375</v>
      </c>
      <c r="AN197" s="4">
        <f t="shared" si="31"/>
        <v>2.4138583869746308E-3</v>
      </c>
      <c r="AO197" s="3"/>
      <c r="AP197">
        <v>0</v>
      </c>
      <c r="AR197" t="s">
        <v>0</v>
      </c>
      <c r="AT197" s="2">
        <v>1.431</v>
      </c>
      <c r="AU197" s="1">
        <f t="shared" si="27"/>
        <v>0.76567006943310911</v>
      </c>
      <c r="AV197" s="1">
        <f t="shared" si="28"/>
        <v>0.61587457493721032</v>
      </c>
      <c r="AW197" s="1">
        <f t="shared" si="29"/>
        <v>0.46607908044131141</v>
      </c>
    </row>
    <row r="198" spans="1:49" x14ac:dyDescent="0.2">
      <c r="A198">
        <v>196</v>
      </c>
      <c r="B198" t="s">
        <v>8709</v>
      </c>
      <c r="C198" t="s">
        <v>8708</v>
      </c>
      <c r="F198" t="s">
        <v>8707</v>
      </c>
      <c r="G198" t="s">
        <v>14</v>
      </c>
      <c r="H198" t="s">
        <v>13</v>
      </c>
      <c r="I198" t="s">
        <v>8706</v>
      </c>
      <c r="N198">
        <v>2</v>
      </c>
      <c r="O198" t="s">
        <v>8705</v>
      </c>
      <c r="P198" t="s">
        <v>8704</v>
      </c>
      <c r="Q198" t="s">
        <v>119</v>
      </c>
      <c r="R198" s="7">
        <v>32874</v>
      </c>
      <c r="S198" s="8">
        <f t="shared" si="24"/>
        <v>1990</v>
      </c>
      <c r="T198" s="8">
        <v>1990</v>
      </c>
      <c r="U198" s="8">
        <f t="shared" si="25"/>
        <v>32</v>
      </c>
      <c r="V198" s="7" t="s">
        <v>7</v>
      </c>
      <c r="W198" t="s">
        <v>110</v>
      </c>
      <c r="X198" s="2">
        <v>0.371</v>
      </c>
      <c r="Y198" s="6">
        <f t="shared" si="30"/>
        <v>9.9036331117695747E-3</v>
      </c>
      <c r="AA198">
        <v>486604</v>
      </c>
      <c r="AB198">
        <v>28580</v>
      </c>
      <c r="AC198" t="s">
        <v>109</v>
      </c>
      <c r="AD198" t="s">
        <v>5</v>
      </c>
      <c r="AE198">
        <v>25</v>
      </c>
      <c r="AF198">
        <v>4</v>
      </c>
      <c r="AH198" t="s">
        <v>8703</v>
      </c>
      <c r="AI198" t="s">
        <v>8702</v>
      </c>
      <c r="AK198" t="s">
        <v>8701</v>
      </c>
      <c r="AL198">
        <v>1</v>
      </c>
      <c r="AM198" s="5">
        <f t="shared" si="26"/>
        <v>3.125E-2</v>
      </c>
      <c r="AN198" s="4">
        <f t="shared" si="31"/>
        <v>4.73305566073457E-5</v>
      </c>
      <c r="AO198" s="3"/>
      <c r="AP198">
        <v>0</v>
      </c>
      <c r="AR198" t="s">
        <v>0</v>
      </c>
      <c r="AT198" s="2">
        <v>1.431</v>
      </c>
      <c r="AU198" s="1">
        <f t="shared" si="27"/>
        <v>0.69467423452209054</v>
      </c>
      <c r="AV198" s="1">
        <f t="shared" si="28"/>
        <v>0.49754818341884599</v>
      </c>
      <c r="AW198" s="1">
        <f t="shared" si="29"/>
        <v>0.30042213231560144</v>
      </c>
    </row>
    <row r="199" spans="1:49" x14ac:dyDescent="0.2">
      <c r="A199">
        <v>197</v>
      </c>
      <c r="B199" t="s">
        <v>8700</v>
      </c>
      <c r="C199" t="s">
        <v>8699</v>
      </c>
      <c r="F199" t="s">
        <v>8698</v>
      </c>
      <c r="G199" t="s">
        <v>14</v>
      </c>
      <c r="H199" t="s">
        <v>13</v>
      </c>
      <c r="I199" t="s">
        <v>8697</v>
      </c>
      <c r="J199">
        <v>60008435</v>
      </c>
      <c r="K199" t="s">
        <v>4650</v>
      </c>
      <c r="L199" t="s">
        <v>1517</v>
      </c>
      <c r="M199" t="s">
        <v>267</v>
      </c>
      <c r="N199">
        <v>1</v>
      </c>
      <c r="O199" t="s">
        <v>8696</v>
      </c>
      <c r="P199">
        <v>22976359800</v>
      </c>
      <c r="Q199">
        <v>60008435</v>
      </c>
      <c r="R199" s="7">
        <v>32874</v>
      </c>
      <c r="S199" s="8">
        <f t="shared" si="24"/>
        <v>1990</v>
      </c>
      <c r="T199" s="8">
        <v>1990</v>
      </c>
      <c r="U199" s="8">
        <f t="shared" si="25"/>
        <v>32</v>
      </c>
      <c r="V199" s="7">
        <v>33178</v>
      </c>
      <c r="W199" t="s">
        <v>4388</v>
      </c>
      <c r="X199" s="2">
        <v>0.371</v>
      </c>
      <c r="Y199" s="6">
        <f t="shared" si="30"/>
        <v>9.9036331117695747E-3</v>
      </c>
      <c r="AA199">
        <v>214922</v>
      </c>
      <c r="AB199">
        <v>130262</v>
      </c>
      <c r="AC199">
        <v>13474065</v>
      </c>
      <c r="AD199" t="s">
        <v>5</v>
      </c>
      <c r="AE199">
        <v>29</v>
      </c>
      <c r="AF199">
        <v>11</v>
      </c>
      <c r="AH199" t="s">
        <v>8695</v>
      </c>
      <c r="AI199" t="s">
        <v>8694</v>
      </c>
      <c r="AJ199" t="s">
        <v>8693</v>
      </c>
      <c r="AK199" t="s">
        <v>8692</v>
      </c>
      <c r="AL199">
        <v>2</v>
      </c>
      <c r="AM199" s="5">
        <f t="shared" si="26"/>
        <v>6.25E-2</v>
      </c>
      <c r="AN199" s="4">
        <f t="shared" si="31"/>
        <v>9.46611132146914E-5</v>
      </c>
      <c r="AO199" s="3"/>
      <c r="AP199">
        <v>0</v>
      </c>
      <c r="AR199" t="s">
        <v>0</v>
      </c>
      <c r="AT199" s="2">
        <v>1.48</v>
      </c>
      <c r="AU199" s="1">
        <f t="shared" si="27"/>
        <v>0.69609415122031093</v>
      </c>
      <c r="AV199" s="1">
        <f t="shared" si="28"/>
        <v>0.49991471124921333</v>
      </c>
      <c r="AW199" s="1">
        <f t="shared" si="29"/>
        <v>0.30373527127811567</v>
      </c>
    </row>
    <row r="200" spans="1:49" x14ac:dyDescent="0.2">
      <c r="A200">
        <v>198</v>
      </c>
      <c r="B200" t="s">
        <v>8691</v>
      </c>
      <c r="C200" t="s">
        <v>8690</v>
      </c>
      <c r="F200" t="s">
        <v>8689</v>
      </c>
      <c r="G200" t="s">
        <v>14</v>
      </c>
      <c r="H200" t="s">
        <v>13</v>
      </c>
      <c r="I200" t="s">
        <v>8688</v>
      </c>
      <c r="J200">
        <v>60077231</v>
      </c>
      <c r="K200" t="s">
        <v>8687</v>
      </c>
      <c r="L200" t="s">
        <v>629</v>
      </c>
      <c r="M200" t="s">
        <v>197</v>
      </c>
      <c r="N200">
        <v>1</v>
      </c>
      <c r="O200" t="s">
        <v>8686</v>
      </c>
      <c r="P200">
        <v>57225400000</v>
      </c>
      <c r="Q200">
        <v>60077231</v>
      </c>
      <c r="R200" s="7">
        <v>32874</v>
      </c>
      <c r="S200" s="8">
        <f t="shared" si="24"/>
        <v>1990</v>
      </c>
      <c r="T200" s="8">
        <v>1990</v>
      </c>
      <c r="U200" s="8">
        <f t="shared" si="25"/>
        <v>32</v>
      </c>
      <c r="V200" s="7">
        <v>32964</v>
      </c>
      <c r="W200" t="s">
        <v>1858</v>
      </c>
      <c r="X200" s="2">
        <v>0.88100000000000001</v>
      </c>
      <c r="Y200" s="6">
        <f t="shared" si="30"/>
        <v>2.3517791836843653E-2</v>
      </c>
      <c r="AA200">
        <v>10459243</v>
      </c>
      <c r="AB200">
        <v>17248</v>
      </c>
      <c r="AD200" t="s">
        <v>5</v>
      </c>
      <c r="AE200">
        <v>32</v>
      </c>
      <c r="AF200">
        <v>2</v>
      </c>
      <c r="AH200" t="s">
        <v>8685</v>
      </c>
      <c r="AL200">
        <v>0</v>
      </c>
      <c r="AM200" s="5">
        <f t="shared" si="26"/>
        <v>0</v>
      </c>
      <c r="AN200" s="4">
        <f t="shared" si="31"/>
        <v>0</v>
      </c>
      <c r="AO200" s="3"/>
      <c r="AP200">
        <v>0</v>
      </c>
      <c r="AR200" t="s">
        <v>0</v>
      </c>
      <c r="AT200" s="2" t="s">
        <v>126</v>
      </c>
      <c r="AU200" s="1">
        <f t="shared" si="27"/>
        <v>1.6462454285790555</v>
      </c>
      <c r="AV200" s="1">
        <f t="shared" si="28"/>
        <v>1.1758895918421826</v>
      </c>
      <c r="AW200" s="1">
        <f t="shared" si="29"/>
        <v>0.70553375510530958</v>
      </c>
    </row>
    <row r="201" spans="1:49" x14ac:dyDescent="0.2">
      <c r="A201">
        <v>199</v>
      </c>
      <c r="B201" t="s">
        <v>8684</v>
      </c>
      <c r="C201" t="s">
        <v>8683</v>
      </c>
      <c r="F201" t="s">
        <v>8682</v>
      </c>
      <c r="G201" t="s">
        <v>14</v>
      </c>
      <c r="H201" t="s">
        <v>13</v>
      </c>
      <c r="I201" t="s">
        <v>8681</v>
      </c>
      <c r="J201" t="s">
        <v>8680</v>
      </c>
      <c r="K201" t="s">
        <v>8679</v>
      </c>
      <c r="L201" t="s">
        <v>8678</v>
      </c>
      <c r="M201" t="s">
        <v>1156</v>
      </c>
      <c r="N201">
        <v>3</v>
      </c>
      <c r="O201" t="s">
        <v>8677</v>
      </c>
      <c r="P201" t="s">
        <v>8676</v>
      </c>
      <c r="Q201" t="s">
        <v>8675</v>
      </c>
      <c r="R201" s="7">
        <v>32874</v>
      </c>
      <c r="S201" s="8">
        <f t="shared" si="24"/>
        <v>1990</v>
      </c>
      <c r="T201" s="8">
        <v>1990</v>
      </c>
      <c r="U201" s="8">
        <f t="shared" si="25"/>
        <v>32</v>
      </c>
      <c r="V201" s="7">
        <v>1990</v>
      </c>
      <c r="W201" t="s">
        <v>278</v>
      </c>
      <c r="X201" s="2">
        <v>0.28599999999999998</v>
      </c>
      <c r="Y201" s="6">
        <f t="shared" si="30"/>
        <v>7.6346066575905605E-3</v>
      </c>
      <c r="AA201">
        <v>9205071</v>
      </c>
      <c r="AB201">
        <v>28139</v>
      </c>
      <c r="AC201">
        <v>15693937</v>
      </c>
      <c r="AD201" t="s">
        <v>5</v>
      </c>
      <c r="AE201">
        <v>4</v>
      </c>
      <c r="AF201">
        <v>7</v>
      </c>
      <c r="AH201" t="s">
        <v>8674</v>
      </c>
      <c r="AI201" t="s">
        <v>8673</v>
      </c>
      <c r="AK201" t="s">
        <v>8672</v>
      </c>
      <c r="AL201">
        <v>4</v>
      </c>
      <c r="AM201" s="5">
        <f t="shared" si="26"/>
        <v>0.125</v>
      </c>
      <c r="AN201" s="4">
        <f t="shared" si="31"/>
        <v>1.893222264293828E-4</v>
      </c>
      <c r="AO201" s="3"/>
      <c r="AP201">
        <v>0</v>
      </c>
      <c r="AR201" t="s">
        <v>0</v>
      </c>
      <c r="AT201" s="2" t="s">
        <v>126</v>
      </c>
      <c r="AU201" s="1">
        <f t="shared" si="27"/>
        <v>0.5401021328242207</v>
      </c>
      <c r="AV201" s="1">
        <f t="shared" si="28"/>
        <v>0.39119644420099714</v>
      </c>
      <c r="AW201" s="1">
        <f t="shared" si="29"/>
        <v>0.2422907555777736</v>
      </c>
    </row>
    <row r="202" spans="1:49" x14ac:dyDescent="0.2">
      <c r="A202">
        <v>200</v>
      </c>
      <c r="B202" t="s">
        <v>8671</v>
      </c>
      <c r="C202" t="s">
        <v>8670</v>
      </c>
      <c r="F202" t="s">
        <v>8669</v>
      </c>
      <c r="G202" t="s">
        <v>14</v>
      </c>
      <c r="H202" t="s">
        <v>13</v>
      </c>
      <c r="I202" t="s">
        <v>8668</v>
      </c>
      <c r="J202">
        <v>60019615</v>
      </c>
      <c r="K202" t="s">
        <v>8667</v>
      </c>
      <c r="L202" t="s">
        <v>8666</v>
      </c>
      <c r="M202" t="s">
        <v>1637</v>
      </c>
      <c r="N202">
        <v>1</v>
      </c>
      <c r="O202" t="s">
        <v>8665</v>
      </c>
      <c r="P202">
        <v>57194975627</v>
      </c>
      <c r="Q202">
        <v>60019615</v>
      </c>
      <c r="R202" s="7">
        <v>32874</v>
      </c>
      <c r="S202" s="8">
        <f t="shared" si="24"/>
        <v>1990</v>
      </c>
      <c r="T202" s="8">
        <v>1990</v>
      </c>
      <c r="U202" s="8">
        <f t="shared" si="25"/>
        <v>32</v>
      </c>
      <c r="V202" s="7">
        <v>32874</v>
      </c>
      <c r="W202" t="s">
        <v>8664</v>
      </c>
      <c r="X202" s="2">
        <v>0.439</v>
      </c>
      <c r="Y202" s="6">
        <f t="shared" si="30"/>
        <v>1.1718854275112784E-2</v>
      </c>
      <c r="AA202">
        <v>334545</v>
      </c>
      <c r="AB202">
        <v>21458</v>
      </c>
      <c r="AC202">
        <v>13653075</v>
      </c>
      <c r="AD202" t="s">
        <v>5</v>
      </c>
      <c r="AE202">
        <v>62</v>
      </c>
      <c r="AF202">
        <v>8</v>
      </c>
      <c r="AH202" t="s">
        <v>8663</v>
      </c>
      <c r="AI202" t="s">
        <v>8662</v>
      </c>
      <c r="AK202" t="s">
        <v>8661</v>
      </c>
      <c r="AL202">
        <v>7</v>
      </c>
      <c r="AM202" s="5">
        <f t="shared" si="26"/>
        <v>0.21875</v>
      </c>
      <c r="AN202" s="4">
        <f t="shared" si="31"/>
        <v>3.3131389625141994E-4</v>
      </c>
      <c r="AO202" s="3"/>
      <c r="AP202">
        <v>0</v>
      </c>
      <c r="AR202" t="s">
        <v>0</v>
      </c>
      <c r="AT202" s="2">
        <v>2.4529999999999998</v>
      </c>
      <c r="AU202" s="1">
        <f t="shared" si="27"/>
        <v>0.83025921614543752</v>
      </c>
      <c r="AV202" s="1">
        <f t="shared" si="28"/>
        <v>0.6025084085682102</v>
      </c>
      <c r="AW202" s="1">
        <f t="shared" si="29"/>
        <v>0.37475760099098288</v>
      </c>
    </row>
    <row r="203" spans="1:49" x14ac:dyDescent="0.2">
      <c r="A203">
        <v>201</v>
      </c>
      <c r="B203" t="s">
        <v>8660</v>
      </c>
      <c r="C203" t="s">
        <v>8659</v>
      </c>
      <c r="F203" t="s">
        <v>8658</v>
      </c>
      <c r="G203" t="s">
        <v>14</v>
      </c>
      <c r="H203" t="s">
        <v>13</v>
      </c>
      <c r="I203" t="s">
        <v>8657</v>
      </c>
      <c r="J203">
        <v>100383539</v>
      </c>
      <c r="K203" t="s">
        <v>8656</v>
      </c>
      <c r="L203" t="s">
        <v>8655</v>
      </c>
      <c r="M203" t="s">
        <v>253</v>
      </c>
      <c r="N203">
        <v>1</v>
      </c>
      <c r="O203" t="s">
        <v>8654</v>
      </c>
      <c r="P203">
        <v>57220280690</v>
      </c>
      <c r="Q203">
        <v>100383539</v>
      </c>
      <c r="R203" s="7">
        <v>32874</v>
      </c>
      <c r="S203" s="8">
        <f t="shared" si="24"/>
        <v>1990</v>
      </c>
      <c r="T203" s="8">
        <v>1990</v>
      </c>
      <c r="U203" s="8">
        <f t="shared" si="25"/>
        <v>32</v>
      </c>
      <c r="V203" s="7">
        <v>1990</v>
      </c>
      <c r="W203" t="s">
        <v>8136</v>
      </c>
      <c r="X203" s="2">
        <v>0.312</v>
      </c>
      <c r="Y203" s="6">
        <f t="shared" si="30"/>
        <v>8.3286618082806119E-3</v>
      </c>
      <c r="AA203">
        <v>9540695</v>
      </c>
      <c r="AB203">
        <v>61637</v>
      </c>
      <c r="AD203" t="s">
        <v>5</v>
      </c>
      <c r="AE203">
        <v>2</v>
      </c>
      <c r="AF203">
        <v>2</v>
      </c>
      <c r="AH203" t="s">
        <v>8204</v>
      </c>
      <c r="AI203" t="s">
        <v>8653</v>
      </c>
      <c r="AK203" t="s">
        <v>8652</v>
      </c>
      <c r="AL203">
        <v>6</v>
      </c>
      <c r="AM203" s="5">
        <f t="shared" si="26"/>
        <v>0.1875</v>
      </c>
      <c r="AN203" s="4">
        <f t="shared" si="31"/>
        <v>2.8398333964407423E-4</v>
      </c>
      <c r="AO203" s="3"/>
      <c r="AP203">
        <v>0</v>
      </c>
      <c r="AR203" t="s">
        <v>0</v>
      </c>
      <c r="AT203" s="2" t="s">
        <v>126</v>
      </c>
      <c r="AU203" s="1">
        <f t="shared" si="27"/>
        <v>0.59152582676896504</v>
      </c>
      <c r="AV203" s="1">
        <f t="shared" si="28"/>
        <v>0.43063225739623434</v>
      </c>
      <c r="AW203" s="1">
        <f t="shared" si="29"/>
        <v>0.26973868802350354</v>
      </c>
    </row>
    <row r="204" spans="1:49" x14ac:dyDescent="0.2">
      <c r="A204">
        <v>202</v>
      </c>
      <c r="B204" t="s">
        <v>8651</v>
      </c>
      <c r="C204" t="s">
        <v>8650</v>
      </c>
      <c r="F204" t="s">
        <v>8649</v>
      </c>
      <c r="G204" t="s">
        <v>14</v>
      </c>
      <c r="H204" t="s">
        <v>13</v>
      </c>
      <c r="I204" t="s">
        <v>8648</v>
      </c>
      <c r="J204">
        <v>60101625</v>
      </c>
      <c r="K204" t="s">
        <v>8647</v>
      </c>
      <c r="L204" t="s">
        <v>1665</v>
      </c>
      <c r="M204" t="s">
        <v>253</v>
      </c>
      <c r="N204">
        <v>2</v>
      </c>
      <c r="O204" t="s">
        <v>8646</v>
      </c>
      <c r="P204" t="s">
        <v>8645</v>
      </c>
      <c r="Q204" t="s">
        <v>8644</v>
      </c>
      <c r="R204" s="7">
        <v>32874</v>
      </c>
      <c r="S204" s="8">
        <f t="shared" si="24"/>
        <v>1990</v>
      </c>
      <c r="T204" s="8">
        <v>1990</v>
      </c>
      <c r="U204" s="8">
        <f t="shared" si="25"/>
        <v>32</v>
      </c>
      <c r="V204" s="7">
        <v>1990</v>
      </c>
      <c r="W204" t="s">
        <v>8643</v>
      </c>
      <c r="X204" s="2">
        <v>2.609</v>
      </c>
      <c r="Y204" s="6">
        <f t="shared" si="30"/>
        <v>6.9645764928859349E-2</v>
      </c>
      <c r="AA204">
        <v>917613</v>
      </c>
      <c r="AB204">
        <v>26959</v>
      </c>
      <c r="AD204" t="s">
        <v>5</v>
      </c>
      <c r="AE204">
        <v>18</v>
      </c>
      <c r="AF204">
        <v>8</v>
      </c>
      <c r="AH204" t="s">
        <v>8642</v>
      </c>
      <c r="AI204" t="s">
        <v>8641</v>
      </c>
      <c r="AK204" t="s">
        <v>8640</v>
      </c>
      <c r="AL204">
        <v>33</v>
      </c>
      <c r="AM204" s="5">
        <f t="shared" si="26"/>
        <v>1.03125</v>
      </c>
      <c r="AN204" s="4">
        <f t="shared" si="31"/>
        <v>1.5619083680424083E-3</v>
      </c>
      <c r="AO204" s="3"/>
      <c r="AP204">
        <v>0</v>
      </c>
      <c r="AR204" t="s">
        <v>0</v>
      </c>
      <c r="AT204" s="2">
        <v>5.399</v>
      </c>
      <c r="AU204" s="1">
        <f t="shared" si="27"/>
        <v>4.9220607960614258</v>
      </c>
      <c r="AV204" s="1">
        <f t="shared" si="28"/>
        <v>3.5603836648450877</v>
      </c>
      <c r="AW204" s="1">
        <f t="shared" si="29"/>
        <v>2.1987065336287492</v>
      </c>
    </row>
    <row r="205" spans="1:49" x14ac:dyDescent="0.2">
      <c r="A205">
        <v>203</v>
      </c>
      <c r="B205" t="s">
        <v>8639</v>
      </c>
      <c r="C205" t="s">
        <v>8638</v>
      </c>
      <c r="F205" t="s">
        <v>8637</v>
      </c>
      <c r="G205" t="s">
        <v>14</v>
      </c>
      <c r="H205" t="s">
        <v>13</v>
      </c>
      <c r="I205" t="s">
        <v>8636</v>
      </c>
      <c r="J205">
        <v>60020650</v>
      </c>
      <c r="K205" t="s">
        <v>2099</v>
      </c>
      <c r="L205" t="s">
        <v>2098</v>
      </c>
      <c r="M205" t="s">
        <v>253</v>
      </c>
      <c r="N205">
        <v>1</v>
      </c>
      <c r="O205" t="s">
        <v>8635</v>
      </c>
      <c r="P205">
        <v>7003750507</v>
      </c>
      <c r="Q205">
        <v>60020650</v>
      </c>
      <c r="R205" s="7">
        <v>32874</v>
      </c>
      <c r="S205" s="8">
        <f t="shared" si="24"/>
        <v>1990</v>
      </c>
      <c r="T205" s="8">
        <v>1990</v>
      </c>
      <c r="U205" s="8">
        <f t="shared" si="25"/>
        <v>32</v>
      </c>
      <c r="V205" s="7">
        <v>1990</v>
      </c>
      <c r="W205" t="s">
        <v>8136</v>
      </c>
      <c r="X205" s="2">
        <v>0.312</v>
      </c>
      <c r="Y205" s="6">
        <f t="shared" si="30"/>
        <v>8.3286618082806119E-3</v>
      </c>
      <c r="AA205">
        <v>9540695</v>
      </c>
      <c r="AB205">
        <v>61637</v>
      </c>
      <c r="AD205" t="s">
        <v>5</v>
      </c>
      <c r="AE205">
        <v>2</v>
      </c>
      <c r="AF205">
        <v>3</v>
      </c>
      <c r="AH205" t="s">
        <v>8634</v>
      </c>
      <c r="AI205" t="s">
        <v>8633</v>
      </c>
      <c r="AK205" t="s">
        <v>8632</v>
      </c>
      <c r="AL205">
        <v>4</v>
      </c>
      <c r="AM205" s="5">
        <f t="shared" si="26"/>
        <v>0.125</v>
      </c>
      <c r="AN205" s="4">
        <f t="shared" si="31"/>
        <v>1.893222264293828E-4</v>
      </c>
      <c r="AO205" s="3"/>
      <c r="AP205">
        <v>0</v>
      </c>
      <c r="AR205" t="s">
        <v>0</v>
      </c>
      <c r="AT205" s="2" t="s">
        <v>126</v>
      </c>
      <c r="AU205" s="1">
        <f t="shared" si="27"/>
        <v>0.58868599337252436</v>
      </c>
      <c r="AV205" s="1">
        <f t="shared" si="28"/>
        <v>0.42589920173549972</v>
      </c>
      <c r="AW205" s="1">
        <f t="shared" si="29"/>
        <v>0.26311241009847514</v>
      </c>
    </row>
    <row r="206" spans="1:49" x14ac:dyDescent="0.2">
      <c r="A206">
        <v>204</v>
      </c>
      <c r="B206" t="s">
        <v>8631</v>
      </c>
      <c r="C206" t="s">
        <v>8630</v>
      </c>
      <c r="F206" t="s">
        <v>8629</v>
      </c>
      <c r="G206" t="s">
        <v>14</v>
      </c>
      <c r="H206" t="s">
        <v>13</v>
      </c>
      <c r="I206" t="s">
        <v>8628</v>
      </c>
      <c r="J206" t="s">
        <v>8627</v>
      </c>
      <c r="K206" t="s">
        <v>8626</v>
      </c>
      <c r="L206" t="s">
        <v>8625</v>
      </c>
      <c r="M206" t="s">
        <v>84</v>
      </c>
      <c r="N206">
        <v>2</v>
      </c>
      <c r="O206" t="s">
        <v>8624</v>
      </c>
      <c r="P206" t="s">
        <v>8623</v>
      </c>
      <c r="Q206" t="s">
        <v>8622</v>
      </c>
      <c r="R206" s="7">
        <v>32874</v>
      </c>
      <c r="S206" s="8">
        <f t="shared" si="24"/>
        <v>1990</v>
      </c>
      <c r="T206" s="8">
        <v>1990</v>
      </c>
      <c r="U206" s="8">
        <f t="shared" si="25"/>
        <v>32</v>
      </c>
      <c r="V206" s="7">
        <v>1990</v>
      </c>
      <c r="W206" t="s">
        <v>278</v>
      </c>
      <c r="X206" s="2">
        <v>0.28599999999999998</v>
      </c>
      <c r="Y206" s="6">
        <f t="shared" si="30"/>
        <v>7.6346066575905605E-3</v>
      </c>
      <c r="AA206">
        <v>9205071</v>
      </c>
      <c r="AB206">
        <v>28139</v>
      </c>
      <c r="AC206">
        <v>15693937</v>
      </c>
      <c r="AD206" t="s">
        <v>5</v>
      </c>
      <c r="AE206">
        <v>4</v>
      </c>
      <c r="AF206">
        <v>9</v>
      </c>
      <c r="AH206" t="s">
        <v>8621</v>
      </c>
      <c r="AI206" t="s">
        <v>8620</v>
      </c>
      <c r="AK206" t="s">
        <v>8619</v>
      </c>
      <c r="AL206">
        <v>2</v>
      </c>
      <c r="AM206" s="5">
        <f t="shared" si="26"/>
        <v>6.25E-2</v>
      </c>
      <c r="AN206" s="4">
        <f t="shared" si="31"/>
        <v>9.46611132146914E-5</v>
      </c>
      <c r="AO206" s="3"/>
      <c r="AP206">
        <v>0</v>
      </c>
      <c r="AR206" t="s">
        <v>0</v>
      </c>
      <c r="AT206" s="2" t="s">
        <v>126</v>
      </c>
      <c r="AU206" s="1">
        <f t="shared" si="27"/>
        <v>0.53726229942777992</v>
      </c>
      <c r="AV206" s="1">
        <f t="shared" si="28"/>
        <v>0.38646338854026258</v>
      </c>
      <c r="AW206" s="1">
        <f t="shared" si="29"/>
        <v>0.23566447765274523</v>
      </c>
    </row>
    <row r="207" spans="1:49" x14ac:dyDescent="0.2">
      <c r="A207">
        <v>205</v>
      </c>
      <c r="B207" t="s">
        <v>8618</v>
      </c>
      <c r="C207" t="s">
        <v>8617</v>
      </c>
      <c r="F207" t="s">
        <v>8616</v>
      </c>
      <c r="G207" t="s">
        <v>14</v>
      </c>
      <c r="H207" t="s">
        <v>13</v>
      </c>
      <c r="I207" t="s">
        <v>8615</v>
      </c>
      <c r="J207" t="s">
        <v>8614</v>
      </c>
      <c r="K207" t="s">
        <v>8613</v>
      </c>
      <c r="L207" t="s">
        <v>8612</v>
      </c>
      <c r="M207" t="s">
        <v>8611</v>
      </c>
      <c r="N207">
        <v>2</v>
      </c>
      <c r="O207" t="s">
        <v>8610</v>
      </c>
      <c r="P207" t="s">
        <v>8609</v>
      </c>
      <c r="Q207" t="s">
        <v>8608</v>
      </c>
      <c r="R207" s="7">
        <v>32874</v>
      </c>
      <c r="S207" s="8">
        <f t="shared" si="24"/>
        <v>1990</v>
      </c>
      <c r="T207" s="8">
        <v>1990</v>
      </c>
      <c r="U207" s="8">
        <f t="shared" si="25"/>
        <v>32</v>
      </c>
      <c r="V207" s="7">
        <v>1990</v>
      </c>
      <c r="W207" t="s">
        <v>233</v>
      </c>
      <c r="X207" s="2">
        <v>1.1879999999999999</v>
      </c>
      <c r="Y207" s="6">
        <f t="shared" si="30"/>
        <v>3.1712981500760788E-2</v>
      </c>
      <c r="AA207">
        <v>8998221</v>
      </c>
      <c r="AB207">
        <v>8900153323</v>
      </c>
      <c r="AD207" t="s">
        <v>5</v>
      </c>
      <c r="AE207">
        <v>2</v>
      </c>
      <c r="AF207">
        <v>10</v>
      </c>
      <c r="AH207" t="s">
        <v>8607</v>
      </c>
      <c r="AI207" t="s">
        <v>8606</v>
      </c>
      <c r="AK207" t="s">
        <v>8605</v>
      </c>
      <c r="AL207">
        <v>7</v>
      </c>
      <c r="AM207" s="5">
        <f t="shared" si="26"/>
        <v>0.21875</v>
      </c>
      <c r="AN207" s="4">
        <f t="shared" si="31"/>
        <v>3.3131389625141994E-4</v>
      </c>
      <c r="AO207" s="3"/>
      <c r="AP207">
        <v>0</v>
      </c>
      <c r="AR207" t="s">
        <v>0</v>
      </c>
      <c r="AT207" s="2" t="s">
        <v>126</v>
      </c>
      <c r="AU207" s="1">
        <f t="shared" si="27"/>
        <v>2.2298481219407975</v>
      </c>
      <c r="AV207" s="1">
        <f t="shared" si="28"/>
        <v>1.6022147698506104</v>
      </c>
      <c r="AW207" s="1">
        <f t="shared" si="29"/>
        <v>0.97458141776042306</v>
      </c>
    </row>
    <row r="208" spans="1:49" x14ac:dyDescent="0.2">
      <c r="A208">
        <v>206</v>
      </c>
      <c r="B208" t="s">
        <v>8604</v>
      </c>
      <c r="C208" t="s">
        <v>8603</v>
      </c>
      <c r="D208" t="s">
        <v>8602</v>
      </c>
      <c r="F208" t="s">
        <v>8601</v>
      </c>
      <c r="G208" t="s">
        <v>14</v>
      </c>
      <c r="H208" t="s">
        <v>13</v>
      </c>
      <c r="I208" t="s">
        <v>8600</v>
      </c>
      <c r="J208">
        <v>60026838</v>
      </c>
      <c r="K208" t="s">
        <v>7518</v>
      </c>
      <c r="L208" t="s">
        <v>7517</v>
      </c>
      <c r="M208" t="s">
        <v>135</v>
      </c>
      <c r="N208">
        <v>4</v>
      </c>
      <c r="O208" t="s">
        <v>8599</v>
      </c>
      <c r="P208" t="s">
        <v>8598</v>
      </c>
      <c r="Q208" t="s">
        <v>7993</v>
      </c>
      <c r="R208" s="7">
        <v>32874</v>
      </c>
      <c r="S208" s="8">
        <f t="shared" si="24"/>
        <v>1990</v>
      </c>
      <c r="T208" s="8">
        <v>1990</v>
      </c>
      <c r="U208" s="8">
        <f t="shared" si="25"/>
        <v>32</v>
      </c>
      <c r="V208" s="7">
        <v>1990</v>
      </c>
      <c r="W208" t="s">
        <v>263</v>
      </c>
      <c r="X208" s="2">
        <v>0.65600000000000003</v>
      </c>
      <c r="Y208" s="6">
        <f t="shared" si="30"/>
        <v>1.751154534048744E-2</v>
      </c>
      <c r="AA208">
        <v>9203796</v>
      </c>
      <c r="AB208">
        <v>20344</v>
      </c>
      <c r="AD208" t="s">
        <v>5</v>
      </c>
      <c r="AE208">
        <v>12</v>
      </c>
      <c r="AF208" s="9">
        <v>44228</v>
      </c>
      <c r="AH208" t="s">
        <v>8597</v>
      </c>
      <c r="AI208" t="s">
        <v>8596</v>
      </c>
      <c r="AK208" t="s">
        <v>8595</v>
      </c>
      <c r="AL208">
        <v>9</v>
      </c>
      <c r="AM208" s="5">
        <f t="shared" si="26"/>
        <v>0.28125</v>
      </c>
      <c r="AN208" s="4">
        <f t="shared" si="31"/>
        <v>4.2597500946611131E-4</v>
      </c>
      <c r="AO208" s="3"/>
      <c r="AP208">
        <v>0</v>
      </c>
      <c r="AR208" t="s">
        <v>0</v>
      </c>
      <c r="AT208" s="2">
        <v>1.4530000000000001</v>
      </c>
      <c r="AU208" s="1">
        <f t="shared" si="27"/>
        <v>1.2385874241181043</v>
      </c>
      <c r="AV208" s="1">
        <f t="shared" si="28"/>
        <v>0.89687601749767754</v>
      </c>
      <c r="AW208" s="1">
        <f t="shared" si="29"/>
        <v>0.555164610877251</v>
      </c>
    </row>
    <row r="209" spans="1:49" x14ac:dyDescent="0.2">
      <c r="A209">
        <v>207</v>
      </c>
      <c r="B209" t="s">
        <v>8594</v>
      </c>
      <c r="C209" t="s">
        <v>8593</v>
      </c>
      <c r="F209" t="s">
        <v>8592</v>
      </c>
      <c r="G209" t="s">
        <v>14</v>
      </c>
      <c r="H209" t="s">
        <v>13</v>
      </c>
      <c r="I209" t="s">
        <v>8591</v>
      </c>
      <c r="J209" t="s">
        <v>8590</v>
      </c>
      <c r="K209" t="s">
        <v>8589</v>
      </c>
      <c r="L209" t="s">
        <v>8525</v>
      </c>
      <c r="M209" t="s">
        <v>4429</v>
      </c>
      <c r="N209">
        <v>6</v>
      </c>
      <c r="O209" t="s">
        <v>8588</v>
      </c>
      <c r="P209" t="s">
        <v>8587</v>
      </c>
      <c r="Q209" t="s">
        <v>8586</v>
      </c>
      <c r="R209" s="7">
        <v>32874</v>
      </c>
      <c r="S209" s="8">
        <f t="shared" si="24"/>
        <v>1990</v>
      </c>
      <c r="T209" s="8">
        <v>1990</v>
      </c>
      <c r="U209" s="8">
        <f t="shared" si="25"/>
        <v>32</v>
      </c>
      <c r="V209" s="7">
        <v>32874</v>
      </c>
      <c r="W209" t="s">
        <v>8522</v>
      </c>
      <c r="X209" s="2" t="s">
        <v>126</v>
      </c>
      <c r="Y209" s="6" t="e">
        <f t="shared" si="30"/>
        <v>#VALUE!</v>
      </c>
      <c r="AA209">
        <v>3905551</v>
      </c>
      <c r="AB209">
        <v>15400155600</v>
      </c>
      <c r="AD209" t="s">
        <v>5</v>
      </c>
      <c r="AE209">
        <v>13</v>
      </c>
      <c r="AF209">
        <v>1</v>
      </c>
      <c r="AH209" t="s">
        <v>8585</v>
      </c>
      <c r="AI209" t="s">
        <v>8584</v>
      </c>
      <c r="AJ209" t="s">
        <v>8519</v>
      </c>
      <c r="AK209" t="s">
        <v>8583</v>
      </c>
      <c r="AL209">
        <v>0</v>
      </c>
      <c r="AM209" s="5">
        <f t="shared" si="26"/>
        <v>0</v>
      </c>
      <c r="AN209" s="4">
        <f t="shared" si="31"/>
        <v>0</v>
      </c>
      <c r="AO209" s="3"/>
      <c r="AP209">
        <v>0</v>
      </c>
      <c r="AR209" t="s">
        <v>0</v>
      </c>
      <c r="AT209" s="2" t="s">
        <v>126</v>
      </c>
      <c r="AU209" s="1" t="e">
        <f t="shared" si="27"/>
        <v>#VALUE!</v>
      </c>
      <c r="AV209" s="1" t="e">
        <f t="shared" si="28"/>
        <v>#VALUE!</v>
      </c>
      <c r="AW209" s="1" t="e">
        <f t="shared" si="29"/>
        <v>#VALUE!</v>
      </c>
    </row>
    <row r="210" spans="1:49" x14ac:dyDescent="0.2">
      <c r="A210">
        <v>208</v>
      </c>
      <c r="B210" t="s">
        <v>8582</v>
      </c>
      <c r="C210" t="s">
        <v>8581</v>
      </c>
      <c r="F210" t="s">
        <v>8580</v>
      </c>
      <c r="G210" t="s">
        <v>14</v>
      </c>
      <c r="H210" t="s">
        <v>13</v>
      </c>
      <c r="I210" t="s">
        <v>8579</v>
      </c>
      <c r="J210">
        <v>106235375</v>
      </c>
      <c r="K210" t="s">
        <v>8578</v>
      </c>
      <c r="L210" t="s">
        <v>8577</v>
      </c>
      <c r="M210" t="s">
        <v>854</v>
      </c>
      <c r="N210">
        <v>4</v>
      </c>
      <c r="O210" t="s">
        <v>8576</v>
      </c>
      <c r="P210" t="s">
        <v>8575</v>
      </c>
      <c r="Q210" t="s">
        <v>8574</v>
      </c>
      <c r="R210" s="7">
        <v>32874</v>
      </c>
      <c r="S210" s="8">
        <f t="shared" si="24"/>
        <v>1990</v>
      </c>
      <c r="T210" s="8">
        <v>1990</v>
      </c>
      <c r="U210" s="8">
        <f t="shared" si="25"/>
        <v>32</v>
      </c>
      <c r="V210" s="7">
        <v>32874</v>
      </c>
      <c r="W210" t="s">
        <v>8548</v>
      </c>
      <c r="X210" s="2">
        <v>0.11700000000000001</v>
      </c>
      <c r="Y210" s="6">
        <f t="shared" si="30"/>
        <v>3.1232481781052297E-3</v>
      </c>
      <c r="AA210">
        <v>2179822</v>
      </c>
      <c r="AB210">
        <v>5300152612</v>
      </c>
      <c r="AC210">
        <v>19930615</v>
      </c>
      <c r="AD210" t="s">
        <v>5</v>
      </c>
      <c r="AE210">
        <v>7</v>
      </c>
      <c r="AF210">
        <v>1</v>
      </c>
      <c r="AH210" t="s">
        <v>8573</v>
      </c>
      <c r="AI210" t="s">
        <v>8572</v>
      </c>
      <c r="AJ210" t="s">
        <v>8571</v>
      </c>
      <c r="AK210" t="s">
        <v>8570</v>
      </c>
      <c r="AL210">
        <v>0</v>
      </c>
      <c r="AM210" s="5">
        <f t="shared" si="26"/>
        <v>0</v>
      </c>
      <c r="AN210" s="4">
        <f t="shared" si="31"/>
        <v>0</v>
      </c>
      <c r="AO210" s="3"/>
      <c r="AP210">
        <v>0</v>
      </c>
      <c r="AR210" t="s">
        <v>0</v>
      </c>
      <c r="AT210" s="2" t="s">
        <v>126</v>
      </c>
      <c r="AU210" s="1">
        <f t="shared" si="27"/>
        <v>0.21862737246736608</v>
      </c>
      <c r="AV210" s="1">
        <f t="shared" si="28"/>
        <v>0.15616240890526148</v>
      </c>
      <c r="AW210" s="1">
        <f t="shared" si="29"/>
        <v>9.3697445343156896E-2</v>
      </c>
    </row>
    <row r="211" spans="1:49" x14ac:dyDescent="0.2">
      <c r="A211">
        <v>209</v>
      </c>
      <c r="B211" t="s">
        <v>8569</v>
      </c>
      <c r="C211" t="s">
        <v>8568</v>
      </c>
      <c r="F211" t="s">
        <v>8567</v>
      </c>
      <c r="G211" t="s">
        <v>14</v>
      </c>
      <c r="H211" t="s">
        <v>13</v>
      </c>
      <c r="I211" t="s">
        <v>8566</v>
      </c>
      <c r="J211" t="s">
        <v>8565</v>
      </c>
      <c r="K211" t="s">
        <v>8564</v>
      </c>
      <c r="L211" t="s">
        <v>8563</v>
      </c>
      <c r="M211" t="s">
        <v>8562</v>
      </c>
      <c r="N211">
        <v>6</v>
      </c>
      <c r="O211" t="s">
        <v>8561</v>
      </c>
      <c r="P211" t="s">
        <v>8560</v>
      </c>
      <c r="Q211" t="s">
        <v>8559</v>
      </c>
      <c r="R211" s="7">
        <v>32874</v>
      </c>
      <c r="S211" s="8">
        <f t="shared" si="24"/>
        <v>1990</v>
      </c>
      <c r="T211" s="8">
        <v>1990</v>
      </c>
      <c r="U211" s="8">
        <f t="shared" si="25"/>
        <v>32</v>
      </c>
      <c r="V211" s="7">
        <v>32874</v>
      </c>
      <c r="W211" t="s">
        <v>8522</v>
      </c>
      <c r="X211" s="2" t="s">
        <v>126</v>
      </c>
      <c r="Y211" s="6" t="e">
        <f t="shared" si="30"/>
        <v>#VALUE!</v>
      </c>
      <c r="AA211">
        <v>3905551</v>
      </c>
      <c r="AB211">
        <v>15400155600</v>
      </c>
      <c r="AD211" t="s">
        <v>5</v>
      </c>
      <c r="AE211">
        <v>13</v>
      </c>
      <c r="AF211">
        <v>1</v>
      </c>
      <c r="AH211" t="s">
        <v>8558</v>
      </c>
      <c r="AI211" t="s">
        <v>8557</v>
      </c>
      <c r="AJ211" t="s">
        <v>8556</v>
      </c>
      <c r="AK211" t="s">
        <v>8555</v>
      </c>
      <c r="AL211">
        <v>1</v>
      </c>
      <c r="AM211" s="5">
        <f t="shared" si="26"/>
        <v>3.125E-2</v>
      </c>
      <c r="AN211" s="4">
        <f t="shared" si="31"/>
        <v>4.73305566073457E-5</v>
      </c>
      <c r="AO211" s="3"/>
      <c r="AP211">
        <v>0</v>
      </c>
      <c r="AR211" t="s">
        <v>0</v>
      </c>
      <c r="AT211" s="2" t="s">
        <v>126</v>
      </c>
      <c r="AU211" s="1" t="e">
        <f t="shared" si="27"/>
        <v>#VALUE!</v>
      </c>
      <c r="AV211" s="1" t="e">
        <f t="shared" si="28"/>
        <v>#VALUE!</v>
      </c>
      <c r="AW211" s="1" t="e">
        <f t="shared" si="29"/>
        <v>#VALUE!</v>
      </c>
    </row>
    <row r="212" spans="1:49" x14ac:dyDescent="0.2">
      <c r="A212">
        <v>210</v>
      </c>
      <c r="B212" t="s">
        <v>8554</v>
      </c>
      <c r="C212" t="s">
        <v>8553</v>
      </c>
      <c r="F212" t="s">
        <v>8552</v>
      </c>
      <c r="G212" t="s">
        <v>14</v>
      </c>
      <c r="H212" t="s">
        <v>13</v>
      </c>
      <c r="I212" t="s">
        <v>8551</v>
      </c>
      <c r="J212">
        <v>60102437</v>
      </c>
      <c r="K212" t="s">
        <v>8550</v>
      </c>
      <c r="L212" t="s">
        <v>855</v>
      </c>
      <c r="M212" t="s">
        <v>854</v>
      </c>
      <c r="N212">
        <v>1</v>
      </c>
      <c r="O212" t="s">
        <v>8549</v>
      </c>
      <c r="P212">
        <v>26651007300</v>
      </c>
      <c r="Q212">
        <v>60102437</v>
      </c>
      <c r="R212" s="7">
        <v>32874</v>
      </c>
      <c r="S212" s="8">
        <f t="shared" si="24"/>
        <v>1990</v>
      </c>
      <c r="T212" s="8">
        <v>1990</v>
      </c>
      <c r="U212" s="8">
        <f t="shared" si="25"/>
        <v>32</v>
      </c>
      <c r="V212" s="7">
        <v>32874</v>
      </c>
      <c r="W212" t="s">
        <v>8548</v>
      </c>
      <c r="X212" s="2">
        <v>0.11700000000000001</v>
      </c>
      <c r="Y212" s="6">
        <f t="shared" si="30"/>
        <v>3.1232481781052297E-3</v>
      </c>
      <c r="AA212">
        <v>2179822</v>
      </c>
      <c r="AB212">
        <v>5300152612</v>
      </c>
      <c r="AC212">
        <v>19930615</v>
      </c>
      <c r="AD212" t="s">
        <v>5</v>
      </c>
      <c r="AE212">
        <v>7</v>
      </c>
      <c r="AF212">
        <v>1</v>
      </c>
      <c r="AH212" t="s">
        <v>8547</v>
      </c>
      <c r="AI212" t="s">
        <v>8546</v>
      </c>
      <c r="AJ212" t="s">
        <v>8545</v>
      </c>
      <c r="AK212" t="s">
        <v>8544</v>
      </c>
      <c r="AL212">
        <v>0</v>
      </c>
      <c r="AM212" s="5">
        <f t="shared" si="26"/>
        <v>0</v>
      </c>
      <c r="AN212" s="4">
        <f t="shared" si="31"/>
        <v>0</v>
      </c>
      <c r="AO212" s="3"/>
      <c r="AP212">
        <v>0</v>
      </c>
      <c r="AR212" t="s">
        <v>0</v>
      </c>
      <c r="AT212" s="2" t="s">
        <v>126</v>
      </c>
      <c r="AU212" s="1">
        <f t="shared" si="27"/>
        <v>0.21862737246736608</v>
      </c>
      <c r="AV212" s="1">
        <f t="shared" si="28"/>
        <v>0.15616240890526148</v>
      </c>
      <c r="AW212" s="1">
        <f t="shared" si="29"/>
        <v>9.3697445343156896E-2</v>
      </c>
    </row>
    <row r="213" spans="1:49" x14ac:dyDescent="0.2">
      <c r="A213">
        <v>211</v>
      </c>
      <c r="B213" t="s">
        <v>8543</v>
      </c>
      <c r="C213" t="s">
        <v>8542</v>
      </c>
      <c r="F213" t="s">
        <v>8541</v>
      </c>
      <c r="G213" t="s">
        <v>14</v>
      </c>
      <c r="H213" t="s">
        <v>13</v>
      </c>
      <c r="I213" t="s">
        <v>8540</v>
      </c>
      <c r="J213">
        <v>60082962</v>
      </c>
      <c r="K213" t="s">
        <v>8539</v>
      </c>
      <c r="L213" t="s">
        <v>185</v>
      </c>
      <c r="M213" t="s">
        <v>184</v>
      </c>
      <c r="N213">
        <v>3</v>
      </c>
      <c r="O213" t="s">
        <v>8538</v>
      </c>
      <c r="P213" t="s">
        <v>8537</v>
      </c>
      <c r="Q213" t="s">
        <v>8536</v>
      </c>
      <c r="R213" s="7">
        <v>32874</v>
      </c>
      <c r="S213" s="8">
        <f t="shared" si="24"/>
        <v>1990</v>
      </c>
      <c r="T213" s="8">
        <v>1990</v>
      </c>
      <c r="U213" s="8">
        <f t="shared" si="25"/>
        <v>32</v>
      </c>
      <c r="V213" s="7">
        <v>32874</v>
      </c>
      <c r="W213" t="s">
        <v>8522</v>
      </c>
      <c r="X213" s="2" t="s">
        <v>126</v>
      </c>
      <c r="Y213" s="6" t="e">
        <f t="shared" si="30"/>
        <v>#VALUE!</v>
      </c>
      <c r="AA213">
        <v>3905551</v>
      </c>
      <c r="AB213">
        <v>15400155600</v>
      </c>
      <c r="AD213" t="s">
        <v>5</v>
      </c>
      <c r="AE213">
        <v>13</v>
      </c>
      <c r="AF213">
        <v>1</v>
      </c>
      <c r="AH213" t="s">
        <v>8535</v>
      </c>
      <c r="AI213" t="s">
        <v>8534</v>
      </c>
      <c r="AJ213" t="s">
        <v>8533</v>
      </c>
      <c r="AK213" t="s">
        <v>8532</v>
      </c>
      <c r="AL213">
        <v>3</v>
      </c>
      <c r="AM213" s="5">
        <f t="shared" si="26"/>
        <v>9.375E-2</v>
      </c>
      <c r="AN213" s="4">
        <f t="shared" si="31"/>
        <v>1.4199166982203711E-4</v>
      </c>
      <c r="AO213" s="3"/>
      <c r="AP213">
        <v>0</v>
      </c>
      <c r="AR213" t="s">
        <v>0</v>
      </c>
      <c r="AT213" s="2" t="s">
        <v>126</v>
      </c>
      <c r="AU213" s="1" t="e">
        <f t="shared" si="27"/>
        <v>#VALUE!</v>
      </c>
      <c r="AV213" s="1" t="e">
        <f t="shared" si="28"/>
        <v>#VALUE!</v>
      </c>
      <c r="AW213" s="1" t="e">
        <f t="shared" si="29"/>
        <v>#VALUE!</v>
      </c>
    </row>
    <row r="214" spans="1:49" x14ac:dyDescent="0.2">
      <c r="A214">
        <v>212</v>
      </c>
      <c r="B214" t="s">
        <v>8531</v>
      </c>
      <c r="C214" t="s">
        <v>8530</v>
      </c>
      <c r="F214" t="s">
        <v>8529</v>
      </c>
      <c r="G214" t="s">
        <v>14</v>
      </c>
      <c r="H214" t="s">
        <v>13</v>
      </c>
      <c r="I214" t="s">
        <v>8528</v>
      </c>
      <c r="J214" t="s">
        <v>8527</v>
      </c>
      <c r="K214" t="s">
        <v>8526</v>
      </c>
      <c r="L214" t="s">
        <v>8525</v>
      </c>
      <c r="M214" t="s">
        <v>4429</v>
      </c>
      <c r="N214">
        <v>1</v>
      </c>
      <c r="O214" t="s">
        <v>8524</v>
      </c>
      <c r="P214">
        <v>7004641893</v>
      </c>
      <c r="Q214" t="s">
        <v>8523</v>
      </c>
      <c r="R214" s="7">
        <v>32874</v>
      </c>
      <c r="S214" s="8">
        <f t="shared" si="24"/>
        <v>1990</v>
      </c>
      <c r="T214" s="8">
        <v>1990</v>
      </c>
      <c r="U214" s="8">
        <f t="shared" si="25"/>
        <v>32</v>
      </c>
      <c r="V214" s="7">
        <v>32874</v>
      </c>
      <c r="W214" t="s">
        <v>8522</v>
      </c>
      <c r="X214" s="2" t="s">
        <v>126</v>
      </c>
      <c r="Y214" s="6" t="e">
        <f t="shared" si="30"/>
        <v>#VALUE!</v>
      </c>
      <c r="AA214">
        <v>3905551</v>
      </c>
      <c r="AB214">
        <v>15400155600</v>
      </c>
      <c r="AD214" t="s">
        <v>5</v>
      </c>
      <c r="AE214">
        <v>13</v>
      </c>
      <c r="AF214">
        <v>1</v>
      </c>
      <c r="AH214" t="s">
        <v>8521</v>
      </c>
      <c r="AI214" t="s">
        <v>8520</v>
      </c>
      <c r="AJ214" t="s">
        <v>8519</v>
      </c>
      <c r="AK214" t="s">
        <v>8518</v>
      </c>
      <c r="AL214">
        <v>1</v>
      </c>
      <c r="AM214" s="5">
        <f t="shared" si="26"/>
        <v>3.125E-2</v>
      </c>
      <c r="AN214" s="4">
        <f t="shared" si="31"/>
        <v>4.73305566073457E-5</v>
      </c>
      <c r="AO214" s="3"/>
      <c r="AP214">
        <v>0</v>
      </c>
      <c r="AR214" t="s">
        <v>0</v>
      </c>
      <c r="AT214" s="2" t="s">
        <v>126</v>
      </c>
      <c r="AU214" s="1" t="e">
        <f t="shared" si="27"/>
        <v>#VALUE!</v>
      </c>
      <c r="AV214" s="1" t="e">
        <f t="shared" si="28"/>
        <v>#VALUE!</v>
      </c>
      <c r="AW214" s="1" t="e">
        <f t="shared" si="29"/>
        <v>#VALUE!</v>
      </c>
    </row>
    <row r="215" spans="1:49" x14ac:dyDescent="0.2">
      <c r="A215">
        <v>213</v>
      </c>
      <c r="B215" t="s">
        <v>8517</v>
      </c>
      <c r="C215" t="s">
        <v>8516</v>
      </c>
      <c r="D215" t="s">
        <v>8515</v>
      </c>
      <c r="F215" t="s">
        <v>8514</v>
      </c>
      <c r="G215" t="s">
        <v>14</v>
      </c>
      <c r="H215" t="s">
        <v>13</v>
      </c>
      <c r="I215" t="s">
        <v>8513</v>
      </c>
      <c r="J215">
        <v>60016605</v>
      </c>
      <c r="K215" t="s">
        <v>8512</v>
      </c>
      <c r="L215" t="s">
        <v>8511</v>
      </c>
      <c r="M215" t="s">
        <v>8510</v>
      </c>
      <c r="N215">
        <v>3</v>
      </c>
      <c r="O215" t="s">
        <v>8509</v>
      </c>
      <c r="P215" t="s">
        <v>8508</v>
      </c>
      <c r="Q215" t="s">
        <v>8507</v>
      </c>
      <c r="R215" s="7">
        <v>32874</v>
      </c>
      <c r="S215" s="8">
        <f t="shared" si="24"/>
        <v>1990</v>
      </c>
      <c r="T215" s="8">
        <v>1990</v>
      </c>
      <c r="U215" s="8">
        <f t="shared" si="25"/>
        <v>32</v>
      </c>
      <c r="V215" s="7">
        <v>32994</v>
      </c>
      <c r="W215" t="s">
        <v>353</v>
      </c>
      <c r="X215" s="2" t="s">
        <v>126</v>
      </c>
      <c r="Y215" s="6" t="e">
        <f t="shared" si="30"/>
        <v>#VALUE!</v>
      </c>
      <c r="AA215">
        <v>10111344</v>
      </c>
      <c r="AB215">
        <v>17622</v>
      </c>
      <c r="AD215" t="s">
        <v>5</v>
      </c>
      <c r="AE215">
        <v>5</v>
      </c>
      <c r="AF215" s="9">
        <v>44289</v>
      </c>
      <c r="AH215" t="s">
        <v>8506</v>
      </c>
      <c r="AI215" t="s">
        <v>8505</v>
      </c>
      <c r="AJ215" t="s">
        <v>8504</v>
      </c>
      <c r="AK215" t="s">
        <v>8503</v>
      </c>
      <c r="AL215">
        <v>3</v>
      </c>
      <c r="AM215" s="5">
        <f t="shared" si="26"/>
        <v>9.375E-2</v>
      </c>
      <c r="AN215" s="4">
        <f t="shared" si="31"/>
        <v>1.4199166982203711E-4</v>
      </c>
      <c r="AO215" s="3"/>
      <c r="AP215">
        <v>0</v>
      </c>
      <c r="AR215" t="s">
        <v>0</v>
      </c>
      <c r="AT215" s="2" t="s">
        <v>126</v>
      </c>
      <c r="AU215" s="1" t="e">
        <f t="shared" si="27"/>
        <v>#VALUE!</v>
      </c>
      <c r="AV215" s="1" t="e">
        <f t="shared" si="28"/>
        <v>#VALUE!</v>
      </c>
      <c r="AW215" s="1" t="e">
        <f t="shared" si="29"/>
        <v>#VALUE!</v>
      </c>
    </row>
    <row r="216" spans="1:49" x14ac:dyDescent="0.2">
      <c r="A216">
        <v>214</v>
      </c>
      <c r="B216" t="s">
        <v>8502</v>
      </c>
      <c r="C216" t="s">
        <v>8501</v>
      </c>
      <c r="D216" t="s">
        <v>8500</v>
      </c>
      <c r="F216" t="s">
        <v>8499</v>
      </c>
      <c r="G216" t="s">
        <v>14</v>
      </c>
      <c r="H216" t="s">
        <v>13</v>
      </c>
      <c r="I216" t="s">
        <v>8498</v>
      </c>
      <c r="J216">
        <v>60030318</v>
      </c>
      <c r="K216" t="s">
        <v>8497</v>
      </c>
      <c r="L216" t="s">
        <v>8496</v>
      </c>
      <c r="M216" t="s">
        <v>184</v>
      </c>
      <c r="N216">
        <v>3</v>
      </c>
      <c r="O216" t="s">
        <v>8495</v>
      </c>
      <c r="P216" t="s">
        <v>8494</v>
      </c>
      <c r="Q216" t="s">
        <v>8493</v>
      </c>
      <c r="R216" s="7">
        <v>32874</v>
      </c>
      <c r="S216" s="8">
        <f t="shared" si="24"/>
        <v>1990</v>
      </c>
      <c r="T216" s="8">
        <v>1990</v>
      </c>
      <c r="U216" s="8">
        <f t="shared" si="25"/>
        <v>32</v>
      </c>
      <c r="V216" s="7">
        <v>33086</v>
      </c>
      <c r="W216" t="s">
        <v>353</v>
      </c>
      <c r="X216" s="2" t="s">
        <v>126</v>
      </c>
      <c r="Y216" s="6" t="e">
        <f t="shared" si="30"/>
        <v>#VALUE!</v>
      </c>
      <c r="AA216">
        <v>10111344</v>
      </c>
      <c r="AB216">
        <v>17622</v>
      </c>
      <c r="AD216" t="s">
        <v>5</v>
      </c>
      <c r="AE216">
        <v>6</v>
      </c>
      <c r="AF216">
        <v>4</v>
      </c>
      <c r="AH216" t="s">
        <v>8492</v>
      </c>
      <c r="AI216" t="s">
        <v>8491</v>
      </c>
      <c r="AJ216" t="s">
        <v>8490</v>
      </c>
      <c r="AK216" t="s">
        <v>8489</v>
      </c>
      <c r="AL216">
        <v>46</v>
      </c>
      <c r="AM216" s="5">
        <f t="shared" si="26"/>
        <v>1.4375</v>
      </c>
      <c r="AN216" s="4">
        <f t="shared" si="31"/>
        <v>2.1772056039379025E-3</v>
      </c>
      <c r="AO216" s="3"/>
      <c r="AP216">
        <v>0</v>
      </c>
      <c r="AR216" t="s">
        <v>0</v>
      </c>
      <c r="AT216" s="2" t="s">
        <v>126</v>
      </c>
      <c r="AU216" s="1" t="e">
        <f t="shared" si="27"/>
        <v>#VALUE!</v>
      </c>
      <c r="AV216" s="1" t="e">
        <f t="shared" si="28"/>
        <v>#VALUE!</v>
      </c>
      <c r="AW216" s="1" t="e">
        <f t="shared" si="29"/>
        <v>#VALUE!</v>
      </c>
    </row>
    <row r="217" spans="1:49" x14ac:dyDescent="0.2">
      <c r="A217">
        <v>215</v>
      </c>
      <c r="B217" t="s">
        <v>8488</v>
      </c>
      <c r="C217" t="s">
        <v>8487</v>
      </c>
      <c r="F217" t="s">
        <v>8486</v>
      </c>
      <c r="G217" t="s">
        <v>14</v>
      </c>
      <c r="H217" t="s">
        <v>13</v>
      </c>
      <c r="I217" t="s">
        <v>8485</v>
      </c>
      <c r="J217">
        <v>60029622</v>
      </c>
      <c r="K217" t="s">
        <v>8484</v>
      </c>
      <c r="L217" t="s">
        <v>8483</v>
      </c>
      <c r="M217" t="s">
        <v>5465</v>
      </c>
      <c r="N217">
        <v>1</v>
      </c>
      <c r="O217" t="s">
        <v>8482</v>
      </c>
      <c r="P217">
        <v>7005423057</v>
      </c>
      <c r="Q217">
        <v>60029622</v>
      </c>
      <c r="R217" s="7">
        <v>32874</v>
      </c>
      <c r="S217" s="8">
        <f t="shared" si="24"/>
        <v>1990</v>
      </c>
      <c r="T217" s="8">
        <v>1990</v>
      </c>
      <c r="U217" s="8">
        <f t="shared" si="25"/>
        <v>32</v>
      </c>
      <c r="V217" s="7">
        <v>32874</v>
      </c>
      <c r="W217" t="s">
        <v>8481</v>
      </c>
      <c r="X217" s="2">
        <v>0.49099999999999999</v>
      </c>
      <c r="Y217" s="6">
        <f t="shared" si="30"/>
        <v>1.3106964576492887E-2</v>
      </c>
      <c r="AA217">
        <v>1650424</v>
      </c>
      <c r="AB217">
        <v>19144</v>
      </c>
      <c r="AC217">
        <v>17444152</v>
      </c>
      <c r="AD217" t="s">
        <v>5</v>
      </c>
      <c r="AE217">
        <v>12</v>
      </c>
      <c r="AF217">
        <v>1</v>
      </c>
      <c r="AH217" t="s">
        <v>8480</v>
      </c>
      <c r="AI217" t="s">
        <v>8479</v>
      </c>
      <c r="AK217" t="s">
        <v>8478</v>
      </c>
      <c r="AL217">
        <v>4</v>
      </c>
      <c r="AM217" s="5">
        <f t="shared" si="26"/>
        <v>0.125</v>
      </c>
      <c r="AN217" s="4">
        <f t="shared" si="31"/>
        <v>1.893222264293828E-4</v>
      </c>
      <c r="AO217" s="3"/>
      <c r="AP217">
        <v>0</v>
      </c>
      <c r="AR217" t="s">
        <v>0</v>
      </c>
      <c r="AT217" s="2">
        <v>1.07</v>
      </c>
      <c r="AU217" s="1">
        <f t="shared" si="27"/>
        <v>0.92316718714738344</v>
      </c>
      <c r="AV217" s="1">
        <f t="shared" si="28"/>
        <v>0.66481434014611351</v>
      </c>
      <c r="AW217" s="1">
        <f t="shared" si="29"/>
        <v>0.40646149314484342</v>
      </c>
    </row>
    <row r="218" spans="1:49" x14ac:dyDescent="0.2">
      <c r="A218">
        <v>216</v>
      </c>
      <c r="B218" t="s">
        <v>8477</v>
      </c>
      <c r="C218" t="s">
        <v>8476</v>
      </c>
      <c r="D218">
        <v>920563290904462</v>
      </c>
      <c r="F218" t="s">
        <v>8475</v>
      </c>
      <c r="G218" t="s">
        <v>14</v>
      </c>
      <c r="H218" t="s">
        <v>13</v>
      </c>
      <c r="I218" t="s">
        <v>8474</v>
      </c>
      <c r="J218">
        <v>60015457</v>
      </c>
      <c r="K218" t="s">
        <v>1581</v>
      </c>
      <c r="L218" t="s">
        <v>2032</v>
      </c>
      <c r="M218" t="s">
        <v>197</v>
      </c>
      <c r="N218">
        <v>2</v>
      </c>
      <c r="O218" t="s">
        <v>8473</v>
      </c>
      <c r="P218" t="s">
        <v>8472</v>
      </c>
      <c r="Q218" t="s">
        <v>8471</v>
      </c>
      <c r="R218" s="7">
        <v>32874</v>
      </c>
      <c r="S218" s="8">
        <f t="shared" si="24"/>
        <v>1990</v>
      </c>
      <c r="T218" s="8">
        <v>1990</v>
      </c>
      <c r="U218" s="8">
        <f t="shared" si="25"/>
        <v>32</v>
      </c>
      <c r="V218" s="7">
        <v>32933</v>
      </c>
      <c r="W218" t="s">
        <v>8470</v>
      </c>
      <c r="X218" s="2" t="s">
        <v>126</v>
      </c>
      <c r="Y218" s="6" t="e">
        <f t="shared" si="30"/>
        <v>#VALUE!</v>
      </c>
      <c r="AA218">
        <v>9205632</v>
      </c>
      <c r="AB218">
        <v>29087</v>
      </c>
      <c r="AD218" t="s">
        <v>5</v>
      </c>
      <c r="AE218">
        <v>14</v>
      </c>
      <c r="AF218">
        <v>1</v>
      </c>
      <c r="AH218" t="s">
        <v>8469</v>
      </c>
      <c r="AI218" t="s">
        <v>8468</v>
      </c>
      <c r="AK218" t="s">
        <v>8467</v>
      </c>
      <c r="AL218">
        <v>8</v>
      </c>
      <c r="AM218" s="5">
        <f t="shared" si="26"/>
        <v>0.25</v>
      </c>
      <c r="AN218" s="4">
        <f t="shared" si="31"/>
        <v>3.786444528587656E-4</v>
      </c>
      <c r="AO218" s="3"/>
      <c r="AP218">
        <v>0</v>
      </c>
      <c r="AQ218" t="s">
        <v>3028</v>
      </c>
      <c r="AR218" t="s">
        <v>8466</v>
      </c>
      <c r="AS218" t="s">
        <v>3026</v>
      </c>
      <c r="AT218" s="2" t="s">
        <v>126</v>
      </c>
      <c r="AU218" s="1" t="e">
        <f t="shared" si="27"/>
        <v>#VALUE!</v>
      </c>
      <c r="AV218" s="1" t="e">
        <f t="shared" si="28"/>
        <v>#VALUE!</v>
      </c>
      <c r="AW218" s="1" t="e">
        <f t="shared" si="29"/>
        <v>#VALUE!</v>
      </c>
    </row>
    <row r="219" spans="1:49" x14ac:dyDescent="0.2">
      <c r="A219">
        <v>217</v>
      </c>
      <c r="B219" t="s">
        <v>8465</v>
      </c>
      <c r="C219" t="s">
        <v>8464</v>
      </c>
      <c r="D219" t="s">
        <v>8463</v>
      </c>
      <c r="F219" t="s">
        <v>8462</v>
      </c>
      <c r="G219" t="s">
        <v>14</v>
      </c>
      <c r="H219" t="s">
        <v>13</v>
      </c>
      <c r="I219" t="s">
        <v>8461</v>
      </c>
      <c r="J219">
        <v>60191856</v>
      </c>
      <c r="K219" t="s">
        <v>8460</v>
      </c>
      <c r="L219" t="s">
        <v>3606</v>
      </c>
      <c r="M219" t="s">
        <v>1937</v>
      </c>
      <c r="N219">
        <v>5</v>
      </c>
      <c r="O219" t="s">
        <v>8459</v>
      </c>
      <c r="P219" t="s">
        <v>8458</v>
      </c>
      <c r="Q219" t="s">
        <v>8457</v>
      </c>
      <c r="R219" s="7">
        <v>32874</v>
      </c>
      <c r="S219" s="8">
        <f t="shared" si="24"/>
        <v>1990</v>
      </c>
      <c r="T219" s="8">
        <v>1990</v>
      </c>
      <c r="U219" s="8">
        <f t="shared" si="25"/>
        <v>32</v>
      </c>
      <c r="V219" s="7">
        <v>33055</v>
      </c>
      <c r="W219" t="s">
        <v>8448</v>
      </c>
      <c r="X219" s="2">
        <v>0.69599999999999995</v>
      </c>
      <c r="Y219" s="6">
        <f t="shared" si="30"/>
        <v>1.857932249539521E-2</v>
      </c>
      <c r="AA219">
        <v>320633</v>
      </c>
      <c r="AB219">
        <v>27773</v>
      </c>
      <c r="AD219" t="s">
        <v>5</v>
      </c>
      <c r="AE219">
        <v>38</v>
      </c>
      <c r="AF219">
        <v>7</v>
      </c>
      <c r="AH219" t="s">
        <v>8456</v>
      </c>
      <c r="AI219" t="s">
        <v>8455</v>
      </c>
      <c r="AK219" t="s">
        <v>8454</v>
      </c>
      <c r="AL219">
        <v>2</v>
      </c>
      <c r="AM219" s="5">
        <f t="shared" si="26"/>
        <v>6.25E-2</v>
      </c>
      <c r="AN219" s="4">
        <f t="shared" si="31"/>
        <v>9.46611132146914E-5</v>
      </c>
      <c r="AO219" s="3"/>
      <c r="AP219">
        <v>0</v>
      </c>
      <c r="AQ219" t="s">
        <v>4814</v>
      </c>
      <c r="AR219" t="s">
        <v>0</v>
      </c>
      <c r="AS219" t="s">
        <v>4812</v>
      </c>
      <c r="AT219" s="2">
        <v>2.0299999999999998</v>
      </c>
      <c r="AU219" s="1">
        <f t="shared" si="27"/>
        <v>1.3033924080741053</v>
      </c>
      <c r="AV219" s="1">
        <f t="shared" si="28"/>
        <v>0.93369918043049505</v>
      </c>
      <c r="AW219" s="1">
        <f t="shared" si="29"/>
        <v>0.5640059527868847</v>
      </c>
    </row>
    <row r="220" spans="1:49" x14ac:dyDescent="0.2">
      <c r="A220">
        <v>218</v>
      </c>
      <c r="B220" t="s">
        <v>8453</v>
      </c>
      <c r="C220" t="s">
        <v>8452</v>
      </c>
      <c r="D220" t="s">
        <v>8451</v>
      </c>
      <c r="F220" t="s">
        <v>8450</v>
      </c>
      <c r="G220" t="s">
        <v>14</v>
      </c>
      <c r="H220" t="s">
        <v>13</v>
      </c>
      <c r="I220" t="s">
        <v>5238</v>
      </c>
      <c r="J220">
        <v>60017695</v>
      </c>
      <c r="K220" t="s">
        <v>8244</v>
      </c>
      <c r="L220" t="s">
        <v>8243</v>
      </c>
      <c r="M220" t="s">
        <v>135</v>
      </c>
      <c r="N220">
        <v>1</v>
      </c>
      <c r="O220" t="s">
        <v>8449</v>
      </c>
      <c r="P220">
        <v>55613230591</v>
      </c>
      <c r="Q220">
        <v>60017695</v>
      </c>
      <c r="R220" s="7">
        <v>32874</v>
      </c>
      <c r="S220" s="8">
        <f t="shared" si="24"/>
        <v>1990</v>
      </c>
      <c r="T220" s="8">
        <v>1990</v>
      </c>
      <c r="U220" s="8">
        <f t="shared" si="25"/>
        <v>32</v>
      </c>
      <c r="V220" s="7">
        <v>33055</v>
      </c>
      <c r="W220" t="s">
        <v>8448</v>
      </c>
      <c r="X220" s="2">
        <v>0.69599999999999995</v>
      </c>
      <c r="Y220" s="6">
        <f t="shared" si="30"/>
        <v>1.857932249539521E-2</v>
      </c>
      <c r="AA220">
        <v>320633</v>
      </c>
      <c r="AB220">
        <v>27773</v>
      </c>
      <c r="AD220" t="s">
        <v>5</v>
      </c>
      <c r="AE220">
        <v>38</v>
      </c>
      <c r="AF220">
        <v>7</v>
      </c>
      <c r="AH220" t="s">
        <v>8447</v>
      </c>
      <c r="AL220">
        <v>0</v>
      </c>
      <c r="AM220" s="5">
        <f t="shared" si="26"/>
        <v>0</v>
      </c>
      <c r="AN220" s="4">
        <f t="shared" si="31"/>
        <v>0</v>
      </c>
      <c r="AO220" s="3"/>
      <c r="AP220">
        <v>0</v>
      </c>
      <c r="AR220" t="s">
        <v>0</v>
      </c>
      <c r="AT220" s="2">
        <v>2.0299999999999998</v>
      </c>
      <c r="AU220" s="1">
        <f t="shared" si="27"/>
        <v>1.3005525746776647</v>
      </c>
      <c r="AV220" s="1">
        <f t="shared" si="28"/>
        <v>0.92896612476976048</v>
      </c>
      <c r="AW220" s="1">
        <f t="shared" si="29"/>
        <v>0.55737967486185624</v>
      </c>
    </row>
    <row r="221" spans="1:49" x14ac:dyDescent="0.2">
      <c r="A221">
        <v>219</v>
      </c>
      <c r="B221" t="s">
        <v>8446</v>
      </c>
      <c r="C221" t="s">
        <v>8445</v>
      </c>
      <c r="D221">
        <v>920379690900539</v>
      </c>
      <c r="F221" t="s">
        <v>8444</v>
      </c>
      <c r="G221" t="s">
        <v>14</v>
      </c>
      <c r="H221" t="s">
        <v>13</v>
      </c>
      <c r="I221" t="s">
        <v>8443</v>
      </c>
      <c r="J221" t="s">
        <v>8442</v>
      </c>
      <c r="K221" t="s">
        <v>8441</v>
      </c>
      <c r="L221" t="s">
        <v>8440</v>
      </c>
      <c r="M221" t="s">
        <v>8439</v>
      </c>
      <c r="N221">
        <v>4</v>
      </c>
      <c r="O221" t="s">
        <v>8438</v>
      </c>
      <c r="P221" t="s">
        <v>8437</v>
      </c>
      <c r="Q221" t="s">
        <v>8436</v>
      </c>
      <c r="R221" s="7">
        <v>32874</v>
      </c>
      <c r="S221" s="8">
        <f t="shared" si="24"/>
        <v>1990</v>
      </c>
      <c r="T221" s="8">
        <v>1990</v>
      </c>
      <c r="U221" s="8">
        <f t="shared" si="25"/>
        <v>32</v>
      </c>
      <c r="V221" s="7">
        <v>33208</v>
      </c>
      <c r="W221" t="s">
        <v>263</v>
      </c>
      <c r="X221" s="2">
        <v>0.65600000000000003</v>
      </c>
      <c r="Y221" s="6">
        <f t="shared" si="30"/>
        <v>1.751154534048744E-2</v>
      </c>
      <c r="AA221">
        <v>9203796</v>
      </c>
      <c r="AB221">
        <v>20344</v>
      </c>
      <c r="AD221" t="s">
        <v>5</v>
      </c>
      <c r="AE221">
        <v>13</v>
      </c>
      <c r="AF221">
        <v>3</v>
      </c>
      <c r="AH221" t="s">
        <v>8435</v>
      </c>
      <c r="AL221">
        <v>6</v>
      </c>
      <c r="AM221" s="5">
        <f t="shared" si="26"/>
        <v>0.1875</v>
      </c>
      <c r="AN221" s="4">
        <f t="shared" si="31"/>
        <v>2.8398333964407423E-4</v>
      </c>
      <c r="AO221" s="3"/>
      <c r="AP221">
        <v>0</v>
      </c>
      <c r="AR221" t="s">
        <v>0</v>
      </c>
      <c r="AT221" s="2">
        <v>1.4530000000000001</v>
      </c>
      <c r="AU221" s="1">
        <f t="shared" si="27"/>
        <v>1.234327674023443</v>
      </c>
      <c r="AV221" s="1">
        <f t="shared" si="28"/>
        <v>0.8897764340065758</v>
      </c>
      <c r="AW221" s="1">
        <f t="shared" si="29"/>
        <v>0.54522519398970837</v>
      </c>
    </row>
    <row r="222" spans="1:49" x14ac:dyDescent="0.2">
      <c r="A222">
        <v>220</v>
      </c>
      <c r="B222" t="s">
        <v>8434</v>
      </c>
      <c r="C222" t="s">
        <v>8433</v>
      </c>
      <c r="D222" t="s">
        <v>8432</v>
      </c>
      <c r="F222" t="s">
        <v>8431</v>
      </c>
      <c r="G222" t="s">
        <v>14</v>
      </c>
      <c r="H222" t="s">
        <v>13</v>
      </c>
      <c r="I222" t="s">
        <v>8430</v>
      </c>
      <c r="J222">
        <v>60032179</v>
      </c>
      <c r="K222" t="s">
        <v>1596</v>
      </c>
      <c r="L222" t="s">
        <v>1595</v>
      </c>
      <c r="M222" t="s">
        <v>197</v>
      </c>
      <c r="N222">
        <v>2</v>
      </c>
      <c r="O222" t="s">
        <v>8429</v>
      </c>
      <c r="P222" t="s">
        <v>8428</v>
      </c>
      <c r="Q222" t="s">
        <v>1592</v>
      </c>
      <c r="R222" s="7">
        <v>32874</v>
      </c>
      <c r="S222" s="8">
        <f t="shared" si="24"/>
        <v>1990</v>
      </c>
      <c r="T222" s="8">
        <v>1990</v>
      </c>
      <c r="U222" s="8">
        <f t="shared" si="25"/>
        <v>32</v>
      </c>
      <c r="V222" s="7">
        <v>1990</v>
      </c>
      <c r="W222" t="s">
        <v>263</v>
      </c>
      <c r="X222" s="2">
        <v>0.65600000000000003</v>
      </c>
      <c r="Y222" s="6">
        <f t="shared" si="30"/>
        <v>1.751154534048744E-2</v>
      </c>
      <c r="AA222">
        <v>9203796</v>
      </c>
      <c r="AB222">
        <v>20344</v>
      </c>
      <c r="AD222" t="s">
        <v>5</v>
      </c>
      <c r="AE222">
        <v>12</v>
      </c>
      <c r="AF222" s="9">
        <v>44228</v>
      </c>
      <c r="AH222" s="9">
        <v>44317</v>
      </c>
      <c r="AI222" t="s">
        <v>8427</v>
      </c>
      <c r="AK222" t="s">
        <v>8426</v>
      </c>
      <c r="AL222">
        <v>1</v>
      </c>
      <c r="AM222" s="5">
        <f t="shared" si="26"/>
        <v>3.125E-2</v>
      </c>
      <c r="AN222" s="4">
        <f t="shared" si="31"/>
        <v>4.73305566073457E-5</v>
      </c>
      <c r="AO222" s="3"/>
      <c r="AP222">
        <v>0</v>
      </c>
      <c r="AQ222" t="s">
        <v>3028</v>
      </c>
      <c r="AR222" t="s">
        <v>8425</v>
      </c>
      <c r="AS222" t="s">
        <v>3026</v>
      </c>
      <c r="AT222" s="2">
        <v>1.4530000000000001</v>
      </c>
      <c r="AU222" s="1">
        <f t="shared" si="27"/>
        <v>1.2272280905323412</v>
      </c>
      <c r="AV222" s="1">
        <f t="shared" si="28"/>
        <v>0.87794379485473928</v>
      </c>
      <c r="AW222" s="1">
        <f t="shared" si="29"/>
        <v>0.52865949917713739</v>
      </c>
    </row>
    <row r="223" spans="1:49" x14ac:dyDescent="0.2">
      <c r="A223">
        <v>221</v>
      </c>
      <c r="B223" t="s">
        <v>8424</v>
      </c>
      <c r="C223" t="s">
        <v>8423</v>
      </c>
      <c r="D223" t="s">
        <v>8422</v>
      </c>
      <c r="F223" t="s">
        <v>8421</v>
      </c>
      <c r="G223" t="s">
        <v>14</v>
      </c>
      <c r="H223" t="s">
        <v>13</v>
      </c>
      <c r="I223" t="s">
        <v>8420</v>
      </c>
      <c r="N223">
        <v>1</v>
      </c>
      <c r="O223" t="s">
        <v>8419</v>
      </c>
      <c r="P223">
        <v>6602096691</v>
      </c>
      <c r="R223" s="7">
        <v>32874</v>
      </c>
      <c r="S223" s="8">
        <f t="shared" si="24"/>
        <v>1990</v>
      </c>
      <c r="T223" s="8">
        <v>1990</v>
      </c>
      <c r="U223" s="8">
        <f t="shared" si="25"/>
        <v>32</v>
      </c>
      <c r="V223" s="7">
        <v>1990</v>
      </c>
      <c r="W223" t="s">
        <v>8418</v>
      </c>
      <c r="X223" s="2" t="s">
        <v>126</v>
      </c>
      <c r="Y223" s="6" t="e">
        <f t="shared" si="30"/>
        <v>#VALUE!</v>
      </c>
      <c r="AA223">
        <v>415553</v>
      </c>
      <c r="AB223">
        <v>9800153164</v>
      </c>
      <c r="AD223" t="s">
        <v>5</v>
      </c>
      <c r="AE223">
        <v>30</v>
      </c>
      <c r="AF223">
        <v>1</v>
      </c>
      <c r="AH223" t="s">
        <v>8417</v>
      </c>
      <c r="AI223" t="s">
        <v>8416</v>
      </c>
      <c r="AK223" t="s">
        <v>8415</v>
      </c>
      <c r="AL223">
        <v>0</v>
      </c>
      <c r="AM223" s="5">
        <f t="shared" si="26"/>
        <v>0</v>
      </c>
      <c r="AN223" s="4">
        <f t="shared" si="31"/>
        <v>0</v>
      </c>
      <c r="AO223" s="3"/>
      <c r="AP223">
        <v>0</v>
      </c>
      <c r="AR223" t="s">
        <v>0</v>
      </c>
      <c r="AT223" s="2" t="s">
        <v>126</v>
      </c>
      <c r="AU223" s="1" t="e">
        <f t="shared" si="27"/>
        <v>#VALUE!</v>
      </c>
      <c r="AV223" s="1" t="e">
        <f t="shared" si="28"/>
        <v>#VALUE!</v>
      </c>
      <c r="AW223" s="1" t="e">
        <f t="shared" si="29"/>
        <v>#VALUE!</v>
      </c>
    </row>
    <row r="224" spans="1:49" x14ac:dyDescent="0.2">
      <c r="A224">
        <v>222</v>
      </c>
      <c r="B224" t="s">
        <v>8414</v>
      </c>
      <c r="C224" t="s">
        <v>8413</v>
      </c>
      <c r="D224" t="s">
        <v>8412</v>
      </c>
      <c r="F224" t="s">
        <v>8411</v>
      </c>
      <c r="G224" t="s">
        <v>14</v>
      </c>
      <c r="H224" t="s">
        <v>13</v>
      </c>
      <c r="I224" t="s">
        <v>8410</v>
      </c>
      <c r="J224" t="s">
        <v>8409</v>
      </c>
      <c r="K224" t="s">
        <v>8408</v>
      </c>
      <c r="L224" t="s">
        <v>8407</v>
      </c>
      <c r="M224" t="s">
        <v>8406</v>
      </c>
      <c r="N224">
        <v>5</v>
      </c>
      <c r="O224" t="s">
        <v>8405</v>
      </c>
      <c r="P224" t="s">
        <v>8404</v>
      </c>
      <c r="Q224" t="s">
        <v>8403</v>
      </c>
      <c r="R224" s="7">
        <v>32874</v>
      </c>
      <c r="S224" s="8">
        <f t="shared" si="24"/>
        <v>1990</v>
      </c>
      <c r="T224" s="8">
        <v>1990</v>
      </c>
      <c r="U224" s="8">
        <f t="shared" si="25"/>
        <v>32</v>
      </c>
      <c r="V224" s="7">
        <v>1990</v>
      </c>
      <c r="W224" t="s">
        <v>263</v>
      </c>
      <c r="X224" s="2">
        <v>0.65600000000000003</v>
      </c>
      <c r="Y224" s="6">
        <f t="shared" si="30"/>
        <v>1.751154534048744E-2</v>
      </c>
      <c r="AA224">
        <v>9203796</v>
      </c>
      <c r="AB224">
        <v>20344</v>
      </c>
      <c r="AD224" t="s">
        <v>5</v>
      </c>
      <c r="AE224">
        <v>12</v>
      </c>
      <c r="AF224" s="9">
        <v>44228</v>
      </c>
      <c r="AH224" s="10">
        <v>41944</v>
      </c>
      <c r="AI224" t="s">
        <v>8402</v>
      </c>
      <c r="AK224" t="s">
        <v>8401</v>
      </c>
      <c r="AL224">
        <v>0</v>
      </c>
      <c r="AM224" s="5">
        <f t="shared" si="26"/>
        <v>0</v>
      </c>
      <c r="AN224" s="4">
        <f t="shared" si="31"/>
        <v>0</v>
      </c>
      <c r="AO224" s="3"/>
      <c r="AP224">
        <v>0</v>
      </c>
      <c r="AQ224" t="s">
        <v>3028</v>
      </c>
      <c r="AR224" t="s">
        <v>8400</v>
      </c>
      <c r="AS224" t="s">
        <v>3026</v>
      </c>
      <c r="AT224" s="2">
        <v>1.4530000000000001</v>
      </c>
      <c r="AU224" s="1">
        <f t="shared" si="27"/>
        <v>1.2258081738341209</v>
      </c>
      <c r="AV224" s="1">
        <f t="shared" si="28"/>
        <v>0.875577267024372</v>
      </c>
      <c r="AW224" s="1">
        <f t="shared" si="29"/>
        <v>0.52534636021462322</v>
      </c>
    </row>
    <row r="225" spans="1:49" x14ac:dyDescent="0.2">
      <c r="A225">
        <v>223</v>
      </c>
      <c r="B225" t="s">
        <v>8399</v>
      </c>
      <c r="C225" t="s">
        <v>8398</v>
      </c>
      <c r="D225" t="s">
        <v>8397</v>
      </c>
      <c r="F225" t="s">
        <v>8396</v>
      </c>
      <c r="G225" t="s">
        <v>14</v>
      </c>
      <c r="H225" t="s">
        <v>13</v>
      </c>
      <c r="I225" t="s">
        <v>6807</v>
      </c>
      <c r="J225">
        <v>60013901</v>
      </c>
      <c r="K225" t="s">
        <v>6872</v>
      </c>
      <c r="L225" t="s">
        <v>6871</v>
      </c>
      <c r="M225" t="s">
        <v>197</v>
      </c>
      <c r="N225">
        <v>2</v>
      </c>
      <c r="O225" t="s">
        <v>8395</v>
      </c>
      <c r="P225" t="s">
        <v>8394</v>
      </c>
      <c r="Q225" t="s">
        <v>8393</v>
      </c>
      <c r="R225" s="7">
        <v>32874</v>
      </c>
      <c r="S225" s="8">
        <f t="shared" si="24"/>
        <v>1990</v>
      </c>
      <c r="T225" s="8">
        <v>1990</v>
      </c>
      <c r="U225" s="8">
        <f t="shared" si="25"/>
        <v>32</v>
      </c>
      <c r="V225" s="7">
        <v>1990</v>
      </c>
      <c r="W225" t="s">
        <v>263</v>
      </c>
      <c r="X225" s="2">
        <v>0.65600000000000003</v>
      </c>
      <c r="Y225" s="6">
        <f t="shared" si="30"/>
        <v>1.751154534048744E-2</v>
      </c>
      <c r="AA225">
        <v>9203796</v>
      </c>
      <c r="AB225">
        <v>20344</v>
      </c>
      <c r="AD225" t="s">
        <v>5</v>
      </c>
      <c r="AE225">
        <v>12</v>
      </c>
      <c r="AF225" s="9">
        <v>44228</v>
      </c>
      <c r="AH225" t="s">
        <v>8392</v>
      </c>
      <c r="AI225" t="s">
        <v>8391</v>
      </c>
      <c r="AK225" t="s">
        <v>8390</v>
      </c>
      <c r="AL225">
        <v>0</v>
      </c>
      <c r="AM225" s="5">
        <f t="shared" si="26"/>
        <v>0</v>
      </c>
      <c r="AN225" s="4">
        <f t="shared" si="31"/>
        <v>0</v>
      </c>
      <c r="AO225" s="3"/>
      <c r="AP225">
        <v>0</v>
      </c>
      <c r="AR225" t="s">
        <v>0</v>
      </c>
      <c r="AT225" s="2">
        <v>1.4530000000000001</v>
      </c>
      <c r="AU225" s="1">
        <f t="shared" si="27"/>
        <v>1.2258081738341209</v>
      </c>
      <c r="AV225" s="1">
        <f t="shared" si="28"/>
        <v>0.875577267024372</v>
      </c>
      <c r="AW225" s="1">
        <f t="shared" si="29"/>
        <v>0.52534636021462322</v>
      </c>
    </row>
    <row r="226" spans="1:49" x14ac:dyDescent="0.2">
      <c r="A226">
        <v>224</v>
      </c>
      <c r="B226" t="s">
        <v>8389</v>
      </c>
      <c r="C226" t="s">
        <v>8388</v>
      </c>
      <c r="D226" t="s">
        <v>8387</v>
      </c>
      <c r="F226" t="s">
        <v>8386</v>
      </c>
      <c r="G226" t="s">
        <v>14</v>
      </c>
      <c r="H226" t="s">
        <v>13</v>
      </c>
      <c r="I226" t="s">
        <v>8385</v>
      </c>
      <c r="J226">
        <v>60003729</v>
      </c>
      <c r="K226" t="s">
        <v>8384</v>
      </c>
      <c r="L226" t="s">
        <v>8383</v>
      </c>
      <c r="M226" t="s">
        <v>1637</v>
      </c>
      <c r="N226">
        <v>3</v>
      </c>
      <c r="O226" t="s">
        <v>8382</v>
      </c>
      <c r="P226" t="s">
        <v>8381</v>
      </c>
      <c r="Q226" t="s">
        <v>8380</v>
      </c>
      <c r="R226" s="7">
        <v>32874</v>
      </c>
      <c r="S226" s="8">
        <f t="shared" si="24"/>
        <v>1990</v>
      </c>
      <c r="T226" s="8">
        <v>1990</v>
      </c>
      <c r="U226" s="8">
        <f t="shared" si="25"/>
        <v>32</v>
      </c>
      <c r="V226" s="7">
        <v>1990</v>
      </c>
      <c r="W226" t="s">
        <v>263</v>
      </c>
      <c r="X226" s="2">
        <v>0.65600000000000003</v>
      </c>
      <c r="Y226" s="6">
        <f t="shared" si="30"/>
        <v>1.751154534048744E-2</v>
      </c>
      <c r="AA226">
        <v>9203796</v>
      </c>
      <c r="AB226">
        <v>20344</v>
      </c>
      <c r="AD226" t="s">
        <v>5</v>
      </c>
      <c r="AE226">
        <v>12</v>
      </c>
      <c r="AF226" s="9">
        <v>44228</v>
      </c>
      <c r="AH226" s="9">
        <v>44476</v>
      </c>
      <c r="AI226" t="s">
        <v>8379</v>
      </c>
      <c r="AK226" t="s">
        <v>8378</v>
      </c>
      <c r="AL226">
        <v>1</v>
      </c>
      <c r="AM226" s="5">
        <f t="shared" si="26"/>
        <v>3.125E-2</v>
      </c>
      <c r="AN226" s="4">
        <f t="shared" si="31"/>
        <v>4.73305566073457E-5</v>
      </c>
      <c r="AO226" s="3"/>
      <c r="AP226">
        <v>0</v>
      </c>
      <c r="AR226" t="s">
        <v>0</v>
      </c>
      <c r="AT226" s="2">
        <v>1.4530000000000001</v>
      </c>
      <c r="AU226" s="1">
        <f t="shared" si="27"/>
        <v>1.2272280905323412</v>
      </c>
      <c r="AV226" s="1">
        <f t="shared" si="28"/>
        <v>0.87794379485473928</v>
      </c>
      <c r="AW226" s="1">
        <f t="shared" si="29"/>
        <v>0.52865949917713739</v>
      </c>
    </row>
    <row r="227" spans="1:49" x14ac:dyDescent="0.2">
      <c r="A227">
        <v>225</v>
      </c>
      <c r="B227" t="s">
        <v>8377</v>
      </c>
      <c r="C227" t="s">
        <v>8376</v>
      </c>
      <c r="D227" t="s">
        <v>8375</v>
      </c>
      <c r="F227" t="s">
        <v>8374</v>
      </c>
      <c r="G227" t="s">
        <v>14</v>
      </c>
      <c r="H227" t="s">
        <v>13</v>
      </c>
      <c r="I227" t="s">
        <v>8373</v>
      </c>
      <c r="J227">
        <v>60011313</v>
      </c>
      <c r="K227" t="s">
        <v>6136</v>
      </c>
      <c r="L227" t="s">
        <v>6135</v>
      </c>
      <c r="M227" t="s">
        <v>5273</v>
      </c>
      <c r="N227">
        <v>11</v>
      </c>
      <c r="O227" t="s">
        <v>8372</v>
      </c>
      <c r="P227" t="s">
        <v>8371</v>
      </c>
      <c r="Q227" t="s">
        <v>6132</v>
      </c>
      <c r="R227" s="7">
        <v>32874</v>
      </c>
      <c r="S227" s="8">
        <f t="shared" si="24"/>
        <v>1990</v>
      </c>
      <c r="T227" s="8">
        <v>1990</v>
      </c>
      <c r="U227" s="8">
        <f t="shared" si="25"/>
        <v>32</v>
      </c>
      <c r="V227" s="7">
        <v>1990</v>
      </c>
      <c r="W227" t="s">
        <v>263</v>
      </c>
      <c r="X227" s="2">
        <v>0.65600000000000003</v>
      </c>
      <c r="Y227" s="6">
        <f t="shared" si="30"/>
        <v>1.751154534048744E-2</v>
      </c>
      <c r="AA227">
        <v>9203796</v>
      </c>
      <c r="AB227">
        <v>20344</v>
      </c>
      <c r="AD227" t="s">
        <v>5</v>
      </c>
      <c r="AE227">
        <v>12</v>
      </c>
      <c r="AF227" s="9">
        <v>44228</v>
      </c>
      <c r="AH227" t="s">
        <v>8370</v>
      </c>
      <c r="AI227" t="s">
        <v>8369</v>
      </c>
      <c r="AK227" t="s">
        <v>8368</v>
      </c>
      <c r="AL227">
        <v>2</v>
      </c>
      <c r="AM227" s="5">
        <f t="shared" si="26"/>
        <v>6.25E-2</v>
      </c>
      <c r="AN227" s="4">
        <f t="shared" si="31"/>
        <v>9.46611132146914E-5</v>
      </c>
      <c r="AO227" s="3"/>
      <c r="AP227">
        <v>0</v>
      </c>
      <c r="AR227" t="s">
        <v>0</v>
      </c>
      <c r="AT227" s="2">
        <v>1.4530000000000001</v>
      </c>
      <c r="AU227" s="1">
        <f t="shared" si="27"/>
        <v>1.2286480072305614</v>
      </c>
      <c r="AV227" s="1">
        <f t="shared" si="28"/>
        <v>0.88031032268510656</v>
      </c>
      <c r="AW227" s="1">
        <f t="shared" si="29"/>
        <v>0.53197263813965168</v>
      </c>
    </row>
    <row r="228" spans="1:49" x14ac:dyDescent="0.2">
      <c r="A228">
        <v>226</v>
      </c>
      <c r="B228" t="s">
        <v>8367</v>
      </c>
      <c r="C228" t="s">
        <v>8366</v>
      </c>
      <c r="D228" t="s">
        <v>8365</v>
      </c>
      <c r="F228" t="s">
        <v>8364</v>
      </c>
      <c r="G228" t="s">
        <v>14</v>
      </c>
      <c r="H228" t="s">
        <v>13</v>
      </c>
      <c r="I228" t="s">
        <v>8363</v>
      </c>
      <c r="J228" t="s">
        <v>8362</v>
      </c>
      <c r="K228" t="s">
        <v>8361</v>
      </c>
      <c r="L228" t="s">
        <v>8360</v>
      </c>
      <c r="M228" t="s">
        <v>84</v>
      </c>
      <c r="N228">
        <v>7</v>
      </c>
      <c r="O228" t="s">
        <v>8359</v>
      </c>
      <c r="P228" t="s">
        <v>8358</v>
      </c>
      <c r="Q228" t="s">
        <v>8357</v>
      </c>
      <c r="R228" s="7">
        <v>32874</v>
      </c>
      <c r="S228" s="8">
        <f t="shared" si="24"/>
        <v>1990</v>
      </c>
      <c r="T228" s="8">
        <v>1990</v>
      </c>
      <c r="U228" s="8">
        <f t="shared" si="25"/>
        <v>32</v>
      </c>
      <c r="V228" s="7">
        <v>1990</v>
      </c>
      <c r="W228" t="s">
        <v>263</v>
      </c>
      <c r="X228" s="2">
        <v>0.65600000000000003</v>
      </c>
      <c r="Y228" s="6">
        <f t="shared" si="30"/>
        <v>1.751154534048744E-2</v>
      </c>
      <c r="AA228">
        <v>9203796</v>
      </c>
      <c r="AB228">
        <v>20344</v>
      </c>
      <c r="AD228" t="s">
        <v>5</v>
      </c>
      <c r="AE228">
        <v>12</v>
      </c>
      <c r="AF228" s="9">
        <v>44228</v>
      </c>
      <c r="AH228" t="s">
        <v>8356</v>
      </c>
      <c r="AI228" t="s">
        <v>8355</v>
      </c>
      <c r="AK228" t="s">
        <v>8354</v>
      </c>
      <c r="AL228">
        <v>5</v>
      </c>
      <c r="AM228" s="5">
        <f t="shared" si="26"/>
        <v>0.15625</v>
      </c>
      <c r="AN228" s="4">
        <f t="shared" si="31"/>
        <v>2.3665278303672851E-4</v>
      </c>
      <c r="AO228" s="3"/>
      <c r="AP228">
        <v>0</v>
      </c>
      <c r="AR228" t="s">
        <v>0</v>
      </c>
      <c r="AT228" s="2">
        <v>1.4530000000000001</v>
      </c>
      <c r="AU228" s="1">
        <f t="shared" si="27"/>
        <v>1.2329077573252225</v>
      </c>
      <c r="AV228" s="1">
        <f t="shared" si="28"/>
        <v>0.88740990617620852</v>
      </c>
      <c r="AW228" s="1">
        <f t="shared" si="29"/>
        <v>0.54191205502719419</v>
      </c>
    </row>
    <row r="229" spans="1:49" x14ac:dyDescent="0.2">
      <c r="A229">
        <v>227</v>
      </c>
      <c r="B229" t="s">
        <v>8353</v>
      </c>
      <c r="C229" t="s">
        <v>8352</v>
      </c>
      <c r="D229" t="s">
        <v>8351</v>
      </c>
      <c r="F229" t="s">
        <v>8350</v>
      </c>
      <c r="G229" t="s">
        <v>14</v>
      </c>
      <c r="H229" t="s">
        <v>13</v>
      </c>
      <c r="I229" t="s">
        <v>8349</v>
      </c>
      <c r="J229">
        <v>60022717</v>
      </c>
      <c r="K229" t="s">
        <v>8348</v>
      </c>
      <c r="L229" t="s">
        <v>1665</v>
      </c>
      <c r="M229" t="s">
        <v>197</v>
      </c>
      <c r="N229">
        <v>7</v>
      </c>
      <c r="O229" t="s">
        <v>8347</v>
      </c>
      <c r="P229" t="s">
        <v>8346</v>
      </c>
      <c r="Q229" t="s">
        <v>8345</v>
      </c>
      <c r="R229" s="7">
        <v>32874</v>
      </c>
      <c r="S229" s="8">
        <f t="shared" si="24"/>
        <v>1990</v>
      </c>
      <c r="T229" s="8">
        <v>1990</v>
      </c>
      <c r="U229" s="8">
        <f t="shared" si="25"/>
        <v>32</v>
      </c>
      <c r="V229" s="7">
        <v>1990</v>
      </c>
      <c r="W229" t="s">
        <v>263</v>
      </c>
      <c r="X229" s="2">
        <v>0.65600000000000003</v>
      </c>
      <c r="Y229" s="6">
        <f t="shared" si="30"/>
        <v>1.751154534048744E-2</v>
      </c>
      <c r="AA229">
        <v>9203796</v>
      </c>
      <c r="AB229">
        <v>20344</v>
      </c>
      <c r="AD229" t="s">
        <v>5</v>
      </c>
      <c r="AE229">
        <v>12</v>
      </c>
      <c r="AF229" s="9">
        <v>44228</v>
      </c>
      <c r="AH229" t="s">
        <v>8344</v>
      </c>
      <c r="AI229" t="s">
        <v>8343</v>
      </c>
      <c r="AK229" t="s">
        <v>8342</v>
      </c>
      <c r="AL229">
        <v>0</v>
      </c>
      <c r="AM229" s="5">
        <f t="shared" si="26"/>
        <v>0</v>
      </c>
      <c r="AN229" s="4">
        <f t="shared" si="31"/>
        <v>0</v>
      </c>
      <c r="AO229" s="3"/>
      <c r="AP229">
        <v>0</v>
      </c>
      <c r="AR229" t="s">
        <v>8341</v>
      </c>
      <c r="AT229" s="2">
        <v>1.4530000000000001</v>
      </c>
      <c r="AU229" s="1">
        <f t="shared" si="27"/>
        <v>1.2258081738341209</v>
      </c>
      <c r="AV229" s="1">
        <f t="shared" si="28"/>
        <v>0.875577267024372</v>
      </c>
      <c r="AW229" s="1">
        <f t="shared" si="29"/>
        <v>0.52534636021462322</v>
      </c>
    </row>
    <row r="230" spans="1:49" x14ac:dyDescent="0.2">
      <c r="A230">
        <v>228</v>
      </c>
      <c r="B230" t="s">
        <v>8340</v>
      </c>
      <c r="C230" t="s">
        <v>8339</v>
      </c>
      <c r="D230">
        <v>168945290900853</v>
      </c>
      <c r="F230" t="s">
        <v>8338</v>
      </c>
      <c r="G230" t="s">
        <v>14</v>
      </c>
      <c r="H230" t="s">
        <v>13</v>
      </c>
      <c r="I230" t="s">
        <v>8337</v>
      </c>
      <c r="J230">
        <v>60123796</v>
      </c>
      <c r="K230" t="s">
        <v>8336</v>
      </c>
      <c r="L230" t="s">
        <v>8335</v>
      </c>
      <c r="M230" t="s">
        <v>1637</v>
      </c>
      <c r="N230">
        <v>2</v>
      </c>
      <c r="O230" t="s">
        <v>8334</v>
      </c>
      <c r="P230" t="s">
        <v>8333</v>
      </c>
      <c r="Q230" t="s">
        <v>8332</v>
      </c>
      <c r="R230" s="7">
        <v>32874</v>
      </c>
      <c r="S230" s="8">
        <f t="shared" si="24"/>
        <v>1990</v>
      </c>
      <c r="T230" s="8">
        <v>1990</v>
      </c>
      <c r="U230" s="8">
        <f t="shared" si="25"/>
        <v>32</v>
      </c>
      <c r="V230" s="7">
        <v>1990</v>
      </c>
      <c r="W230" t="s">
        <v>8331</v>
      </c>
      <c r="X230" s="2">
        <v>1.508</v>
      </c>
      <c r="Y230" s="6">
        <f t="shared" si="30"/>
        <v>4.0255198740022959E-2</v>
      </c>
      <c r="AA230">
        <v>1689452</v>
      </c>
      <c r="AB230">
        <v>16620</v>
      </c>
      <c r="AD230" t="s">
        <v>5</v>
      </c>
      <c r="AE230">
        <v>72</v>
      </c>
      <c r="AF230">
        <v>2</v>
      </c>
      <c r="AH230" t="s">
        <v>8330</v>
      </c>
      <c r="AI230" t="s">
        <v>8329</v>
      </c>
      <c r="AJ230" t="s">
        <v>8328</v>
      </c>
      <c r="AK230" t="s">
        <v>8327</v>
      </c>
      <c r="AL230">
        <v>4</v>
      </c>
      <c r="AM230" s="5">
        <f t="shared" si="26"/>
        <v>0.125</v>
      </c>
      <c r="AN230" s="4">
        <f t="shared" si="31"/>
        <v>1.893222264293828E-4</v>
      </c>
      <c r="AO230" s="3"/>
      <c r="AP230">
        <v>0</v>
      </c>
      <c r="AR230" t="s">
        <v>0</v>
      </c>
      <c r="AT230" s="2">
        <v>4.7290000000000001</v>
      </c>
      <c r="AU230" s="1">
        <f t="shared" si="27"/>
        <v>2.8235435785944882</v>
      </c>
      <c r="AV230" s="1">
        <f t="shared" si="28"/>
        <v>2.0222260483226169</v>
      </c>
      <c r="AW230" s="1">
        <f t="shared" si="29"/>
        <v>1.2209085180507455</v>
      </c>
    </row>
    <row r="231" spans="1:49" x14ac:dyDescent="0.2">
      <c r="A231">
        <v>229</v>
      </c>
      <c r="B231" t="s">
        <v>8326</v>
      </c>
      <c r="C231" t="s">
        <v>8325</v>
      </c>
      <c r="D231" t="s">
        <v>8324</v>
      </c>
      <c r="F231" t="s">
        <v>8323</v>
      </c>
      <c r="G231" t="s">
        <v>14</v>
      </c>
      <c r="H231" t="s">
        <v>13</v>
      </c>
      <c r="I231" t="s">
        <v>8322</v>
      </c>
      <c r="J231">
        <v>60024266</v>
      </c>
      <c r="K231" t="s">
        <v>2584</v>
      </c>
      <c r="L231" t="s">
        <v>2583</v>
      </c>
      <c r="M231" t="s">
        <v>197</v>
      </c>
      <c r="N231">
        <v>3</v>
      </c>
      <c r="O231" t="s">
        <v>8321</v>
      </c>
      <c r="P231" t="s">
        <v>8320</v>
      </c>
      <c r="Q231" t="s">
        <v>7543</v>
      </c>
      <c r="R231" s="7">
        <v>32874</v>
      </c>
      <c r="S231" s="8">
        <f t="shared" si="24"/>
        <v>1990</v>
      </c>
      <c r="T231" s="8">
        <v>1990</v>
      </c>
      <c r="U231" s="8">
        <f t="shared" si="25"/>
        <v>32</v>
      </c>
      <c r="V231" s="7">
        <v>1990</v>
      </c>
      <c r="W231" t="s">
        <v>263</v>
      </c>
      <c r="X231" s="2">
        <v>0.65600000000000003</v>
      </c>
      <c r="Y231" s="6">
        <f t="shared" si="30"/>
        <v>1.751154534048744E-2</v>
      </c>
      <c r="AA231">
        <v>9203796</v>
      </c>
      <c r="AB231">
        <v>20344</v>
      </c>
      <c r="AD231" t="s">
        <v>5</v>
      </c>
      <c r="AE231">
        <v>12</v>
      </c>
      <c r="AF231" s="9">
        <v>44228</v>
      </c>
      <c r="AH231" t="s">
        <v>2784</v>
      </c>
      <c r="AI231" t="s">
        <v>8319</v>
      </c>
      <c r="AK231" t="s">
        <v>8318</v>
      </c>
      <c r="AL231">
        <v>1</v>
      </c>
      <c r="AM231" s="5">
        <f t="shared" si="26"/>
        <v>3.125E-2</v>
      </c>
      <c r="AN231" s="4">
        <f t="shared" si="31"/>
        <v>4.73305566073457E-5</v>
      </c>
      <c r="AO231" s="3"/>
      <c r="AP231">
        <v>0</v>
      </c>
      <c r="AQ231" t="s">
        <v>3028</v>
      </c>
      <c r="AR231" t="s">
        <v>8317</v>
      </c>
      <c r="AS231" t="s">
        <v>3026</v>
      </c>
      <c r="AT231" s="2">
        <v>1.4530000000000001</v>
      </c>
      <c r="AU231" s="1">
        <f t="shared" si="27"/>
        <v>1.2272280905323412</v>
      </c>
      <c r="AV231" s="1">
        <f t="shared" si="28"/>
        <v>0.87794379485473928</v>
      </c>
      <c r="AW231" s="1">
        <f t="shared" si="29"/>
        <v>0.52865949917713739</v>
      </c>
    </row>
    <row r="232" spans="1:49" x14ac:dyDescent="0.2">
      <c r="A232">
        <v>230</v>
      </c>
      <c r="B232" t="s">
        <v>8316</v>
      </c>
      <c r="C232" t="s">
        <v>8315</v>
      </c>
      <c r="D232" t="s">
        <v>8314</v>
      </c>
      <c r="F232" t="s">
        <v>8313</v>
      </c>
      <c r="G232" t="s">
        <v>14</v>
      </c>
      <c r="H232" t="s">
        <v>13</v>
      </c>
      <c r="I232" t="s">
        <v>6137</v>
      </c>
      <c r="J232">
        <v>60011313</v>
      </c>
      <c r="K232" t="s">
        <v>6136</v>
      </c>
      <c r="L232" t="s">
        <v>6135</v>
      </c>
      <c r="M232" t="s">
        <v>5273</v>
      </c>
      <c r="N232">
        <v>11</v>
      </c>
      <c r="O232" t="s">
        <v>8312</v>
      </c>
      <c r="P232" t="s">
        <v>8311</v>
      </c>
      <c r="Q232" t="s">
        <v>6132</v>
      </c>
      <c r="R232" s="7">
        <v>32874</v>
      </c>
      <c r="S232" s="8">
        <f t="shared" si="24"/>
        <v>1990</v>
      </c>
      <c r="T232" s="8">
        <v>1990</v>
      </c>
      <c r="U232" s="8">
        <f t="shared" si="25"/>
        <v>32</v>
      </c>
      <c r="V232" s="7">
        <v>1990</v>
      </c>
      <c r="W232" t="s">
        <v>263</v>
      </c>
      <c r="X232" s="2">
        <v>0.65600000000000003</v>
      </c>
      <c r="Y232" s="6">
        <f t="shared" si="30"/>
        <v>1.751154534048744E-2</v>
      </c>
      <c r="AA232">
        <v>9203796</v>
      </c>
      <c r="AB232">
        <v>20344</v>
      </c>
      <c r="AD232" t="s">
        <v>5</v>
      </c>
      <c r="AE232">
        <v>12</v>
      </c>
      <c r="AF232" s="9">
        <v>44228</v>
      </c>
      <c r="AH232" t="s">
        <v>8310</v>
      </c>
      <c r="AI232" t="s">
        <v>8309</v>
      </c>
      <c r="AK232" t="s">
        <v>8308</v>
      </c>
      <c r="AL232">
        <v>5</v>
      </c>
      <c r="AM232" s="5">
        <f t="shared" si="26"/>
        <v>0.15625</v>
      </c>
      <c r="AN232" s="4">
        <f t="shared" si="31"/>
        <v>2.3665278303672851E-4</v>
      </c>
      <c r="AO232" s="3"/>
      <c r="AP232">
        <v>0</v>
      </c>
      <c r="AR232" t="s">
        <v>0</v>
      </c>
      <c r="AT232" s="2">
        <v>1.4530000000000001</v>
      </c>
      <c r="AU232" s="1">
        <f t="shared" si="27"/>
        <v>1.2329077573252225</v>
      </c>
      <c r="AV232" s="1">
        <f t="shared" si="28"/>
        <v>0.88740990617620852</v>
      </c>
      <c r="AW232" s="1">
        <f t="shared" si="29"/>
        <v>0.54191205502719419</v>
      </c>
    </row>
    <row r="233" spans="1:49" x14ac:dyDescent="0.2">
      <c r="A233">
        <v>231</v>
      </c>
      <c r="B233" t="s">
        <v>8307</v>
      </c>
      <c r="C233" t="s">
        <v>8306</v>
      </c>
      <c r="F233" t="s">
        <v>8305</v>
      </c>
      <c r="G233" t="s">
        <v>14</v>
      </c>
      <c r="H233" t="s">
        <v>13</v>
      </c>
      <c r="I233" t="s">
        <v>8304</v>
      </c>
      <c r="J233">
        <v>60014256</v>
      </c>
      <c r="K233" t="s">
        <v>8303</v>
      </c>
      <c r="L233" t="s">
        <v>8302</v>
      </c>
      <c r="M233" t="s">
        <v>267</v>
      </c>
      <c r="N233">
        <v>10</v>
      </c>
      <c r="O233" t="s">
        <v>8301</v>
      </c>
      <c r="P233" t="s">
        <v>8300</v>
      </c>
      <c r="Q233" t="s">
        <v>8299</v>
      </c>
      <c r="R233" s="7">
        <v>32874</v>
      </c>
      <c r="S233" s="8">
        <f t="shared" si="24"/>
        <v>1990</v>
      </c>
      <c r="T233" s="8">
        <v>1990</v>
      </c>
      <c r="U233" s="8">
        <f t="shared" si="25"/>
        <v>32</v>
      </c>
      <c r="V233" s="7">
        <v>1990</v>
      </c>
      <c r="W233" t="s">
        <v>7491</v>
      </c>
      <c r="X233" s="2">
        <v>3.6880000000000002</v>
      </c>
      <c r="Y233" s="6">
        <f t="shared" si="30"/>
        <v>9.8449053682496471E-2</v>
      </c>
      <c r="AA233">
        <v>319007</v>
      </c>
      <c r="AB233">
        <v>29150</v>
      </c>
      <c r="AD233" t="s">
        <v>5</v>
      </c>
      <c r="AE233">
        <v>65</v>
      </c>
      <c r="AF233">
        <v>27</v>
      </c>
      <c r="AH233" t="s">
        <v>8298</v>
      </c>
      <c r="AI233" t="s">
        <v>8297</v>
      </c>
      <c r="AK233" t="s">
        <v>8296</v>
      </c>
      <c r="AL233">
        <v>38</v>
      </c>
      <c r="AM233" s="5">
        <f t="shared" si="26"/>
        <v>1.1875</v>
      </c>
      <c r="AN233" s="4">
        <f t="shared" si="31"/>
        <v>1.7985611510791368E-3</v>
      </c>
      <c r="AO233" s="3"/>
      <c r="AP233">
        <v>0</v>
      </c>
      <c r="AR233" t="s">
        <v>0</v>
      </c>
      <c r="AT233" s="2">
        <v>9.1609999999999996</v>
      </c>
      <c r="AU233" s="1">
        <f t="shared" si="27"/>
        <v>6.9453905923071266</v>
      </c>
      <c r="AV233" s="1">
        <f t="shared" si="28"/>
        <v>5.0123807416787809</v>
      </c>
      <c r="AW233" s="1">
        <f t="shared" si="29"/>
        <v>3.0793708910504338</v>
      </c>
    </row>
    <row r="234" spans="1:49" x14ac:dyDescent="0.2">
      <c r="A234">
        <v>232</v>
      </c>
      <c r="B234" t="s">
        <v>8295</v>
      </c>
      <c r="C234" t="s">
        <v>8294</v>
      </c>
      <c r="F234" t="s">
        <v>8293</v>
      </c>
      <c r="G234" t="s">
        <v>14</v>
      </c>
      <c r="H234" t="s">
        <v>13</v>
      </c>
      <c r="I234" t="s">
        <v>8292</v>
      </c>
      <c r="J234">
        <v>116131392</v>
      </c>
      <c r="K234" t="s">
        <v>8291</v>
      </c>
      <c r="M234" t="s">
        <v>8290</v>
      </c>
      <c r="N234">
        <v>1</v>
      </c>
      <c r="O234" t="s">
        <v>8289</v>
      </c>
      <c r="P234">
        <v>6603639820</v>
      </c>
      <c r="Q234">
        <v>116131392</v>
      </c>
      <c r="R234" s="7">
        <v>32874</v>
      </c>
      <c r="S234" s="8">
        <f t="shared" si="24"/>
        <v>1990</v>
      </c>
      <c r="T234" s="8">
        <v>1990</v>
      </c>
      <c r="U234" s="8">
        <f t="shared" si="25"/>
        <v>32</v>
      </c>
      <c r="V234" s="7" t="s">
        <v>2238</v>
      </c>
      <c r="W234" t="s">
        <v>6</v>
      </c>
      <c r="X234" s="2">
        <v>0.51100000000000001</v>
      </c>
      <c r="Y234" s="6">
        <f t="shared" si="30"/>
        <v>1.3640853153946772E-2</v>
      </c>
      <c r="AA234">
        <v>222933</v>
      </c>
      <c r="AB234">
        <v>29630</v>
      </c>
      <c r="AC234">
        <v>14645262</v>
      </c>
      <c r="AD234" t="s">
        <v>5</v>
      </c>
      <c r="AE234">
        <v>24</v>
      </c>
      <c r="AF234">
        <v>2</v>
      </c>
      <c r="AH234" t="s">
        <v>8288</v>
      </c>
      <c r="AI234" t="s">
        <v>8287</v>
      </c>
      <c r="AJ234" t="s">
        <v>8286</v>
      </c>
      <c r="AK234" t="s">
        <v>8285</v>
      </c>
      <c r="AL234">
        <v>13</v>
      </c>
      <c r="AM234" s="5">
        <f t="shared" si="26"/>
        <v>0.40625</v>
      </c>
      <c r="AN234" s="4">
        <f t="shared" si="31"/>
        <v>6.1529723589549411E-4</v>
      </c>
      <c r="AO234" s="3"/>
      <c r="AP234">
        <v>0</v>
      </c>
      <c r="AR234" t="s">
        <v>0</v>
      </c>
      <c r="AT234" s="2">
        <v>1.016</v>
      </c>
      <c r="AU234" s="1">
        <f t="shared" si="27"/>
        <v>0.97331863785313877</v>
      </c>
      <c r="AV234" s="1">
        <f t="shared" si="28"/>
        <v>0.7128075194921133</v>
      </c>
      <c r="AW234" s="1">
        <f t="shared" si="29"/>
        <v>0.45229640113108777</v>
      </c>
    </row>
    <row r="235" spans="1:49" x14ac:dyDescent="0.2">
      <c r="A235">
        <v>233</v>
      </c>
      <c r="B235" t="s">
        <v>8284</v>
      </c>
      <c r="C235" t="s">
        <v>8283</v>
      </c>
      <c r="F235" t="s">
        <v>8282</v>
      </c>
      <c r="G235" t="s">
        <v>14</v>
      </c>
      <c r="H235" t="s">
        <v>13</v>
      </c>
      <c r="I235" t="s">
        <v>8281</v>
      </c>
      <c r="J235">
        <v>100899239</v>
      </c>
      <c r="K235" t="s">
        <v>8280</v>
      </c>
      <c r="L235" t="s">
        <v>8279</v>
      </c>
      <c r="M235" t="s">
        <v>267</v>
      </c>
      <c r="N235">
        <v>4</v>
      </c>
      <c r="O235" t="s">
        <v>8278</v>
      </c>
      <c r="P235" t="s">
        <v>8277</v>
      </c>
      <c r="Q235" t="s">
        <v>8276</v>
      </c>
      <c r="R235" s="7">
        <v>32874</v>
      </c>
      <c r="S235" s="8">
        <f t="shared" si="24"/>
        <v>1990</v>
      </c>
      <c r="T235" s="8">
        <v>1990</v>
      </c>
      <c r="U235" s="8">
        <f t="shared" si="25"/>
        <v>32</v>
      </c>
      <c r="V235" s="7">
        <v>32874</v>
      </c>
      <c r="W235" t="s">
        <v>4388</v>
      </c>
      <c r="X235" s="2">
        <v>0.371</v>
      </c>
      <c r="Y235" s="6">
        <f t="shared" si="30"/>
        <v>9.9036331117695747E-3</v>
      </c>
      <c r="AA235">
        <v>214922</v>
      </c>
      <c r="AB235">
        <v>130262</v>
      </c>
      <c r="AC235">
        <v>13474065</v>
      </c>
      <c r="AD235" t="s">
        <v>5</v>
      </c>
      <c r="AE235">
        <v>29</v>
      </c>
      <c r="AH235" t="s">
        <v>8275</v>
      </c>
      <c r="AI235" t="s">
        <v>8274</v>
      </c>
      <c r="AK235" t="s">
        <v>8273</v>
      </c>
      <c r="AL235">
        <v>2</v>
      </c>
      <c r="AM235" s="5">
        <f t="shared" si="26"/>
        <v>6.25E-2</v>
      </c>
      <c r="AN235" s="4">
        <f t="shared" si="31"/>
        <v>9.46611132146914E-5</v>
      </c>
      <c r="AO235" s="3"/>
      <c r="AP235">
        <v>0</v>
      </c>
      <c r="AR235" t="s">
        <v>0</v>
      </c>
      <c r="AT235" s="2">
        <v>1.48</v>
      </c>
      <c r="AU235" s="1">
        <f t="shared" si="27"/>
        <v>0.69609415122031093</v>
      </c>
      <c r="AV235" s="1">
        <f t="shared" si="28"/>
        <v>0.49991471124921333</v>
      </c>
      <c r="AW235" s="1">
        <f t="shared" si="29"/>
        <v>0.30373527127811567</v>
      </c>
    </row>
    <row r="236" spans="1:49" x14ac:dyDescent="0.2">
      <c r="A236">
        <v>234</v>
      </c>
      <c r="B236" t="s">
        <v>8272</v>
      </c>
      <c r="C236" t="s">
        <v>8271</v>
      </c>
      <c r="F236" t="s">
        <v>8270</v>
      </c>
      <c r="G236" t="s">
        <v>14</v>
      </c>
      <c r="H236" t="s">
        <v>13</v>
      </c>
      <c r="I236" t="s">
        <v>8269</v>
      </c>
      <c r="J236">
        <v>60103653</v>
      </c>
      <c r="K236" t="s">
        <v>2070</v>
      </c>
      <c r="L236" t="s">
        <v>2069</v>
      </c>
      <c r="M236" t="s">
        <v>2068</v>
      </c>
      <c r="N236">
        <v>4</v>
      </c>
      <c r="O236" t="s">
        <v>8268</v>
      </c>
      <c r="P236" t="s">
        <v>8267</v>
      </c>
      <c r="Q236" t="s">
        <v>8266</v>
      </c>
      <c r="R236" s="7">
        <v>32874</v>
      </c>
      <c r="S236" s="8">
        <f t="shared" si="24"/>
        <v>1990</v>
      </c>
      <c r="T236" s="8">
        <v>1990</v>
      </c>
      <c r="U236" s="8">
        <f t="shared" si="25"/>
        <v>32</v>
      </c>
      <c r="V236" s="7">
        <v>1990</v>
      </c>
      <c r="W236" t="s">
        <v>278</v>
      </c>
      <c r="X236" s="2">
        <v>0.28599999999999998</v>
      </c>
      <c r="Y236" s="6">
        <f t="shared" si="30"/>
        <v>7.6346066575905605E-3</v>
      </c>
      <c r="AA236">
        <v>9205071</v>
      </c>
      <c r="AB236">
        <v>28139</v>
      </c>
      <c r="AC236">
        <v>15693937</v>
      </c>
      <c r="AD236" t="s">
        <v>5</v>
      </c>
      <c r="AE236">
        <v>4</v>
      </c>
      <c r="AF236">
        <v>6</v>
      </c>
      <c r="AH236" t="s">
        <v>8265</v>
      </c>
      <c r="AI236" t="s">
        <v>8264</v>
      </c>
      <c r="AK236" t="s">
        <v>8263</v>
      </c>
      <c r="AL236">
        <v>37</v>
      </c>
      <c r="AM236" s="5">
        <f t="shared" si="26"/>
        <v>1.15625</v>
      </c>
      <c r="AN236" s="4">
        <f t="shared" si="31"/>
        <v>1.7512305944717909E-3</v>
      </c>
      <c r="AO236" s="3"/>
      <c r="AP236">
        <v>0</v>
      </c>
      <c r="AR236" t="s">
        <v>0</v>
      </c>
      <c r="AT236" s="2" t="s">
        <v>126</v>
      </c>
      <c r="AU236" s="1">
        <f t="shared" si="27"/>
        <v>0.58695938386549296</v>
      </c>
      <c r="AV236" s="1">
        <f t="shared" si="28"/>
        <v>0.46929186260311756</v>
      </c>
      <c r="AW236" s="1">
        <f t="shared" si="29"/>
        <v>0.35162434134074216</v>
      </c>
    </row>
    <row r="237" spans="1:49" x14ac:dyDescent="0.2">
      <c r="A237">
        <v>235</v>
      </c>
      <c r="B237" t="s">
        <v>8262</v>
      </c>
      <c r="C237" t="s">
        <v>8261</v>
      </c>
      <c r="D237" t="s">
        <v>8260</v>
      </c>
      <c r="F237" t="s">
        <v>8259</v>
      </c>
      <c r="G237" t="s">
        <v>14</v>
      </c>
      <c r="H237" t="s">
        <v>13</v>
      </c>
      <c r="I237" t="s">
        <v>8258</v>
      </c>
      <c r="J237">
        <v>60017311</v>
      </c>
      <c r="K237" t="s">
        <v>8257</v>
      </c>
      <c r="L237" t="s">
        <v>8256</v>
      </c>
      <c r="M237" t="s">
        <v>1872</v>
      </c>
      <c r="N237">
        <v>2</v>
      </c>
      <c r="O237" t="s">
        <v>8255</v>
      </c>
      <c r="P237" t="s">
        <v>8254</v>
      </c>
      <c r="Q237" t="s">
        <v>8253</v>
      </c>
      <c r="R237" s="7">
        <v>32874</v>
      </c>
      <c r="S237" s="8">
        <f t="shared" si="24"/>
        <v>1990</v>
      </c>
      <c r="T237" s="8">
        <v>1990</v>
      </c>
      <c r="U237" s="8">
        <f t="shared" si="25"/>
        <v>32</v>
      </c>
      <c r="V237" s="7">
        <v>32994</v>
      </c>
      <c r="W237" t="s">
        <v>7477</v>
      </c>
      <c r="X237" s="2">
        <v>0.51500000000000001</v>
      </c>
      <c r="Y237" s="6">
        <f t="shared" si="30"/>
        <v>1.374763086943755E-2</v>
      </c>
      <c r="AA237">
        <v>219169</v>
      </c>
      <c r="AB237">
        <v>30966</v>
      </c>
      <c r="AD237" t="s">
        <v>5</v>
      </c>
      <c r="AE237">
        <v>52</v>
      </c>
      <c r="AF237">
        <v>5</v>
      </c>
      <c r="AH237" t="s">
        <v>8252</v>
      </c>
      <c r="AI237" t="s">
        <v>8251</v>
      </c>
      <c r="AK237" t="s">
        <v>8250</v>
      </c>
      <c r="AL237">
        <v>4</v>
      </c>
      <c r="AM237" s="5">
        <f t="shared" si="26"/>
        <v>0.125</v>
      </c>
      <c r="AN237" s="4">
        <f t="shared" si="31"/>
        <v>1.893222264293828E-4</v>
      </c>
      <c r="AO237" s="3"/>
      <c r="AP237">
        <v>0</v>
      </c>
      <c r="AR237" t="s">
        <v>0</v>
      </c>
      <c r="AT237" s="2" t="s">
        <v>126</v>
      </c>
      <c r="AU237" s="1">
        <f t="shared" si="27"/>
        <v>0.96801382765350985</v>
      </c>
      <c r="AV237" s="1">
        <f t="shared" si="28"/>
        <v>0.69684765479334665</v>
      </c>
      <c r="AW237" s="1">
        <f t="shared" si="29"/>
        <v>0.42568148193318334</v>
      </c>
    </row>
    <row r="238" spans="1:49" x14ac:dyDescent="0.2">
      <c r="A238">
        <v>236</v>
      </c>
      <c r="B238" t="s">
        <v>8249</v>
      </c>
      <c r="C238" t="s">
        <v>8248</v>
      </c>
      <c r="D238" t="s">
        <v>8247</v>
      </c>
      <c r="F238" t="s">
        <v>8246</v>
      </c>
      <c r="G238" t="s">
        <v>14</v>
      </c>
      <c r="H238" t="s">
        <v>13</v>
      </c>
      <c r="I238" t="s">
        <v>8245</v>
      </c>
      <c r="J238">
        <v>60017695</v>
      </c>
      <c r="K238" t="s">
        <v>8244</v>
      </c>
      <c r="L238" t="s">
        <v>8243</v>
      </c>
      <c r="M238" t="s">
        <v>135</v>
      </c>
      <c r="N238">
        <v>2</v>
      </c>
      <c r="O238" t="s">
        <v>8242</v>
      </c>
      <c r="P238" t="s">
        <v>8241</v>
      </c>
      <c r="Q238" t="s">
        <v>8240</v>
      </c>
      <c r="R238" s="7">
        <v>32874</v>
      </c>
      <c r="S238" s="8">
        <f t="shared" si="24"/>
        <v>1990</v>
      </c>
      <c r="T238" s="8">
        <v>1990</v>
      </c>
      <c r="U238" s="8">
        <f t="shared" si="25"/>
        <v>32</v>
      </c>
      <c r="V238" s="7" t="s">
        <v>7910</v>
      </c>
      <c r="W238" t="s">
        <v>7477</v>
      </c>
      <c r="X238" s="2">
        <v>0.51500000000000001</v>
      </c>
      <c r="Y238" s="6">
        <f t="shared" si="30"/>
        <v>1.374763086943755E-2</v>
      </c>
      <c r="AA238">
        <v>219169</v>
      </c>
      <c r="AB238">
        <v>30966</v>
      </c>
      <c r="AD238" t="s">
        <v>5</v>
      </c>
      <c r="AE238">
        <v>52</v>
      </c>
      <c r="AF238" s="9">
        <v>44414</v>
      </c>
      <c r="AH238" t="s">
        <v>8239</v>
      </c>
      <c r="AI238" t="s">
        <v>8238</v>
      </c>
      <c r="AK238" t="s">
        <v>8237</v>
      </c>
      <c r="AL238">
        <v>16</v>
      </c>
      <c r="AM238" s="5">
        <f t="shared" si="26"/>
        <v>0.5</v>
      </c>
      <c r="AN238" s="4">
        <f t="shared" si="31"/>
        <v>7.572889057175312E-4</v>
      </c>
      <c r="AO238" s="3"/>
      <c r="AP238">
        <v>0</v>
      </c>
      <c r="AR238" t="s">
        <v>0</v>
      </c>
      <c r="AT238" s="2" t="s">
        <v>126</v>
      </c>
      <c r="AU238" s="1">
        <f t="shared" si="27"/>
        <v>0.98505282803215433</v>
      </c>
      <c r="AV238" s="1">
        <f t="shared" si="28"/>
        <v>0.72524598875775403</v>
      </c>
      <c r="AW238" s="1">
        <f t="shared" si="29"/>
        <v>0.46543914948335369</v>
      </c>
    </row>
    <row r="239" spans="1:49" x14ac:dyDescent="0.2">
      <c r="A239">
        <v>237</v>
      </c>
      <c r="B239" t="s">
        <v>8236</v>
      </c>
      <c r="C239" t="s">
        <v>8235</v>
      </c>
      <c r="F239" t="s">
        <v>8234</v>
      </c>
      <c r="G239" t="s">
        <v>14</v>
      </c>
      <c r="H239" t="s">
        <v>13</v>
      </c>
      <c r="I239" t="s">
        <v>8233</v>
      </c>
      <c r="J239">
        <v>60014439</v>
      </c>
      <c r="K239" t="s">
        <v>8232</v>
      </c>
      <c r="L239" t="s">
        <v>8231</v>
      </c>
      <c r="M239" t="s">
        <v>197</v>
      </c>
      <c r="N239">
        <v>1</v>
      </c>
      <c r="O239" t="s">
        <v>8230</v>
      </c>
      <c r="P239">
        <v>6603172656</v>
      </c>
      <c r="Q239">
        <v>60014439</v>
      </c>
      <c r="R239" s="7">
        <v>32874</v>
      </c>
      <c r="S239" s="8">
        <f t="shared" si="24"/>
        <v>1990</v>
      </c>
      <c r="T239" s="8">
        <v>1990</v>
      </c>
      <c r="U239" s="8">
        <f t="shared" si="25"/>
        <v>32</v>
      </c>
      <c r="V239" s="7">
        <v>1990</v>
      </c>
      <c r="W239" t="s">
        <v>8229</v>
      </c>
      <c r="X239" s="2" t="s">
        <v>126</v>
      </c>
      <c r="Y239" s="6" t="e">
        <f t="shared" si="30"/>
        <v>#VALUE!</v>
      </c>
      <c r="AA239">
        <v>332615</v>
      </c>
      <c r="AB239">
        <v>21100203931</v>
      </c>
      <c r="AC239">
        <v>16877438</v>
      </c>
      <c r="AD239" t="s">
        <v>5</v>
      </c>
      <c r="AE239">
        <v>97</v>
      </c>
      <c r="AF239" s="9">
        <v>44289</v>
      </c>
      <c r="AH239" t="s">
        <v>8228</v>
      </c>
      <c r="AI239" t="s">
        <v>8227</v>
      </c>
      <c r="AK239" t="s">
        <v>8226</v>
      </c>
      <c r="AL239">
        <v>1</v>
      </c>
      <c r="AM239" s="5">
        <f t="shared" si="26"/>
        <v>3.125E-2</v>
      </c>
      <c r="AN239" s="4">
        <f t="shared" si="31"/>
        <v>4.73305566073457E-5</v>
      </c>
      <c r="AO239" s="3"/>
      <c r="AP239">
        <v>1</v>
      </c>
      <c r="AR239" t="s">
        <v>0</v>
      </c>
      <c r="AT239" s="2" t="s">
        <v>126</v>
      </c>
      <c r="AU239" s="1" t="e">
        <f t="shared" si="27"/>
        <v>#VALUE!</v>
      </c>
      <c r="AV239" s="1" t="e">
        <f t="shared" si="28"/>
        <v>#VALUE!</v>
      </c>
      <c r="AW239" s="1" t="e">
        <f t="shared" si="29"/>
        <v>#VALUE!</v>
      </c>
    </row>
    <row r="240" spans="1:49" x14ac:dyDescent="0.2">
      <c r="A240">
        <v>238</v>
      </c>
      <c r="B240" t="s">
        <v>8225</v>
      </c>
      <c r="C240" t="s">
        <v>8224</v>
      </c>
      <c r="F240" t="s">
        <v>8223</v>
      </c>
      <c r="G240" t="s">
        <v>14</v>
      </c>
      <c r="H240" t="s">
        <v>13</v>
      </c>
      <c r="I240" t="s">
        <v>8222</v>
      </c>
      <c r="N240">
        <v>1</v>
      </c>
      <c r="O240" t="s">
        <v>8221</v>
      </c>
      <c r="P240">
        <v>7201949522</v>
      </c>
      <c r="R240" s="7">
        <v>32874</v>
      </c>
      <c r="S240" s="8">
        <f t="shared" si="24"/>
        <v>1990</v>
      </c>
      <c r="T240" s="8">
        <v>1990</v>
      </c>
      <c r="U240" s="8">
        <f t="shared" si="25"/>
        <v>32</v>
      </c>
      <c r="V240" s="7">
        <v>32874</v>
      </c>
      <c r="W240" t="s">
        <v>8220</v>
      </c>
      <c r="X240" s="2">
        <v>0.22600000000000001</v>
      </c>
      <c r="Y240" s="6">
        <f t="shared" si="30"/>
        <v>6.0329409252289053E-3</v>
      </c>
      <c r="AA240" t="s">
        <v>8219</v>
      </c>
      <c r="AB240">
        <v>144954</v>
      </c>
      <c r="AC240" t="s">
        <v>8218</v>
      </c>
      <c r="AD240" t="s">
        <v>5</v>
      </c>
      <c r="AE240">
        <v>1</v>
      </c>
      <c r="AF240">
        <v>1</v>
      </c>
      <c r="AH240" t="s">
        <v>8217</v>
      </c>
      <c r="AI240" t="s">
        <v>8216</v>
      </c>
      <c r="AK240" t="s">
        <v>8215</v>
      </c>
      <c r="AL240">
        <v>0</v>
      </c>
      <c r="AM240" s="5">
        <f t="shared" si="26"/>
        <v>0</v>
      </c>
      <c r="AN240" s="4">
        <f t="shared" si="31"/>
        <v>0</v>
      </c>
      <c r="AO240" s="3"/>
      <c r="AP240">
        <v>0</v>
      </c>
      <c r="AR240" t="s">
        <v>0</v>
      </c>
      <c r="AT240" s="2" t="s">
        <v>126</v>
      </c>
      <c r="AU240" s="1">
        <f t="shared" si="27"/>
        <v>0.42230586476602339</v>
      </c>
      <c r="AV240" s="1">
        <f t="shared" si="28"/>
        <v>0.30164704626144528</v>
      </c>
      <c r="AW240" s="1">
        <f t="shared" si="29"/>
        <v>0.18098822775686715</v>
      </c>
    </row>
    <row r="241" spans="1:49" x14ac:dyDescent="0.2">
      <c r="A241">
        <v>239</v>
      </c>
      <c r="B241" t="s">
        <v>8214</v>
      </c>
      <c r="C241" t="s">
        <v>8213</v>
      </c>
      <c r="F241" t="s">
        <v>8212</v>
      </c>
      <c r="G241" t="s">
        <v>14</v>
      </c>
      <c r="H241" t="s">
        <v>13</v>
      </c>
      <c r="I241" t="s">
        <v>7933</v>
      </c>
      <c r="J241" t="s">
        <v>8211</v>
      </c>
      <c r="K241" t="s">
        <v>8210</v>
      </c>
      <c r="L241" t="s">
        <v>8209</v>
      </c>
      <c r="M241" t="s">
        <v>8208</v>
      </c>
      <c r="N241">
        <v>2</v>
      </c>
      <c r="O241" t="s">
        <v>8207</v>
      </c>
      <c r="P241" t="s">
        <v>8206</v>
      </c>
      <c r="Q241" t="s">
        <v>8205</v>
      </c>
      <c r="R241" s="7">
        <v>32874</v>
      </c>
      <c r="S241" s="8">
        <f t="shared" si="24"/>
        <v>1990</v>
      </c>
      <c r="T241" s="8">
        <v>1990</v>
      </c>
      <c r="U241" s="8">
        <f t="shared" si="25"/>
        <v>32</v>
      </c>
      <c r="V241" s="7">
        <v>32874</v>
      </c>
      <c r="W241" t="s">
        <v>7926</v>
      </c>
      <c r="X241" s="2">
        <v>0.82199999999999995</v>
      </c>
      <c r="Y241" s="6">
        <f t="shared" si="30"/>
        <v>2.1942820533354689E-2</v>
      </c>
      <c r="AA241">
        <v>17701</v>
      </c>
      <c r="AB241">
        <v>27975</v>
      </c>
      <c r="AC241">
        <v>15729532</v>
      </c>
      <c r="AD241" t="s">
        <v>5</v>
      </c>
      <c r="AE241">
        <v>22</v>
      </c>
      <c r="AF241">
        <v>1</v>
      </c>
      <c r="AH241" t="s">
        <v>8204</v>
      </c>
      <c r="AI241" t="s">
        <v>8203</v>
      </c>
      <c r="AK241" t="s">
        <v>8202</v>
      </c>
      <c r="AL241">
        <v>1</v>
      </c>
      <c r="AM241" s="5">
        <f t="shared" si="26"/>
        <v>3.125E-2</v>
      </c>
      <c r="AN241" s="4">
        <f t="shared" si="31"/>
        <v>4.73305566073457E-5</v>
      </c>
      <c r="AO241" s="3"/>
      <c r="AP241">
        <v>0</v>
      </c>
      <c r="AR241" t="s">
        <v>0</v>
      </c>
      <c r="AT241" s="2">
        <v>2.5129999999999999</v>
      </c>
      <c r="AU241" s="1">
        <f t="shared" si="27"/>
        <v>1.5374173540330485</v>
      </c>
      <c r="AV241" s="1">
        <f t="shared" si="28"/>
        <v>1.0995075544981017</v>
      </c>
      <c r="AW241" s="1">
        <f t="shared" si="29"/>
        <v>0.66159775496315476</v>
      </c>
    </row>
    <row r="242" spans="1:49" x14ac:dyDescent="0.2">
      <c r="A242">
        <v>240</v>
      </c>
      <c r="B242" t="s">
        <v>8201</v>
      </c>
      <c r="F242" t="s">
        <v>8200</v>
      </c>
      <c r="G242" t="s">
        <v>14</v>
      </c>
      <c r="H242" t="s">
        <v>13</v>
      </c>
      <c r="I242" t="s">
        <v>8199</v>
      </c>
      <c r="J242">
        <v>60019616</v>
      </c>
      <c r="K242" t="s">
        <v>8198</v>
      </c>
      <c r="L242" t="s">
        <v>8197</v>
      </c>
      <c r="M242" t="s">
        <v>854</v>
      </c>
      <c r="N242">
        <v>2</v>
      </c>
      <c r="O242" t="s">
        <v>8196</v>
      </c>
      <c r="P242" t="s">
        <v>8195</v>
      </c>
      <c r="Q242" t="s">
        <v>8194</v>
      </c>
      <c r="R242" s="7">
        <v>32874</v>
      </c>
      <c r="S242" s="8">
        <f t="shared" si="24"/>
        <v>1990</v>
      </c>
      <c r="T242" s="8">
        <v>1990</v>
      </c>
      <c r="U242" s="8">
        <f t="shared" si="25"/>
        <v>32</v>
      </c>
      <c r="V242" s="7">
        <v>32874</v>
      </c>
      <c r="W242" t="s">
        <v>8193</v>
      </c>
      <c r="X242" s="2">
        <v>0.54</v>
      </c>
      <c r="Y242" s="6">
        <f t="shared" si="30"/>
        <v>1.4414991591254906E-2</v>
      </c>
      <c r="AA242">
        <v>8949166</v>
      </c>
      <c r="AB242">
        <v>13836</v>
      </c>
      <c r="AC242">
        <v>18602134</v>
      </c>
      <c r="AD242" t="s">
        <v>5</v>
      </c>
      <c r="AE242">
        <v>3</v>
      </c>
      <c r="AF242">
        <v>1</v>
      </c>
      <c r="AH242" t="s">
        <v>8192</v>
      </c>
      <c r="AI242" t="s">
        <v>8191</v>
      </c>
      <c r="AJ242" t="s">
        <v>8190</v>
      </c>
      <c r="AK242" t="s">
        <v>8189</v>
      </c>
      <c r="AL242">
        <v>0</v>
      </c>
      <c r="AM242" s="5">
        <f t="shared" si="26"/>
        <v>0</v>
      </c>
      <c r="AN242" s="4">
        <f t="shared" si="31"/>
        <v>0</v>
      </c>
      <c r="AO242" s="3"/>
      <c r="AP242">
        <v>0</v>
      </c>
      <c r="AR242" t="s">
        <v>0</v>
      </c>
      <c r="AT242" s="2">
        <v>2.161</v>
      </c>
      <c r="AU242" s="1">
        <f t="shared" si="27"/>
        <v>1.0090494113878434</v>
      </c>
      <c r="AV242" s="1">
        <f t="shared" si="28"/>
        <v>0.72074957956274532</v>
      </c>
      <c r="AW242" s="1">
        <f t="shared" si="29"/>
        <v>0.43244974773764716</v>
      </c>
    </row>
    <row r="243" spans="1:49" x14ac:dyDescent="0.2">
      <c r="A243">
        <v>241</v>
      </c>
      <c r="B243" t="s">
        <v>8188</v>
      </c>
      <c r="C243" t="s">
        <v>8187</v>
      </c>
      <c r="F243" t="s">
        <v>8186</v>
      </c>
      <c r="G243" t="s">
        <v>14</v>
      </c>
      <c r="H243" t="s">
        <v>13</v>
      </c>
      <c r="I243" t="s">
        <v>7933</v>
      </c>
      <c r="J243" t="s">
        <v>7932</v>
      </c>
      <c r="K243" t="s">
        <v>7931</v>
      </c>
      <c r="L243" t="s">
        <v>7930</v>
      </c>
      <c r="M243" t="s">
        <v>1090</v>
      </c>
      <c r="N243">
        <v>1</v>
      </c>
      <c r="O243" t="s">
        <v>8185</v>
      </c>
      <c r="P243">
        <v>22968745300</v>
      </c>
      <c r="Q243" t="s">
        <v>8184</v>
      </c>
      <c r="R243" s="7">
        <v>32874</v>
      </c>
      <c r="S243" s="8">
        <f t="shared" si="24"/>
        <v>1990</v>
      </c>
      <c r="T243" s="8">
        <v>1990</v>
      </c>
      <c r="U243" s="8">
        <f t="shared" si="25"/>
        <v>32</v>
      </c>
      <c r="V243" s="7">
        <v>32874</v>
      </c>
      <c r="W243" t="s">
        <v>7926</v>
      </c>
      <c r="X243" s="2">
        <v>0.82199999999999995</v>
      </c>
      <c r="Y243" s="6">
        <f t="shared" si="30"/>
        <v>2.1942820533354689E-2</v>
      </c>
      <c r="AA243">
        <v>17701</v>
      </c>
      <c r="AB243">
        <v>27975</v>
      </c>
      <c r="AC243">
        <v>15729532</v>
      </c>
      <c r="AD243" t="s">
        <v>5</v>
      </c>
      <c r="AE243">
        <v>22</v>
      </c>
      <c r="AF243">
        <v>1</v>
      </c>
      <c r="AH243" t="s">
        <v>8183</v>
      </c>
      <c r="AI243" t="s">
        <v>8182</v>
      </c>
      <c r="AK243" t="s">
        <v>8181</v>
      </c>
      <c r="AL243">
        <v>5</v>
      </c>
      <c r="AM243" s="5">
        <f t="shared" si="26"/>
        <v>0.15625</v>
      </c>
      <c r="AN243" s="4">
        <f t="shared" si="31"/>
        <v>2.3665278303672851E-4</v>
      </c>
      <c r="AO243" s="3"/>
      <c r="AP243">
        <v>0</v>
      </c>
      <c r="AR243" t="s">
        <v>0</v>
      </c>
      <c r="AT243" s="2">
        <v>2.5129999999999999</v>
      </c>
      <c r="AU243" s="1">
        <f t="shared" si="27"/>
        <v>1.5430970208259298</v>
      </c>
      <c r="AV243" s="1">
        <f t="shared" si="28"/>
        <v>1.1089736658195708</v>
      </c>
      <c r="AW243" s="1">
        <f t="shared" si="29"/>
        <v>0.67485031081321167</v>
      </c>
    </row>
    <row r="244" spans="1:49" x14ac:dyDescent="0.2">
      <c r="A244">
        <v>242</v>
      </c>
      <c r="B244" t="s">
        <v>8180</v>
      </c>
      <c r="C244" t="s">
        <v>8179</v>
      </c>
      <c r="D244" t="s">
        <v>8178</v>
      </c>
      <c r="F244" t="s">
        <v>8177</v>
      </c>
      <c r="G244" t="s">
        <v>14</v>
      </c>
      <c r="H244" t="s">
        <v>13</v>
      </c>
      <c r="I244" t="s">
        <v>8176</v>
      </c>
      <c r="J244">
        <v>60024266</v>
      </c>
      <c r="K244" t="s">
        <v>2584</v>
      </c>
      <c r="L244" t="s">
        <v>2583</v>
      </c>
      <c r="M244" t="s">
        <v>197</v>
      </c>
      <c r="N244">
        <v>4</v>
      </c>
      <c r="O244" t="s">
        <v>8175</v>
      </c>
      <c r="P244" t="s">
        <v>8174</v>
      </c>
      <c r="Q244" t="s">
        <v>2580</v>
      </c>
      <c r="R244" s="7">
        <v>32874</v>
      </c>
      <c r="S244" s="8">
        <f t="shared" si="24"/>
        <v>1990</v>
      </c>
      <c r="T244" s="8">
        <v>1990</v>
      </c>
      <c r="U244" s="8">
        <f t="shared" si="25"/>
        <v>32</v>
      </c>
      <c r="V244" s="7">
        <v>1990</v>
      </c>
      <c r="W244" t="s">
        <v>263</v>
      </c>
      <c r="X244" s="2">
        <v>0.65600000000000003</v>
      </c>
      <c r="Y244" s="6">
        <f t="shared" si="30"/>
        <v>1.751154534048744E-2</v>
      </c>
      <c r="AA244">
        <v>9203796</v>
      </c>
      <c r="AB244">
        <v>20344</v>
      </c>
      <c r="AD244" t="s">
        <v>5</v>
      </c>
      <c r="AE244">
        <v>12</v>
      </c>
      <c r="AF244" s="9">
        <v>44228</v>
      </c>
      <c r="AH244" t="s">
        <v>8173</v>
      </c>
      <c r="AI244" t="s">
        <v>8172</v>
      </c>
      <c r="AK244" t="s">
        <v>8171</v>
      </c>
      <c r="AL244">
        <v>4</v>
      </c>
      <c r="AM244" s="5">
        <f t="shared" si="26"/>
        <v>0.125</v>
      </c>
      <c r="AN244" s="4">
        <f t="shared" si="31"/>
        <v>1.893222264293828E-4</v>
      </c>
      <c r="AO244" s="3"/>
      <c r="AP244">
        <v>0</v>
      </c>
      <c r="AQ244" t="s">
        <v>8170</v>
      </c>
      <c r="AR244" t="s">
        <v>8032</v>
      </c>
      <c r="AS244" t="s">
        <v>8169</v>
      </c>
      <c r="AT244" s="2">
        <v>1.4530000000000001</v>
      </c>
      <c r="AU244" s="1">
        <f t="shared" si="27"/>
        <v>1.2314878406270022</v>
      </c>
      <c r="AV244" s="1">
        <f t="shared" si="28"/>
        <v>0.88504337834584124</v>
      </c>
      <c r="AW244" s="1">
        <f t="shared" si="29"/>
        <v>0.53859891606468002</v>
      </c>
    </row>
    <row r="245" spans="1:49" x14ac:dyDescent="0.2">
      <c r="A245">
        <v>243</v>
      </c>
      <c r="B245" t="s">
        <v>8168</v>
      </c>
      <c r="C245" t="s">
        <v>8167</v>
      </c>
      <c r="F245" t="s">
        <v>8166</v>
      </c>
      <c r="G245" t="s">
        <v>14</v>
      </c>
      <c r="H245" t="s">
        <v>13</v>
      </c>
      <c r="I245" t="s">
        <v>8165</v>
      </c>
      <c r="J245">
        <v>60007762</v>
      </c>
      <c r="K245" t="s">
        <v>8164</v>
      </c>
      <c r="L245" t="s">
        <v>8163</v>
      </c>
      <c r="M245" t="s">
        <v>135</v>
      </c>
      <c r="N245">
        <v>1</v>
      </c>
      <c r="O245" t="s">
        <v>8162</v>
      </c>
      <c r="P245">
        <v>56269060400</v>
      </c>
      <c r="Q245">
        <v>60007762</v>
      </c>
      <c r="R245" s="7">
        <v>32874</v>
      </c>
      <c r="S245" s="8">
        <f t="shared" si="24"/>
        <v>1990</v>
      </c>
      <c r="T245" s="8">
        <v>1990</v>
      </c>
      <c r="U245" s="8">
        <f t="shared" si="25"/>
        <v>32</v>
      </c>
      <c r="V245" s="7">
        <v>32905</v>
      </c>
      <c r="W245" t="s">
        <v>8161</v>
      </c>
      <c r="X245" s="2" t="s">
        <v>126</v>
      </c>
      <c r="Y245" s="6" t="e">
        <f t="shared" si="30"/>
        <v>#VALUE!</v>
      </c>
      <c r="AA245">
        <v>9328629</v>
      </c>
      <c r="AB245">
        <v>39561</v>
      </c>
      <c r="AC245">
        <v>14388677</v>
      </c>
      <c r="AD245" t="s">
        <v>5</v>
      </c>
      <c r="AE245">
        <v>103</v>
      </c>
      <c r="AF245">
        <v>1</v>
      </c>
      <c r="AH245" t="s">
        <v>8160</v>
      </c>
      <c r="AI245" t="s">
        <v>8159</v>
      </c>
      <c r="AJ245" t="s">
        <v>8158</v>
      </c>
      <c r="AK245" t="s">
        <v>8157</v>
      </c>
      <c r="AL245">
        <v>2</v>
      </c>
      <c r="AM245" s="5">
        <f t="shared" si="26"/>
        <v>6.25E-2</v>
      </c>
      <c r="AN245" s="4">
        <f t="shared" si="31"/>
        <v>9.46611132146914E-5</v>
      </c>
      <c r="AO245" s="3"/>
      <c r="AP245">
        <v>0</v>
      </c>
      <c r="AR245" t="s">
        <v>0</v>
      </c>
      <c r="AT245" s="2" t="s">
        <v>126</v>
      </c>
      <c r="AU245" s="1" t="e">
        <f t="shared" si="27"/>
        <v>#VALUE!</v>
      </c>
      <c r="AV245" s="1" t="e">
        <f t="shared" si="28"/>
        <v>#VALUE!</v>
      </c>
      <c r="AW245" s="1" t="e">
        <f t="shared" si="29"/>
        <v>#VALUE!</v>
      </c>
    </row>
    <row r="246" spans="1:49" x14ac:dyDescent="0.2">
      <c r="A246">
        <v>244</v>
      </c>
      <c r="B246" t="s">
        <v>8156</v>
      </c>
      <c r="C246" t="s">
        <v>8155</v>
      </c>
      <c r="F246" t="s">
        <v>8154</v>
      </c>
      <c r="G246" t="s">
        <v>14</v>
      </c>
      <c r="H246" t="s">
        <v>13</v>
      </c>
      <c r="I246" t="s">
        <v>8153</v>
      </c>
      <c r="J246" t="s">
        <v>8152</v>
      </c>
      <c r="K246" t="s">
        <v>8151</v>
      </c>
      <c r="L246" t="s">
        <v>8150</v>
      </c>
      <c r="M246" t="s">
        <v>8149</v>
      </c>
      <c r="N246">
        <v>3</v>
      </c>
      <c r="O246" t="s">
        <v>8148</v>
      </c>
      <c r="P246" t="s">
        <v>8147</v>
      </c>
      <c r="Q246" t="s">
        <v>8146</v>
      </c>
      <c r="R246" s="7">
        <v>32874</v>
      </c>
      <c r="S246" s="8">
        <f t="shared" si="24"/>
        <v>1990</v>
      </c>
      <c r="T246" s="8">
        <v>1990</v>
      </c>
      <c r="U246" s="8">
        <f t="shared" si="25"/>
        <v>32</v>
      </c>
      <c r="V246" s="7">
        <v>1990</v>
      </c>
      <c r="W246" t="s">
        <v>339</v>
      </c>
      <c r="X246" s="2">
        <v>1.641</v>
      </c>
      <c r="Y246" s="6">
        <f t="shared" si="30"/>
        <v>4.3805557780091299E-2</v>
      </c>
      <c r="AA246">
        <v>223654</v>
      </c>
      <c r="AB246">
        <v>30422</v>
      </c>
      <c r="AD246" t="s">
        <v>5</v>
      </c>
      <c r="AE246">
        <v>94</v>
      </c>
      <c r="AF246">
        <v>15</v>
      </c>
      <c r="AH246" t="s">
        <v>8145</v>
      </c>
      <c r="AI246" t="s">
        <v>8144</v>
      </c>
      <c r="AK246" t="s">
        <v>8143</v>
      </c>
      <c r="AL246">
        <v>181</v>
      </c>
      <c r="AM246" s="5">
        <f t="shared" si="26"/>
        <v>5.65625</v>
      </c>
      <c r="AN246" s="4">
        <f t="shared" si="31"/>
        <v>8.5668307459295726E-3</v>
      </c>
      <c r="AO246" s="3"/>
      <c r="AP246">
        <v>0</v>
      </c>
      <c r="AR246" t="s">
        <v>0</v>
      </c>
      <c r="AT246" s="2" t="s">
        <v>126</v>
      </c>
      <c r="AU246" s="1">
        <f t="shared" si="27"/>
        <v>3.3233939669842782</v>
      </c>
      <c r="AV246" s="1">
        <f t="shared" si="28"/>
        <v>2.6186194263010436</v>
      </c>
      <c r="AW246" s="1">
        <f t="shared" si="29"/>
        <v>1.913844885617809</v>
      </c>
    </row>
    <row r="247" spans="1:49" x14ac:dyDescent="0.2">
      <c r="A247">
        <v>245</v>
      </c>
      <c r="B247" t="s">
        <v>8142</v>
      </c>
      <c r="C247" t="s">
        <v>8141</v>
      </c>
      <c r="F247" t="s">
        <v>8140</v>
      </c>
      <c r="G247" t="s">
        <v>14</v>
      </c>
      <c r="H247" t="s">
        <v>13</v>
      </c>
      <c r="I247" t="s">
        <v>3798</v>
      </c>
      <c r="J247">
        <v>60103092</v>
      </c>
      <c r="K247" t="s">
        <v>8139</v>
      </c>
      <c r="L247" t="s">
        <v>8138</v>
      </c>
      <c r="M247" t="s">
        <v>253</v>
      </c>
      <c r="N247">
        <v>1</v>
      </c>
      <c r="O247" t="s">
        <v>8137</v>
      </c>
      <c r="P247">
        <v>57194937528</v>
      </c>
      <c r="Q247">
        <v>60103092</v>
      </c>
      <c r="R247" s="7">
        <v>32874</v>
      </c>
      <c r="S247" s="8">
        <f t="shared" si="24"/>
        <v>1990</v>
      </c>
      <c r="T247" s="8">
        <v>1990</v>
      </c>
      <c r="U247" s="8">
        <f t="shared" si="25"/>
        <v>32</v>
      </c>
      <c r="V247" s="7">
        <v>1990</v>
      </c>
      <c r="W247" t="s">
        <v>8136</v>
      </c>
      <c r="X247" s="2">
        <v>0.312</v>
      </c>
      <c r="Y247" s="6">
        <f t="shared" si="30"/>
        <v>8.3286618082806119E-3</v>
      </c>
      <c r="AA247">
        <v>9540695</v>
      </c>
      <c r="AB247">
        <v>61637</v>
      </c>
      <c r="AD247" t="s">
        <v>5</v>
      </c>
      <c r="AE247">
        <v>2</v>
      </c>
      <c r="AF247">
        <v>6</v>
      </c>
      <c r="AH247" t="s">
        <v>8135</v>
      </c>
      <c r="AI247" t="s">
        <v>8134</v>
      </c>
      <c r="AK247" t="s">
        <v>8133</v>
      </c>
      <c r="AL247">
        <v>3</v>
      </c>
      <c r="AM247" s="5">
        <f t="shared" si="26"/>
        <v>9.375E-2</v>
      </c>
      <c r="AN247" s="4">
        <f t="shared" si="31"/>
        <v>1.4199166982203711E-4</v>
      </c>
      <c r="AO247" s="3"/>
      <c r="AP247">
        <v>0</v>
      </c>
      <c r="AR247" t="s">
        <v>0</v>
      </c>
      <c r="AT247" s="2" t="s">
        <v>126</v>
      </c>
      <c r="AU247" s="1">
        <f t="shared" si="27"/>
        <v>0.58726607667430386</v>
      </c>
      <c r="AV247" s="1">
        <f t="shared" si="28"/>
        <v>0.4235326739051325</v>
      </c>
      <c r="AW247" s="1">
        <f t="shared" si="29"/>
        <v>0.25979927113596091</v>
      </c>
    </row>
    <row r="248" spans="1:49" x14ac:dyDescent="0.2">
      <c r="A248">
        <v>246</v>
      </c>
      <c r="B248" t="s">
        <v>8132</v>
      </c>
      <c r="C248" t="s">
        <v>8131</v>
      </c>
      <c r="F248" t="s">
        <v>8130</v>
      </c>
      <c r="G248" t="s">
        <v>14</v>
      </c>
      <c r="H248" t="s">
        <v>13</v>
      </c>
      <c r="I248" t="s">
        <v>8129</v>
      </c>
      <c r="N248">
        <v>7</v>
      </c>
      <c r="O248" t="s">
        <v>8128</v>
      </c>
      <c r="P248" t="s">
        <v>8127</v>
      </c>
      <c r="Q248" t="s">
        <v>1181</v>
      </c>
      <c r="R248" s="7">
        <v>32874</v>
      </c>
      <c r="S248" s="8">
        <f t="shared" si="24"/>
        <v>1990</v>
      </c>
      <c r="T248" s="8">
        <v>1990</v>
      </c>
      <c r="U248" s="8">
        <f t="shared" si="25"/>
        <v>32</v>
      </c>
      <c r="V248" s="7" t="s">
        <v>7</v>
      </c>
      <c r="W248" t="s">
        <v>110</v>
      </c>
      <c r="X248" s="2">
        <v>0.371</v>
      </c>
      <c r="Y248" s="6">
        <f t="shared" si="30"/>
        <v>9.9036331117695747E-3</v>
      </c>
      <c r="AA248">
        <v>486604</v>
      </c>
      <c r="AB248">
        <v>28580</v>
      </c>
      <c r="AC248" t="s">
        <v>109</v>
      </c>
      <c r="AD248" t="s">
        <v>5</v>
      </c>
      <c r="AE248">
        <v>25</v>
      </c>
      <c r="AF248">
        <v>4</v>
      </c>
      <c r="AH248" t="s">
        <v>8126</v>
      </c>
      <c r="AI248" t="s">
        <v>8125</v>
      </c>
      <c r="AK248" t="s">
        <v>8124</v>
      </c>
      <c r="AL248">
        <v>28</v>
      </c>
      <c r="AM248" s="5">
        <f t="shared" si="26"/>
        <v>0.875</v>
      </c>
      <c r="AN248" s="4">
        <f t="shared" si="31"/>
        <v>1.3252555850056798E-3</v>
      </c>
      <c r="AO248" s="3"/>
      <c r="AP248">
        <v>0</v>
      </c>
      <c r="AR248" t="s">
        <v>0</v>
      </c>
      <c r="AT248" s="2">
        <v>1.431</v>
      </c>
      <c r="AU248" s="1">
        <f t="shared" si="27"/>
        <v>0.73301198537404055</v>
      </c>
      <c r="AV248" s="1">
        <f t="shared" si="28"/>
        <v>0.56144443483876272</v>
      </c>
      <c r="AW248" s="1">
        <f t="shared" si="29"/>
        <v>0.38987688430348483</v>
      </c>
    </row>
    <row r="249" spans="1:49" x14ac:dyDescent="0.2">
      <c r="A249">
        <v>247</v>
      </c>
      <c r="B249" t="s">
        <v>8123</v>
      </c>
      <c r="C249" t="s">
        <v>8122</v>
      </c>
      <c r="F249" t="s">
        <v>8121</v>
      </c>
      <c r="G249" t="s">
        <v>14</v>
      </c>
      <c r="H249" t="s">
        <v>13</v>
      </c>
      <c r="I249" t="s">
        <v>3118</v>
      </c>
      <c r="J249">
        <v>60072442</v>
      </c>
      <c r="K249" t="s">
        <v>3117</v>
      </c>
      <c r="L249" t="s">
        <v>3116</v>
      </c>
      <c r="M249" t="s">
        <v>536</v>
      </c>
      <c r="N249">
        <v>1</v>
      </c>
      <c r="O249" t="s">
        <v>3115</v>
      </c>
      <c r="P249">
        <v>7006225019</v>
      </c>
      <c r="Q249">
        <v>60072442</v>
      </c>
      <c r="R249" s="7">
        <v>32874</v>
      </c>
      <c r="S249" s="8">
        <f t="shared" si="24"/>
        <v>1990</v>
      </c>
      <c r="T249" s="8">
        <v>1990</v>
      </c>
      <c r="U249" s="8">
        <f t="shared" si="25"/>
        <v>32</v>
      </c>
      <c r="V249" s="7">
        <v>32964</v>
      </c>
      <c r="W249" t="s">
        <v>2249</v>
      </c>
      <c r="X249" s="2">
        <v>1.6519999999999999</v>
      </c>
      <c r="Y249" s="6">
        <f t="shared" si="30"/>
        <v>4.409919649769093E-2</v>
      </c>
      <c r="AA249" t="s">
        <v>2248</v>
      </c>
      <c r="AB249">
        <v>17337</v>
      </c>
      <c r="AC249">
        <v>15582221</v>
      </c>
      <c r="AD249" t="s">
        <v>5</v>
      </c>
      <c r="AE249">
        <v>38</v>
      </c>
      <c r="AF249">
        <v>4</v>
      </c>
      <c r="AH249">
        <v>584</v>
      </c>
      <c r="AL249">
        <v>2</v>
      </c>
      <c r="AM249" s="5">
        <f t="shared" si="26"/>
        <v>6.25E-2</v>
      </c>
      <c r="AN249" s="4">
        <f t="shared" si="31"/>
        <v>9.46611132146914E-5</v>
      </c>
      <c r="AO249" s="3"/>
      <c r="AP249">
        <v>0</v>
      </c>
      <c r="AR249" t="s">
        <v>0</v>
      </c>
      <c r="AT249" s="2" t="s">
        <v>126</v>
      </c>
      <c r="AU249" s="1">
        <f t="shared" si="27"/>
        <v>3.0897835882348059</v>
      </c>
      <c r="AV249" s="1">
        <f t="shared" si="28"/>
        <v>2.2096928805452811</v>
      </c>
      <c r="AW249" s="1">
        <f t="shared" si="29"/>
        <v>1.3296021728557561</v>
      </c>
    </row>
    <row r="250" spans="1:49" x14ac:dyDescent="0.2">
      <c r="A250">
        <v>248</v>
      </c>
      <c r="B250" t="s">
        <v>8120</v>
      </c>
      <c r="C250" t="s">
        <v>8119</v>
      </c>
      <c r="D250" t="s">
        <v>8118</v>
      </c>
      <c r="F250" t="s">
        <v>8117</v>
      </c>
      <c r="G250" t="s">
        <v>14</v>
      </c>
      <c r="H250" t="s">
        <v>13</v>
      </c>
      <c r="I250" t="s">
        <v>8116</v>
      </c>
      <c r="J250" t="s">
        <v>8115</v>
      </c>
      <c r="K250" t="s">
        <v>8114</v>
      </c>
      <c r="L250" t="s">
        <v>8113</v>
      </c>
      <c r="M250" t="s">
        <v>2774</v>
      </c>
      <c r="N250">
        <v>4</v>
      </c>
      <c r="O250" t="s">
        <v>8112</v>
      </c>
      <c r="P250" t="s">
        <v>8111</v>
      </c>
      <c r="Q250" t="s">
        <v>8110</v>
      </c>
      <c r="R250" s="7">
        <v>32874</v>
      </c>
      <c r="S250" s="8">
        <f t="shared" si="24"/>
        <v>1990</v>
      </c>
      <c r="T250" s="8">
        <v>1990</v>
      </c>
      <c r="U250" s="8">
        <f t="shared" si="25"/>
        <v>32</v>
      </c>
      <c r="V250" s="7">
        <v>32994</v>
      </c>
      <c r="W250" t="s">
        <v>353</v>
      </c>
      <c r="X250" s="2" t="s">
        <v>126</v>
      </c>
      <c r="Y250" s="6" t="e">
        <f t="shared" si="30"/>
        <v>#VALUE!</v>
      </c>
      <c r="AA250">
        <v>10111344</v>
      </c>
      <c r="AB250">
        <v>17622</v>
      </c>
      <c r="AD250" t="s">
        <v>5</v>
      </c>
      <c r="AE250">
        <v>5</v>
      </c>
      <c r="AF250" s="9">
        <v>44289</v>
      </c>
      <c r="AH250" t="s">
        <v>8109</v>
      </c>
      <c r="AI250" t="s">
        <v>8108</v>
      </c>
      <c r="AJ250" t="s">
        <v>8107</v>
      </c>
      <c r="AK250" t="s">
        <v>8106</v>
      </c>
      <c r="AL250">
        <v>7</v>
      </c>
      <c r="AM250" s="5">
        <f t="shared" si="26"/>
        <v>0.21875</v>
      </c>
      <c r="AN250" s="4">
        <f t="shared" si="31"/>
        <v>3.3131389625141994E-4</v>
      </c>
      <c r="AO250" s="3"/>
      <c r="AP250">
        <v>0</v>
      </c>
      <c r="AR250" t="s">
        <v>0</v>
      </c>
      <c r="AT250" s="2" t="s">
        <v>126</v>
      </c>
      <c r="AU250" s="1" t="e">
        <f t="shared" si="27"/>
        <v>#VALUE!</v>
      </c>
      <c r="AV250" s="1" t="e">
        <f t="shared" si="28"/>
        <v>#VALUE!</v>
      </c>
      <c r="AW250" s="1" t="e">
        <f t="shared" si="29"/>
        <v>#VALUE!</v>
      </c>
    </row>
    <row r="251" spans="1:49" x14ac:dyDescent="0.2">
      <c r="A251">
        <v>249</v>
      </c>
      <c r="B251" t="s">
        <v>8105</v>
      </c>
      <c r="C251" t="s">
        <v>8104</v>
      </c>
      <c r="F251" t="s">
        <v>8103</v>
      </c>
      <c r="G251" t="s">
        <v>14</v>
      </c>
      <c r="H251" t="s">
        <v>13</v>
      </c>
      <c r="I251" t="s">
        <v>8078</v>
      </c>
      <c r="J251" t="s">
        <v>8102</v>
      </c>
      <c r="K251" t="s">
        <v>8101</v>
      </c>
      <c r="L251" t="s">
        <v>8100</v>
      </c>
      <c r="M251" t="s">
        <v>2635</v>
      </c>
      <c r="N251">
        <v>24</v>
      </c>
      <c r="O251" t="s">
        <v>8099</v>
      </c>
      <c r="P251" t="s">
        <v>8098</v>
      </c>
      <c r="Q251" t="s">
        <v>8097</v>
      </c>
      <c r="R251" s="7">
        <v>32874</v>
      </c>
      <c r="S251" s="8">
        <f t="shared" si="24"/>
        <v>1990</v>
      </c>
      <c r="T251" s="8">
        <v>1990</v>
      </c>
      <c r="U251" s="8">
        <f t="shared" si="25"/>
        <v>32</v>
      </c>
      <c r="V251" s="7">
        <v>33147</v>
      </c>
      <c r="W251" t="s">
        <v>4388</v>
      </c>
      <c r="X251" s="2">
        <v>0.371</v>
      </c>
      <c r="Y251" s="6">
        <f t="shared" si="30"/>
        <v>9.9036331117695747E-3</v>
      </c>
      <c r="AA251">
        <v>214922</v>
      </c>
      <c r="AB251">
        <v>130262</v>
      </c>
      <c r="AC251">
        <v>13474065</v>
      </c>
      <c r="AD251" t="s">
        <v>5</v>
      </c>
      <c r="AE251">
        <v>29</v>
      </c>
      <c r="AF251">
        <v>10</v>
      </c>
      <c r="AH251" t="s">
        <v>8096</v>
      </c>
      <c r="AI251" t="s">
        <v>8095</v>
      </c>
      <c r="AJ251" t="s">
        <v>8094</v>
      </c>
      <c r="AK251" t="s">
        <v>8093</v>
      </c>
      <c r="AL251">
        <v>1</v>
      </c>
      <c r="AM251" s="5">
        <f t="shared" si="26"/>
        <v>3.125E-2</v>
      </c>
      <c r="AN251" s="4">
        <f t="shared" si="31"/>
        <v>4.73305566073457E-5</v>
      </c>
      <c r="AO251" s="3"/>
      <c r="AP251">
        <v>0</v>
      </c>
      <c r="AR251" t="s">
        <v>0</v>
      </c>
      <c r="AT251" s="2">
        <v>1.48</v>
      </c>
      <c r="AU251" s="1">
        <f t="shared" si="27"/>
        <v>0.69467423452209054</v>
      </c>
      <c r="AV251" s="1">
        <f t="shared" si="28"/>
        <v>0.49754818341884599</v>
      </c>
      <c r="AW251" s="1">
        <f t="shared" si="29"/>
        <v>0.30042213231560144</v>
      </c>
    </row>
    <row r="252" spans="1:49" x14ac:dyDescent="0.2">
      <c r="A252">
        <v>250</v>
      </c>
      <c r="B252" t="s">
        <v>8092</v>
      </c>
      <c r="C252" t="s">
        <v>8091</v>
      </c>
      <c r="F252" t="s">
        <v>8090</v>
      </c>
      <c r="G252" t="s">
        <v>14</v>
      </c>
      <c r="H252" t="s">
        <v>13</v>
      </c>
      <c r="I252" t="s">
        <v>8089</v>
      </c>
      <c r="J252">
        <v>60032179</v>
      </c>
      <c r="K252" t="s">
        <v>1596</v>
      </c>
      <c r="L252" t="s">
        <v>1595</v>
      </c>
      <c r="M252" t="s">
        <v>197</v>
      </c>
      <c r="N252">
        <v>3</v>
      </c>
      <c r="O252" t="s">
        <v>8088</v>
      </c>
      <c r="P252" t="s">
        <v>8087</v>
      </c>
      <c r="Q252" t="s">
        <v>8086</v>
      </c>
      <c r="R252" s="7">
        <v>32874</v>
      </c>
      <c r="S252" s="8">
        <f t="shared" si="24"/>
        <v>1990</v>
      </c>
      <c r="T252" s="8">
        <v>1990</v>
      </c>
      <c r="U252" s="8">
        <f t="shared" si="25"/>
        <v>32</v>
      </c>
      <c r="V252" s="7">
        <v>1990</v>
      </c>
      <c r="W252" t="s">
        <v>233</v>
      </c>
      <c r="X252" s="2">
        <v>1.1879999999999999</v>
      </c>
      <c r="Y252" s="6">
        <f t="shared" si="30"/>
        <v>3.1712981500760788E-2</v>
      </c>
      <c r="AA252">
        <v>8998221</v>
      </c>
      <c r="AB252">
        <v>8900153323</v>
      </c>
      <c r="AD252" t="s">
        <v>5</v>
      </c>
      <c r="AE252">
        <v>2</v>
      </c>
      <c r="AF252">
        <v>4</v>
      </c>
      <c r="AH252" t="s">
        <v>8085</v>
      </c>
      <c r="AI252" t="s">
        <v>8084</v>
      </c>
      <c r="AK252" t="s">
        <v>8083</v>
      </c>
      <c r="AL252">
        <v>6</v>
      </c>
      <c r="AM252" s="5">
        <f t="shared" si="26"/>
        <v>0.1875</v>
      </c>
      <c r="AN252" s="4">
        <f t="shared" si="31"/>
        <v>2.8398333964407423E-4</v>
      </c>
      <c r="AO252" s="3"/>
      <c r="AP252">
        <v>0</v>
      </c>
      <c r="AR252" t="s">
        <v>0</v>
      </c>
      <c r="AT252" s="2" t="s">
        <v>126</v>
      </c>
      <c r="AU252" s="1">
        <f t="shared" si="27"/>
        <v>2.2284282052425772</v>
      </c>
      <c r="AV252" s="1">
        <f t="shared" si="28"/>
        <v>1.5998482420202429</v>
      </c>
      <c r="AW252" s="1">
        <f t="shared" si="29"/>
        <v>0.97126827879790889</v>
      </c>
    </row>
    <row r="253" spans="1:49" x14ac:dyDescent="0.2">
      <c r="A253">
        <v>251</v>
      </c>
      <c r="B253" t="s">
        <v>8082</v>
      </c>
      <c r="C253" t="s">
        <v>8081</v>
      </c>
      <c r="D253" t="s">
        <v>8080</v>
      </c>
      <c r="F253" t="s">
        <v>8079</v>
      </c>
      <c r="G253" t="s">
        <v>14</v>
      </c>
      <c r="H253" t="s">
        <v>13</v>
      </c>
      <c r="I253" t="s">
        <v>8078</v>
      </c>
      <c r="J253">
        <v>60015658</v>
      </c>
      <c r="K253" t="s">
        <v>8077</v>
      </c>
      <c r="L253" t="s">
        <v>8076</v>
      </c>
      <c r="M253" t="s">
        <v>267</v>
      </c>
      <c r="N253">
        <v>22</v>
      </c>
      <c r="O253" t="s">
        <v>8075</v>
      </c>
      <c r="P253" t="s">
        <v>8074</v>
      </c>
      <c r="Q253" t="s">
        <v>8073</v>
      </c>
      <c r="R253" s="7">
        <v>32874</v>
      </c>
      <c r="S253" s="8">
        <f t="shared" ref="S253:S316" si="32">YEAR(R253)</f>
        <v>1990</v>
      </c>
      <c r="T253" s="8">
        <v>1990</v>
      </c>
      <c r="U253" s="8">
        <f t="shared" ref="U253:U316" si="33">2022-T253</f>
        <v>32</v>
      </c>
      <c r="V253" s="7">
        <v>1990</v>
      </c>
      <c r="W253" t="s">
        <v>263</v>
      </c>
      <c r="X253" s="2">
        <v>0.65600000000000003</v>
      </c>
      <c r="Y253" s="6">
        <f t="shared" si="30"/>
        <v>1.751154534048744E-2</v>
      </c>
      <c r="AA253">
        <v>9203796</v>
      </c>
      <c r="AB253">
        <v>20344</v>
      </c>
      <c r="AD253" t="s">
        <v>5</v>
      </c>
      <c r="AE253">
        <v>12</v>
      </c>
      <c r="AF253" s="9">
        <v>44228</v>
      </c>
      <c r="AH253" t="s">
        <v>8072</v>
      </c>
      <c r="AI253" t="s">
        <v>8071</v>
      </c>
      <c r="AK253" t="s">
        <v>8070</v>
      </c>
      <c r="AL253">
        <v>5</v>
      </c>
      <c r="AM253" s="5">
        <f t="shared" ref="AM253:AM316" si="34">AL253/U253</f>
        <v>0.15625</v>
      </c>
      <c r="AN253" s="4">
        <f t="shared" si="31"/>
        <v>2.3665278303672851E-4</v>
      </c>
      <c r="AO253" s="3"/>
      <c r="AP253">
        <v>0</v>
      </c>
      <c r="AR253" t="s">
        <v>0</v>
      </c>
      <c r="AT253" s="2">
        <v>1.4530000000000001</v>
      </c>
      <c r="AU253" s="1">
        <f t="shared" ref="AU253:AU316" si="35">(Y253*0.7+AN253*0.3)*100</f>
        <v>1.2329077573252225</v>
      </c>
      <c r="AV253" s="1">
        <f t="shared" ref="AV253:AV316" si="36">(Y253*0.5+AN253*0.5)*100</f>
        <v>0.88740990617620852</v>
      </c>
      <c r="AW253" s="1">
        <f t="shared" ref="AW253:AW316" si="37">(Y253*0.3+AN253*0.7)*100</f>
        <v>0.54191205502719419</v>
      </c>
    </row>
    <row r="254" spans="1:49" x14ac:dyDescent="0.2">
      <c r="A254">
        <v>252</v>
      </c>
      <c r="B254" t="s">
        <v>8069</v>
      </c>
      <c r="C254" t="s">
        <v>8068</v>
      </c>
      <c r="D254" t="s">
        <v>8067</v>
      </c>
      <c r="F254" t="s">
        <v>8066</v>
      </c>
      <c r="G254" t="s">
        <v>14</v>
      </c>
      <c r="H254" t="s">
        <v>13</v>
      </c>
      <c r="I254" t="s">
        <v>8065</v>
      </c>
      <c r="J254">
        <v>60025104</v>
      </c>
      <c r="K254" t="s">
        <v>8054</v>
      </c>
      <c r="M254" t="s">
        <v>253</v>
      </c>
      <c r="N254">
        <v>8</v>
      </c>
      <c r="O254" t="s">
        <v>8064</v>
      </c>
      <c r="P254" t="s">
        <v>8063</v>
      </c>
      <c r="Q254" t="s">
        <v>8062</v>
      </c>
      <c r="R254" s="7">
        <v>32874</v>
      </c>
      <c r="S254" s="8">
        <f t="shared" si="32"/>
        <v>1990</v>
      </c>
      <c r="T254" s="8">
        <v>1990</v>
      </c>
      <c r="U254" s="8">
        <f t="shared" si="33"/>
        <v>32</v>
      </c>
      <c r="V254" s="7">
        <v>1990</v>
      </c>
      <c r="W254" t="s">
        <v>263</v>
      </c>
      <c r="X254" s="2">
        <v>0.65600000000000003</v>
      </c>
      <c r="Y254" s="6">
        <f t="shared" si="30"/>
        <v>1.751154534048744E-2</v>
      </c>
      <c r="AA254">
        <v>9203796</v>
      </c>
      <c r="AB254">
        <v>20344</v>
      </c>
      <c r="AD254" t="s">
        <v>5</v>
      </c>
      <c r="AE254">
        <v>12</v>
      </c>
      <c r="AF254" s="9">
        <v>44228</v>
      </c>
      <c r="AH254" t="s">
        <v>8061</v>
      </c>
      <c r="AI254" t="s">
        <v>8060</v>
      </c>
      <c r="AK254" t="s">
        <v>8059</v>
      </c>
      <c r="AL254">
        <v>10</v>
      </c>
      <c r="AM254" s="5">
        <f t="shared" si="34"/>
        <v>0.3125</v>
      </c>
      <c r="AN254" s="4">
        <f t="shared" si="31"/>
        <v>4.7330556607345703E-4</v>
      </c>
      <c r="AO254" s="3"/>
      <c r="AP254">
        <v>0</v>
      </c>
      <c r="AR254" t="s">
        <v>0</v>
      </c>
      <c r="AT254" s="2">
        <v>1.4530000000000001</v>
      </c>
      <c r="AU254" s="1">
        <f t="shared" si="35"/>
        <v>1.2400073408163246</v>
      </c>
      <c r="AV254" s="1">
        <f t="shared" si="36"/>
        <v>0.89924254532804482</v>
      </c>
      <c r="AW254" s="1">
        <f t="shared" si="37"/>
        <v>0.55847774983976517</v>
      </c>
    </row>
    <row r="255" spans="1:49" x14ac:dyDescent="0.2">
      <c r="A255">
        <v>253</v>
      </c>
      <c r="B255" t="s">
        <v>8058</v>
      </c>
      <c r="C255" t="s">
        <v>8057</v>
      </c>
      <c r="D255" t="s">
        <v>8056</v>
      </c>
      <c r="F255" t="s">
        <v>8055</v>
      </c>
      <c r="G255" t="s">
        <v>14</v>
      </c>
      <c r="H255" t="s">
        <v>13</v>
      </c>
      <c r="I255" t="s">
        <v>1852</v>
      </c>
      <c r="J255">
        <v>60025104</v>
      </c>
      <c r="K255" t="s">
        <v>8054</v>
      </c>
      <c r="M255" t="s">
        <v>253</v>
      </c>
      <c r="N255">
        <v>5</v>
      </c>
      <c r="O255" t="s">
        <v>8053</v>
      </c>
      <c r="P255" t="s">
        <v>8052</v>
      </c>
      <c r="Q255" t="s">
        <v>8051</v>
      </c>
      <c r="R255" s="7">
        <v>32874</v>
      </c>
      <c r="S255" s="8">
        <f t="shared" si="32"/>
        <v>1990</v>
      </c>
      <c r="T255" s="8">
        <v>1990</v>
      </c>
      <c r="U255" s="8">
        <f t="shared" si="33"/>
        <v>32</v>
      </c>
      <c r="V255" s="7">
        <v>1990</v>
      </c>
      <c r="W255" t="s">
        <v>263</v>
      </c>
      <c r="X255" s="2">
        <v>0.65600000000000003</v>
      </c>
      <c r="Y255" s="6">
        <f t="shared" si="30"/>
        <v>1.751154534048744E-2</v>
      </c>
      <c r="AA255">
        <v>9203796</v>
      </c>
      <c r="AB255">
        <v>20344</v>
      </c>
      <c r="AD255" t="s">
        <v>5</v>
      </c>
      <c r="AE255">
        <v>12</v>
      </c>
      <c r="AF255" s="9">
        <v>44228</v>
      </c>
      <c r="AH255" t="s">
        <v>8050</v>
      </c>
      <c r="AI255" t="s">
        <v>8049</v>
      </c>
      <c r="AK255" t="s">
        <v>8048</v>
      </c>
      <c r="AL255">
        <v>10</v>
      </c>
      <c r="AM255" s="5">
        <f t="shared" si="34"/>
        <v>0.3125</v>
      </c>
      <c r="AN255" s="4">
        <f t="shared" si="31"/>
        <v>4.7330556607345703E-4</v>
      </c>
      <c r="AO255" s="3"/>
      <c r="AP255">
        <v>0</v>
      </c>
      <c r="AR255" t="s">
        <v>0</v>
      </c>
      <c r="AT255" s="2">
        <v>1.4530000000000001</v>
      </c>
      <c r="AU255" s="1">
        <f t="shared" si="35"/>
        <v>1.2400073408163246</v>
      </c>
      <c r="AV255" s="1">
        <f t="shared" si="36"/>
        <v>0.89924254532804482</v>
      </c>
      <c r="AW255" s="1">
        <f t="shared" si="37"/>
        <v>0.55847774983976517</v>
      </c>
    </row>
    <row r="256" spans="1:49" x14ac:dyDescent="0.2">
      <c r="A256">
        <v>254</v>
      </c>
      <c r="B256" t="s">
        <v>8047</v>
      </c>
      <c r="C256" t="s">
        <v>8046</v>
      </c>
      <c r="D256" t="s">
        <v>8045</v>
      </c>
      <c r="F256" t="s">
        <v>8044</v>
      </c>
      <c r="G256" t="s">
        <v>14</v>
      </c>
      <c r="H256" t="s">
        <v>13</v>
      </c>
      <c r="I256" t="s">
        <v>8043</v>
      </c>
      <c r="J256" t="s">
        <v>8042</v>
      </c>
      <c r="K256" t="s">
        <v>8041</v>
      </c>
      <c r="L256" t="s">
        <v>8040</v>
      </c>
      <c r="M256" t="s">
        <v>84</v>
      </c>
      <c r="N256">
        <v>3</v>
      </c>
      <c r="O256" t="s">
        <v>8039</v>
      </c>
      <c r="P256" t="s">
        <v>8038</v>
      </c>
      <c r="Q256" t="s">
        <v>8037</v>
      </c>
      <c r="R256" s="7">
        <v>32874</v>
      </c>
      <c r="S256" s="8">
        <f t="shared" si="32"/>
        <v>1990</v>
      </c>
      <c r="T256" s="8">
        <v>1990</v>
      </c>
      <c r="U256" s="8">
        <f t="shared" si="33"/>
        <v>32</v>
      </c>
      <c r="V256" s="7">
        <v>1990</v>
      </c>
      <c r="W256" t="s">
        <v>263</v>
      </c>
      <c r="X256" s="2">
        <v>0.65600000000000003</v>
      </c>
      <c r="Y256" s="6">
        <f t="shared" si="30"/>
        <v>1.751154534048744E-2</v>
      </c>
      <c r="AA256">
        <v>9203796</v>
      </c>
      <c r="AB256">
        <v>20344</v>
      </c>
      <c r="AD256" t="s">
        <v>5</v>
      </c>
      <c r="AE256">
        <v>12</v>
      </c>
      <c r="AF256" s="9">
        <v>44228</v>
      </c>
      <c r="AH256" t="s">
        <v>8036</v>
      </c>
      <c r="AI256" t="s">
        <v>8035</v>
      </c>
      <c r="AK256" t="s">
        <v>8034</v>
      </c>
      <c r="AL256">
        <v>3</v>
      </c>
      <c r="AM256" s="5">
        <f t="shared" si="34"/>
        <v>9.375E-2</v>
      </c>
      <c r="AN256" s="4">
        <f t="shared" si="31"/>
        <v>1.4199166982203711E-4</v>
      </c>
      <c r="AO256" s="3"/>
      <c r="AP256">
        <v>0</v>
      </c>
      <c r="AQ256" t="s">
        <v>8033</v>
      </c>
      <c r="AR256" t="s">
        <v>8032</v>
      </c>
      <c r="AS256" t="s">
        <v>8031</v>
      </c>
      <c r="AT256" s="2">
        <v>1.4530000000000001</v>
      </c>
      <c r="AU256" s="1">
        <f t="shared" si="35"/>
        <v>1.2300679239287819</v>
      </c>
      <c r="AV256" s="1">
        <f t="shared" si="36"/>
        <v>0.88267685051547384</v>
      </c>
      <c r="AW256" s="1">
        <f t="shared" si="37"/>
        <v>0.53528577710216574</v>
      </c>
    </row>
    <row r="257" spans="1:49" x14ac:dyDescent="0.2">
      <c r="A257">
        <v>255</v>
      </c>
      <c r="B257" t="s">
        <v>8030</v>
      </c>
      <c r="C257" t="s">
        <v>8029</v>
      </c>
      <c r="D257" t="s">
        <v>8028</v>
      </c>
      <c r="F257" t="s">
        <v>8027</v>
      </c>
      <c r="G257" t="s">
        <v>14</v>
      </c>
      <c r="H257" t="s">
        <v>13</v>
      </c>
      <c r="I257" t="s">
        <v>8026</v>
      </c>
      <c r="J257" t="s">
        <v>8025</v>
      </c>
      <c r="K257" t="s">
        <v>8024</v>
      </c>
      <c r="L257" t="s">
        <v>8023</v>
      </c>
      <c r="M257" t="s">
        <v>8022</v>
      </c>
      <c r="N257">
        <v>7</v>
      </c>
      <c r="O257" t="s">
        <v>8021</v>
      </c>
      <c r="P257" t="s">
        <v>8020</v>
      </c>
      <c r="Q257" t="s">
        <v>8019</v>
      </c>
      <c r="R257" s="7">
        <v>32874</v>
      </c>
      <c r="S257" s="8">
        <f t="shared" si="32"/>
        <v>1990</v>
      </c>
      <c r="T257" s="8">
        <v>1990</v>
      </c>
      <c r="U257" s="8">
        <f t="shared" si="33"/>
        <v>32</v>
      </c>
      <c r="V257" s="7">
        <v>1990</v>
      </c>
      <c r="W257" t="s">
        <v>263</v>
      </c>
      <c r="X257" s="2">
        <v>0.65600000000000003</v>
      </c>
      <c r="Y257" s="6">
        <f t="shared" si="30"/>
        <v>1.751154534048744E-2</v>
      </c>
      <c r="AA257">
        <v>9203796</v>
      </c>
      <c r="AB257">
        <v>20344</v>
      </c>
      <c r="AD257" t="s">
        <v>5</v>
      </c>
      <c r="AE257">
        <v>12</v>
      </c>
      <c r="AF257" s="9">
        <v>44228</v>
      </c>
      <c r="AH257" t="s">
        <v>8018</v>
      </c>
      <c r="AI257" t="s">
        <v>8017</v>
      </c>
      <c r="AK257" t="s">
        <v>8016</v>
      </c>
      <c r="AL257">
        <v>12</v>
      </c>
      <c r="AM257" s="5">
        <f t="shared" si="34"/>
        <v>0.375</v>
      </c>
      <c r="AN257" s="4">
        <f t="shared" si="31"/>
        <v>5.6796667928814845E-4</v>
      </c>
      <c r="AO257" s="3"/>
      <c r="AP257">
        <v>0</v>
      </c>
      <c r="AR257" t="s">
        <v>0</v>
      </c>
      <c r="AT257" s="2">
        <v>1.4530000000000001</v>
      </c>
      <c r="AU257" s="1">
        <f t="shared" si="35"/>
        <v>1.2428471742127654</v>
      </c>
      <c r="AV257" s="1">
        <f t="shared" si="36"/>
        <v>0.90397560098877949</v>
      </c>
      <c r="AW257" s="1">
        <f t="shared" si="37"/>
        <v>0.56510402776479363</v>
      </c>
    </row>
    <row r="258" spans="1:49" x14ac:dyDescent="0.2">
      <c r="A258">
        <v>256</v>
      </c>
      <c r="B258" t="s">
        <v>8015</v>
      </c>
      <c r="C258" t="s">
        <v>8014</v>
      </c>
      <c r="D258" t="s">
        <v>8013</v>
      </c>
      <c r="F258" t="s">
        <v>8012</v>
      </c>
      <c r="G258" t="s">
        <v>14</v>
      </c>
      <c r="H258" t="s">
        <v>13</v>
      </c>
      <c r="I258" t="s">
        <v>8011</v>
      </c>
      <c r="J258" t="s">
        <v>8010</v>
      </c>
      <c r="K258" t="s">
        <v>8009</v>
      </c>
      <c r="L258" t="s">
        <v>8008</v>
      </c>
      <c r="M258" t="s">
        <v>8007</v>
      </c>
      <c r="N258">
        <v>6</v>
      </c>
      <c r="O258" t="s">
        <v>8006</v>
      </c>
      <c r="P258" t="s">
        <v>8005</v>
      </c>
      <c r="Q258" t="s">
        <v>8004</v>
      </c>
      <c r="R258" s="7">
        <v>32874</v>
      </c>
      <c r="S258" s="8">
        <f t="shared" si="32"/>
        <v>1990</v>
      </c>
      <c r="T258" s="8">
        <v>1990</v>
      </c>
      <c r="U258" s="8">
        <f t="shared" si="33"/>
        <v>32</v>
      </c>
      <c r="V258" s="7">
        <v>1990</v>
      </c>
      <c r="W258" t="s">
        <v>263</v>
      </c>
      <c r="X258" s="2">
        <v>0.65600000000000003</v>
      </c>
      <c r="Y258" s="6">
        <f t="shared" ref="Y258:Y321" si="38">(X258-$Z$4)/($Z$3-$Z$4)</f>
        <v>1.751154534048744E-2</v>
      </c>
      <c r="AA258">
        <v>9203796</v>
      </c>
      <c r="AB258">
        <v>20344</v>
      </c>
      <c r="AD258" t="s">
        <v>5</v>
      </c>
      <c r="AE258">
        <v>12</v>
      </c>
      <c r="AF258" s="9">
        <v>44228</v>
      </c>
      <c r="AH258" t="s">
        <v>8003</v>
      </c>
      <c r="AI258" t="s">
        <v>8002</v>
      </c>
      <c r="AK258" t="s">
        <v>8001</v>
      </c>
      <c r="AL258">
        <v>4</v>
      </c>
      <c r="AM258" s="5">
        <f t="shared" si="34"/>
        <v>0.125</v>
      </c>
      <c r="AN258" s="4">
        <f t="shared" ref="AN258:AN321" si="39">(AM258-$AO$4)/($AO$3-$AO$4)</f>
        <v>1.893222264293828E-4</v>
      </c>
      <c r="AO258" s="3"/>
      <c r="AP258">
        <v>0</v>
      </c>
      <c r="AR258" t="s">
        <v>0</v>
      </c>
      <c r="AT258" s="2">
        <v>1.4530000000000001</v>
      </c>
      <c r="AU258" s="1">
        <f t="shared" si="35"/>
        <v>1.2314878406270022</v>
      </c>
      <c r="AV258" s="1">
        <f t="shared" si="36"/>
        <v>0.88504337834584124</v>
      </c>
      <c r="AW258" s="1">
        <f t="shared" si="37"/>
        <v>0.53859891606468002</v>
      </c>
    </row>
    <row r="259" spans="1:49" x14ac:dyDescent="0.2">
      <c r="A259">
        <v>257</v>
      </c>
      <c r="B259" t="s">
        <v>8000</v>
      </c>
      <c r="C259" t="s">
        <v>7999</v>
      </c>
      <c r="D259" t="s">
        <v>7998</v>
      </c>
      <c r="F259" t="s">
        <v>7997</v>
      </c>
      <c r="G259" t="s">
        <v>14</v>
      </c>
      <c r="H259" t="s">
        <v>13</v>
      </c>
      <c r="I259" t="s">
        <v>7996</v>
      </c>
      <c r="J259">
        <v>60026838</v>
      </c>
      <c r="K259" t="s">
        <v>7518</v>
      </c>
      <c r="L259" t="s">
        <v>7517</v>
      </c>
      <c r="M259" t="s">
        <v>135</v>
      </c>
      <c r="N259">
        <v>4</v>
      </c>
      <c r="O259" t="s">
        <v>7995</v>
      </c>
      <c r="P259" t="s">
        <v>7994</v>
      </c>
      <c r="Q259" t="s">
        <v>7993</v>
      </c>
      <c r="R259" s="7">
        <v>32874</v>
      </c>
      <c r="S259" s="8">
        <f t="shared" si="32"/>
        <v>1990</v>
      </c>
      <c r="T259" s="8">
        <v>1990</v>
      </c>
      <c r="U259" s="8">
        <f t="shared" si="33"/>
        <v>32</v>
      </c>
      <c r="V259" s="7">
        <v>1990</v>
      </c>
      <c r="W259" t="s">
        <v>263</v>
      </c>
      <c r="X259" s="2">
        <v>0.65600000000000003</v>
      </c>
      <c r="Y259" s="6">
        <f t="shared" si="38"/>
        <v>1.751154534048744E-2</v>
      </c>
      <c r="AA259">
        <v>9203796</v>
      </c>
      <c r="AB259">
        <v>20344</v>
      </c>
      <c r="AD259" t="s">
        <v>5</v>
      </c>
      <c r="AE259">
        <v>12</v>
      </c>
      <c r="AF259" s="9">
        <v>44228</v>
      </c>
      <c r="AH259" t="s">
        <v>7992</v>
      </c>
      <c r="AI259" t="s">
        <v>7991</v>
      </c>
      <c r="AK259" t="s">
        <v>7990</v>
      </c>
      <c r="AL259">
        <v>5</v>
      </c>
      <c r="AM259" s="5">
        <f t="shared" si="34"/>
        <v>0.15625</v>
      </c>
      <c r="AN259" s="4">
        <f t="shared" si="39"/>
        <v>2.3665278303672851E-4</v>
      </c>
      <c r="AO259" s="3"/>
      <c r="AP259">
        <v>0</v>
      </c>
      <c r="AR259" t="s">
        <v>0</v>
      </c>
      <c r="AT259" s="2">
        <v>1.4530000000000001</v>
      </c>
      <c r="AU259" s="1">
        <f t="shared" si="35"/>
        <v>1.2329077573252225</v>
      </c>
      <c r="AV259" s="1">
        <f t="shared" si="36"/>
        <v>0.88740990617620852</v>
      </c>
      <c r="AW259" s="1">
        <f t="shared" si="37"/>
        <v>0.54191205502719419</v>
      </c>
    </row>
    <row r="260" spans="1:49" x14ac:dyDescent="0.2">
      <c r="A260">
        <v>258</v>
      </c>
      <c r="B260" t="s">
        <v>7989</v>
      </c>
      <c r="C260" t="s">
        <v>7988</v>
      </c>
      <c r="F260" t="s">
        <v>7987</v>
      </c>
      <c r="G260" t="s">
        <v>14</v>
      </c>
      <c r="H260" t="s">
        <v>13</v>
      </c>
      <c r="I260" t="s">
        <v>7986</v>
      </c>
      <c r="J260" t="s">
        <v>7985</v>
      </c>
      <c r="K260" t="s">
        <v>7984</v>
      </c>
      <c r="L260" t="s">
        <v>7983</v>
      </c>
      <c r="M260" t="s">
        <v>1702</v>
      </c>
      <c r="N260">
        <v>3</v>
      </c>
      <c r="O260" t="s">
        <v>7982</v>
      </c>
      <c r="P260" t="s">
        <v>7981</v>
      </c>
      <c r="Q260" t="s">
        <v>7980</v>
      </c>
      <c r="R260" s="7">
        <v>32874</v>
      </c>
      <c r="S260" s="8">
        <f t="shared" si="32"/>
        <v>1990</v>
      </c>
      <c r="T260" s="8">
        <v>1990</v>
      </c>
      <c r="U260" s="8">
        <f t="shared" si="33"/>
        <v>32</v>
      </c>
      <c r="V260" s="7">
        <v>1990</v>
      </c>
      <c r="W260" t="s">
        <v>233</v>
      </c>
      <c r="X260" s="2">
        <v>1.1879999999999999</v>
      </c>
      <c r="Y260" s="6">
        <f t="shared" si="38"/>
        <v>3.1712981500760788E-2</v>
      </c>
      <c r="AA260">
        <v>8998221</v>
      </c>
      <c r="AB260">
        <v>8900153323</v>
      </c>
      <c r="AD260" t="s">
        <v>5</v>
      </c>
      <c r="AE260">
        <v>2</v>
      </c>
      <c r="AF260">
        <v>4</v>
      </c>
      <c r="AH260" t="s">
        <v>7979</v>
      </c>
      <c r="AI260" t="s">
        <v>7978</v>
      </c>
      <c r="AK260" t="s">
        <v>7977</v>
      </c>
      <c r="AL260">
        <v>6</v>
      </c>
      <c r="AM260" s="5">
        <f t="shared" si="34"/>
        <v>0.1875</v>
      </c>
      <c r="AN260" s="4">
        <f t="shared" si="39"/>
        <v>2.8398333964407423E-4</v>
      </c>
      <c r="AO260" s="3"/>
      <c r="AP260">
        <v>0</v>
      </c>
      <c r="AR260" t="s">
        <v>0</v>
      </c>
      <c r="AT260" s="2" t="s">
        <v>126</v>
      </c>
      <c r="AU260" s="1">
        <f t="shared" si="35"/>
        <v>2.2284282052425772</v>
      </c>
      <c r="AV260" s="1">
        <f t="shared" si="36"/>
        <v>1.5998482420202429</v>
      </c>
      <c r="AW260" s="1">
        <f t="shared" si="37"/>
        <v>0.97126827879790889</v>
      </c>
    </row>
    <row r="261" spans="1:49" x14ac:dyDescent="0.2">
      <c r="A261">
        <v>259</v>
      </c>
      <c r="B261" t="s">
        <v>7976</v>
      </c>
      <c r="C261" t="s">
        <v>7975</v>
      </c>
      <c r="F261" t="s">
        <v>7974</v>
      </c>
      <c r="G261" t="s">
        <v>14</v>
      </c>
      <c r="H261" t="s">
        <v>13</v>
      </c>
      <c r="I261" t="s">
        <v>7973</v>
      </c>
      <c r="J261" t="s">
        <v>7972</v>
      </c>
      <c r="K261" t="s">
        <v>7971</v>
      </c>
      <c r="L261" t="s">
        <v>7970</v>
      </c>
      <c r="M261" t="s">
        <v>1702</v>
      </c>
      <c r="N261">
        <v>4</v>
      </c>
      <c r="O261" t="s">
        <v>7969</v>
      </c>
      <c r="P261" t="s">
        <v>7968</v>
      </c>
      <c r="Q261" t="s">
        <v>7967</v>
      </c>
      <c r="R261" s="7">
        <v>32874</v>
      </c>
      <c r="S261" s="8">
        <f t="shared" si="32"/>
        <v>1990</v>
      </c>
      <c r="T261" s="8">
        <v>1990</v>
      </c>
      <c r="U261" s="8">
        <f t="shared" si="33"/>
        <v>32</v>
      </c>
      <c r="V261" s="7">
        <v>1990</v>
      </c>
      <c r="W261" t="s">
        <v>7966</v>
      </c>
      <c r="X261" s="2">
        <v>1.78</v>
      </c>
      <c r="Y261" s="6">
        <f t="shared" si="38"/>
        <v>4.7516083393395803E-2</v>
      </c>
      <c r="AA261">
        <v>1631829</v>
      </c>
      <c r="AB261">
        <v>85318</v>
      </c>
      <c r="AD261" t="s">
        <v>5</v>
      </c>
      <c r="AE261">
        <v>42</v>
      </c>
      <c r="AF261">
        <v>16</v>
      </c>
      <c r="AH261" t="s">
        <v>7965</v>
      </c>
      <c r="AI261" t="s">
        <v>7964</v>
      </c>
      <c r="AK261" t="s">
        <v>7963</v>
      </c>
      <c r="AL261">
        <v>14</v>
      </c>
      <c r="AM261" s="5">
        <f t="shared" si="34"/>
        <v>0.4375</v>
      </c>
      <c r="AN261" s="4">
        <f t="shared" si="39"/>
        <v>6.6262779250283988E-4</v>
      </c>
      <c r="AO261" s="3"/>
      <c r="AP261">
        <v>0</v>
      </c>
      <c r="AR261" t="s">
        <v>0</v>
      </c>
      <c r="AT261" s="2">
        <v>4.0359999999999996</v>
      </c>
      <c r="AU261" s="1">
        <f t="shared" si="35"/>
        <v>3.3460046713127909</v>
      </c>
      <c r="AV261" s="1">
        <f t="shared" si="36"/>
        <v>2.4089355592949322</v>
      </c>
      <c r="AW261" s="1">
        <f t="shared" si="37"/>
        <v>1.4718664472770728</v>
      </c>
    </row>
    <row r="262" spans="1:49" x14ac:dyDescent="0.2">
      <c r="A262">
        <v>260</v>
      </c>
      <c r="B262" t="s">
        <v>7962</v>
      </c>
      <c r="C262" t="s">
        <v>7961</v>
      </c>
      <c r="F262" t="s">
        <v>7960</v>
      </c>
      <c r="G262" t="s">
        <v>14</v>
      </c>
      <c r="H262" t="s">
        <v>13</v>
      </c>
      <c r="I262" t="s">
        <v>7959</v>
      </c>
      <c r="J262">
        <v>60019656</v>
      </c>
      <c r="K262" t="s">
        <v>7958</v>
      </c>
      <c r="L262" t="s">
        <v>7957</v>
      </c>
      <c r="M262" t="s">
        <v>253</v>
      </c>
      <c r="N262">
        <v>1</v>
      </c>
      <c r="O262" t="s">
        <v>7956</v>
      </c>
      <c r="P262">
        <v>7007049394</v>
      </c>
      <c r="Q262">
        <v>60019656</v>
      </c>
      <c r="R262" s="7">
        <v>32874</v>
      </c>
      <c r="S262" s="8">
        <f t="shared" si="32"/>
        <v>1990</v>
      </c>
      <c r="T262" s="8">
        <v>1990</v>
      </c>
      <c r="U262" s="8">
        <f t="shared" si="33"/>
        <v>32</v>
      </c>
      <c r="V262" s="7">
        <v>33025</v>
      </c>
      <c r="W262" t="s">
        <v>38</v>
      </c>
      <c r="X262" s="2">
        <v>0.251</v>
      </c>
      <c r="Y262" s="6">
        <f t="shared" si="38"/>
        <v>6.7003016470462617E-3</v>
      </c>
      <c r="AA262">
        <v>207217</v>
      </c>
      <c r="AB262">
        <v>26145</v>
      </c>
      <c r="AC262">
        <v>13623060</v>
      </c>
      <c r="AD262" t="s">
        <v>5</v>
      </c>
      <c r="AE262">
        <v>68</v>
      </c>
      <c r="AF262">
        <v>6</v>
      </c>
      <c r="AH262" t="s">
        <v>7955</v>
      </c>
      <c r="AI262" t="s">
        <v>7954</v>
      </c>
      <c r="AK262" t="s">
        <v>7953</v>
      </c>
      <c r="AL262">
        <v>3</v>
      </c>
      <c r="AM262" s="5">
        <f t="shared" si="34"/>
        <v>9.375E-2</v>
      </c>
      <c r="AN262" s="4">
        <f t="shared" si="39"/>
        <v>1.4199166982203711E-4</v>
      </c>
      <c r="AO262" s="3"/>
      <c r="AP262">
        <v>0</v>
      </c>
      <c r="AQ262" t="s">
        <v>571</v>
      </c>
      <c r="AR262" t="s">
        <v>0</v>
      </c>
      <c r="AS262" t="s">
        <v>570</v>
      </c>
      <c r="AT262" s="2">
        <v>1.3360000000000001</v>
      </c>
      <c r="AU262" s="1">
        <f t="shared" si="35"/>
        <v>0.47328086538789932</v>
      </c>
      <c r="AV262" s="1">
        <f t="shared" si="36"/>
        <v>0.34211466584341493</v>
      </c>
      <c r="AW262" s="1">
        <f t="shared" si="37"/>
        <v>0.21094846629893041</v>
      </c>
    </row>
    <row r="263" spans="1:49" x14ac:dyDescent="0.2">
      <c r="A263">
        <v>261</v>
      </c>
      <c r="B263" t="s">
        <v>7952</v>
      </c>
      <c r="C263" t="s">
        <v>7951</v>
      </c>
      <c r="F263" t="s">
        <v>7950</v>
      </c>
      <c r="G263" t="s">
        <v>14</v>
      </c>
      <c r="H263" t="s">
        <v>13</v>
      </c>
      <c r="I263" t="s">
        <v>7949</v>
      </c>
      <c r="J263" t="s">
        <v>7948</v>
      </c>
      <c r="K263" t="s">
        <v>7947</v>
      </c>
      <c r="L263" t="s">
        <v>7946</v>
      </c>
      <c r="M263" t="s">
        <v>7945</v>
      </c>
      <c r="N263">
        <v>6</v>
      </c>
      <c r="O263" t="s">
        <v>7944</v>
      </c>
      <c r="P263" t="s">
        <v>7943</v>
      </c>
      <c r="Q263" t="s">
        <v>7942</v>
      </c>
      <c r="R263" s="7">
        <v>32874</v>
      </c>
      <c r="S263" s="8">
        <f t="shared" si="32"/>
        <v>1990</v>
      </c>
      <c r="T263" s="8">
        <v>1990</v>
      </c>
      <c r="U263" s="8">
        <f t="shared" si="33"/>
        <v>32</v>
      </c>
      <c r="V263" s="7">
        <v>1990</v>
      </c>
      <c r="W263" t="s">
        <v>7941</v>
      </c>
      <c r="X263" s="2">
        <v>1.3480000000000001</v>
      </c>
      <c r="Y263" s="6">
        <f t="shared" si="38"/>
        <v>3.598409012039188E-2</v>
      </c>
      <c r="AA263">
        <v>201669</v>
      </c>
      <c r="AB263">
        <v>25264</v>
      </c>
      <c r="AC263" t="s">
        <v>7940</v>
      </c>
      <c r="AD263" t="s">
        <v>5</v>
      </c>
      <c r="AE263">
        <v>29</v>
      </c>
      <c r="AF263">
        <v>23</v>
      </c>
      <c r="AH263" t="s">
        <v>7939</v>
      </c>
      <c r="AI263" t="s">
        <v>7938</v>
      </c>
      <c r="AK263" t="s">
        <v>7937</v>
      </c>
      <c r="AL263">
        <v>221</v>
      </c>
      <c r="AM263" s="5">
        <f t="shared" si="34"/>
        <v>6.90625</v>
      </c>
      <c r="AN263" s="4">
        <f t="shared" si="39"/>
        <v>1.0460053010223401E-2</v>
      </c>
      <c r="AO263" s="3"/>
      <c r="AP263">
        <v>0</v>
      </c>
      <c r="AR263" t="s">
        <v>0</v>
      </c>
      <c r="AT263" s="2">
        <v>5.165</v>
      </c>
      <c r="AU263" s="1">
        <f t="shared" si="35"/>
        <v>2.8326878987341337</v>
      </c>
      <c r="AV263" s="1">
        <f t="shared" si="36"/>
        <v>2.322207156530764</v>
      </c>
      <c r="AW263" s="1">
        <f t="shared" si="37"/>
        <v>1.8117264143273943</v>
      </c>
    </row>
    <row r="264" spans="1:49" x14ac:dyDescent="0.2">
      <c r="A264">
        <v>262</v>
      </c>
      <c r="B264" t="s">
        <v>7936</v>
      </c>
      <c r="C264" t="s">
        <v>7935</v>
      </c>
      <c r="F264" t="s">
        <v>7934</v>
      </c>
      <c r="G264" t="s">
        <v>14</v>
      </c>
      <c r="H264" t="s">
        <v>13</v>
      </c>
      <c r="I264" t="s">
        <v>7933</v>
      </c>
      <c r="J264" t="s">
        <v>7932</v>
      </c>
      <c r="K264" t="s">
        <v>7931</v>
      </c>
      <c r="L264" t="s">
        <v>7930</v>
      </c>
      <c r="M264" t="s">
        <v>1090</v>
      </c>
      <c r="N264">
        <v>2</v>
      </c>
      <c r="O264" t="s">
        <v>7929</v>
      </c>
      <c r="P264" t="s">
        <v>7928</v>
      </c>
      <c r="Q264" t="s">
        <v>7927</v>
      </c>
      <c r="R264" s="7">
        <v>32874</v>
      </c>
      <c r="S264" s="8">
        <f t="shared" si="32"/>
        <v>1990</v>
      </c>
      <c r="T264" s="8">
        <v>1990</v>
      </c>
      <c r="U264" s="8">
        <f t="shared" si="33"/>
        <v>32</v>
      </c>
      <c r="V264" s="7">
        <v>32874</v>
      </c>
      <c r="W264" t="s">
        <v>7926</v>
      </c>
      <c r="X264" s="2">
        <v>0.82199999999999995</v>
      </c>
      <c r="Y264" s="6">
        <f t="shared" si="38"/>
        <v>2.1942820533354689E-2</v>
      </c>
      <c r="AA264">
        <v>17701</v>
      </c>
      <c r="AB264">
        <v>27975</v>
      </c>
      <c r="AC264">
        <v>15729532</v>
      </c>
      <c r="AD264" t="s">
        <v>5</v>
      </c>
      <c r="AE264">
        <v>22</v>
      </c>
      <c r="AF264">
        <v>1</v>
      </c>
      <c r="AH264" t="s">
        <v>7925</v>
      </c>
      <c r="AI264" t="s">
        <v>7924</v>
      </c>
      <c r="AK264" t="s">
        <v>7923</v>
      </c>
      <c r="AL264">
        <v>8</v>
      </c>
      <c r="AM264" s="5">
        <f t="shared" si="34"/>
        <v>0.25</v>
      </c>
      <c r="AN264" s="4">
        <f t="shared" si="39"/>
        <v>3.786444528587656E-4</v>
      </c>
      <c r="AO264" s="3"/>
      <c r="AP264">
        <v>0</v>
      </c>
      <c r="AR264" t="s">
        <v>0</v>
      </c>
      <c r="AT264" s="2">
        <v>2.5129999999999999</v>
      </c>
      <c r="AU264" s="1">
        <f t="shared" si="35"/>
        <v>1.5473567709205911</v>
      </c>
      <c r="AV264" s="1">
        <f t="shared" si="36"/>
        <v>1.1160732493106726</v>
      </c>
      <c r="AW264" s="1">
        <f t="shared" si="37"/>
        <v>0.68478972770075419</v>
      </c>
    </row>
    <row r="265" spans="1:49" x14ac:dyDescent="0.2">
      <c r="A265">
        <v>263</v>
      </c>
      <c r="B265" t="s">
        <v>7922</v>
      </c>
      <c r="C265" t="s">
        <v>7921</v>
      </c>
      <c r="D265" t="s">
        <v>7920</v>
      </c>
      <c r="F265" t="s">
        <v>7919</v>
      </c>
      <c r="G265" t="s">
        <v>14</v>
      </c>
      <c r="H265" t="s">
        <v>13</v>
      </c>
      <c r="I265" t="s">
        <v>7918</v>
      </c>
      <c r="J265" t="s">
        <v>7917</v>
      </c>
      <c r="K265" t="s">
        <v>7916</v>
      </c>
      <c r="L265" t="s">
        <v>7915</v>
      </c>
      <c r="M265" t="s">
        <v>7914</v>
      </c>
      <c r="N265">
        <v>5</v>
      </c>
      <c r="O265" t="s">
        <v>7913</v>
      </c>
      <c r="P265" t="s">
        <v>7912</v>
      </c>
      <c r="Q265" t="s">
        <v>7911</v>
      </c>
      <c r="R265" s="7">
        <v>32874</v>
      </c>
      <c r="S265" s="8">
        <f t="shared" si="32"/>
        <v>1990</v>
      </c>
      <c r="T265" s="8">
        <v>1990</v>
      </c>
      <c r="U265" s="8">
        <f t="shared" si="33"/>
        <v>32</v>
      </c>
      <c r="V265" s="7" t="s">
        <v>7910</v>
      </c>
      <c r="W265" t="s">
        <v>7477</v>
      </c>
      <c r="X265" s="2">
        <v>0.51500000000000001</v>
      </c>
      <c r="Y265" s="6">
        <f t="shared" si="38"/>
        <v>1.374763086943755E-2</v>
      </c>
      <c r="AA265">
        <v>219169</v>
      </c>
      <c r="AB265">
        <v>30966</v>
      </c>
      <c r="AD265" t="s">
        <v>5</v>
      </c>
      <c r="AE265">
        <v>52</v>
      </c>
      <c r="AF265" s="9">
        <v>44414</v>
      </c>
      <c r="AH265" t="s">
        <v>7909</v>
      </c>
      <c r="AI265" t="s">
        <v>7908</v>
      </c>
      <c r="AK265" t="s">
        <v>7907</v>
      </c>
      <c r="AL265">
        <v>13</v>
      </c>
      <c r="AM265" s="5">
        <f t="shared" si="34"/>
        <v>0.40625</v>
      </c>
      <c r="AN265" s="4">
        <f t="shared" si="39"/>
        <v>6.1529723589549411E-4</v>
      </c>
      <c r="AO265" s="3"/>
      <c r="AP265">
        <v>0</v>
      </c>
      <c r="AR265" t="s">
        <v>0</v>
      </c>
      <c r="AT265" s="2" t="s">
        <v>126</v>
      </c>
      <c r="AU265" s="1">
        <f t="shared" si="35"/>
        <v>0.98079307793749315</v>
      </c>
      <c r="AV265" s="1">
        <f t="shared" si="36"/>
        <v>0.71814640526665219</v>
      </c>
      <c r="AW265" s="1">
        <f t="shared" si="37"/>
        <v>0.45549973259581111</v>
      </c>
    </row>
    <row r="266" spans="1:49" x14ac:dyDescent="0.2">
      <c r="A266">
        <v>264</v>
      </c>
      <c r="B266" t="s">
        <v>7906</v>
      </c>
      <c r="C266" t="s">
        <v>7905</v>
      </c>
      <c r="F266" t="s">
        <v>7904</v>
      </c>
      <c r="G266" t="s">
        <v>14</v>
      </c>
      <c r="H266" t="s">
        <v>13</v>
      </c>
      <c r="I266" t="s">
        <v>7903</v>
      </c>
      <c r="J266">
        <v>113474203</v>
      </c>
      <c r="K266" t="s">
        <v>7902</v>
      </c>
      <c r="M266" t="s">
        <v>253</v>
      </c>
      <c r="N266">
        <v>4</v>
      </c>
      <c r="O266" t="s">
        <v>7901</v>
      </c>
      <c r="P266" t="s">
        <v>7900</v>
      </c>
      <c r="Q266" t="s">
        <v>7899</v>
      </c>
      <c r="R266" s="7">
        <v>32874</v>
      </c>
      <c r="S266" s="8">
        <f t="shared" si="32"/>
        <v>1990</v>
      </c>
      <c r="T266" s="8">
        <v>1990</v>
      </c>
      <c r="U266" s="8">
        <f t="shared" si="33"/>
        <v>32</v>
      </c>
      <c r="V266" s="7">
        <v>1990</v>
      </c>
      <c r="W266" t="s">
        <v>278</v>
      </c>
      <c r="X266" s="2">
        <v>0.28599999999999998</v>
      </c>
      <c r="Y266" s="6">
        <f t="shared" si="38"/>
        <v>7.6346066575905605E-3</v>
      </c>
      <c r="AA266">
        <v>9205071</v>
      </c>
      <c r="AB266">
        <v>28139</v>
      </c>
      <c r="AC266">
        <v>15693937</v>
      </c>
      <c r="AD266" t="s">
        <v>5</v>
      </c>
      <c r="AE266">
        <v>4</v>
      </c>
      <c r="AF266">
        <v>4</v>
      </c>
      <c r="AH266" t="s">
        <v>7898</v>
      </c>
      <c r="AI266" t="s">
        <v>7897</v>
      </c>
      <c r="AK266" t="s">
        <v>7896</v>
      </c>
      <c r="AL266">
        <v>2</v>
      </c>
      <c r="AM266" s="5">
        <f t="shared" si="34"/>
        <v>6.25E-2</v>
      </c>
      <c r="AN266" s="4">
        <f t="shared" si="39"/>
        <v>9.46611132146914E-5</v>
      </c>
      <c r="AO266" s="3"/>
      <c r="AP266">
        <v>0</v>
      </c>
      <c r="AR266" t="s">
        <v>0</v>
      </c>
      <c r="AT266" s="2" t="s">
        <v>126</v>
      </c>
      <c r="AU266" s="1">
        <f t="shared" si="35"/>
        <v>0.53726229942777992</v>
      </c>
      <c r="AV266" s="1">
        <f t="shared" si="36"/>
        <v>0.38646338854026258</v>
      </c>
      <c r="AW266" s="1">
        <f t="shared" si="37"/>
        <v>0.23566447765274523</v>
      </c>
    </row>
    <row r="267" spans="1:49" x14ac:dyDescent="0.2">
      <c r="A267">
        <v>265</v>
      </c>
      <c r="B267" t="s">
        <v>7895</v>
      </c>
      <c r="C267" t="s">
        <v>7894</v>
      </c>
      <c r="D267" t="s">
        <v>7893</v>
      </c>
      <c r="F267" t="s">
        <v>7892</v>
      </c>
      <c r="G267" t="s">
        <v>14</v>
      </c>
      <c r="H267" t="s">
        <v>13</v>
      </c>
      <c r="I267" t="s">
        <v>7891</v>
      </c>
      <c r="J267" t="s">
        <v>7890</v>
      </c>
      <c r="K267" t="s">
        <v>7889</v>
      </c>
      <c r="L267" t="s">
        <v>7888</v>
      </c>
      <c r="M267" t="s">
        <v>1972</v>
      </c>
      <c r="N267">
        <v>6</v>
      </c>
      <c r="O267" t="s">
        <v>7887</v>
      </c>
      <c r="P267" t="s">
        <v>7886</v>
      </c>
      <c r="Q267" t="s">
        <v>7885</v>
      </c>
      <c r="R267" s="7">
        <v>32874</v>
      </c>
      <c r="S267" s="8">
        <f t="shared" si="32"/>
        <v>1990</v>
      </c>
      <c r="T267" s="8">
        <v>1990</v>
      </c>
      <c r="U267" s="8">
        <f t="shared" si="33"/>
        <v>32</v>
      </c>
      <c r="V267" s="7">
        <v>33055</v>
      </c>
      <c r="W267" t="s">
        <v>263</v>
      </c>
      <c r="X267" s="2">
        <v>0.65600000000000003</v>
      </c>
      <c r="Y267" s="6">
        <f t="shared" si="38"/>
        <v>1.751154534048744E-2</v>
      </c>
      <c r="AA267">
        <v>9203796</v>
      </c>
      <c r="AB267">
        <v>20344</v>
      </c>
      <c r="AD267" t="s">
        <v>5</v>
      </c>
      <c r="AE267">
        <v>12</v>
      </c>
      <c r="AF267">
        <v>4</v>
      </c>
      <c r="AH267" t="s">
        <v>7884</v>
      </c>
      <c r="AI267" t="s">
        <v>7883</v>
      </c>
      <c r="AK267" t="s">
        <v>7882</v>
      </c>
      <c r="AL267">
        <v>3</v>
      </c>
      <c r="AM267" s="5">
        <f t="shared" si="34"/>
        <v>9.375E-2</v>
      </c>
      <c r="AN267" s="4">
        <f t="shared" si="39"/>
        <v>1.4199166982203711E-4</v>
      </c>
      <c r="AO267" s="3"/>
      <c r="AP267">
        <v>0</v>
      </c>
      <c r="AR267" t="s">
        <v>0</v>
      </c>
      <c r="AT267" s="2">
        <v>1.4530000000000001</v>
      </c>
      <c r="AU267" s="1">
        <f t="shared" si="35"/>
        <v>1.2300679239287819</v>
      </c>
      <c r="AV267" s="1">
        <f t="shared" si="36"/>
        <v>0.88267685051547384</v>
      </c>
      <c r="AW267" s="1">
        <f t="shared" si="37"/>
        <v>0.53528577710216574</v>
      </c>
    </row>
    <row r="268" spans="1:49" x14ac:dyDescent="0.2">
      <c r="A268">
        <v>266</v>
      </c>
      <c r="B268" t="s">
        <v>7881</v>
      </c>
      <c r="C268" t="s">
        <v>7880</v>
      </c>
      <c r="D268" t="s">
        <v>7879</v>
      </c>
      <c r="F268" t="s">
        <v>7878</v>
      </c>
      <c r="G268" t="s">
        <v>14</v>
      </c>
      <c r="H268" t="s">
        <v>13</v>
      </c>
      <c r="I268" t="s">
        <v>7877</v>
      </c>
      <c r="J268" t="s">
        <v>7876</v>
      </c>
      <c r="K268" t="s">
        <v>7875</v>
      </c>
      <c r="L268" t="s">
        <v>7874</v>
      </c>
      <c r="M268" t="s">
        <v>56</v>
      </c>
      <c r="N268">
        <v>5</v>
      </c>
      <c r="O268" t="s">
        <v>7873</v>
      </c>
      <c r="P268" t="s">
        <v>7872</v>
      </c>
      <c r="Q268" t="s">
        <v>7871</v>
      </c>
      <c r="R268" s="7">
        <v>32874</v>
      </c>
      <c r="S268" s="8">
        <f t="shared" si="32"/>
        <v>1990</v>
      </c>
      <c r="T268" s="8">
        <v>1990</v>
      </c>
      <c r="U268" s="8">
        <f t="shared" si="33"/>
        <v>32</v>
      </c>
      <c r="V268" s="7">
        <v>1990</v>
      </c>
      <c r="W268" t="s">
        <v>263</v>
      </c>
      <c r="X268" s="2">
        <v>0.65600000000000003</v>
      </c>
      <c r="Y268" s="6">
        <f t="shared" si="38"/>
        <v>1.751154534048744E-2</v>
      </c>
      <c r="AA268">
        <v>9203796</v>
      </c>
      <c r="AB268">
        <v>20344</v>
      </c>
      <c r="AD268" t="s">
        <v>5</v>
      </c>
      <c r="AE268">
        <v>12</v>
      </c>
      <c r="AF268" s="9">
        <v>44228</v>
      </c>
      <c r="AH268" t="s">
        <v>7870</v>
      </c>
      <c r="AI268" t="s">
        <v>7869</v>
      </c>
      <c r="AK268" t="s">
        <v>7868</v>
      </c>
      <c r="AL268">
        <v>10</v>
      </c>
      <c r="AM268" s="5">
        <f t="shared" si="34"/>
        <v>0.3125</v>
      </c>
      <c r="AN268" s="4">
        <f t="shared" si="39"/>
        <v>4.7330556607345703E-4</v>
      </c>
      <c r="AO268" s="3"/>
      <c r="AP268">
        <v>0</v>
      </c>
      <c r="AR268" t="s">
        <v>7867</v>
      </c>
      <c r="AT268" s="2">
        <v>1.4530000000000001</v>
      </c>
      <c r="AU268" s="1">
        <f t="shared" si="35"/>
        <v>1.2400073408163246</v>
      </c>
      <c r="AV268" s="1">
        <f t="shared" si="36"/>
        <v>0.89924254532804482</v>
      </c>
      <c r="AW268" s="1">
        <f t="shared" si="37"/>
        <v>0.55847774983976517</v>
      </c>
    </row>
    <row r="269" spans="1:49" x14ac:dyDescent="0.2">
      <c r="A269">
        <v>267</v>
      </c>
      <c r="B269" t="s">
        <v>7866</v>
      </c>
      <c r="C269" t="s">
        <v>7865</v>
      </c>
      <c r="F269" t="s">
        <v>7864</v>
      </c>
      <c r="G269" t="s">
        <v>14</v>
      </c>
      <c r="H269" t="s">
        <v>13</v>
      </c>
      <c r="I269" t="s">
        <v>7863</v>
      </c>
      <c r="J269">
        <v>60008435</v>
      </c>
      <c r="K269" t="s">
        <v>4650</v>
      </c>
      <c r="L269" t="s">
        <v>1517</v>
      </c>
      <c r="M269" t="s">
        <v>267</v>
      </c>
      <c r="N269">
        <v>3</v>
      </c>
      <c r="O269" t="s">
        <v>7862</v>
      </c>
      <c r="P269" t="s">
        <v>7861</v>
      </c>
      <c r="Q269" t="s">
        <v>4647</v>
      </c>
      <c r="R269" s="7">
        <v>32874</v>
      </c>
      <c r="S269" s="8">
        <f t="shared" si="32"/>
        <v>1990</v>
      </c>
      <c r="T269" s="8">
        <v>1990</v>
      </c>
      <c r="U269" s="8">
        <f t="shared" si="33"/>
        <v>32</v>
      </c>
      <c r="V269" s="7">
        <v>1990</v>
      </c>
      <c r="W269" t="s">
        <v>278</v>
      </c>
      <c r="X269" s="2">
        <v>0.28599999999999998</v>
      </c>
      <c r="Y269" s="6">
        <f t="shared" si="38"/>
        <v>7.6346066575905605E-3</v>
      </c>
      <c r="AA269">
        <v>9205071</v>
      </c>
      <c r="AB269">
        <v>28139</v>
      </c>
      <c r="AC269">
        <v>15693937</v>
      </c>
      <c r="AD269" t="s">
        <v>5</v>
      </c>
      <c r="AE269">
        <v>4</v>
      </c>
      <c r="AF269">
        <v>1</v>
      </c>
      <c r="AH269" t="s">
        <v>7860</v>
      </c>
      <c r="AI269" t="s">
        <v>7859</v>
      </c>
      <c r="AK269" t="s">
        <v>7858</v>
      </c>
      <c r="AL269">
        <v>2</v>
      </c>
      <c r="AM269" s="5">
        <f t="shared" si="34"/>
        <v>6.25E-2</v>
      </c>
      <c r="AN269" s="4">
        <f t="shared" si="39"/>
        <v>9.46611132146914E-5</v>
      </c>
      <c r="AO269" s="3"/>
      <c r="AP269">
        <v>0</v>
      </c>
      <c r="AR269" t="s">
        <v>0</v>
      </c>
      <c r="AT269" s="2" t="s">
        <v>126</v>
      </c>
      <c r="AU269" s="1">
        <f t="shared" si="35"/>
        <v>0.53726229942777992</v>
      </c>
      <c r="AV269" s="1">
        <f t="shared" si="36"/>
        <v>0.38646338854026258</v>
      </c>
      <c r="AW269" s="1">
        <f t="shared" si="37"/>
        <v>0.23566447765274523</v>
      </c>
    </row>
    <row r="270" spans="1:49" x14ac:dyDescent="0.2">
      <c r="A270">
        <v>268</v>
      </c>
      <c r="B270" t="s">
        <v>7857</v>
      </c>
      <c r="C270" t="s">
        <v>7856</v>
      </c>
      <c r="E270">
        <v>2120155</v>
      </c>
      <c r="F270" t="s">
        <v>7855</v>
      </c>
      <c r="G270" t="s">
        <v>14</v>
      </c>
      <c r="H270" t="s">
        <v>13</v>
      </c>
      <c r="I270" t="s">
        <v>7854</v>
      </c>
      <c r="J270">
        <v>60031040</v>
      </c>
      <c r="K270" t="s">
        <v>7853</v>
      </c>
      <c r="L270" t="s">
        <v>7852</v>
      </c>
      <c r="M270" t="s">
        <v>209</v>
      </c>
      <c r="N270">
        <v>2</v>
      </c>
      <c r="O270" t="s">
        <v>7851</v>
      </c>
      <c r="P270" t="s">
        <v>7850</v>
      </c>
      <c r="Q270" t="s">
        <v>7849</v>
      </c>
      <c r="R270" s="7">
        <v>32874</v>
      </c>
      <c r="S270" s="8">
        <f t="shared" si="32"/>
        <v>1990</v>
      </c>
      <c r="T270" s="8">
        <v>1990</v>
      </c>
      <c r="U270" s="8">
        <f t="shared" si="33"/>
        <v>32</v>
      </c>
      <c r="V270" s="7">
        <v>33086</v>
      </c>
      <c r="W270" t="s">
        <v>7848</v>
      </c>
      <c r="X270" s="2">
        <v>1.4410000000000001</v>
      </c>
      <c r="Y270" s="6">
        <f t="shared" si="38"/>
        <v>3.8466672005552448E-2</v>
      </c>
      <c r="AA270" t="s">
        <v>7847</v>
      </c>
      <c r="AB270">
        <v>22235</v>
      </c>
      <c r="AC270">
        <v>13652540</v>
      </c>
      <c r="AD270" t="s">
        <v>5</v>
      </c>
      <c r="AE270">
        <v>65</v>
      </c>
      <c r="AF270">
        <v>1</v>
      </c>
      <c r="AH270" t="s">
        <v>7846</v>
      </c>
      <c r="AI270" t="s">
        <v>7845</v>
      </c>
      <c r="AK270" t="s">
        <v>7844</v>
      </c>
      <c r="AL270">
        <v>8</v>
      </c>
      <c r="AM270" s="5">
        <f t="shared" si="34"/>
        <v>0.25</v>
      </c>
      <c r="AN270" s="4">
        <f t="shared" si="39"/>
        <v>3.786444528587656E-4</v>
      </c>
      <c r="AO270" s="3"/>
      <c r="AP270">
        <v>1</v>
      </c>
      <c r="AQ270" t="s">
        <v>7680</v>
      </c>
      <c r="AR270" t="s">
        <v>0</v>
      </c>
      <c r="AS270" t="s">
        <v>7678</v>
      </c>
      <c r="AT270" s="2">
        <v>3.8210000000000002</v>
      </c>
      <c r="AU270" s="1">
        <f t="shared" si="35"/>
        <v>2.7040263739744339</v>
      </c>
      <c r="AV270" s="1">
        <f t="shared" si="36"/>
        <v>1.9422658229205609</v>
      </c>
      <c r="AW270" s="1">
        <f t="shared" si="37"/>
        <v>1.1805052718666871</v>
      </c>
    </row>
    <row r="271" spans="1:49" x14ac:dyDescent="0.2">
      <c r="A271">
        <v>269</v>
      </c>
      <c r="B271" t="s">
        <v>7843</v>
      </c>
      <c r="C271" t="s">
        <v>7842</v>
      </c>
      <c r="D271" t="s">
        <v>7841</v>
      </c>
      <c r="F271" t="s">
        <v>7840</v>
      </c>
      <c r="G271" t="s">
        <v>14</v>
      </c>
      <c r="H271" t="s">
        <v>13</v>
      </c>
      <c r="I271" t="s">
        <v>7839</v>
      </c>
      <c r="J271">
        <v>60025310</v>
      </c>
      <c r="K271" t="s">
        <v>7838</v>
      </c>
      <c r="L271" t="s">
        <v>7837</v>
      </c>
      <c r="M271" t="s">
        <v>135</v>
      </c>
      <c r="N271">
        <v>5</v>
      </c>
      <c r="O271" t="s">
        <v>7836</v>
      </c>
      <c r="P271" t="s">
        <v>7835</v>
      </c>
      <c r="Q271" t="s">
        <v>7834</v>
      </c>
      <c r="R271" s="7">
        <v>32874</v>
      </c>
      <c r="S271" s="8">
        <f t="shared" si="32"/>
        <v>1990</v>
      </c>
      <c r="T271" s="8">
        <v>1990</v>
      </c>
      <c r="U271" s="8">
        <f t="shared" si="33"/>
        <v>32</v>
      </c>
      <c r="V271" s="7">
        <v>1990</v>
      </c>
      <c r="W271" t="s">
        <v>7833</v>
      </c>
      <c r="X271" s="2">
        <v>1.032</v>
      </c>
      <c r="Y271" s="6">
        <f t="shared" si="38"/>
        <v>2.7548650596620487E-2</v>
      </c>
      <c r="AA271">
        <v>1761617</v>
      </c>
      <c r="AB271">
        <v>19257</v>
      </c>
      <c r="AD271" t="s">
        <v>5</v>
      </c>
      <c r="AE271">
        <v>136</v>
      </c>
      <c r="AF271">
        <v>4</v>
      </c>
      <c r="AH271" t="s">
        <v>7832</v>
      </c>
      <c r="AI271" t="s">
        <v>7831</v>
      </c>
      <c r="AJ271" t="s">
        <v>7830</v>
      </c>
      <c r="AK271" t="s">
        <v>7829</v>
      </c>
      <c r="AL271">
        <v>81</v>
      </c>
      <c r="AM271" s="5">
        <f t="shared" si="34"/>
        <v>2.53125</v>
      </c>
      <c r="AN271" s="4">
        <f t="shared" si="39"/>
        <v>3.8337750851950019E-3</v>
      </c>
      <c r="AO271" s="3"/>
      <c r="AP271">
        <v>0</v>
      </c>
      <c r="AR271" t="s">
        <v>0</v>
      </c>
      <c r="AT271" s="2">
        <v>3.5489999999999999</v>
      </c>
      <c r="AU271" s="1">
        <f t="shared" si="35"/>
        <v>2.0434187943192841</v>
      </c>
      <c r="AV271" s="1">
        <f t="shared" si="36"/>
        <v>1.5691212840907747</v>
      </c>
      <c r="AW271" s="1">
        <f t="shared" si="37"/>
        <v>1.0948237738622646</v>
      </c>
    </row>
    <row r="272" spans="1:49" x14ac:dyDescent="0.2">
      <c r="A272">
        <v>270</v>
      </c>
      <c r="B272" t="s">
        <v>7828</v>
      </c>
      <c r="C272" t="s">
        <v>7827</v>
      </c>
      <c r="F272" t="s">
        <v>7826</v>
      </c>
      <c r="G272" t="s">
        <v>14</v>
      </c>
      <c r="H272" t="s">
        <v>13</v>
      </c>
      <c r="I272" t="s">
        <v>7825</v>
      </c>
      <c r="J272">
        <v>60026175</v>
      </c>
      <c r="K272" t="s">
        <v>7824</v>
      </c>
      <c r="L272" t="s">
        <v>7823</v>
      </c>
      <c r="M272" t="s">
        <v>197</v>
      </c>
      <c r="N272">
        <v>1</v>
      </c>
      <c r="O272" t="s">
        <v>7822</v>
      </c>
      <c r="P272">
        <v>7404492537</v>
      </c>
      <c r="Q272">
        <v>60026175</v>
      </c>
      <c r="R272" s="7">
        <v>32874</v>
      </c>
      <c r="S272" s="8">
        <f t="shared" si="32"/>
        <v>1990</v>
      </c>
      <c r="T272" s="8">
        <v>1990</v>
      </c>
      <c r="U272" s="8">
        <f t="shared" si="33"/>
        <v>32</v>
      </c>
      <c r="V272" s="7">
        <v>1990</v>
      </c>
      <c r="W272" t="s">
        <v>7821</v>
      </c>
      <c r="X272" s="2">
        <v>0.22500000000000001</v>
      </c>
      <c r="Y272" s="6">
        <f t="shared" si="38"/>
        <v>6.0062464963562111E-3</v>
      </c>
      <c r="AA272">
        <v>2726343</v>
      </c>
      <c r="AB272">
        <v>16128</v>
      </c>
      <c r="AC272" t="s">
        <v>7820</v>
      </c>
      <c r="AD272" t="s">
        <v>5</v>
      </c>
      <c r="AE272">
        <v>3</v>
      </c>
      <c r="AF272">
        <v>1</v>
      </c>
      <c r="AH272" t="s">
        <v>7819</v>
      </c>
      <c r="AI272" t="s">
        <v>7818</v>
      </c>
      <c r="AK272" t="s">
        <v>7817</v>
      </c>
      <c r="AL272">
        <v>6</v>
      </c>
      <c r="AM272" s="5">
        <f t="shared" si="34"/>
        <v>0.1875</v>
      </c>
      <c r="AN272" s="4">
        <f t="shared" si="39"/>
        <v>2.8398333964407423E-4</v>
      </c>
      <c r="AO272" s="3"/>
      <c r="AP272">
        <v>0</v>
      </c>
      <c r="AR272" t="s">
        <v>0</v>
      </c>
      <c r="AT272" s="2">
        <v>1.099</v>
      </c>
      <c r="AU272" s="1">
        <f t="shared" si="35"/>
        <v>0.428956754934257</v>
      </c>
      <c r="AV272" s="1">
        <f t="shared" si="36"/>
        <v>0.31451149180001425</v>
      </c>
      <c r="AW272" s="1">
        <f t="shared" si="37"/>
        <v>0.20006622866577151</v>
      </c>
    </row>
    <row r="273" spans="1:49" x14ac:dyDescent="0.2">
      <c r="A273">
        <v>271</v>
      </c>
      <c r="B273" t="s">
        <v>7816</v>
      </c>
      <c r="C273" t="s">
        <v>7815</v>
      </c>
      <c r="D273" t="s">
        <v>7814</v>
      </c>
      <c r="F273" t="s">
        <v>7813</v>
      </c>
      <c r="G273" t="s">
        <v>14</v>
      </c>
      <c r="H273" t="s">
        <v>13</v>
      </c>
      <c r="I273" t="s">
        <v>7812</v>
      </c>
      <c r="J273" t="s">
        <v>7811</v>
      </c>
      <c r="K273" t="s">
        <v>7810</v>
      </c>
      <c r="L273" t="s">
        <v>7809</v>
      </c>
      <c r="M273" t="s">
        <v>7808</v>
      </c>
      <c r="N273">
        <v>11</v>
      </c>
      <c r="O273" t="s">
        <v>7807</v>
      </c>
      <c r="P273" t="s">
        <v>7806</v>
      </c>
      <c r="Q273" t="s">
        <v>7805</v>
      </c>
      <c r="R273" s="7">
        <v>32874</v>
      </c>
      <c r="S273" s="8">
        <f t="shared" si="32"/>
        <v>1990</v>
      </c>
      <c r="T273" s="8">
        <v>1990</v>
      </c>
      <c r="U273" s="8">
        <f t="shared" si="33"/>
        <v>32</v>
      </c>
      <c r="V273" s="7">
        <v>1990</v>
      </c>
      <c r="W273" t="s">
        <v>263</v>
      </c>
      <c r="X273" s="2">
        <v>0.65600000000000003</v>
      </c>
      <c r="Y273" s="6">
        <f t="shared" si="38"/>
        <v>1.751154534048744E-2</v>
      </c>
      <c r="AA273">
        <v>9203796</v>
      </c>
      <c r="AB273">
        <v>20344</v>
      </c>
      <c r="AD273" t="s">
        <v>5</v>
      </c>
      <c r="AE273">
        <v>12</v>
      </c>
      <c r="AF273" s="9">
        <v>44228</v>
      </c>
      <c r="AH273" t="s">
        <v>7804</v>
      </c>
      <c r="AI273" t="s">
        <v>7803</v>
      </c>
      <c r="AK273" t="s">
        <v>7802</v>
      </c>
      <c r="AL273">
        <v>9</v>
      </c>
      <c r="AM273" s="5">
        <f t="shared" si="34"/>
        <v>0.28125</v>
      </c>
      <c r="AN273" s="4">
        <f t="shared" si="39"/>
        <v>4.2597500946611131E-4</v>
      </c>
      <c r="AO273" s="3"/>
      <c r="AP273">
        <v>0</v>
      </c>
      <c r="AR273" t="s">
        <v>0</v>
      </c>
      <c r="AT273" s="2">
        <v>1.4530000000000001</v>
      </c>
      <c r="AU273" s="1">
        <f t="shared" si="35"/>
        <v>1.2385874241181043</v>
      </c>
      <c r="AV273" s="1">
        <f t="shared" si="36"/>
        <v>0.89687601749767754</v>
      </c>
      <c r="AW273" s="1">
        <f t="shared" si="37"/>
        <v>0.555164610877251</v>
      </c>
    </row>
    <row r="274" spans="1:49" x14ac:dyDescent="0.2">
      <c r="A274">
        <v>272</v>
      </c>
      <c r="B274" t="s">
        <v>7801</v>
      </c>
      <c r="C274" t="s">
        <v>7800</v>
      </c>
      <c r="F274" t="s">
        <v>7799</v>
      </c>
      <c r="G274" t="s">
        <v>14</v>
      </c>
      <c r="H274" t="s">
        <v>13</v>
      </c>
      <c r="I274" t="s">
        <v>3608</v>
      </c>
      <c r="J274">
        <v>60015186</v>
      </c>
      <c r="K274" t="s">
        <v>3607</v>
      </c>
      <c r="L274" t="s">
        <v>3606</v>
      </c>
      <c r="M274" t="s">
        <v>1937</v>
      </c>
      <c r="N274">
        <v>1</v>
      </c>
      <c r="O274" t="s">
        <v>7798</v>
      </c>
      <c r="P274">
        <v>7402673635</v>
      </c>
      <c r="Q274">
        <v>60015186</v>
      </c>
      <c r="R274" s="7">
        <v>32874</v>
      </c>
      <c r="S274" s="8">
        <f t="shared" si="32"/>
        <v>1990</v>
      </c>
      <c r="T274" s="8">
        <v>1990</v>
      </c>
      <c r="U274" s="8">
        <f t="shared" si="33"/>
        <v>32</v>
      </c>
      <c r="V274" s="7">
        <v>1990</v>
      </c>
      <c r="W274" t="s">
        <v>278</v>
      </c>
      <c r="X274" s="2">
        <v>0.28599999999999998</v>
      </c>
      <c r="Y274" s="6">
        <f t="shared" si="38"/>
        <v>7.6346066575905605E-3</v>
      </c>
      <c r="AA274">
        <v>9205071</v>
      </c>
      <c r="AB274">
        <v>28139</v>
      </c>
      <c r="AC274">
        <v>15693937</v>
      </c>
      <c r="AD274" t="s">
        <v>5</v>
      </c>
      <c r="AE274">
        <v>4</v>
      </c>
      <c r="AF274">
        <v>2</v>
      </c>
      <c r="AH274" t="s">
        <v>7797</v>
      </c>
      <c r="AI274" t="s">
        <v>7796</v>
      </c>
      <c r="AK274" t="s">
        <v>7795</v>
      </c>
      <c r="AL274">
        <v>2</v>
      </c>
      <c r="AM274" s="5">
        <f t="shared" si="34"/>
        <v>6.25E-2</v>
      </c>
      <c r="AN274" s="4">
        <f t="shared" si="39"/>
        <v>9.46611132146914E-5</v>
      </c>
      <c r="AO274" s="3"/>
      <c r="AP274">
        <v>0</v>
      </c>
      <c r="AR274" t="s">
        <v>0</v>
      </c>
      <c r="AT274" s="2" t="s">
        <v>126</v>
      </c>
      <c r="AU274" s="1">
        <f t="shared" si="35"/>
        <v>0.53726229942777992</v>
      </c>
      <c r="AV274" s="1">
        <f t="shared" si="36"/>
        <v>0.38646338854026258</v>
      </c>
      <c r="AW274" s="1">
        <f t="shared" si="37"/>
        <v>0.23566447765274523</v>
      </c>
    </row>
    <row r="275" spans="1:49" x14ac:dyDescent="0.2">
      <c r="A275">
        <v>273</v>
      </c>
      <c r="B275" t="s">
        <v>7794</v>
      </c>
      <c r="C275" t="s">
        <v>7793</v>
      </c>
      <c r="F275" t="s">
        <v>7792</v>
      </c>
      <c r="G275" t="s">
        <v>14</v>
      </c>
      <c r="H275" t="s">
        <v>13</v>
      </c>
      <c r="I275" t="s">
        <v>7791</v>
      </c>
      <c r="J275" t="s">
        <v>7790</v>
      </c>
      <c r="K275" t="s">
        <v>7789</v>
      </c>
      <c r="L275" t="s">
        <v>7788</v>
      </c>
      <c r="M275" t="s">
        <v>7787</v>
      </c>
      <c r="N275">
        <v>5</v>
      </c>
      <c r="O275" t="s">
        <v>7786</v>
      </c>
      <c r="P275" t="s">
        <v>7785</v>
      </c>
      <c r="Q275" t="s">
        <v>7784</v>
      </c>
      <c r="R275" s="7">
        <v>32874</v>
      </c>
      <c r="S275" s="8">
        <f t="shared" si="32"/>
        <v>1990</v>
      </c>
      <c r="T275" s="8">
        <v>1990</v>
      </c>
      <c r="U275" s="8">
        <f t="shared" si="33"/>
        <v>32</v>
      </c>
      <c r="V275" s="7">
        <v>33178</v>
      </c>
      <c r="W275" t="s">
        <v>7783</v>
      </c>
      <c r="X275" s="2">
        <v>2.61</v>
      </c>
      <c r="Y275" s="6">
        <f t="shared" si="38"/>
        <v>6.9672459357732044E-2</v>
      </c>
      <c r="AA275">
        <v>46256</v>
      </c>
      <c r="AB275">
        <v>26704</v>
      </c>
      <c r="AD275" t="s">
        <v>5</v>
      </c>
      <c r="AE275">
        <v>100</v>
      </c>
      <c r="AF275">
        <v>5</v>
      </c>
      <c r="AH275" t="s">
        <v>7782</v>
      </c>
      <c r="AI275" t="s">
        <v>7781</v>
      </c>
      <c r="AK275" t="s">
        <v>7780</v>
      </c>
      <c r="AL275">
        <v>0</v>
      </c>
      <c r="AM275" s="5">
        <f t="shared" si="34"/>
        <v>0</v>
      </c>
      <c r="AN275" s="4">
        <f t="shared" si="39"/>
        <v>0</v>
      </c>
      <c r="AO275" s="3"/>
      <c r="AP275">
        <v>0</v>
      </c>
      <c r="AR275" t="s">
        <v>0</v>
      </c>
      <c r="AT275" s="2">
        <v>6.2629999999999999</v>
      </c>
      <c r="AU275" s="1">
        <f t="shared" si="35"/>
        <v>4.877072155041243</v>
      </c>
      <c r="AV275" s="1">
        <f t="shared" si="36"/>
        <v>3.4836229678866024</v>
      </c>
      <c r="AW275" s="1">
        <f t="shared" si="37"/>
        <v>2.0901737807319614</v>
      </c>
    </row>
    <row r="276" spans="1:49" x14ac:dyDescent="0.2">
      <c r="A276">
        <v>274</v>
      </c>
      <c r="B276" t="s">
        <v>7779</v>
      </c>
      <c r="C276" t="s">
        <v>7778</v>
      </c>
      <c r="F276" t="s">
        <v>7777</v>
      </c>
      <c r="G276" t="s">
        <v>14</v>
      </c>
      <c r="H276" t="s">
        <v>13</v>
      </c>
      <c r="I276" t="s">
        <v>7776</v>
      </c>
      <c r="J276">
        <v>60007278</v>
      </c>
      <c r="K276" t="s">
        <v>7775</v>
      </c>
      <c r="L276" t="s">
        <v>7774</v>
      </c>
      <c r="M276" t="s">
        <v>197</v>
      </c>
      <c r="N276">
        <v>4</v>
      </c>
      <c r="O276" t="s">
        <v>7773</v>
      </c>
      <c r="P276" t="s">
        <v>7772</v>
      </c>
      <c r="Q276" t="s">
        <v>7771</v>
      </c>
      <c r="R276" s="7">
        <v>32874</v>
      </c>
      <c r="S276" s="8">
        <f t="shared" si="32"/>
        <v>1990</v>
      </c>
      <c r="T276" s="8">
        <v>1990</v>
      </c>
      <c r="U276" s="8">
        <f t="shared" si="33"/>
        <v>32</v>
      </c>
      <c r="V276" s="7">
        <v>1990</v>
      </c>
      <c r="W276" t="s">
        <v>7491</v>
      </c>
      <c r="X276" s="2">
        <v>3.6880000000000002</v>
      </c>
      <c r="Y276" s="6">
        <f t="shared" si="38"/>
        <v>9.8449053682496471E-2</v>
      </c>
      <c r="AA276">
        <v>319007</v>
      </c>
      <c r="AB276">
        <v>29150</v>
      </c>
      <c r="AD276" t="s">
        <v>5</v>
      </c>
      <c r="AE276">
        <v>64</v>
      </c>
      <c r="AF276">
        <v>11</v>
      </c>
      <c r="AH276" t="s">
        <v>7770</v>
      </c>
      <c r="AI276" t="s">
        <v>7769</v>
      </c>
      <c r="AK276" t="s">
        <v>7768</v>
      </c>
      <c r="AL276">
        <v>1</v>
      </c>
      <c r="AM276" s="5">
        <f t="shared" si="34"/>
        <v>3.125E-2</v>
      </c>
      <c r="AN276" s="4">
        <f t="shared" si="39"/>
        <v>4.73305566073457E-5</v>
      </c>
      <c r="AO276" s="3"/>
      <c r="AP276">
        <v>0</v>
      </c>
      <c r="AR276" t="s">
        <v>0</v>
      </c>
      <c r="AT276" s="2">
        <v>9.1609999999999996</v>
      </c>
      <c r="AU276" s="1">
        <f t="shared" si="35"/>
        <v>6.8928536744729723</v>
      </c>
      <c r="AV276" s="1">
        <f t="shared" si="36"/>
        <v>4.9248192119551906</v>
      </c>
      <c r="AW276" s="1">
        <f t="shared" si="37"/>
        <v>2.9567847494374084</v>
      </c>
    </row>
    <row r="277" spans="1:49" x14ac:dyDescent="0.2">
      <c r="A277">
        <v>275</v>
      </c>
      <c r="B277" t="s">
        <v>7767</v>
      </c>
      <c r="C277" t="s">
        <v>7766</v>
      </c>
      <c r="F277" t="s">
        <v>7765</v>
      </c>
      <c r="G277" t="s">
        <v>14</v>
      </c>
      <c r="H277" t="s">
        <v>13</v>
      </c>
      <c r="I277" t="s">
        <v>7764</v>
      </c>
      <c r="J277" t="s">
        <v>7763</v>
      </c>
      <c r="K277" t="s">
        <v>7762</v>
      </c>
      <c r="L277" t="s">
        <v>7761</v>
      </c>
      <c r="M277" t="s">
        <v>7760</v>
      </c>
      <c r="N277">
        <v>9</v>
      </c>
      <c r="O277" t="s">
        <v>7759</v>
      </c>
      <c r="P277" t="s">
        <v>7758</v>
      </c>
      <c r="Q277" t="s">
        <v>7757</v>
      </c>
      <c r="R277" s="7">
        <v>32874</v>
      </c>
      <c r="S277" s="8">
        <f t="shared" si="32"/>
        <v>1990</v>
      </c>
      <c r="T277" s="8">
        <v>1990</v>
      </c>
      <c r="U277" s="8">
        <f t="shared" si="33"/>
        <v>32</v>
      </c>
      <c r="V277" s="7">
        <v>32905</v>
      </c>
      <c r="W277" t="s">
        <v>21</v>
      </c>
      <c r="X277" s="2">
        <v>3.5539999999999998</v>
      </c>
      <c r="Y277" s="6">
        <f t="shared" si="38"/>
        <v>9.4872000213555435E-2</v>
      </c>
      <c r="AA277">
        <v>320889</v>
      </c>
      <c r="AB277">
        <v>16615</v>
      </c>
      <c r="AD277" t="s">
        <v>5</v>
      </c>
      <c r="AE277">
        <v>92</v>
      </c>
      <c r="AF277">
        <v>2</v>
      </c>
      <c r="AH277" t="s">
        <v>7756</v>
      </c>
      <c r="AI277" t="s">
        <v>7755</v>
      </c>
      <c r="AK277" t="s">
        <v>7754</v>
      </c>
      <c r="AL277">
        <v>180</v>
      </c>
      <c r="AM277" s="5">
        <f t="shared" si="34"/>
        <v>5.625</v>
      </c>
      <c r="AN277" s="4">
        <f t="shared" si="39"/>
        <v>8.5195001893222256E-3</v>
      </c>
      <c r="AO277" s="3"/>
      <c r="AP277">
        <v>1</v>
      </c>
      <c r="AR277" t="s">
        <v>0</v>
      </c>
      <c r="AT277" s="2">
        <v>8.34</v>
      </c>
      <c r="AU277" s="1">
        <f t="shared" si="35"/>
        <v>6.8966250206285471</v>
      </c>
      <c r="AV277" s="1">
        <f t="shared" si="36"/>
        <v>5.169575020143883</v>
      </c>
      <c r="AW277" s="1">
        <f t="shared" si="37"/>
        <v>3.442525019659219</v>
      </c>
    </row>
    <row r="278" spans="1:49" x14ac:dyDescent="0.2">
      <c r="A278">
        <v>276</v>
      </c>
      <c r="B278" t="s">
        <v>7753</v>
      </c>
      <c r="C278" t="s">
        <v>7752</v>
      </c>
      <c r="F278" t="s">
        <v>7751</v>
      </c>
      <c r="G278" t="s">
        <v>14</v>
      </c>
      <c r="H278" t="s">
        <v>13</v>
      </c>
      <c r="I278" t="s">
        <v>7750</v>
      </c>
      <c r="J278">
        <v>60103680</v>
      </c>
      <c r="K278" t="s">
        <v>1055</v>
      </c>
      <c r="L278" t="s">
        <v>1054</v>
      </c>
      <c r="M278" t="s">
        <v>267</v>
      </c>
      <c r="N278">
        <v>1</v>
      </c>
      <c r="O278" t="s">
        <v>7749</v>
      </c>
      <c r="P278">
        <v>57192769667</v>
      </c>
      <c r="Q278">
        <v>60103680</v>
      </c>
      <c r="R278" s="7">
        <v>32874</v>
      </c>
      <c r="S278" s="8">
        <f t="shared" si="32"/>
        <v>1990</v>
      </c>
      <c r="T278" s="8">
        <v>1990</v>
      </c>
      <c r="U278" s="8">
        <f t="shared" si="33"/>
        <v>32</v>
      </c>
      <c r="V278" s="7">
        <v>1990</v>
      </c>
      <c r="W278" t="s">
        <v>7748</v>
      </c>
      <c r="X278" s="2" t="s">
        <v>126</v>
      </c>
      <c r="Y278" s="6" t="e">
        <f t="shared" si="38"/>
        <v>#VALUE!</v>
      </c>
      <c r="AA278">
        <v>319015</v>
      </c>
      <c r="AB278">
        <v>29173</v>
      </c>
      <c r="AC278">
        <v>13474073</v>
      </c>
      <c r="AD278" t="s">
        <v>5</v>
      </c>
      <c r="AE278">
        <v>59</v>
      </c>
      <c r="AF278">
        <v>7</v>
      </c>
      <c r="AH278" t="s">
        <v>7747</v>
      </c>
      <c r="AI278" t="s">
        <v>7746</v>
      </c>
      <c r="AK278" t="s">
        <v>7745</v>
      </c>
      <c r="AL278">
        <v>11</v>
      </c>
      <c r="AM278" s="5">
        <f t="shared" si="34"/>
        <v>0.34375</v>
      </c>
      <c r="AN278" s="4">
        <f t="shared" si="39"/>
        <v>5.2063612268080268E-4</v>
      </c>
      <c r="AO278" s="3"/>
      <c r="AP278">
        <v>0</v>
      </c>
      <c r="AR278" t="s">
        <v>0</v>
      </c>
      <c r="AT278" s="2" t="s">
        <v>126</v>
      </c>
      <c r="AU278" s="1" t="e">
        <f t="shared" si="35"/>
        <v>#VALUE!</v>
      </c>
      <c r="AV278" s="1" t="e">
        <f t="shared" si="36"/>
        <v>#VALUE!</v>
      </c>
      <c r="AW278" s="1" t="e">
        <f t="shared" si="37"/>
        <v>#VALUE!</v>
      </c>
    </row>
    <row r="279" spans="1:49" x14ac:dyDescent="0.2">
      <c r="A279">
        <v>277</v>
      </c>
      <c r="B279" t="s">
        <v>7744</v>
      </c>
      <c r="C279" t="s">
        <v>7743</v>
      </c>
      <c r="F279" t="s">
        <v>7742</v>
      </c>
      <c r="G279" t="s">
        <v>14</v>
      </c>
      <c r="H279" t="s">
        <v>13</v>
      </c>
      <c r="I279" t="s">
        <v>4093</v>
      </c>
      <c r="J279">
        <v>60009982</v>
      </c>
      <c r="K279" t="s">
        <v>4092</v>
      </c>
      <c r="L279" t="s">
        <v>1665</v>
      </c>
      <c r="M279" t="s">
        <v>197</v>
      </c>
      <c r="N279">
        <v>3</v>
      </c>
      <c r="O279" t="s">
        <v>7741</v>
      </c>
      <c r="P279" t="s">
        <v>7740</v>
      </c>
      <c r="Q279" t="s">
        <v>4089</v>
      </c>
      <c r="R279" s="7">
        <v>32874</v>
      </c>
      <c r="S279" s="8">
        <f t="shared" si="32"/>
        <v>1990</v>
      </c>
      <c r="T279" s="8">
        <v>1990</v>
      </c>
      <c r="U279" s="8">
        <f t="shared" si="33"/>
        <v>32</v>
      </c>
      <c r="V279" s="7">
        <v>1990</v>
      </c>
      <c r="W279" t="s">
        <v>278</v>
      </c>
      <c r="X279" s="2">
        <v>0.28599999999999998</v>
      </c>
      <c r="Y279" s="6">
        <f t="shared" si="38"/>
        <v>7.6346066575905605E-3</v>
      </c>
      <c r="AA279">
        <v>9205071</v>
      </c>
      <c r="AB279">
        <v>28139</v>
      </c>
      <c r="AC279">
        <v>15693937</v>
      </c>
      <c r="AD279" t="s">
        <v>5</v>
      </c>
      <c r="AE279">
        <v>4</v>
      </c>
      <c r="AF279">
        <v>3</v>
      </c>
      <c r="AH279" t="s">
        <v>7739</v>
      </c>
      <c r="AI279" t="s">
        <v>7738</v>
      </c>
      <c r="AK279" t="s">
        <v>7737</v>
      </c>
      <c r="AL279">
        <v>2</v>
      </c>
      <c r="AM279" s="5">
        <f t="shared" si="34"/>
        <v>6.25E-2</v>
      </c>
      <c r="AN279" s="4">
        <f t="shared" si="39"/>
        <v>9.46611132146914E-5</v>
      </c>
      <c r="AO279" s="3"/>
      <c r="AP279">
        <v>0</v>
      </c>
      <c r="AR279" t="s">
        <v>7736</v>
      </c>
      <c r="AT279" s="2" t="s">
        <v>126</v>
      </c>
      <c r="AU279" s="1">
        <f t="shared" si="35"/>
        <v>0.53726229942777992</v>
      </c>
      <c r="AV279" s="1">
        <f t="shared" si="36"/>
        <v>0.38646338854026258</v>
      </c>
      <c r="AW279" s="1">
        <f t="shared" si="37"/>
        <v>0.23566447765274523</v>
      </c>
    </row>
    <row r="280" spans="1:49" x14ac:dyDescent="0.2">
      <c r="A280">
        <v>278</v>
      </c>
      <c r="B280" t="s">
        <v>7735</v>
      </c>
      <c r="C280" t="s">
        <v>7734</v>
      </c>
      <c r="D280" t="s">
        <v>7733</v>
      </c>
      <c r="F280" t="s">
        <v>7732</v>
      </c>
      <c r="G280" t="s">
        <v>14</v>
      </c>
      <c r="H280" t="s">
        <v>13</v>
      </c>
      <c r="I280" t="s">
        <v>7731</v>
      </c>
      <c r="J280">
        <v>60001754</v>
      </c>
      <c r="K280" t="s">
        <v>3890</v>
      </c>
      <c r="L280" t="s">
        <v>3889</v>
      </c>
      <c r="M280" t="s">
        <v>135</v>
      </c>
      <c r="N280">
        <v>5</v>
      </c>
      <c r="O280" t="s">
        <v>7730</v>
      </c>
      <c r="P280" t="s">
        <v>7729</v>
      </c>
      <c r="Q280" t="s">
        <v>7728</v>
      </c>
      <c r="R280" s="7">
        <v>32874</v>
      </c>
      <c r="S280" s="8">
        <f t="shared" si="32"/>
        <v>1990</v>
      </c>
      <c r="T280" s="8">
        <v>1990</v>
      </c>
      <c r="U280" s="8">
        <f t="shared" si="33"/>
        <v>32</v>
      </c>
      <c r="V280" s="7">
        <v>1990</v>
      </c>
      <c r="W280" t="s">
        <v>7727</v>
      </c>
      <c r="X280" s="2" t="s">
        <v>126</v>
      </c>
      <c r="Y280" s="6" t="e">
        <f t="shared" si="38"/>
        <v>#VALUE!</v>
      </c>
      <c r="AA280">
        <v>200891</v>
      </c>
      <c r="AB280">
        <v>33360</v>
      </c>
      <c r="AD280" t="s">
        <v>5</v>
      </c>
      <c r="AE280">
        <v>30</v>
      </c>
      <c r="AF280">
        <v>5</v>
      </c>
      <c r="AH280" t="s">
        <v>7726</v>
      </c>
      <c r="AI280" t="s">
        <v>7725</v>
      </c>
      <c r="AK280" t="s">
        <v>7724</v>
      </c>
      <c r="AL280">
        <v>11</v>
      </c>
      <c r="AM280" s="5">
        <f t="shared" si="34"/>
        <v>0.34375</v>
      </c>
      <c r="AN280" s="4">
        <f t="shared" si="39"/>
        <v>5.2063612268080268E-4</v>
      </c>
      <c r="AO280" s="3"/>
      <c r="AP280">
        <v>0</v>
      </c>
      <c r="AR280" t="s">
        <v>0</v>
      </c>
      <c r="AT280" s="2" t="s">
        <v>126</v>
      </c>
      <c r="AU280" s="1" t="e">
        <f t="shared" si="35"/>
        <v>#VALUE!</v>
      </c>
      <c r="AV280" s="1" t="e">
        <f t="shared" si="36"/>
        <v>#VALUE!</v>
      </c>
      <c r="AW280" s="1" t="e">
        <f t="shared" si="37"/>
        <v>#VALUE!</v>
      </c>
    </row>
    <row r="281" spans="1:49" x14ac:dyDescent="0.2">
      <c r="A281">
        <v>279</v>
      </c>
      <c r="B281" t="s">
        <v>7723</v>
      </c>
      <c r="C281" t="s">
        <v>7722</v>
      </c>
      <c r="F281" t="s">
        <v>7721</v>
      </c>
      <c r="G281" t="s">
        <v>14</v>
      </c>
      <c r="H281" t="s">
        <v>13</v>
      </c>
      <c r="I281" t="s">
        <v>7720</v>
      </c>
      <c r="J281">
        <v>60004354</v>
      </c>
      <c r="K281" t="s">
        <v>7719</v>
      </c>
      <c r="L281" t="s">
        <v>343</v>
      </c>
      <c r="M281" t="s">
        <v>197</v>
      </c>
      <c r="N281">
        <v>1</v>
      </c>
      <c r="O281" t="s">
        <v>7718</v>
      </c>
      <c r="P281">
        <v>57193129444</v>
      </c>
      <c r="Q281">
        <v>60004354</v>
      </c>
      <c r="R281" s="7">
        <v>32874</v>
      </c>
      <c r="S281" s="8">
        <f t="shared" si="32"/>
        <v>1990</v>
      </c>
      <c r="T281" s="8">
        <v>1990</v>
      </c>
      <c r="U281" s="8">
        <f t="shared" si="33"/>
        <v>32</v>
      </c>
      <c r="V281" s="7">
        <v>33086</v>
      </c>
      <c r="W281" t="s">
        <v>7502</v>
      </c>
      <c r="X281" s="2">
        <v>0.74099999999999999</v>
      </c>
      <c r="Y281" s="6">
        <f t="shared" si="38"/>
        <v>1.9780571794666454E-2</v>
      </c>
      <c r="AA281">
        <v>7403224</v>
      </c>
      <c r="AB281">
        <v>12341</v>
      </c>
      <c r="AD281" t="s">
        <v>5</v>
      </c>
      <c r="AE281">
        <v>7</v>
      </c>
      <c r="AF281">
        <v>8</v>
      </c>
      <c r="AH281" t="s">
        <v>7717</v>
      </c>
      <c r="AI281" t="s">
        <v>7716</v>
      </c>
      <c r="AK281" t="s">
        <v>7715</v>
      </c>
      <c r="AL281">
        <v>8</v>
      </c>
      <c r="AM281" s="5">
        <f t="shared" si="34"/>
        <v>0.25</v>
      </c>
      <c r="AN281" s="4">
        <f t="shared" si="39"/>
        <v>3.786444528587656E-4</v>
      </c>
      <c r="AO281" s="3"/>
      <c r="AP281">
        <v>0</v>
      </c>
      <c r="AR281" t="s">
        <v>0</v>
      </c>
      <c r="AT281" s="2" t="s">
        <v>126</v>
      </c>
      <c r="AU281" s="1">
        <f t="shared" si="35"/>
        <v>1.3959993592124147</v>
      </c>
      <c r="AV281" s="1">
        <f t="shared" si="36"/>
        <v>1.0079608123762609</v>
      </c>
      <c r="AW281" s="1">
        <f t="shared" si="37"/>
        <v>0.61992226554010721</v>
      </c>
    </row>
    <row r="282" spans="1:49" x14ac:dyDescent="0.2">
      <c r="A282">
        <v>280</v>
      </c>
      <c r="B282" t="s">
        <v>7714</v>
      </c>
      <c r="C282" t="s">
        <v>7713</v>
      </c>
      <c r="D282" t="s">
        <v>7712</v>
      </c>
      <c r="F282" t="s">
        <v>7711</v>
      </c>
      <c r="G282" t="s">
        <v>14</v>
      </c>
      <c r="H282" t="s">
        <v>13</v>
      </c>
      <c r="I282" t="s">
        <v>7710</v>
      </c>
      <c r="J282">
        <v>60032006</v>
      </c>
      <c r="K282" t="s">
        <v>7709</v>
      </c>
      <c r="L282" t="s">
        <v>7708</v>
      </c>
      <c r="M282" t="s">
        <v>1637</v>
      </c>
      <c r="N282">
        <v>1</v>
      </c>
      <c r="O282" t="s">
        <v>7707</v>
      </c>
      <c r="P282">
        <v>6602184008</v>
      </c>
      <c r="Q282">
        <v>60032006</v>
      </c>
      <c r="R282" s="7">
        <v>32874</v>
      </c>
      <c r="S282" s="8">
        <f t="shared" si="32"/>
        <v>1990</v>
      </c>
      <c r="T282" s="8">
        <v>1990</v>
      </c>
      <c r="U282" s="8">
        <f t="shared" si="33"/>
        <v>32</v>
      </c>
      <c r="V282" s="7">
        <v>1990</v>
      </c>
      <c r="W282" t="s">
        <v>7685</v>
      </c>
      <c r="X282" s="2">
        <v>0.998</v>
      </c>
      <c r="Y282" s="6">
        <f t="shared" si="38"/>
        <v>2.664104001494888E-2</v>
      </c>
      <c r="AA282">
        <v>207322</v>
      </c>
      <c r="AB282">
        <v>90127</v>
      </c>
      <c r="AD282" t="s">
        <v>5</v>
      </c>
      <c r="AE282">
        <v>19</v>
      </c>
      <c r="AF282" s="9">
        <v>44352</v>
      </c>
      <c r="AH282" t="s">
        <v>3196</v>
      </c>
      <c r="AI282" t="s">
        <v>7706</v>
      </c>
      <c r="AJ282" t="s">
        <v>7705</v>
      </c>
      <c r="AK282" t="s">
        <v>7704</v>
      </c>
      <c r="AL282">
        <v>21</v>
      </c>
      <c r="AM282" s="5">
        <f t="shared" si="34"/>
        <v>0.65625</v>
      </c>
      <c r="AN282" s="4">
        <f t="shared" si="39"/>
        <v>9.9394168875425971E-4</v>
      </c>
      <c r="AO282" s="3"/>
      <c r="AP282">
        <v>0</v>
      </c>
      <c r="AR282" t="s">
        <v>0</v>
      </c>
      <c r="AT282" s="2" t="s">
        <v>126</v>
      </c>
      <c r="AU282" s="1">
        <f t="shared" si="35"/>
        <v>1.8946910517090494</v>
      </c>
      <c r="AV282" s="1">
        <f t="shared" si="36"/>
        <v>1.381749085185157</v>
      </c>
      <c r="AW282" s="1">
        <f t="shared" si="37"/>
        <v>0.86880711866126459</v>
      </c>
    </row>
    <row r="283" spans="1:49" x14ac:dyDescent="0.2">
      <c r="A283">
        <v>281</v>
      </c>
      <c r="B283" t="s">
        <v>7703</v>
      </c>
      <c r="C283" t="s">
        <v>7702</v>
      </c>
      <c r="F283" t="s">
        <v>7701</v>
      </c>
      <c r="G283" t="s">
        <v>14</v>
      </c>
      <c r="H283" t="s">
        <v>13</v>
      </c>
      <c r="I283" t="s">
        <v>112</v>
      </c>
      <c r="N283">
        <v>2</v>
      </c>
      <c r="O283" t="s">
        <v>7700</v>
      </c>
      <c r="P283" t="s">
        <v>7699</v>
      </c>
      <c r="Q283" t="s">
        <v>119</v>
      </c>
      <c r="R283" s="7">
        <v>32874</v>
      </c>
      <c r="S283" s="8">
        <f t="shared" si="32"/>
        <v>1990</v>
      </c>
      <c r="T283" s="8">
        <v>1990</v>
      </c>
      <c r="U283" s="8">
        <f t="shared" si="33"/>
        <v>32</v>
      </c>
      <c r="V283" s="7" t="s">
        <v>7</v>
      </c>
      <c r="W283" t="s">
        <v>110</v>
      </c>
      <c r="X283" s="2">
        <v>0.371</v>
      </c>
      <c r="Y283" s="6">
        <f t="shared" si="38"/>
        <v>9.9036331117695747E-3</v>
      </c>
      <c r="AA283">
        <v>486604</v>
      </c>
      <c r="AB283">
        <v>28580</v>
      </c>
      <c r="AC283" t="s">
        <v>109</v>
      </c>
      <c r="AD283" t="s">
        <v>5</v>
      </c>
      <c r="AE283">
        <v>25</v>
      </c>
      <c r="AF283">
        <v>4</v>
      </c>
      <c r="AH283" t="s">
        <v>7698</v>
      </c>
      <c r="AI283" t="s">
        <v>7697</v>
      </c>
      <c r="AK283" t="s">
        <v>7696</v>
      </c>
      <c r="AL283">
        <v>7</v>
      </c>
      <c r="AM283" s="5">
        <f t="shared" si="34"/>
        <v>0.21875</v>
      </c>
      <c r="AN283" s="4">
        <f t="shared" si="39"/>
        <v>3.3131389625141994E-4</v>
      </c>
      <c r="AO283" s="3"/>
      <c r="AP283">
        <v>0</v>
      </c>
      <c r="AR283" t="s">
        <v>0</v>
      </c>
      <c r="AT283" s="2">
        <v>1.431</v>
      </c>
      <c r="AU283" s="1">
        <f t="shared" si="35"/>
        <v>0.70319373471141278</v>
      </c>
      <c r="AV283" s="1">
        <f t="shared" si="36"/>
        <v>0.51174735040104968</v>
      </c>
      <c r="AW283" s="1">
        <f t="shared" si="37"/>
        <v>0.32030096609068665</v>
      </c>
    </row>
    <row r="284" spans="1:49" x14ac:dyDescent="0.2">
      <c r="A284">
        <v>282</v>
      </c>
      <c r="B284" t="s">
        <v>7695</v>
      </c>
      <c r="C284" t="s">
        <v>7694</v>
      </c>
      <c r="D284" t="s">
        <v>7693</v>
      </c>
      <c r="F284" t="s">
        <v>7692</v>
      </c>
      <c r="G284" t="s">
        <v>14</v>
      </c>
      <c r="H284" t="s">
        <v>13</v>
      </c>
      <c r="I284" t="s">
        <v>7691</v>
      </c>
      <c r="J284">
        <v>60029170</v>
      </c>
      <c r="K284" t="s">
        <v>7690</v>
      </c>
      <c r="L284" t="s">
        <v>7689</v>
      </c>
      <c r="M284" t="s">
        <v>209</v>
      </c>
      <c r="N284">
        <v>2</v>
      </c>
      <c r="O284" t="s">
        <v>7688</v>
      </c>
      <c r="P284" t="s">
        <v>7687</v>
      </c>
      <c r="Q284" t="s">
        <v>7686</v>
      </c>
      <c r="R284" s="7">
        <v>32874</v>
      </c>
      <c r="S284" s="8">
        <f t="shared" si="32"/>
        <v>1990</v>
      </c>
      <c r="T284" s="8">
        <v>1990</v>
      </c>
      <c r="U284" s="8">
        <f t="shared" si="33"/>
        <v>32</v>
      </c>
      <c r="V284" s="7">
        <v>1990</v>
      </c>
      <c r="W284" t="s">
        <v>7685</v>
      </c>
      <c r="X284" s="2">
        <v>0.998</v>
      </c>
      <c r="Y284" s="6">
        <f t="shared" si="38"/>
        <v>2.664104001494888E-2</v>
      </c>
      <c r="AA284">
        <v>207322</v>
      </c>
      <c r="AB284">
        <v>90127</v>
      </c>
      <c r="AD284" t="s">
        <v>5</v>
      </c>
      <c r="AE284">
        <v>19</v>
      </c>
      <c r="AF284">
        <v>1</v>
      </c>
      <c r="AH284" t="s">
        <v>7684</v>
      </c>
      <c r="AI284" t="s">
        <v>7683</v>
      </c>
      <c r="AJ284" t="s">
        <v>7682</v>
      </c>
      <c r="AK284" t="s">
        <v>7681</v>
      </c>
      <c r="AL284">
        <v>39</v>
      </c>
      <c r="AM284" s="5">
        <f t="shared" si="34"/>
        <v>1.21875</v>
      </c>
      <c r="AN284" s="4">
        <f t="shared" si="39"/>
        <v>1.8458917076864824E-3</v>
      </c>
      <c r="AO284" s="3"/>
      <c r="AP284">
        <v>0</v>
      </c>
      <c r="AQ284" t="s">
        <v>7680</v>
      </c>
      <c r="AR284" t="s">
        <v>7679</v>
      </c>
      <c r="AS284" t="s">
        <v>7678</v>
      </c>
      <c r="AT284" s="2" t="s">
        <v>126</v>
      </c>
      <c r="AU284" s="1">
        <f t="shared" si="35"/>
        <v>1.920249552277016</v>
      </c>
      <c r="AV284" s="1">
        <f t="shared" si="36"/>
        <v>1.4243465861317681</v>
      </c>
      <c r="AW284" s="1">
        <f t="shared" si="37"/>
        <v>0.92844361998652003</v>
      </c>
    </row>
    <row r="285" spans="1:49" x14ac:dyDescent="0.2">
      <c r="A285">
        <v>283</v>
      </c>
      <c r="B285" t="s">
        <v>7677</v>
      </c>
      <c r="C285" t="s">
        <v>7676</v>
      </c>
      <c r="F285" t="s">
        <v>7675</v>
      </c>
      <c r="G285" t="s">
        <v>14</v>
      </c>
      <c r="H285" t="s">
        <v>13</v>
      </c>
      <c r="I285" t="s">
        <v>7674</v>
      </c>
      <c r="J285">
        <v>60019106</v>
      </c>
      <c r="K285" t="s">
        <v>7673</v>
      </c>
      <c r="L285" t="s">
        <v>7672</v>
      </c>
      <c r="M285" t="s">
        <v>357</v>
      </c>
      <c r="N285">
        <v>3</v>
      </c>
      <c r="O285" t="s">
        <v>7671</v>
      </c>
      <c r="P285" t="s">
        <v>7670</v>
      </c>
      <c r="Q285" t="s">
        <v>7669</v>
      </c>
      <c r="R285" s="7">
        <v>32874</v>
      </c>
      <c r="S285" s="8">
        <f t="shared" si="32"/>
        <v>1990</v>
      </c>
      <c r="T285" s="8">
        <v>1990</v>
      </c>
      <c r="U285" s="8">
        <f t="shared" si="33"/>
        <v>32</v>
      </c>
      <c r="V285" s="7">
        <v>33025</v>
      </c>
      <c r="W285" t="s">
        <v>38</v>
      </c>
      <c r="X285" s="2">
        <v>0.251</v>
      </c>
      <c r="Y285" s="6">
        <f t="shared" si="38"/>
        <v>6.7003016470462617E-3</v>
      </c>
      <c r="AA285">
        <v>207217</v>
      </c>
      <c r="AB285">
        <v>26145</v>
      </c>
      <c r="AC285">
        <v>13623060</v>
      </c>
      <c r="AD285" t="s">
        <v>5</v>
      </c>
      <c r="AE285">
        <v>68</v>
      </c>
      <c r="AF285">
        <v>6</v>
      </c>
      <c r="AH285" t="s">
        <v>7668</v>
      </c>
      <c r="AI285" t="s">
        <v>7667</v>
      </c>
      <c r="AK285" t="s">
        <v>7666</v>
      </c>
      <c r="AL285">
        <v>8</v>
      </c>
      <c r="AM285" s="5">
        <f t="shared" si="34"/>
        <v>0.25</v>
      </c>
      <c r="AN285" s="4">
        <f t="shared" si="39"/>
        <v>3.786444528587656E-4</v>
      </c>
      <c r="AO285" s="3"/>
      <c r="AP285">
        <v>0</v>
      </c>
      <c r="AR285" t="s">
        <v>0</v>
      </c>
      <c r="AT285" s="2">
        <v>1.3360000000000001</v>
      </c>
      <c r="AU285" s="1">
        <f t="shared" si="35"/>
        <v>0.48038044887900122</v>
      </c>
      <c r="AV285" s="1">
        <f t="shared" si="36"/>
        <v>0.35394730499525134</v>
      </c>
      <c r="AW285" s="1">
        <f t="shared" si="37"/>
        <v>0.22751416111150141</v>
      </c>
    </row>
    <row r="286" spans="1:49" x14ac:dyDescent="0.2">
      <c r="A286">
        <v>284</v>
      </c>
      <c r="B286" t="s">
        <v>7665</v>
      </c>
      <c r="C286" t="s">
        <v>7664</v>
      </c>
      <c r="D286">
        <v>300325690900185</v>
      </c>
      <c r="F286" t="s">
        <v>7663</v>
      </c>
      <c r="G286" t="s">
        <v>14</v>
      </c>
      <c r="H286" t="s">
        <v>13</v>
      </c>
      <c r="I286" t="s">
        <v>7662</v>
      </c>
      <c r="J286" t="s">
        <v>7657</v>
      </c>
      <c r="K286" t="s">
        <v>7661</v>
      </c>
      <c r="L286" t="s">
        <v>7660</v>
      </c>
      <c r="M286" t="s">
        <v>580</v>
      </c>
      <c r="N286">
        <v>2</v>
      </c>
      <c r="O286" t="s">
        <v>7659</v>
      </c>
      <c r="P286" t="s">
        <v>7658</v>
      </c>
      <c r="Q286" t="s">
        <v>7657</v>
      </c>
      <c r="R286" s="7">
        <v>32874</v>
      </c>
      <c r="S286" s="8">
        <f t="shared" si="32"/>
        <v>1990</v>
      </c>
      <c r="T286" s="8">
        <v>1990</v>
      </c>
      <c r="U286" s="8">
        <f t="shared" si="33"/>
        <v>32</v>
      </c>
      <c r="V286" s="7">
        <v>32874</v>
      </c>
      <c r="W286" t="s">
        <v>7580</v>
      </c>
      <c r="X286" s="2">
        <v>1.204</v>
      </c>
      <c r="Y286" s="6">
        <f t="shared" si="38"/>
        <v>3.2140092362723902E-2</v>
      </c>
      <c r="AA286">
        <v>3003256</v>
      </c>
      <c r="AB286">
        <v>24546</v>
      </c>
      <c r="AC286">
        <v>14636409</v>
      </c>
      <c r="AD286" t="s">
        <v>5</v>
      </c>
      <c r="AE286">
        <v>19</v>
      </c>
      <c r="AF286">
        <v>1</v>
      </c>
      <c r="AH286" t="s">
        <v>7656</v>
      </c>
      <c r="AI286" t="s">
        <v>7655</v>
      </c>
      <c r="AK286" t="s">
        <v>7654</v>
      </c>
      <c r="AL286">
        <v>9</v>
      </c>
      <c r="AM286" s="5">
        <f t="shared" si="34"/>
        <v>0.28125</v>
      </c>
      <c r="AN286" s="4">
        <f t="shared" si="39"/>
        <v>4.2597500946611131E-4</v>
      </c>
      <c r="AO286" s="3"/>
      <c r="AP286">
        <v>0</v>
      </c>
      <c r="AR286" t="s">
        <v>0</v>
      </c>
      <c r="AT286" s="2">
        <v>3.14</v>
      </c>
      <c r="AU286" s="1">
        <f t="shared" si="35"/>
        <v>2.2625857156746565</v>
      </c>
      <c r="AV286" s="1">
        <f t="shared" si="36"/>
        <v>1.6283033686095005</v>
      </c>
      <c r="AW286" s="1">
        <f t="shared" si="37"/>
        <v>0.99402102154434491</v>
      </c>
    </row>
    <row r="287" spans="1:49" x14ac:dyDescent="0.2">
      <c r="A287">
        <v>285</v>
      </c>
      <c r="B287" t="s">
        <v>7653</v>
      </c>
      <c r="C287" t="s">
        <v>7652</v>
      </c>
      <c r="D287" t="s">
        <v>7651</v>
      </c>
      <c r="F287" t="s">
        <v>7650</v>
      </c>
      <c r="G287" t="s">
        <v>14</v>
      </c>
      <c r="H287" t="s">
        <v>13</v>
      </c>
      <c r="I287" t="s">
        <v>7649</v>
      </c>
      <c r="J287">
        <v>60031806</v>
      </c>
      <c r="K287" t="s">
        <v>4782</v>
      </c>
      <c r="L287" t="s">
        <v>4781</v>
      </c>
      <c r="M287" t="s">
        <v>1224</v>
      </c>
      <c r="N287">
        <v>3</v>
      </c>
      <c r="O287" t="s">
        <v>7648</v>
      </c>
      <c r="P287" t="s">
        <v>7647</v>
      </c>
      <c r="Q287" t="s">
        <v>7646</v>
      </c>
      <c r="R287" s="7">
        <v>32874</v>
      </c>
      <c r="S287" s="8">
        <f t="shared" si="32"/>
        <v>1990</v>
      </c>
      <c r="T287" s="8">
        <v>1990</v>
      </c>
      <c r="U287" s="8">
        <f t="shared" si="33"/>
        <v>32</v>
      </c>
      <c r="V287" s="7">
        <v>33117</v>
      </c>
      <c r="W287" t="s">
        <v>7645</v>
      </c>
      <c r="X287" s="2">
        <v>0.66900000000000004</v>
      </c>
      <c r="Y287" s="6">
        <f t="shared" si="38"/>
        <v>1.7858572915832469E-2</v>
      </c>
      <c r="AA287">
        <v>112275</v>
      </c>
      <c r="AB287">
        <v>13713</v>
      </c>
      <c r="AD287" t="s">
        <v>5</v>
      </c>
      <c r="AE287">
        <v>30</v>
      </c>
      <c r="AF287">
        <v>9</v>
      </c>
      <c r="AH287" t="s">
        <v>7644</v>
      </c>
      <c r="AI287" t="s">
        <v>7643</v>
      </c>
      <c r="AJ287" t="s">
        <v>7642</v>
      </c>
      <c r="AK287" t="s">
        <v>7641</v>
      </c>
      <c r="AL287">
        <v>4</v>
      </c>
      <c r="AM287" s="5">
        <f t="shared" si="34"/>
        <v>0.125</v>
      </c>
      <c r="AN287" s="4">
        <f t="shared" si="39"/>
        <v>1.893222264293828E-4</v>
      </c>
      <c r="AO287" s="3"/>
      <c r="AP287">
        <v>0</v>
      </c>
      <c r="AQ287" t="s">
        <v>34</v>
      </c>
      <c r="AR287" t="s">
        <v>0</v>
      </c>
      <c r="AS287" t="s">
        <v>33</v>
      </c>
      <c r="AT287" s="2">
        <v>2.226</v>
      </c>
      <c r="AU287" s="1">
        <f t="shared" si="35"/>
        <v>1.2557797709011542</v>
      </c>
      <c r="AV287" s="1">
        <f t="shared" si="36"/>
        <v>0.90239475711309269</v>
      </c>
      <c r="AW287" s="1">
        <f t="shared" si="37"/>
        <v>0.54900974332503094</v>
      </c>
    </row>
    <row r="288" spans="1:49" x14ac:dyDescent="0.2">
      <c r="A288">
        <v>286</v>
      </c>
      <c r="B288" t="s">
        <v>7640</v>
      </c>
      <c r="C288" t="s">
        <v>7639</v>
      </c>
      <c r="F288" t="s">
        <v>7638</v>
      </c>
      <c r="G288" t="s">
        <v>14</v>
      </c>
      <c r="H288" t="s">
        <v>13</v>
      </c>
      <c r="I288" t="s">
        <v>7637</v>
      </c>
      <c r="J288" t="s">
        <v>7636</v>
      </c>
      <c r="K288" t="s">
        <v>7635</v>
      </c>
      <c r="L288" t="s">
        <v>7634</v>
      </c>
      <c r="M288" t="s">
        <v>7633</v>
      </c>
      <c r="N288">
        <v>5</v>
      </c>
      <c r="O288" t="s">
        <v>7632</v>
      </c>
      <c r="P288" t="s">
        <v>7631</v>
      </c>
      <c r="Q288" t="s">
        <v>7630</v>
      </c>
      <c r="R288" s="7">
        <v>32874</v>
      </c>
      <c r="S288" s="8">
        <f t="shared" si="32"/>
        <v>1990</v>
      </c>
      <c r="T288" s="8">
        <v>1990</v>
      </c>
      <c r="U288" s="8">
        <f t="shared" si="33"/>
        <v>32</v>
      </c>
      <c r="V288" s="7">
        <v>33086</v>
      </c>
      <c r="W288" t="s">
        <v>7629</v>
      </c>
      <c r="X288" s="2">
        <v>3.5459999999999998</v>
      </c>
      <c r="Y288" s="6">
        <f t="shared" si="38"/>
        <v>9.4658444782573875E-2</v>
      </c>
      <c r="AA288">
        <v>670049</v>
      </c>
      <c r="AB288">
        <v>26769</v>
      </c>
      <c r="AD288" t="s">
        <v>5</v>
      </c>
      <c r="AE288">
        <v>73</v>
      </c>
      <c r="AF288">
        <v>4</v>
      </c>
      <c r="AH288" t="s">
        <v>7628</v>
      </c>
      <c r="AI288" t="s">
        <v>7627</v>
      </c>
      <c r="AJ288" t="s">
        <v>7626</v>
      </c>
      <c r="AK288" t="s">
        <v>7625</v>
      </c>
      <c r="AL288">
        <v>11</v>
      </c>
      <c r="AM288" s="5">
        <f t="shared" si="34"/>
        <v>0.34375</v>
      </c>
      <c r="AN288" s="4">
        <f t="shared" si="39"/>
        <v>5.2063612268080268E-4</v>
      </c>
      <c r="AO288" s="3"/>
      <c r="AP288">
        <v>0</v>
      </c>
      <c r="AR288" t="s">
        <v>0</v>
      </c>
      <c r="AT288" s="2" t="s">
        <v>126</v>
      </c>
      <c r="AU288" s="1">
        <f t="shared" si="35"/>
        <v>6.6417102184605952</v>
      </c>
      <c r="AV288" s="1">
        <f t="shared" si="36"/>
        <v>4.7589540452627341</v>
      </c>
      <c r="AW288" s="1">
        <f t="shared" si="37"/>
        <v>2.8761978720648727</v>
      </c>
    </row>
    <row r="289" spans="1:49" x14ac:dyDescent="0.2">
      <c r="A289">
        <v>287</v>
      </c>
      <c r="B289" t="s">
        <v>7624</v>
      </c>
      <c r="C289" t="s">
        <v>7623</v>
      </c>
      <c r="F289" t="s">
        <v>7622</v>
      </c>
      <c r="G289" t="s">
        <v>14</v>
      </c>
      <c r="H289" t="s">
        <v>13</v>
      </c>
      <c r="I289" t="s">
        <v>7621</v>
      </c>
      <c r="N289">
        <v>4</v>
      </c>
      <c r="O289" t="s">
        <v>7620</v>
      </c>
      <c r="P289" t="s">
        <v>7619</v>
      </c>
      <c r="Q289" t="s">
        <v>329</v>
      </c>
      <c r="R289" s="7">
        <v>32874</v>
      </c>
      <c r="S289" s="8">
        <f t="shared" si="32"/>
        <v>1990</v>
      </c>
      <c r="T289" s="8">
        <v>1990</v>
      </c>
      <c r="U289" s="8">
        <f t="shared" si="33"/>
        <v>32</v>
      </c>
      <c r="V289" s="7" t="s">
        <v>7</v>
      </c>
      <c r="W289" t="s">
        <v>110</v>
      </c>
      <c r="X289" s="2">
        <v>0.371</v>
      </c>
      <c r="Y289" s="6">
        <f t="shared" si="38"/>
        <v>9.9036331117695747E-3</v>
      </c>
      <c r="AA289">
        <v>486604</v>
      </c>
      <c r="AB289">
        <v>28580</v>
      </c>
      <c r="AC289" t="s">
        <v>109</v>
      </c>
      <c r="AD289" t="s">
        <v>5</v>
      </c>
      <c r="AE289">
        <v>25</v>
      </c>
      <c r="AF289">
        <v>4</v>
      </c>
      <c r="AH289" t="s">
        <v>7618</v>
      </c>
      <c r="AI289" t="s">
        <v>7617</v>
      </c>
      <c r="AK289" t="s">
        <v>7616</v>
      </c>
      <c r="AL289">
        <v>39</v>
      </c>
      <c r="AM289" s="5">
        <f t="shared" si="34"/>
        <v>1.21875</v>
      </c>
      <c r="AN289" s="4">
        <f t="shared" si="39"/>
        <v>1.8458917076864824E-3</v>
      </c>
      <c r="AO289" s="3"/>
      <c r="AP289">
        <v>0</v>
      </c>
      <c r="AR289" t="s">
        <v>0</v>
      </c>
      <c r="AT289" s="2">
        <v>1.431</v>
      </c>
      <c r="AU289" s="1">
        <f t="shared" si="35"/>
        <v>0.74863106905446464</v>
      </c>
      <c r="AV289" s="1">
        <f t="shared" si="36"/>
        <v>0.58747624097280293</v>
      </c>
      <c r="AW289" s="1">
        <f t="shared" si="37"/>
        <v>0.42632141289114106</v>
      </c>
    </row>
    <row r="290" spans="1:49" x14ac:dyDescent="0.2">
      <c r="A290">
        <v>288</v>
      </c>
      <c r="B290" t="s">
        <v>7615</v>
      </c>
      <c r="C290" t="s">
        <v>7614</v>
      </c>
      <c r="D290" t="s">
        <v>7613</v>
      </c>
      <c r="F290" t="s">
        <v>7612</v>
      </c>
      <c r="G290" t="s">
        <v>14</v>
      </c>
      <c r="H290" t="s">
        <v>13</v>
      </c>
      <c r="I290" t="s">
        <v>7611</v>
      </c>
      <c r="J290">
        <v>60026838</v>
      </c>
      <c r="K290" t="s">
        <v>7518</v>
      </c>
      <c r="L290" t="s">
        <v>7517</v>
      </c>
      <c r="M290" t="s">
        <v>135</v>
      </c>
      <c r="N290">
        <v>1</v>
      </c>
      <c r="O290" t="s">
        <v>7610</v>
      </c>
      <c r="P290">
        <v>22974433000</v>
      </c>
      <c r="Q290">
        <v>60026838</v>
      </c>
      <c r="R290" s="7">
        <v>32874</v>
      </c>
      <c r="S290" s="8">
        <f t="shared" si="32"/>
        <v>1990</v>
      </c>
      <c r="T290" s="8">
        <v>1990</v>
      </c>
      <c r="U290" s="8">
        <f t="shared" si="33"/>
        <v>32</v>
      </c>
      <c r="V290" s="7">
        <v>1990</v>
      </c>
      <c r="W290" t="s">
        <v>263</v>
      </c>
      <c r="X290" s="2">
        <v>0.65600000000000003</v>
      </c>
      <c r="Y290" s="6">
        <f t="shared" si="38"/>
        <v>1.751154534048744E-2</v>
      </c>
      <c r="AA290">
        <v>9203796</v>
      </c>
      <c r="AB290">
        <v>20344</v>
      </c>
      <c r="AD290" t="s">
        <v>5</v>
      </c>
      <c r="AE290">
        <v>12</v>
      </c>
      <c r="AF290" s="9">
        <v>44228</v>
      </c>
      <c r="AH290" t="s">
        <v>399</v>
      </c>
      <c r="AI290" t="s">
        <v>7609</v>
      </c>
      <c r="AK290" t="s">
        <v>7608</v>
      </c>
      <c r="AL290">
        <v>16</v>
      </c>
      <c r="AM290" s="5">
        <f t="shared" si="34"/>
        <v>0.5</v>
      </c>
      <c r="AN290" s="4">
        <f t="shared" si="39"/>
        <v>7.572889057175312E-4</v>
      </c>
      <c r="AO290" s="3"/>
      <c r="AP290">
        <v>0</v>
      </c>
      <c r="AR290" t="s">
        <v>0</v>
      </c>
      <c r="AT290" s="2">
        <v>1.4530000000000001</v>
      </c>
      <c r="AU290" s="1">
        <f t="shared" si="35"/>
        <v>1.2485268410056467</v>
      </c>
      <c r="AV290" s="1">
        <f t="shared" si="36"/>
        <v>0.91344171231024851</v>
      </c>
      <c r="AW290" s="1">
        <f t="shared" si="37"/>
        <v>0.57835658361485043</v>
      </c>
    </row>
    <row r="291" spans="1:49" x14ac:dyDescent="0.2">
      <c r="A291">
        <v>289</v>
      </c>
      <c r="B291" t="s">
        <v>7607</v>
      </c>
      <c r="C291" t="s">
        <v>7606</v>
      </c>
      <c r="D291" t="s">
        <v>7605</v>
      </c>
      <c r="F291" t="s">
        <v>7604</v>
      </c>
      <c r="G291" t="s">
        <v>14</v>
      </c>
      <c r="H291" t="s">
        <v>13</v>
      </c>
      <c r="I291" t="s">
        <v>7603</v>
      </c>
      <c r="J291" t="s">
        <v>7602</v>
      </c>
      <c r="K291" t="s">
        <v>7601</v>
      </c>
      <c r="L291" t="s">
        <v>7600</v>
      </c>
      <c r="M291" t="s">
        <v>1702</v>
      </c>
      <c r="N291">
        <v>10</v>
      </c>
      <c r="O291" t="s">
        <v>7599</v>
      </c>
      <c r="P291" t="s">
        <v>7598</v>
      </c>
      <c r="Q291" t="s">
        <v>7597</v>
      </c>
      <c r="R291" s="7">
        <v>32874</v>
      </c>
      <c r="S291" s="8">
        <f t="shared" si="32"/>
        <v>1990</v>
      </c>
      <c r="T291" s="8">
        <v>1990</v>
      </c>
      <c r="U291" s="8">
        <f t="shared" si="33"/>
        <v>32</v>
      </c>
      <c r="V291" s="7">
        <v>1990</v>
      </c>
      <c r="W291" t="s">
        <v>263</v>
      </c>
      <c r="X291" s="2">
        <v>0.65600000000000003</v>
      </c>
      <c r="Y291" s="6">
        <f t="shared" si="38"/>
        <v>1.751154534048744E-2</v>
      </c>
      <c r="AA291">
        <v>9203796</v>
      </c>
      <c r="AB291">
        <v>20344</v>
      </c>
      <c r="AD291" t="s">
        <v>5</v>
      </c>
      <c r="AE291">
        <v>12</v>
      </c>
      <c r="AF291" s="9">
        <v>44228</v>
      </c>
      <c r="AH291" t="s">
        <v>7596</v>
      </c>
      <c r="AI291" t="s">
        <v>7595</v>
      </c>
      <c r="AK291" t="s">
        <v>7594</v>
      </c>
      <c r="AL291">
        <v>15</v>
      </c>
      <c r="AM291" s="5">
        <f t="shared" si="34"/>
        <v>0.46875</v>
      </c>
      <c r="AN291" s="4">
        <f t="shared" si="39"/>
        <v>7.0995834911018554E-4</v>
      </c>
      <c r="AO291" s="3"/>
      <c r="AP291">
        <v>0</v>
      </c>
      <c r="AQ291" t="s">
        <v>3028</v>
      </c>
      <c r="AR291" t="s">
        <v>7593</v>
      </c>
      <c r="AS291" t="s">
        <v>3026</v>
      </c>
      <c r="AT291" s="2">
        <v>1.4530000000000001</v>
      </c>
      <c r="AU291" s="1">
        <f t="shared" si="35"/>
        <v>1.2471069243074264</v>
      </c>
      <c r="AV291" s="1">
        <f t="shared" si="36"/>
        <v>0.91107518447988123</v>
      </c>
      <c r="AW291" s="1">
        <f t="shared" si="37"/>
        <v>0.57504344465233626</v>
      </c>
    </row>
    <row r="292" spans="1:49" x14ac:dyDescent="0.2">
      <c r="A292">
        <v>290</v>
      </c>
      <c r="B292" t="s">
        <v>7592</v>
      </c>
      <c r="C292" t="s">
        <v>7591</v>
      </c>
      <c r="D292" t="s">
        <v>7590</v>
      </c>
      <c r="F292" t="s">
        <v>7589</v>
      </c>
      <c r="G292" t="s">
        <v>14</v>
      </c>
      <c r="H292" t="s">
        <v>13</v>
      </c>
      <c r="I292" t="s">
        <v>7588</v>
      </c>
      <c r="J292" t="s">
        <v>7587</v>
      </c>
      <c r="K292" t="s">
        <v>7586</v>
      </c>
      <c r="L292" t="s">
        <v>7585</v>
      </c>
      <c r="M292" t="s">
        <v>7584</v>
      </c>
      <c r="N292">
        <v>3</v>
      </c>
      <c r="O292" t="s">
        <v>7583</v>
      </c>
      <c r="P292" t="s">
        <v>7582</v>
      </c>
      <c r="Q292" t="s">
        <v>7581</v>
      </c>
      <c r="R292" s="7">
        <v>32874</v>
      </c>
      <c r="S292" s="8">
        <f t="shared" si="32"/>
        <v>1990</v>
      </c>
      <c r="T292" s="8">
        <v>1990</v>
      </c>
      <c r="U292" s="8">
        <f t="shared" si="33"/>
        <v>32</v>
      </c>
      <c r="V292" s="7">
        <v>32964</v>
      </c>
      <c r="W292" t="s">
        <v>7580</v>
      </c>
      <c r="X292" s="2">
        <v>1.204</v>
      </c>
      <c r="Y292" s="6">
        <f t="shared" si="38"/>
        <v>3.2140092362723902E-2</v>
      </c>
      <c r="AA292">
        <v>3003256</v>
      </c>
      <c r="AB292">
        <v>24546</v>
      </c>
      <c r="AC292">
        <v>14636409</v>
      </c>
      <c r="AD292" t="s">
        <v>5</v>
      </c>
      <c r="AE292">
        <v>19</v>
      </c>
      <c r="AF292">
        <v>2</v>
      </c>
      <c r="AH292" t="s">
        <v>3604</v>
      </c>
      <c r="AI292" t="s">
        <v>7579</v>
      </c>
      <c r="AK292" t="s">
        <v>7578</v>
      </c>
      <c r="AL292">
        <v>7</v>
      </c>
      <c r="AM292" s="5">
        <f t="shared" si="34"/>
        <v>0.21875</v>
      </c>
      <c r="AN292" s="4">
        <f t="shared" si="39"/>
        <v>3.3131389625141994E-4</v>
      </c>
      <c r="AO292" s="3"/>
      <c r="AP292">
        <v>0</v>
      </c>
      <c r="AR292" t="s">
        <v>0</v>
      </c>
      <c r="AT292" s="2">
        <v>3.14</v>
      </c>
      <c r="AU292" s="1">
        <f t="shared" si="35"/>
        <v>2.2597458822782155</v>
      </c>
      <c r="AV292" s="1">
        <f t="shared" si="36"/>
        <v>1.623570312948766</v>
      </c>
      <c r="AW292" s="1">
        <f t="shared" si="37"/>
        <v>0.98739474361931645</v>
      </c>
    </row>
    <row r="293" spans="1:49" x14ac:dyDescent="0.2">
      <c r="A293">
        <v>291</v>
      </c>
      <c r="B293" t="s">
        <v>7577</v>
      </c>
      <c r="C293" t="s">
        <v>7576</v>
      </c>
      <c r="D293" t="s">
        <v>7575</v>
      </c>
      <c r="F293" t="s">
        <v>7574</v>
      </c>
      <c r="G293" t="s">
        <v>14</v>
      </c>
      <c r="H293" t="s">
        <v>13</v>
      </c>
      <c r="I293" t="s">
        <v>7573</v>
      </c>
      <c r="J293" t="s">
        <v>7568</v>
      </c>
      <c r="K293" t="s">
        <v>7572</v>
      </c>
      <c r="L293" t="s">
        <v>7571</v>
      </c>
      <c r="M293" t="s">
        <v>84</v>
      </c>
      <c r="N293">
        <v>2</v>
      </c>
      <c r="O293" t="s">
        <v>7570</v>
      </c>
      <c r="P293" t="s">
        <v>7569</v>
      </c>
      <c r="Q293" t="s">
        <v>7568</v>
      </c>
      <c r="R293" s="7">
        <v>32874</v>
      </c>
      <c r="S293" s="8">
        <f t="shared" si="32"/>
        <v>1990</v>
      </c>
      <c r="T293" s="8">
        <v>1990</v>
      </c>
      <c r="U293" s="8">
        <f t="shared" si="33"/>
        <v>32</v>
      </c>
      <c r="V293" s="7">
        <v>1990</v>
      </c>
      <c r="W293" t="s">
        <v>263</v>
      </c>
      <c r="X293" s="2">
        <v>0.65600000000000003</v>
      </c>
      <c r="Y293" s="6">
        <f t="shared" si="38"/>
        <v>1.751154534048744E-2</v>
      </c>
      <c r="AA293">
        <v>9203796</v>
      </c>
      <c r="AB293">
        <v>20344</v>
      </c>
      <c r="AD293" t="s">
        <v>5</v>
      </c>
      <c r="AE293">
        <v>12</v>
      </c>
      <c r="AF293" s="9">
        <v>44228</v>
      </c>
      <c r="AH293" t="s">
        <v>7567</v>
      </c>
      <c r="AI293" t="s">
        <v>7566</v>
      </c>
      <c r="AK293" t="s">
        <v>7565</v>
      </c>
      <c r="AL293">
        <v>4</v>
      </c>
      <c r="AM293" s="5">
        <f t="shared" si="34"/>
        <v>0.125</v>
      </c>
      <c r="AN293" s="4">
        <f t="shared" si="39"/>
        <v>1.893222264293828E-4</v>
      </c>
      <c r="AO293" s="3"/>
      <c r="AP293">
        <v>0</v>
      </c>
      <c r="AQ293" t="s">
        <v>7564</v>
      </c>
      <c r="AR293" t="s">
        <v>7563</v>
      </c>
      <c r="AS293" t="s">
        <v>7562</v>
      </c>
      <c r="AT293" s="2">
        <v>1.4530000000000001</v>
      </c>
      <c r="AU293" s="1">
        <f t="shared" si="35"/>
        <v>1.2314878406270022</v>
      </c>
      <c r="AV293" s="1">
        <f t="shared" si="36"/>
        <v>0.88504337834584124</v>
      </c>
      <c r="AW293" s="1">
        <f t="shared" si="37"/>
        <v>0.53859891606468002</v>
      </c>
    </row>
    <row r="294" spans="1:49" x14ac:dyDescent="0.2">
      <c r="A294">
        <v>292</v>
      </c>
      <c r="B294" t="s">
        <v>7561</v>
      </c>
      <c r="C294" t="s">
        <v>7560</v>
      </c>
      <c r="D294" t="s">
        <v>7559</v>
      </c>
      <c r="F294" t="s">
        <v>7558</v>
      </c>
      <c r="G294" t="s">
        <v>14</v>
      </c>
      <c r="H294" t="s">
        <v>13</v>
      </c>
      <c r="I294" t="s">
        <v>7557</v>
      </c>
      <c r="J294">
        <v>60003261</v>
      </c>
      <c r="K294" t="s">
        <v>7556</v>
      </c>
      <c r="L294" t="s">
        <v>7252</v>
      </c>
      <c r="M294" t="s">
        <v>197</v>
      </c>
      <c r="N294">
        <v>1</v>
      </c>
      <c r="O294" t="s">
        <v>7555</v>
      </c>
      <c r="P294">
        <v>36346981900</v>
      </c>
      <c r="Q294">
        <v>60003261</v>
      </c>
      <c r="R294" s="7">
        <v>32874</v>
      </c>
      <c r="S294" s="8">
        <f t="shared" si="32"/>
        <v>1990</v>
      </c>
      <c r="T294" s="8">
        <v>1990</v>
      </c>
      <c r="U294" s="8">
        <f t="shared" si="33"/>
        <v>32</v>
      </c>
      <c r="V294" s="7">
        <v>1990</v>
      </c>
      <c r="W294" t="s">
        <v>263</v>
      </c>
      <c r="X294" s="2">
        <v>0.65600000000000003</v>
      </c>
      <c r="Y294" s="6">
        <f t="shared" si="38"/>
        <v>1.751154534048744E-2</v>
      </c>
      <c r="AA294">
        <v>9203796</v>
      </c>
      <c r="AB294">
        <v>20344</v>
      </c>
      <c r="AD294" t="s">
        <v>5</v>
      </c>
      <c r="AE294">
        <v>12</v>
      </c>
      <c r="AF294" s="9">
        <v>44228</v>
      </c>
      <c r="AH294" t="s">
        <v>7554</v>
      </c>
      <c r="AI294" t="s">
        <v>7553</v>
      </c>
      <c r="AK294" t="s">
        <v>7552</v>
      </c>
      <c r="AL294">
        <v>4</v>
      </c>
      <c r="AM294" s="5">
        <f t="shared" si="34"/>
        <v>0.125</v>
      </c>
      <c r="AN294" s="4">
        <f t="shared" si="39"/>
        <v>1.893222264293828E-4</v>
      </c>
      <c r="AO294" s="3"/>
      <c r="AP294">
        <v>0</v>
      </c>
      <c r="AR294" t="s">
        <v>7551</v>
      </c>
      <c r="AT294" s="2">
        <v>1.4530000000000001</v>
      </c>
      <c r="AU294" s="1">
        <f t="shared" si="35"/>
        <v>1.2314878406270022</v>
      </c>
      <c r="AV294" s="1">
        <f t="shared" si="36"/>
        <v>0.88504337834584124</v>
      </c>
      <c r="AW294" s="1">
        <f t="shared" si="37"/>
        <v>0.53859891606468002</v>
      </c>
    </row>
    <row r="295" spans="1:49" x14ac:dyDescent="0.2">
      <c r="A295">
        <v>293</v>
      </c>
      <c r="B295" t="s">
        <v>7550</v>
      </c>
      <c r="C295" t="s">
        <v>7549</v>
      </c>
      <c r="D295" t="s">
        <v>7548</v>
      </c>
      <c r="F295" t="s">
        <v>7547</v>
      </c>
      <c r="G295" t="s">
        <v>14</v>
      </c>
      <c r="H295" t="s">
        <v>13</v>
      </c>
      <c r="I295" t="s">
        <v>7546</v>
      </c>
      <c r="J295">
        <v>60024266</v>
      </c>
      <c r="K295" t="s">
        <v>2584</v>
      </c>
      <c r="L295" t="s">
        <v>2583</v>
      </c>
      <c r="M295" t="s">
        <v>197</v>
      </c>
      <c r="N295">
        <v>3</v>
      </c>
      <c r="O295" t="s">
        <v>7545</v>
      </c>
      <c r="P295" t="s">
        <v>7544</v>
      </c>
      <c r="Q295" t="s">
        <v>7543</v>
      </c>
      <c r="R295" s="7">
        <v>32874</v>
      </c>
      <c r="S295" s="8">
        <f t="shared" si="32"/>
        <v>1990</v>
      </c>
      <c r="T295" s="8">
        <v>1990</v>
      </c>
      <c r="U295" s="8">
        <f t="shared" si="33"/>
        <v>32</v>
      </c>
      <c r="V295" s="7">
        <v>1990</v>
      </c>
      <c r="W295" t="s">
        <v>263</v>
      </c>
      <c r="X295" s="2">
        <v>0.65600000000000003</v>
      </c>
      <c r="Y295" s="6">
        <f t="shared" si="38"/>
        <v>1.751154534048744E-2</v>
      </c>
      <c r="AA295">
        <v>9203796</v>
      </c>
      <c r="AB295">
        <v>20344</v>
      </c>
      <c r="AD295" t="s">
        <v>5</v>
      </c>
      <c r="AE295">
        <v>12</v>
      </c>
      <c r="AF295" s="9">
        <v>44228</v>
      </c>
      <c r="AH295" t="s">
        <v>7542</v>
      </c>
      <c r="AI295" t="s">
        <v>7541</v>
      </c>
      <c r="AK295" t="s">
        <v>7540</v>
      </c>
      <c r="AL295">
        <v>7</v>
      </c>
      <c r="AM295" s="5">
        <f t="shared" si="34"/>
        <v>0.21875</v>
      </c>
      <c r="AN295" s="4">
        <f t="shared" si="39"/>
        <v>3.3131389625141994E-4</v>
      </c>
      <c r="AO295" s="3"/>
      <c r="AP295">
        <v>0</v>
      </c>
      <c r="AQ295" t="s">
        <v>3028</v>
      </c>
      <c r="AR295" t="s">
        <v>7539</v>
      </c>
      <c r="AS295" t="s">
        <v>3026</v>
      </c>
      <c r="AT295" s="2">
        <v>1.4530000000000001</v>
      </c>
      <c r="AU295" s="1">
        <f t="shared" si="35"/>
        <v>1.2357475907216635</v>
      </c>
      <c r="AV295" s="1">
        <f t="shared" si="36"/>
        <v>0.89214296183694297</v>
      </c>
      <c r="AW295" s="1">
        <f t="shared" si="37"/>
        <v>0.54853833295222265</v>
      </c>
    </row>
    <row r="296" spans="1:49" x14ac:dyDescent="0.2">
      <c r="A296">
        <v>294</v>
      </c>
      <c r="B296" t="s">
        <v>7538</v>
      </c>
      <c r="C296" t="s">
        <v>7537</v>
      </c>
      <c r="D296" t="s">
        <v>7536</v>
      </c>
      <c r="F296" t="s">
        <v>7535</v>
      </c>
      <c r="G296" t="s">
        <v>14</v>
      </c>
      <c r="H296" t="s">
        <v>13</v>
      </c>
      <c r="I296" t="s">
        <v>7534</v>
      </c>
      <c r="J296" t="s">
        <v>7533</v>
      </c>
      <c r="K296" t="s">
        <v>7532</v>
      </c>
      <c r="L296" t="s">
        <v>7531</v>
      </c>
      <c r="M296" t="s">
        <v>7530</v>
      </c>
      <c r="N296">
        <v>16</v>
      </c>
      <c r="O296" t="s">
        <v>7529</v>
      </c>
      <c r="P296" t="s">
        <v>7528</v>
      </c>
      <c r="Q296" t="s">
        <v>7527</v>
      </c>
      <c r="R296" s="7">
        <v>32874</v>
      </c>
      <c r="S296" s="8">
        <f t="shared" si="32"/>
        <v>1990</v>
      </c>
      <c r="T296" s="8">
        <v>1990</v>
      </c>
      <c r="U296" s="8">
        <f t="shared" si="33"/>
        <v>32</v>
      </c>
      <c r="V296" s="7">
        <v>1990</v>
      </c>
      <c r="W296" t="s">
        <v>263</v>
      </c>
      <c r="X296" s="2">
        <v>0.65600000000000003</v>
      </c>
      <c r="Y296" s="6">
        <f t="shared" si="38"/>
        <v>1.751154534048744E-2</v>
      </c>
      <c r="AA296">
        <v>9203796</v>
      </c>
      <c r="AB296">
        <v>20344</v>
      </c>
      <c r="AD296" t="s">
        <v>5</v>
      </c>
      <c r="AE296">
        <v>12</v>
      </c>
      <c r="AF296" s="9">
        <v>44228</v>
      </c>
      <c r="AH296" t="s">
        <v>7526</v>
      </c>
      <c r="AI296" t="s">
        <v>7525</v>
      </c>
      <c r="AK296" t="s">
        <v>7524</v>
      </c>
      <c r="AL296">
        <v>33</v>
      </c>
      <c r="AM296" s="5">
        <f t="shared" si="34"/>
        <v>1.03125</v>
      </c>
      <c r="AN296" s="4">
        <f t="shared" si="39"/>
        <v>1.5619083680424083E-3</v>
      </c>
      <c r="AO296" s="3"/>
      <c r="AP296">
        <v>0</v>
      </c>
      <c r="AR296" t="s">
        <v>0</v>
      </c>
      <c r="AT296" s="2">
        <v>1.4530000000000001</v>
      </c>
      <c r="AU296" s="1">
        <f t="shared" si="35"/>
        <v>1.272665424875393</v>
      </c>
      <c r="AV296" s="1">
        <f t="shared" si="36"/>
        <v>0.95367268542649253</v>
      </c>
      <c r="AW296" s="1">
        <f t="shared" si="37"/>
        <v>0.63467994597759181</v>
      </c>
    </row>
    <row r="297" spans="1:49" x14ac:dyDescent="0.2">
      <c r="A297">
        <v>295</v>
      </c>
      <c r="B297" t="s">
        <v>7523</v>
      </c>
      <c r="C297" t="s">
        <v>7522</v>
      </c>
      <c r="D297" t="s">
        <v>7521</v>
      </c>
      <c r="F297" t="s">
        <v>7520</v>
      </c>
      <c r="G297" t="s">
        <v>14</v>
      </c>
      <c r="H297" t="s">
        <v>13</v>
      </c>
      <c r="I297" t="s">
        <v>7519</v>
      </c>
      <c r="J297">
        <v>60026838</v>
      </c>
      <c r="K297" t="s">
        <v>7518</v>
      </c>
      <c r="L297" t="s">
        <v>7517</v>
      </c>
      <c r="M297" t="s">
        <v>135</v>
      </c>
      <c r="N297">
        <v>1</v>
      </c>
      <c r="O297" t="s">
        <v>7516</v>
      </c>
      <c r="P297">
        <v>7401451781</v>
      </c>
      <c r="Q297">
        <v>60026838</v>
      </c>
      <c r="R297" s="7">
        <v>32874</v>
      </c>
      <c r="S297" s="8">
        <f t="shared" si="32"/>
        <v>1990</v>
      </c>
      <c r="T297" s="8">
        <v>1990</v>
      </c>
      <c r="U297" s="8">
        <f t="shared" si="33"/>
        <v>32</v>
      </c>
      <c r="V297" s="7">
        <v>1990</v>
      </c>
      <c r="W297" t="s">
        <v>263</v>
      </c>
      <c r="X297" s="2">
        <v>0.65600000000000003</v>
      </c>
      <c r="Y297" s="6">
        <f t="shared" si="38"/>
        <v>1.751154534048744E-2</v>
      </c>
      <c r="AA297">
        <v>9203796</v>
      </c>
      <c r="AB297">
        <v>20344</v>
      </c>
      <c r="AD297" t="s">
        <v>5</v>
      </c>
      <c r="AE297">
        <v>12</v>
      </c>
      <c r="AF297" s="9">
        <v>44228</v>
      </c>
      <c r="AH297" t="s">
        <v>7515</v>
      </c>
      <c r="AI297" t="s">
        <v>7514</v>
      </c>
      <c r="AK297" t="s">
        <v>7513</v>
      </c>
      <c r="AL297">
        <v>25</v>
      </c>
      <c r="AM297" s="5">
        <f t="shared" si="34"/>
        <v>0.78125</v>
      </c>
      <c r="AN297" s="4">
        <f t="shared" si="39"/>
        <v>1.1832639151836426E-3</v>
      </c>
      <c r="AO297" s="3"/>
      <c r="AP297">
        <v>0</v>
      </c>
      <c r="AR297" t="s">
        <v>0</v>
      </c>
      <c r="AT297" s="2">
        <v>1.4530000000000001</v>
      </c>
      <c r="AU297" s="1">
        <f t="shared" si="35"/>
        <v>1.2613060912896301</v>
      </c>
      <c r="AV297" s="1">
        <f t="shared" si="36"/>
        <v>0.93474046278355405</v>
      </c>
      <c r="AW297" s="1">
        <f t="shared" si="37"/>
        <v>0.6081748342774782</v>
      </c>
    </row>
    <row r="298" spans="1:49" x14ac:dyDescent="0.2">
      <c r="A298">
        <v>296</v>
      </c>
      <c r="B298" t="s">
        <v>7512</v>
      </c>
      <c r="C298" t="s">
        <v>7511</v>
      </c>
      <c r="F298" t="s">
        <v>7510</v>
      </c>
      <c r="G298" t="s">
        <v>14</v>
      </c>
      <c r="H298" t="s">
        <v>13</v>
      </c>
      <c r="I298" t="s">
        <v>7509</v>
      </c>
      <c r="J298" t="s">
        <v>7503</v>
      </c>
      <c r="K298" t="s">
        <v>7508</v>
      </c>
      <c r="L298" t="s">
        <v>7507</v>
      </c>
      <c r="M298" t="s">
        <v>7506</v>
      </c>
      <c r="N298">
        <v>2</v>
      </c>
      <c r="O298" t="s">
        <v>7505</v>
      </c>
      <c r="P298" t="s">
        <v>7504</v>
      </c>
      <c r="Q298" t="s">
        <v>7503</v>
      </c>
      <c r="R298" s="7">
        <v>32874</v>
      </c>
      <c r="S298" s="8">
        <f t="shared" si="32"/>
        <v>1990</v>
      </c>
      <c r="T298" s="8">
        <v>1990</v>
      </c>
      <c r="U298" s="8">
        <f t="shared" si="33"/>
        <v>32</v>
      </c>
      <c r="V298" s="7">
        <v>33086</v>
      </c>
      <c r="W298" t="s">
        <v>7502</v>
      </c>
      <c r="X298" s="2">
        <v>0.74099999999999999</v>
      </c>
      <c r="Y298" s="6">
        <f t="shared" si="38"/>
        <v>1.9780571794666454E-2</v>
      </c>
      <c r="AA298">
        <v>7403224</v>
      </c>
      <c r="AB298">
        <v>12341</v>
      </c>
      <c r="AD298" t="s">
        <v>5</v>
      </c>
      <c r="AE298">
        <v>7</v>
      </c>
      <c r="AF298">
        <v>8</v>
      </c>
      <c r="AH298" t="s">
        <v>7501</v>
      </c>
      <c r="AI298" t="s">
        <v>7500</v>
      </c>
      <c r="AK298" t="s">
        <v>7499</v>
      </c>
      <c r="AL298">
        <v>23</v>
      </c>
      <c r="AM298" s="5">
        <f t="shared" si="34"/>
        <v>0.71875</v>
      </c>
      <c r="AN298" s="4">
        <f t="shared" si="39"/>
        <v>1.0886028019689512E-3</v>
      </c>
      <c r="AO298" s="3"/>
      <c r="AP298">
        <v>0</v>
      </c>
      <c r="AR298" t="s">
        <v>0</v>
      </c>
      <c r="AT298" s="2" t="s">
        <v>126</v>
      </c>
      <c r="AU298" s="1">
        <f t="shared" si="35"/>
        <v>1.4172981096857202</v>
      </c>
      <c r="AV298" s="1">
        <f t="shared" si="36"/>
        <v>1.0434587298317703</v>
      </c>
      <c r="AW298" s="1">
        <f t="shared" si="37"/>
        <v>0.66961934997782024</v>
      </c>
    </row>
    <row r="299" spans="1:49" x14ac:dyDescent="0.2">
      <c r="A299">
        <v>297</v>
      </c>
      <c r="B299" t="s">
        <v>7498</v>
      </c>
      <c r="C299" t="s">
        <v>7497</v>
      </c>
      <c r="F299" t="s">
        <v>7496</v>
      </c>
      <c r="G299" t="s">
        <v>14</v>
      </c>
      <c r="H299" t="s">
        <v>13</v>
      </c>
      <c r="I299" t="s">
        <v>7495</v>
      </c>
      <c r="J299">
        <v>60027550</v>
      </c>
      <c r="K299" t="s">
        <v>3438</v>
      </c>
      <c r="L299" t="s">
        <v>280</v>
      </c>
      <c r="M299" t="s">
        <v>197</v>
      </c>
      <c r="N299">
        <v>5</v>
      </c>
      <c r="O299" t="s">
        <v>7494</v>
      </c>
      <c r="P299" t="s">
        <v>7493</v>
      </c>
      <c r="Q299" t="s">
        <v>7492</v>
      </c>
      <c r="R299" s="7">
        <v>32874</v>
      </c>
      <c r="S299" s="8">
        <f t="shared" si="32"/>
        <v>1990</v>
      </c>
      <c r="T299" s="8">
        <v>1990</v>
      </c>
      <c r="U299" s="8">
        <f t="shared" si="33"/>
        <v>32</v>
      </c>
      <c r="V299" s="7">
        <v>1990</v>
      </c>
      <c r="W299" t="s">
        <v>7491</v>
      </c>
      <c r="X299" s="2">
        <v>3.6880000000000002</v>
      </c>
      <c r="Y299" s="6">
        <f t="shared" si="38"/>
        <v>9.8449053682496471E-2</v>
      </c>
      <c r="AA299">
        <v>319007</v>
      </c>
      <c r="AB299">
        <v>29150</v>
      </c>
      <c r="AD299" t="s">
        <v>5</v>
      </c>
      <c r="AE299">
        <v>65</v>
      </c>
      <c r="AF299">
        <v>26</v>
      </c>
      <c r="AH299" t="s">
        <v>7490</v>
      </c>
      <c r="AI299" t="s">
        <v>7489</v>
      </c>
      <c r="AK299" t="s">
        <v>7488</v>
      </c>
      <c r="AL299">
        <v>20</v>
      </c>
      <c r="AM299" s="5">
        <f t="shared" si="34"/>
        <v>0.625</v>
      </c>
      <c r="AN299" s="4">
        <f t="shared" si="39"/>
        <v>9.4661113214691405E-4</v>
      </c>
      <c r="AO299" s="3"/>
      <c r="AP299">
        <v>0</v>
      </c>
      <c r="AR299" t="s">
        <v>0</v>
      </c>
      <c r="AT299" s="2">
        <v>9.1609999999999996</v>
      </c>
      <c r="AU299" s="1">
        <f t="shared" si="35"/>
        <v>6.9198320917391598</v>
      </c>
      <c r="AV299" s="1">
        <f t="shared" si="36"/>
        <v>4.9697832407321698</v>
      </c>
      <c r="AW299" s="1">
        <f t="shared" si="37"/>
        <v>3.019734389725178</v>
      </c>
    </row>
    <row r="300" spans="1:49" x14ac:dyDescent="0.2">
      <c r="A300">
        <v>298</v>
      </c>
      <c r="B300" t="s">
        <v>7487</v>
      </c>
      <c r="C300" t="s">
        <v>7486</v>
      </c>
      <c r="D300" t="s">
        <v>7485</v>
      </c>
      <c r="F300" t="s">
        <v>7484</v>
      </c>
      <c r="G300" t="s">
        <v>14</v>
      </c>
      <c r="H300" t="s">
        <v>13</v>
      </c>
      <c r="I300" t="s">
        <v>7483</v>
      </c>
      <c r="J300" t="s">
        <v>7478</v>
      </c>
      <c r="K300" t="s">
        <v>7482</v>
      </c>
      <c r="L300" t="s">
        <v>7481</v>
      </c>
      <c r="M300" t="s">
        <v>580</v>
      </c>
      <c r="N300">
        <v>2</v>
      </c>
      <c r="O300" t="s">
        <v>7480</v>
      </c>
      <c r="P300" t="s">
        <v>7479</v>
      </c>
      <c r="Q300" t="s">
        <v>7478</v>
      </c>
      <c r="R300" s="7">
        <v>32874</v>
      </c>
      <c r="S300" s="8">
        <f t="shared" si="32"/>
        <v>1990</v>
      </c>
      <c r="T300" s="8">
        <v>1990</v>
      </c>
      <c r="U300" s="8">
        <f t="shared" si="33"/>
        <v>32</v>
      </c>
      <c r="V300" s="7">
        <v>32994</v>
      </c>
      <c r="W300" t="s">
        <v>7477</v>
      </c>
      <c r="X300" s="2">
        <v>0.51500000000000001</v>
      </c>
      <c r="Y300" s="6">
        <f t="shared" si="38"/>
        <v>1.374763086943755E-2</v>
      </c>
      <c r="AA300">
        <v>219169</v>
      </c>
      <c r="AB300">
        <v>30966</v>
      </c>
      <c r="AD300" t="s">
        <v>5</v>
      </c>
      <c r="AE300">
        <v>52</v>
      </c>
      <c r="AF300">
        <v>5</v>
      </c>
      <c r="AH300" t="s">
        <v>7476</v>
      </c>
      <c r="AI300" t="s">
        <v>7475</v>
      </c>
      <c r="AK300" t="s">
        <v>7474</v>
      </c>
      <c r="AL300">
        <v>10</v>
      </c>
      <c r="AM300" s="5">
        <f t="shared" si="34"/>
        <v>0.3125</v>
      </c>
      <c r="AN300" s="4">
        <f t="shared" si="39"/>
        <v>4.7330556607345703E-4</v>
      </c>
      <c r="AO300" s="3"/>
      <c r="AP300">
        <v>0</v>
      </c>
      <c r="AR300" t="s">
        <v>0</v>
      </c>
      <c r="AT300" s="2" t="s">
        <v>126</v>
      </c>
      <c r="AU300" s="1">
        <f t="shared" si="35"/>
        <v>0.97653332784283209</v>
      </c>
      <c r="AV300" s="1">
        <f t="shared" si="36"/>
        <v>0.71104682177555034</v>
      </c>
      <c r="AW300" s="1">
        <f t="shared" si="37"/>
        <v>0.44556031570826854</v>
      </c>
    </row>
    <row r="301" spans="1:49" x14ac:dyDescent="0.2">
      <c r="A301">
        <v>299</v>
      </c>
      <c r="B301" t="s">
        <v>7473</v>
      </c>
      <c r="C301" t="s">
        <v>7472</v>
      </c>
      <c r="F301" t="s">
        <v>7471</v>
      </c>
      <c r="G301" t="s">
        <v>14</v>
      </c>
      <c r="H301" t="s">
        <v>13</v>
      </c>
      <c r="I301" t="s">
        <v>7470</v>
      </c>
      <c r="J301">
        <v>60022002</v>
      </c>
      <c r="K301" t="s">
        <v>7469</v>
      </c>
      <c r="L301" t="s">
        <v>7468</v>
      </c>
      <c r="M301" t="s">
        <v>7467</v>
      </c>
      <c r="N301">
        <v>2</v>
      </c>
      <c r="O301" t="s">
        <v>7466</v>
      </c>
      <c r="P301" t="s">
        <v>7465</v>
      </c>
      <c r="Q301" t="s">
        <v>7464</v>
      </c>
      <c r="R301" s="7">
        <v>32874</v>
      </c>
      <c r="S301" s="8">
        <f t="shared" si="32"/>
        <v>1990</v>
      </c>
      <c r="T301" s="8">
        <v>1990</v>
      </c>
      <c r="U301" s="8">
        <f t="shared" si="33"/>
        <v>32</v>
      </c>
      <c r="V301" s="7">
        <v>32874</v>
      </c>
      <c r="W301" t="s">
        <v>1380</v>
      </c>
      <c r="X301" s="2">
        <v>0.375</v>
      </c>
      <c r="Y301" s="6">
        <f t="shared" si="38"/>
        <v>1.0010410827260351E-2</v>
      </c>
      <c r="AA301">
        <v>135194</v>
      </c>
      <c r="AB301">
        <v>24918</v>
      </c>
      <c r="AD301" t="s">
        <v>5</v>
      </c>
      <c r="AE301">
        <v>26</v>
      </c>
      <c r="AF301">
        <v>23</v>
      </c>
      <c r="AH301" t="s">
        <v>7463</v>
      </c>
      <c r="AI301" t="s">
        <v>7462</v>
      </c>
      <c r="AJ301" t="s">
        <v>7461</v>
      </c>
      <c r="AK301" t="s">
        <v>7460</v>
      </c>
      <c r="AL301">
        <v>3</v>
      </c>
      <c r="AM301" s="5">
        <f t="shared" si="34"/>
        <v>9.375E-2</v>
      </c>
      <c r="AN301" s="4">
        <f t="shared" si="39"/>
        <v>1.4199166982203711E-4</v>
      </c>
      <c r="AO301" s="3"/>
      <c r="AP301">
        <v>0</v>
      </c>
      <c r="AR301" t="s">
        <v>0</v>
      </c>
      <c r="AT301" s="2">
        <v>1.3140000000000001</v>
      </c>
      <c r="AU301" s="1">
        <f t="shared" si="35"/>
        <v>0.70498850800288559</v>
      </c>
      <c r="AV301" s="1">
        <f t="shared" si="36"/>
        <v>0.50762012485411945</v>
      </c>
      <c r="AW301" s="1">
        <f t="shared" si="37"/>
        <v>0.31025174170535308</v>
      </c>
    </row>
    <row r="302" spans="1:49" x14ac:dyDescent="0.2">
      <c r="A302">
        <v>300</v>
      </c>
      <c r="B302" t="s">
        <v>7459</v>
      </c>
      <c r="C302" t="s">
        <v>7458</v>
      </c>
      <c r="F302" t="s">
        <v>7457</v>
      </c>
      <c r="G302" t="s">
        <v>14</v>
      </c>
      <c r="H302" t="s">
        <v>13</v>
      </c>
      <c r="I302" t="s">
        <v>7456</v>
      </c>
      <c r="J302">
        <v>100534611</v>
      </c>
      <c r="K302" t="s">
        <v>7455</v>
      </c>
      <c r="L302" t="s">
        <v>2449</v>
      </c>
      <c r="M302" t="s">
        <v>1141</v>
      </c>
      <c r="N302">
        <v>1</v>
      </c>
      <c r="O302" t="s">
        <v>7454</v>
      </c>
      <c r="P302">
        <v>6602730459</v>
      </c>
      <c r="Q302">
        <v>100534611</v>
      </c>
      <c r="R302" s="7">
        <v>32874</v>
      </c>
      <c r="S302" s="8">
        <f t="shared" si="32"/>
        <v>1990</v>
      </c>
      <c r="T302" s="8">
        <v>1990</v>
      </c>
      <c r="U302" s="8">
        <f t="shared" si="33"/>
        <v>32</v>
      </c>
      <c r="V302" s="7">
        <v>1990</v>
      </c>
      <c r="W302" t="s">
        <v>1380</v>
      </c>
      <c r="X302" s="2">
        <v>0.375</v>
      </c>
      <c r="Y302" s="6">
        <f t="shared" si="38"/>
        <v>1.0010410827260351E-2</v>
      </c>
      <c r="AA302">
        <v>135194</v>
      </c>
      <c r="AB302">
        <v>24918</v>
      </c>
      <c r="AD302" t="s">
        <v>5</v>
      </c>
      <c r="AE302">
        <v>26</v>
      </c>
      <c r="AF302">
        <v>12</v>
      </c>
      <c r="AH302" t="s">
        <v>7453</v>
      </c>
      <c r="AI302" t="s">
        <v>7452</v>
      </c>
      <c r="AJ302" t="s">
        <v>7451</v>
      </c>
      <c r="AK302" t="s">
        <v>7450</v>
      </c>
      <c r="AL302">
        <v>1</v>
      </c>
      <c r="AM302" s="5">
        <f t="shared" si="34"/>
        <v>3.125E-2</v>
      </c>
      <c r="AN302" s="4">
        <f t="shared" si="39"/>
        <v>4.73305566073457E-5</v>
      </c>
      <c r="AO302" s="3"/>
      <c r="AP302">
        <v>0</v>
      </c>
      <c r="AR302" t="s">
        <v>0</v>
      </c>
      <c r="AT302" s="2">
        <v>1.3140000000000001</v>
      </c>
      <c r="AU302" s="1">
        <f t="shared" si="35"/>
        <v>0.70214867460644492</v>
      </c>
      <c r="AV302" s="1">
        <f t="shared" si="36"/>
        <v>0.50288706919338488</v>
      </c>
      <c r="AW302" s="1">
        <f t="shared" si="37"/>
        <v>0.30362546378032473</v>
      </c>
    </row>
    <row r="303" spans="1:49" x14ac:dyDescent="0.2">
      <c r="A303">
        <v>301</v>
      </c>
      <c r="B303" t="s">
        <v>7449</v>
      </c>
      <c r="C303" t="s">
        <v>7448</v>
      </c>
      <c r="F303" t="s">
        <v>7447</v>
      </c>
      <c r="G303" t="s">
        <v>14</v>
      </c>
      <c r="H303" t="s">
        <v>13</v>
      </c>
      <c r="I303" t="s">
        <v>7446</v>
      </c>
      <c r="J303">
        <v>60011410</v>
      </c>
      <c r="K303" t="s">
        <v>1888</v>
      </c>
      <c r="L303" t="s">
        <v>1887</v>
      </c>
      <c r="M303" t="s">
        <v>197</v>
      </c>
      <c r="N303">
        <v>2</v>
      </c>
      <c r="O303" t="s">
        <v>7445</v>
      </c>
      <c r="P303" t="s">
        <v>7444</v>
      </c>
      <c r="Q303" t="s">
        <v>1884</v>
      </c>
      <c r="R303" s="7">
        <v>32874</v>
      </c>
      <c r="S303" s="8">
        <f t="shared" si="32"/>
        <v>1990</v>
      </c>
      <c r="T303" s="8">
        <v>1990</v>
      </c>
      <c r="U303" s="8">
        <f t="shared" si="33"/>
        <v>32</v>
      </c>
      <c r="V303" s="7">
        <v>1990</v>
      </c>
      <c r="W303" t="s">
        <v>1380</v>
      </c>
      <c r="X303" s="2">
        <v>0.375</v>
      </c>
      <c r="Y303" s="6">
        <f t="shared" si="38"/>
        <v>1.0010410827260351E-2</v>
      </c>
      <c r="AA303">
        <v>135194</v>
      </c>
      <c r="AB303">
        <v>24918</v>
      </c>
      <c r="AD303" t="s">
        <v>5</v>
      </c>
      <c r="AE303">
        <v>26</v>
      </c>
      <c r="AF303">
        <v>12</v>
      </c>
      <c r="AH303" t="s">
        <v>7443</v>
      </c>
      <c r="AI303" t="s">
        <v>7442</v>
      </c>
      <c r="AJ303" t="s">
        <v>7441</v>
      </c>
      <c r="AK303" t="s">
        <v>7440</v>
      </c>
      <c r="AL303">
        <v>12</v>
      </c>
      <c r="AM303" s="5">
        <f t="shared" si="34"/>
        <v>0.375</v>
      </c>
      <c r="AN303" s="4">
        <f t="shared" si="39"/>
        <v>5.6796667928814845E-4</v>
      </c>
      <c r="AO303" s="3"/>
      <c r="AP303">
        <v>0</v>
      </c>
      <c r="AR303" t="s">
        <v>0</v>
      </c>
      <c r="AT303" s="2">
        <v>1.3140000000000001</v>
      </c>
      <c r="AU303" s="1">
        <f t="shared" si="35"/>
        <v>0.71776775828686901</v>
      </c>
      <c r="AV303" s="1">
        <f t="shared" si="36"/>
        <v>0.52891887532742499</v>
      </c>
      <c r="AW303" s="1">
        <f t="shared" si="37"/>
        <v>0.34006999236798091</v>
      </c>
    </row>
    <row r="304" spans="1:49" x14ac:dyDescent="0.2">
      <c r="A304">
        <v>302</v>
      </c>
      <c r="B304" t="s">
        <v>7439</v>
      </c>
      <c r="C304" t="s">
        <v>7438</v>
      </c>
      <c r="F304" t="s">
        <v>7437</v>
      </c>
      <c r="G304" t="s">
        <v>14</v>
      </c>
      <c r="H304" t="s">
        <v>13</v>
      </c>
      <c r="I304" t="s">
        <v>7436</v>
      </c>
      <c r="J304" t="s">
        <v>7435</v>
      </c>
      <c r="K304" t="s">
        <v>7434</v>
      </c>
      <c r="L304" t="s">
        <v>7433</v>
      </c>
      <c r="M304" t="s">
        <v>84</v>
      </c>
      <c r="N304">
        <v>5</v>
      </c>
      <c r="O304" t="s">
        <v>7432</v>
      </c>
      <c r="P304" t="s">
        <v>7431</v>
      </c>
      <c r="Q304" t="s">
        <v>7430</v>
      </c>
      <c r="R304" s="7">
        <v>32874</v>
      </c>
      <c r="S304" s="8">
        <f t="shared" si="32"/>
        <v>1990</v>
      </c>
      <c r="T304" s="8">
        <v>1990</v>
      </c>
      <c r="U304" s="8">
        <f t="shared" si="33"/>
        <v>32</v>
      </c>
      <c r="V304" s="7">
        <v>1990</v>
      </c>
      <c r="W304" t="s">
        <v>1380</v>
      </c>
      <c r="X304" s="2">
        <v>0.375</v>
      </c>
      <c r="Y304" s="6">
        <f t="shared" si="38"/>
        <v>1.0010410827260351E-2</v>
      </c>
      <c r="AA304">
        <v>135194</v>
      </c>
      <c r="AB304">
        <v>24918</v>
      </c>
      <c r="AD304" t="s">
        <v>5</v>
      </c>
      <c r="AE304">
        <v>26</v>
      </c>
      <c r="AF304">
        <v>12</v>
      </c>
      <c r="AH304" t="s">
        <v>7429</v>
      </c>
      <c r="AI304" t="s">
        <v>7428</v>
      </c>
      <c r="AJ304" t="s">
        <v>7427</v>
      </c>
      <c r="AK304" t="s">
        <v>7426</v>
      </c>
      <c r="AL304">
        <v>15</v>
      </c>
      <c r="AM304" s="5">
        <f t="shared" si="34"/>
        <v>0.46875</v>
      </c>
      <c r="AN304" s="4">
        <f t="shared" si="39"/>
        <v>7.0995834911018554E-4</v>
      </c>
      <c r="AO304" s="3"/>
      <c r="AP304">
        <v>0</v>
      </c>
      <c r="AR304" t="s">
        <v>0</v>
      </c>
      <c r="AT304" s="2">
        <v>1.3140000000000001</v>
      </c>
      <c r="AU304" s="1">
        <f t="shared" si="35"/>
        <v>0.72202750838153007</v>
      </c>
      <c r="AV304" s="1">
        <f t="shared" si="36"/>
        <v>0.53601845881852683</v>
      </c>
      <c r="AW304" s="1">
        <f t="shared" si="37"/>
        <v>0.35000940925552348</v>
      </c>
    </row>
    <row r="305" spans="1:49" x14ac:dyDescent="0.2">
      <c r="A305">
        <v>303</v>
      </c>
      <c r="B305" t="s">
        <v>7425</v>
      </c>
      <c r="C305" t="s">
        <v>7424</v>
      </c>
      <c r="F305" t="s">
        <v>7423</v>
      </c>
      <c r="G305" t="s">
        <v>14</v>
      </c>
      <c r="H305" t="s">
        <v>13</v>
      </c>
      <c r="I305" t="s">
        <v>4200</v>
      </c>
      <c r="J305">
        <v>60020547</v>
      </c>
      <c r="K305" t="s">
        <v>456</v>
      </c>
      <c r="L305" t="s">
        <v>455</v>
      </c>
      <c r="M305" t="s">
        <v>197</v>
      </c>
      <c r="N305">
        <v>2</v>
      </c>
      <c r="O305" t="s">
        <v>7422</v>
      </c>
      <c r="P305" t="s">
        <v>4198</v>
      </c>
      <c r="Q305" t="s">
        <v>734</v>
      </c>
      <c r="R305" s="7">
        <v>32874</v>
      </c>
      <c r="S305" s="8">
        <f t="shared" si="32"/>
        <v>1990</v>
      </c>
      <c r="T305" s="8">
        <v>1990</v>
      </c>
      <c r="U305" s="8">
        <f t="shared" si="33"/>
        <v>32</v>
      </c>
      <c r="V305" s="7">
        <v>1990</v>
      </c>
      <c r="W305" t="s">
        <v>1380</v>
      </c>
      <c r="X305" s="2">
        <v>0.375</v>
      </c>
      <c r="Y305" s="6">
        <f t="shared" si="38"/>
        <v>1.0010410827260351E-2</v>
      </c>
      <c r="AA305">
        <v>135194</v>
      </c>
      <c r="AB305">
        <v>24918</v>
      </c>
      <c r="AD305" t="s">
        <v>5</v>
      </c>
      <c r="AE305">
        <v>26</v>
      </c>
      <c r="AF305">
        <v>12</v>
      </c>
      <c r="AH305" t="s">
        <v>7421</v>
      </c>
      <c r="AI305" t="s">
        <v>7420</v>
      </c>
      <c r="AJ305" t="s">
        <v>7419</v>
      </c>
      <c r="AK305" t="s">
        <v>7418</v>
      </c>
      <c r="AL305">
        <v>13</v>
      </c>
      <c r="AM305" s="5">
        <f t="shared" si="34"/>
        <v>0.40625</v>
      </c>
      <c r="AN305" s="4">
        <f t="shared" si="39"/>
        <v>6.1529723589549411E-4</v>
      </c>
      <c r="AO305" s="3"/>
      <c r="AP305">
        <v>0</v>
      </c>
      <c r="AR305" t="s">
        <v>0</v>
      </c>
      <c r="AT305" s="2">
        <v>1.3140000000000001</v>
      </c>
      <c r="AU305" s="1">
        <f t="shared" si="35"/>
        <v>0.7191876749850894</v>
      </c>
      <c r="AV305" s="1">
        <f t="shared" si="36"/>
        <v>0.53128540315779227</v>
      </c>
      <c r="AW305" s="1">
        <f t="shared" si="37"/>
        <v>0.34338313133049508</v>
      </c>
    </row>
    <row r="306" spans="1:49" x14ac:dyDescent="0.2">
      <c r="A306">
        <v>304</v>
      </c>
      <c r="B306" t="s">
        <v>7417</v>
      </c>
      <c r="C306" t="s">
        <v>7416</v>
      </c>
      <c r="F306" t="s">
        <v>7415</v>
      </c>
      <c r="G306" t="s">
        <v>14</v>
      </c>
      <c r="H306" t="s">
        <v>13</v>
      </c>
      <c r="I306" t="s">
        <v>7414</v>
      </c>
      <c r="J306">
        <v>60002014</v>
      </c>
      <c r="K306" t="s">
        <v>7413</v>
      </c>
      <c r="L306" t="s">
        <v>5776</v>
      </c>
      <c r="M306" t="s">
        <v>209</v>
      </c>
      <c r="N306">
        <v>1</v>
      </c>
      <c r="O306" t="s">
        <v>7412</v>
      </c>
      <c r="P306">
        <v>7102225810</v>
      </c>
      <c r="Q306">
        <v>60002014</v>
      </c>
      <c r="R306" s="7">
        <v>32874</v>
      </c>
      <c r="S306" s="8">
        <f t="shared" si="32"/>
        <v>1990</v>
      </c>
      <c r="T306" s="8">
        <v>1990</v>
      </c>
      <c r="U306" s="8">
        <f t="shared" si="33"/>
        <v>32</v>
      </c>
      <c r="V306" s="7">
        <v>32874</v>
      </c>
      <c r="W306" t="s">
        <v>1380</v>
      </c>
      <c r="X306" s="2">
        <v>0.375</v>
      </c>
      <c r="Y306" s="6">
        <f t="shared" si="38"/>
        <v>1.0010410827260351E-2</v>
      </c>
      <c r="AA306">
        <v>135194</v>
      </c>
      <c r="AB306">
        <v>24918</v>
      </c>
      <c r="AD306" t="s">
        <v>5</v>
      </c>
      <c r="AE306">
        <v>26</v>
      </c>
      <c r="AF306">
        <v>25</v>
      </c>
      <c r="AH306" t="s">
        <v>7411</v>
      </c>
      <c r="AI306" t="s">
        <v>7410</v>
      </c>
      <c r="AJ306" t="s">
        <v>7409</v>
      </c>
      <c r="AK306" t="s">
        <v>7408</v>
      </c>
      <c r="AL306">
        <v>74</v>
      </c>
      <c r="AM306" s="5">
        <f t="shared" si="34"/>
        <v>2.3125</v>
      </c>
      <c r="AN306" s="4">
        <f t="shared" si="39"/>
        <v>3.5024611889435818E-3</v>
      </c>
      <c r="AO306" s="3"/>
      <c r="AP306">
        <v>0</v>
      </c>
      <c r="AR306" t="s">
        <v>0</v>
      </c>
      <c r="AT306" s="2">
        <v>1.3140000000000001</v>
      </c>
      <c r="AU306" s="1">
        <f t="shared" si="35"/>
        <v>0.80580259357653194</v>
      </c>
      <c r="AV306" s="1">
        <f t="shared" si="36"/>
        <v>0.67564360081019659</v>
      </c>
      <c r="AW306" s="1">
        <f t="shared" si="37"/>
        <v>0.54548460804386112</v>
      </c>
    </row>
    <row r="307" spans="1:49" x14ac:dyDescent="0.2">
      <c r="A307">
        <v>305</v>
      </c>
      <c r="B307" t="s">
        <v>7407</v>
      </c>
      <c r="C307" t="s">
        <v>7406</v>
      </c>
      <c r="F307" t="s">
        <v>7405</v>
      </c>
      <c r="G307" t="s">
        <v>14</v>
      </c>
      <c r="H307" t="s">
        <v>13</v>
      </c>
      <c r="I307" t="s">
        <v>7404</v>
      </c>
      <c r="J307">
        <v>60020595</v>
      </c>
      <c r="K307" t="s">
        <v>7403</v>
      </c>
      <c r="L307" t="s">
        <v>7402</v>
      </c>
      <c r="M307" t="s">
        <v>253</v>
      </c>
      <c r="N307">
        <v>2</v>
      </c>
      <c r="O307" t="s">
        <v>7401</v>
      </c>
      <c r="P307" t="s">
        <v>7400</v>
      </c>
      <c r="Q307" t="s">
        <v>7399</v>
      </c>
      <c r="R307" s="7">
        <v>32874</v>
      </c>
      <c r="S307" s="8">
        <f t="shared" si="32"/>
        <v>1990</v>
      </c>
      <c r="T307" s="8">
        <v>1990</v>
      </c>
      <c r="U307" s="8">
        <f t="shared" si="33"/>
        <v>32</v>
      </c>
      <c r="V307" s="7">
        <v>32874</v>
      </c>
      <c r="W307" t="s">
        <v>1380</v>
      </c>
      <c r="X307" s="2">
        <v>0.375</v>
      </c>
      <c r="Y307" s="6">
        <f t="shared" si="38"/>
        <v>1.0010410827260351E-2</v>
      </c>
      <c r="AA307">
        <v>135194</v>
      </c>
      <c r="AB307">
        <v>24918</v>
      </c>
      <c r="AD307" t="s">
        <v>5</v>
      </c>
      <c r="AE307">
        <v>26</v>
      </c>
      <c r="AF307">
        <v>25</v>
      </c>
      <c r="AH307" t="s">
        <v>7398</v>
      </c>
      <c r="AI307" t="s">
        <v>7397</v>
      </c>
      <c r="AJ307" t="s">
        <v>7396</v>
      </c>
      <c r="AK307" t="s">
        <v>7395</v>
      </c>
      <c r="AL307">
        <v>3</v>
      </c>
      <c r="AM307" s="5">
        <f t="shared" si="34"/>
        <v>9.375E-2</v>
      </c>
      <c r="AN307" s="4">
        <f t="shared" si="39"/>
        <v>1.4199166982203711E-4</v>
      </c>
      <c r="AO307" s="3"/>
      <c r="AP307">
        <v>0</v>
      </c>
      <c r="AR307" t="s">
        <v>0</v>
      </c>
      <c r="AT307" s="2">
        <v>1.3140000000000001</v>
      </c>
      <c r="AU307" s="1">
        <f t="shared" si="35"/>
        <v>0.70498850800288559</v>
      </c>
      <c r="AV307" s="1">
        <f t="shared" si="36"/>
        <v>0.50762012485411945</v>
      </c>
      <c r="AW307" s="1">
        <f t="shared" si="37"/>
        <v>0.31025174170535308</v>
      </c>
    </row>
    <row r="308" spans="1:49" x14ac:dyDescent="0.2">
      <c r="A308">
        <v>306</v>
      </c>
      <c r="B308" t="s">
        <v>7394</v>
      </c>
      <c r="C308" t="s">
        <v>7393</v>
      </c>
      <c r="F308" t="s">
        <v>7392</v>
      </c>
      <c r="G308" t="s">
        <v>14</v>
      </c>
      <c r="H308" t="s">
        <v>13</v>
      </c>
      <c r="I308" t="s">
        <v>7391</v>
      </c>
      <c r="J308">
        <v>117241439</v>
      </c>
      <c r="K308" t="s">
        <v>7390</v>
      </c>
      <c r="L308" t="s">
        <v>466</v>
      </c>
      <c r="M308" t="s">
        <v>267</v>
      </c>
      <c r="N308">
        <v>4</v>
      </c>
      <c r="O308" t="s">
        <v>7389</v>
      </c>
      <c r="P308" t="s">
        <v>7388</v>
      </c>
      <c r="Q308" t="s">
        <v>7387</v>
      </c>
      <c r="R308" s="7">
        <v>32874</v>
      </c>
      <c r="S308" s="8">
        <f t="shared" si="32"/>
        <v>1990</v>
      </c>
      <c r="T308" s="8">
        <v>1990</v>
      </c>
      <c r="U308" s="8">
        <f t="shared" si="33"/>
        <v>32</v>
      </c>
      <c r="V308" s="7">
        <v>32874</v>
      </c>
      <c r="W308" t="s">
        <v>1380</v>
      </c>
      <c r="X308" s="2">
        <v>0.375</v>
      </c>
      <c r="Y308" s="6">
        <f t="shared" si="38"/>
        <v>1.0010410827260351E-2</v>
      </c>
      <c r="AA308">
        <v>135194</v>
      </c>
      <c r="AB308">
        <v>24918</v>
      </c>
      <c r="AD308" t="s">
        <v>5</v>
      </c>
      <c r="AE308">
        <v>26</v>
      </c>
      <c r="AF308">
        <v>25</v>
      </c>
      <c r="AH308" t="s">
        <v>7386</v>
      </c>
      <c r="AI308" t="s">
        <v>7385</v>
      </c>
      <c r="AJ308" t="s">
        <v>7384</v>
      </c>
      <c r="AK308" t="s">
        <v>7383</v>
      </c>
      <c r="AL308">
        <v>0</v>
      </c>
      <c r="AM308" s="5">
        <f t="shared" si="34"/>
        <v>0</v>
      </c>
      <c r="AN308" s="4">
        <f t="shared" si="39"/>
        <v>0</v>
      </c>
      <c r="AO308" s="3"/>
      <c r="AP308">
        <v>0</v>
      </c>
      <c r="AR308" t="s">
        <v>0</v>
      </c>
      <c r="AT308" s="2">
        <v>1.3140000000000001</v>
      </c>
      <c r="AU308" s="1">
        <f t="shared" si="35"/>
        <v>0.70072875790822453</v>
      </c>
      <c r="AV308" s="1">
        <f t="shared" si="36"/>
        <v>0.5005205413630176</v>
      </c>
      <c r="AW308" s="1">
        <f t="shared" si="37"/>
        <v>0.30031232481781051</v>
      </c>
    </row>
    <row r="309" spans="1:49" x14ac:dyDescent="0.2">
      <c r="A309">
        <v>307</v>
      </c>
      <c r="B309" t="s">
        <v>7382</v>
      </c>
      <c r="C309" t="s">
        <v>7381</v>
      </c>
      <c r="F309" t="s">
        <v>7380</v>
      </c>
      <c r="G309" t="s">
        <v>14</v>
      </c>
      <c r="H309" t="s">
        <v>13</v>
      </c>
      <c r="I309" t="s">
        <v>4555</v>
      </c>
      <c r="J309">
        <v>60031828</v>
      </c>
      <c r="K309" t="s">
        <v>6383</v>
      </c>
      <c r="L309" t="s">
        <v>6382</v>
      </c>
      <c r="M309" t="s">
        <v>1937</v>
      </c>
      <c r="N309">
        <v>4</v>
      </c>
      <c r="O309" t="s">
        <v>7379</v>
      </c>
      <c r="P309" t="s">
        <v>7378</v>
      </c>
      <c r="Q309" t="s">
        <v>6379</v>
      </c>
      <c r="R309" s="7">
        <v>32874</v>
      </c>
      <c r="S309" s="8">
        <f t="shared" si="32"/>
        <v>1990</v>
      </c>
      <c r="T309" s="8">
        <v>1990</v>
      </c>
      <c r="U309" s="8">
        <f t="shared" si="33"/>
        <v>32</v>
      </c>
      <c r="V309" s="7">
        <v>33147</v>
      </c>
      <c r="W309" t="s">
        <v>1380</v>
      </c>
      <c r="X309" s="2">
        <v>0.375</v>
      </c>
      <c r="Y309" s="6">
        <f t="shared" si="38"/>
        <v>1.0010410827260351E-2</v>
      </c>
      <c r="AA309">
        <v>135194</v>
      </c>
      <c r="AB309">
        <v>24918</v>
      </c>
      <c r="AD309" t="s">
        <v>5</v>
      </c>
      <c r="AE309">
        <v>26</v>
      </c>
      <c r="AF309">
        <v>25</v>
      </c>
      <c r="AH309" t="s">
        <v>7377</v>
      </c>
      <c r="AI309" t="s">
        <v>7376</v>
      </c>
      <c r="AJ309" t="s">
        <v>3432</v>
      </c>
      <c r="AK309" t="s">
        <v>7375</v>
      </c>
      <c r="AL309">
        <v>64</v>
      </c>
      <c r="AM309" s="5">
        <f t="shared" si="34"/>
        <v>2</v>
      </c>
      <c r="AN309" s="4">
        <f t="shared" si="39"/>
        <v>3.0291556228701248E-3</v>
      </c>
      <c r="AO309" s="3"/>
      <c r="AP309">
        <v>0</v>
      </c>
      <c r="AR309" t="s">
        <v>0</v>
      </c>
      <c r="AT309" s="2">
        <v>1.3140000000000001</v>
      </c>
      <c r="AU309" s="1">
        <f t="shared" si="35"/>
        <v>0.79160342659432836</v>
      </c>
      <c r="AV309" s="1">
        <f t="shared" si="36"/>
        <v>0.65197832250652388</v>
      </c>
      <c r="AW309" s="1">
        <f t="shared" si="37"/>
        <v>0.51235321841871928</v>
      </c>
    </row>
    <row r="310" spans="1:49" x14ac:dyDescent="0.2">
      <c r="A310">
        <v>308</v>
      </c>
      <c r="B310" t="s">
        <v>7374</v>
      </c>
      <c r="C310" t="s">
        <v>7373</v>
      </c>
      <c r="F310" t="s">
        <v>7372</v>
      </c>
      <c r="G310" t="s">
        <v>14</v>
      </c>
      <c r="H310" t="s">
        <v>13</v>
      </c>
      <c r="I310" t="s">
        <v>7371</v>
      </c>
      <c r="J310" t="s">
        <v>3378</v>
      </c>
      <c r="K310" t="s">
        <v>3377</v>
      </c>
      <c r="L310" t="s">
        <v>3376</v>
      </c>
      <c r="M310" t="s">
        <v>84</v>
      </c>
      <c r="N310">
        <v>3</v>
      </c>
      <c r="O310" t="s">
        <v>7370</v>
      </c>
      <c r="P310" t="s">
        <v>7369</v>
      </c>
      <c r="Q310" t="s">
        <v>7368</v>
      </c>
      <c r="R310" s="7">
        <v>32874</v>
      </c>
      <c r="S310" s="8">
        <f t="shared" si="32"/>
        <v>1990</v>
      </c>
      <c r="T310" s="8">
        <v>1990</v>
      </c>
      <c r="U310" s="8">
        <f t="shared" si="33"/>
        <v>32</v>
      </c>
      <c r="V310" s="7">
        <v>32874</v>
      </c>
      <c r="W310" t="s">
        <v>1380</v>
      </c>
      <c r="X310" s="2">
        <v>0.375</v>
      </c>
      <c r="Y310" s="6">
        <f t="shared" si="38"/>
        <v>1.0010410827260351E-2</v>
      </c>
      <c r="AA310">
        <v>135194</v>
      </c>
      <c r="AB310">
        <v>24918</v>
      </c>
      <c r="AD310" t="s">
        <v>5</v>
      </c>
      <c r="AE310">
        <v>26</v>
      </c>
      <c r="AF310">
        <v>25</v>
      </c>
      <c r="AH310" t="s">
        <v>7367</v>
      </c>
      <c r="AI310" t="s">
        <v>7366</v>
      </c>
      <c r="AJ310" t="s">
        <v>3370</v>
      </c>
      <c r="AK310" t="s">
        <v>7365</v>
      </c>
      <c r="AL310">
        <v>22</v>
      </c>
      <c r="AM310" s="5">
        <f t="shared" si="34"/>
        <v>0.6875</v>
      </c>
      <c r="AN310" s="4">
        <f t="shared" si="39"/>
        <v>1.0412722453616054E-3</v>
      </c>
      <c r="AO310" s="3"/>
      <c r="AP310">
        <v>0</v>
      </c>
      <c r="AR310" t="s">
        <v>0</v>
      </c>
      <c r="AT310" s="2">
        <v>1.3140000000000001</v>
      </c>
      <c r="AU310" s="1">
        <f t="shared" si="35"/>
        <v>0.73196692526907281</v>
      </c>
      <c r="AV310" s="1">
        <f t="shared" si="36"/>
        <v>0.55258415363109781</v>
      </c>
      <c r="AW310" s="1">
        <f t="shared" si="37"/>
        <v>0.37320138199312292</v>
      </c>
    </row>
    <row r="311" spans="1:49" x14ac:dyDescent="0.2">
      <c r="A311">
        <v>309</v>
      </c>
      <c r="B311" t="s">
        <v>7364</v>
      </c>
      <c r="C311" t="s">
        <v>7363</v>
      </c>
      <c r="F311" t="s">
        <v>7362</v>
      </c>
      <c r="G311" t="s">
        <v>14</v>
      </c>
      <c r="H311" t="s">
        <v>13</v>
      </c>
      <c r="I311" t="s">
        <v>1568</v>
      </c>
      <c r="J311">
        <v>60005510</v>
      </c>
      <c r="K311" t="s">
        <v>1567</v>
      </c>
      <c r="L311" t="s">
        <v>1566</v>
      </c>
      <c r="M311" t="s">
        <v>1565</v>
      </c>
      <c r="N311">
        <v>1</v>
      </c>
      <c r="O311" t="s">
        <v>1564</v>
      </c>
      <c r="P311">
        <v>7102842938</v>
      </c>
      <c r="Q311">
        <v>60005510</v>
      </c>
      <c r="R311" s="7">
        <v>32874</v>
      </c>
      <c r="S311" s="8">
        <f t="shared" si="32"/>
        <v>1990</v>
      </c>
      <c r="T311" s="8">
        <v>1990</v>
      </c>
      <c r="U311" s="8">
        <f t="shared" si="33"/>
        <v>32</v>
      </c>
      <c r="V311" s="7">
        <v>32874</v>
      </c>
      <c r="W311" t="s">
        <v>1380</v>
      </c>
      <c r="X311" s="2">
        <v>0.375</v>
      </c>
      <c r="Y311" s="6">
        <f t="shared" si="38"/>
        <v>1.0010410827260351E-2</v>
      </c>
      <c r="AA311">
        <v>135194</v>
      </c>
      <c r="AB311">
        <v>24918</v>
      </c>
      <c r="AD311" t="s">
        <v>5</v>
      </c>
      <c r="AE311">
        <v>26</v>
      </c>
      <c r="AF311">
        <v>25</v>
      </c>
      <c r="AH311" t="s">
        <v>7361</v>
      </c>
      <c r="AI311" t="s">
        <v>7360</v>
      </c>
      <c r="AJ311" t="s">
        <v>7359</v>
      </c>
      <c r="AK311" t="s">
        <v>7358</v>
      </c>
      <c r="AL311">
        <v>0</v>
      </c>
      <c r="AM311" s="5">
        <f t="shared" si="34"/>
        <v>0</v>
      </c>
      <c r="AN311" s="4">
        <f t="shared" si="39"/>
        <v>0</v>
      </c>
      <c r="AO311" s="3"/>
      <c r="AP311">
        <v>0</v>
      </c>
      <c r="AR311" t="s">
        <v>0</v>
      </c>
      <c r="AT311" s="2">
        <v>1.3140000000000001</v>
      </c>
      <c r="AU311" s="1">
        <f t="shared" si="35"/>
        <v>0.70072875790822453</v>
      </c>
      <c r="AV311" s="1">
        <f t="shared" si="36"/>
        <v>0.5005205413630176</v>
      </c>
      <c r="AW311" s="1">
        <f t="shared" si="37"/>
        <v>0.30031232481781051</v>
      </c>
    </row>
    <row r="312" spans="1:49" x14ac:dyDescent="0.2">
      <c r="A312">
        <v>310</v>
      </c>
      <c r="B312" t="s">
        <v>7357</v>
      </c>
      <c r="C312" t="s">
        <v>7356</v>
      </c>
      <c r="F312" t="s">
        <v>7355</v>
      </c>
      <c r="G312" t="s">
        <v>14</v>
      </c>
      <c r="H312" t="s">
        <v>13</v>
      </c>
      <c r="I312" t="s">
        <v>1902</v>
      </c>
      <c r="J312">
        <v>60030000</v>
      </c>
      <c r="K312" t="s">
        <v>1901</v>
      </c>
      <c r="L312" t="s">
        <v>1900</v>
      </c>
      <c r="M312" t="s">
        <v>1224</v>
      </c>
      <c r="N312">
        <v>2</v>
      </c>
      <c r="O312" t="s">
        <v>7354</v>
      </c>
      <c r="P312" t="s">
        <v>7353</v>
      </c>
      <c r="Q312" t="s">
        <v>1897</v>
      </c>
      <c r="R312" s="7">
        <v>32874</v>
      </c>
      <c r="S312" s="8">
        <f t="shared" si="32"/>
        <v>1990</v>
      </c>
      <c r="T312" s="8">
        <v>1990</v>
      </c>
      <c r="U312" s="8">
        <f t="shared" si="33"/>
        <v>32</v>
      </c>
      <c r="V312" s="7">
        <v>1990</v>
      </c>
      <c r="W312" t="s">
        <v>1380</v>
      </c>
      <c r="X312" s="2">
        <v>0.375</v>
      </c>
      <c r="Y312" s="6">
        <f t="shared" si="38"/>
        <v>1.0010410827260351E-2</v>
      </c>
      <c r="AA312">
        <v>135194</v>
      </c>
      <c r="AB312">
        <v>24918</v>
      </c>
      <c r="AD312" t="s">
        <v>5</v>
      </c>
      <c r="AE312">
        <v>26</v>
      </c>
      <c r="AF312">
        <v>1</v>
      </c>
      <c r="AH312" t="s">
        <v>7352</v>
      </c>
      <c r="AI312" t="s">
        <v>7351</v>
      </c>
      <c r="AJ312" t="s">
        <v>7350</v>
      </c>
      <c r="AK312" t="s">
        <v>7349</v>
      </c>
      <c r="AL312">
        <v>1</v>
      </c>
      <c r="AM312" s="5">
        <f t="shared" si="34"/>
        <v>3.125E-2</v>
      </c>
      <c r="AN312" s="4">
        <f t="shared" si="39"/>
        <v>4.73305566073457E-5</v>
      </c>
      <c r="AO312" s="3"/>
      <c r="AP312">
        <v>0</v>
      </c>
      <c r="AR312" t="s">
        <v>0</v>
      </c>
      <c r="AT312" s="2">
        <v>1.3140000000000001</v>
      </c>
      <c r="AU312" s="1">
        <f t="shared" si="35"/>
        <v>0.70214867460644492</v>
      </c>
      <c r="AV312" s="1">
        <f t="shared" si="36"/>
        <v>0.50288706919338488</v>
      </c>
      <c r="AW312" s="1">
        <f t="shared" si="37"/>
        <v>0.30362546378032473</v>
      </c>
    </row>
    <row r="313" spans="1:49" x14ac:dyDescent="0.2">
      <c r="A313">
        <v>311</v>
      </c>
      <c r="B313" t="s">
        <v>7348</v>
      </c>
      <c r="C313" t="s">
        <v>7347</v>
      </c>
      <c r="F313" t="s">
        <v>7346</v>
      </c>
      <c r="G313" t="s">
        <v>14</v>
      </c>
      <c r="H313" t="s">
        <v>13</v>
      </c>
      <c r="I313" t="s">
        <v>7345</v>
      </c>
      <c r="J313" t="s">
        <v>7344</v>
      </c>
      <c r="K313" t="s">
        <v>7343</v>
      </c>
      <c r="L313" t="s">
        <v>7342</v>
      </c>
      <c r="M313" t="s">
        <v>237</v>
      </c>
      <c r="N313">
        <v>2</v>
      </c>
      <c r="O313" t="s">
        <v>7341</v>
      </c>
      <c r="P313" t="s">
        <v>7340</v>
      </c>
      <c r="Q313" t="s">
        <v>7339</v>
      </c>
      <c r="R313" s="7">
        <v>32874</v>
      </c>
      <c r="S313" s="8">
        <f t="shared" si="32"/>
        <v>1990</v>
      </c>
      <c r="T313" s="8">
        <v>1990</v>
      </c>
      <c r="U313" s="8">
        <f t="shared" si="33"/>
        <v>32</v>
      </c>
      <c r="V313" s="7">
        <v>1990</v>
      </c>
      <c r="W313" t="s">
        <v>1380</v>
      </c>
      <c r="X313" s="2">
        <v>0.375</v>
      </c>
      <c r="Y313" s="6">
        <f t="shared" si="38"/>
        <v>1.0010410827260351E-2</v>
      </c>
      <c r="AA313">
        <v>135194</v>
      </c>
      <c r="AB313">
        <v>24918</v>
      </c>
      <c r="AD313" t="s">
        <v>5</v>
      </c>
      <c r="AE313">
        <v>26</v>
      </c>
      <c r="AF313">
        <v>1</v>
      </c>
      <c r="AH313" t="s">
        <v>7338</v>
      </c>
      <c r="AI313" t="s">
        <v>7337</v>
      </c>
      <c r="AJ313" t="s">
        <v>7336</v>
      </c>
      <c r="AK313" t="s">
        <v>7335</v>
      </c>
      <c r="AL313">
        <v>8</v>
      </c>
      <c r="AM313" s="5">
        <f t="shared" si="34"/>
        <v>0.25</v>
      </c>
      <c r="AN313" s="4">
        <f t="shared" si="39"/>
        <v>3.786444528587656E-4</v>
      </c>
      <c r="AO313" s="3"/>
      <c r="AP313">
        <v>0</v>
      </c>
      <c r="AR313" t="s">
        <v>0</v>
      </c>
      <c r="AT313" s="2">
        <v>1.3140000000000001</v>
      </c>
      <c r="AU313" s="1">
        <f t="shared" si="35"/>
        <v>0.71208809149398755</v>
      </c>
      <c r="AV313" s="1">
        <f t="shared" si="36"/>
        <v>0.51945276400595586</v>
      </c>
      <c r="AW313" s="1">
        <f t="shared" si="37"/>
        <v>0.32681743651792411</v>
      </c>
    </row>
    <row r="314" spans="1:49" x14ac:dyDescent="0.2">
      <c r="A314">
        <v>312</v>
      </c>
      <c r="B314" t="s">
        <v>7334</v>
      </c>
      <c r="C314" t="s">
        <v>7333</v>
      </c>
      <c r="F314" t="s">
        <v>7332</v>
      </c>
      <c r="G314" t="s">
        <v>14</v>
      </c>
      <c r="H314" t="s">
        <v>13</v>
      </c>
      <c r="I314" t="s">
        <v>7331</v>
      </c>
      <c r="N314">
        <v>1</v>
      </c>
      <c r="O314" t="s">
        <v>7330</v>
      </c>
      <c r="P314">
        <v>7103195054</v>
      </c>
      <c r="R314" s="7">
        <v>32874</v>
      </c>
      <c r="S314" s="8">
        <f t="shared" si="32"/>
        <v>1990</v>
      </c>
      <c r="T314" s="8">
        <v>1990</v>
      </c>
      <c r="U314" s="8">
        <f t="shared" si="33"/>
        <v>32</v>
      </c>
      <c r="V314" s="7">
        <v>1990</v>
      </c>
      <c r="W314" t="s">
        <v>1380</v>
      </c>
      <c r="X314" s="2">
        <v>0.375</v>
      </c>
      <c r="Y314" s="6">
        <f t="shared" si="38"/>
        <v>1.0010410827260351E-2</v>
      </c>
      <c r="AA314">
        <v>135194</v>
      </c>
      <c r="AB314">
        <v>24918</v>
      </c>
      <c r="AD314" t="s">
        <v>5</v>
      </c>
      <c r="AE314">
        <v>26</v>
      </c>
      <c r="AF314">
        <v>1</v>
      </c>
      <c r="AH314" t="s">
        <v>7329</v>
      </c>
      <c r="AI314" t="s">
        <v>7328</v>
      </c>
      <c r="AJ314" t="s">
        <v>7327</v>
      </c>
      <c r="AK314" t="s">
        <v>7326</v>
      </c>
      <c r="AL314">
        <v>9</v>
      </c>
      <c r="AM314" s="5">
        <f t="shared" si="34"/>
        <v>0.28125</v>
      </c>
      <c r="AN314" s="4">
        <f t="shared" si="39"/>
        <v>4.2597500946611131E-4</v>
      </c>
      <c r="AO314" s="3"/>
      <c r="AP314">
        <v>0</v>
      </c>
      <c r="AR314" t="s">
        <v>0</v>
      </c>
      <c r="AT314" s="2">
        <v>1.3140000000000001</v>
      </c>
      <c r="AU314" s="1">
        <f t="shared" si="35"/>
        <v>0.71350800819220783</v>
      </c>
      <c r="AV314" s="1">
        <f t="shared" si="36"/>
        <v>0.52181929183632314</v>
      </c>
      <c r="AW314" s="1">
        <f t="shared" si="37"/>
        <v>0.33013057548043834</v>
      </c>
    </row>
    <row r="315" spans="1:49" x14ac:dyDescent="0.2">
      <c r="A315">
        <v>313</v>
      </c>
      <c r="B315" t="s">
        <v>7325</v>
      </c>
      <c r="C315" t="s">
        <v>7324</v>
      </c>
      <c r="F315" t="s">
        <v>7323</v>
      </c>
      <c r="G315" t="s">
        <v>14</v>
      </c>
      <c r="H315" t="s">
        <v>13</v>
      </c>
      <c r="I315" t="s">
        <v>7322</v>
      </c>
      <c r="J315" t="s">
        <v>7321</v>
      </c>
      <c r="K315" t="s">
        <v>7320</v>
      </c>
      <c r="L315" t="s">
        <v>7319</v>
      </c>
      <c r="M315" t="s">
        <v>580</v>
      </c>
      <c r="N315">
        <v>2</v>
      </c>
      <c r="O315" t="s">
        <v>7318</v>
      </c>
      <c r="P315" t="s">
        <v>7317</v>
      </c>
      <c r="Q315" t="s">
        <v>7316</v>
      </c>
      <c r="R315" s="7">
        <v>32874</v>
      </c>
      <c r="S315" s="8">
        <f t="shared" si="32"/>
        <v>1990</v>
      </c>
      <c r="T315" s="8">
        <v>1990</v>
      </c>
      <c r="U315" s="8">
        <f t="shared" si="33"/>
        <v>32</v>
      </c>
      <c r="V315" s="7">
        <v>1990</v>
      </c>
      <c r="W315" t="s">
        <v>1380</v>
      </c>
      <c r="X315" s="2">
        <v>0.375</v>
      </c>
      <c r="Y315" s="6">
        <f t="shared" si="38"/>
        <v>1.0010410827260351E-2</v>
      </c>
      <c r="AA315">
        <v>135194</v>
      </c>
      <c r="AB315">
        <v>24918</v>
      </c>
      <c r="AD315" t="s">
        <v>5</v>
      </c>
      <c r="AE315">
        <v>26</v>
      </c>
      <c r="AF315">
        <v>1</v>
      </c>
      <c r="AH315" t="s">
        <v>7315</v>
      </c>
      <c r="AI315" t="s">
        <v>7314</v>
      </c>
      <c r="AJ315" t="s">
        <v>7313</v>
      </c>
      <c r="AK315" t="s">
        <v>7312</v>
      </c>
      <c r="AL315">
        <v>7</v>
      </c>
      <c r="AM315" s="5">
        <f t="shared" si="34"/>
        <v>0.21875</v>
      </c>
      <c r="AN315" s="4">
        <f t="shared" si="39"/>
        <v>3.3131389625141994E-4</v>
      </c>
      <c r="AO315" s="3"/>
      <c r="AP315">
        <v>0</v>
      </c>
      <c r="AR315" t="s">
        <v>0</v>
      </c>
      <c r="AT315" s="2">
        <v>1.3140000000000001</v>
      </c>
      <c r="AU315" s="1">
        <f t="shared" si="35"/>
        <v>0.71066817479576716</v>
      </c>
      <c r="AV315" s="1">
        <f t="shared" si="36"/>
        <v>0.51708623617558858</v>
      </c>
      <c r="AW315" s="1">
        <f t="shared" si="37"/>
        <v>0.32350429755540988</v>
      </c>
    </row>
    <row r="316" spans="1:49" x14ac:dyDescent="0.2">
      <c r="A316">
        <v>314</v>
      </c>
      <c r="B316" t="s">
        <v>7311</v>
      </c>
      <c r="C316" t="s">
        <v>7310</v>
      </c>
      <c r="D316" t="s">
        <v>7309</v>
      </c>
      <c r="F316" t="s">
        <v>7308</v>
      </c>
      <c r="G316" t="s">
        <v>14</v>
      </c>
      <c r="H316" t="s">
        <v>13</v>
      </c>
      <c r="I316" t="s">
        <v>7307</v>
      </c>
      <c r="J316" t="s">
        <v>7306</v>
      </c>
      <c r="K316" t="s">
        <v>7305</v>
      </c>
      <c r="L316" t="s">
        <v>7304</v>
      </c>
      <c r="M316" t="s">
        <v>7303</v>
      </c>
      <c r="N316">
        <v>2</v>
      </c>
      <c r="O316" t="s">
        <v>7302</v>
      </c>
      <c r="P316" t="s">
        <v>7301</v>
      </c>
      <c r="Q316" t="s">
        <v>7300</v>
      </c>
      <c r="R316" s="7">
        <v>32874</v>
      </c>
      <c r="S316" s="8">
        <f t="shared" si="32"/>
        <v>1990</v>
      </c>
      <c r="T316" s="8">
        <v>1990</v>
      </c>
      <c r="U316" s="8">
        <f t="shared" si="33"/>
        <v>32</v>
      </c>
      <c r="V316" s="7">
        <v>32905</v>
      </c>
      <c r="W316" t="s">
        <v>7299</v>
      </c>
      <c r="X316" s="2" t="s">
        <v>126</v>
      </c>
      <c r="Y316" s="6" t="e">
        <f t="shared" si="38"/>
        <v>#VALUE!</v>
      </c>
      <c r="AA316">
        <v>9244247</v>
      </c>
      <c r="AB316">
        <v>13660</v>
      </c>
      <c r="AD316" t="s">
        <v>5</v>
      </c>
      <c r="AE316">
        <v>21</v>
      </c>
      <c r="AF316" s="9">
        <v>44256</v>
      </c>
      <c r="AH316" t="s">
        <v>7298</v>
      </c>
      <c r="AI316" t="s">
        <v>7297</v>
      </c>
      <c r="AK316" t="s">
        <v>7296</v>
      </c>
      <c r="AL316">
        <v>10</v>
      </c>
      <c r="AM316" s="5">
        <f t="shared" si="34"/>
        <v>0.3125</v>
      </c>
      <c r="AN316" s="4">
        <f t="shared" si="39"/>
        <v>4.7330556607345703E-4</v>
      </c>
      <c r="AO316" s="3"/>
      <c r="AP316">
        <v>0</v>
      </c>
      <c r="AR316" t="s">
        <v>0</v>
      </c>
      <c r="AT316" s="2" t="s">
        <v>126</v>
      </c>
      <c r="AU316" s="1" t="e">
        <f t="shared" si="35"/>
        <v>#VALUE!</v>
      </c>
      <c r="AV316" s="1" t="e">
        <f t="shared" si="36"/>
        <v>#VALUE!</v>
      </c>
      <c r="AW316" s="1" t="e">
        <f t="shared" si="37"/>
        <v>#VALUE!</v>
      </c>
    </row>
    <row r="317" spans="1:49" x14ac:dyDescent="0.2">
      <c r="A317">
        <v>315</v>
      </c>
      <c r="B317" t="s">
        <v>7295</v>
      </c>
      <c r="C317" t="s">
        <v>7294</v>
      </c>
      <c r="F317" t="s">
        <v>7293</v>
      </c>
      <c r="G317" t="s">
        <v>14</v>
      </c>
      <c r="H317" t="s">
        <v>13</v>
      </c>
      <c r="I317" t="s">
        <v>7292</v>
      </c>
      <c r="J317">
        <v>60000221</v>
      </c>
      <c r="K317" t="s">
        <v>7291</v>
      </c>
      <c r="L317" t="s">
        <v>7290</v>
      </c>
      <c r="M317" t="s">
        <v>197</v>
      </c>
      <c r="N317">
        <v>2</v>
      </c>
      <c r="O317" t="s">
        <v>7289</v>
      </c>
      <c r="P317" t="s">
        <v>7288</v>
      </c>
      <c r="Q317" t="s">
        <v>7287</v>
      </c>
      <c r="R317" s="7">
        <v>32874</v>
      </c>
      <c r="S317" s="8">
        <f t="shared" ref="S317:S380" si="40">YEAR(R317)</f>
        <v>1990</v>
      </c>
      <c r="T317" s="8">
        <v>1990</v>
      </c>
      <c r="U317" s="8">
        <f t="shared" ref="U317:U380" si="41">2022-T317</f>
        <v>32</v>
      </c>
      <c r="V317" s="7" t="s">
        <v>6762</v>
      </c>
      <c r="W317" s="11" t="s">
        <v>1933</v>
      </c>
      <c r="X317" s="2">
        <v>2.383</v>
      </c>
      <c r="Y317" s="6">
        <f t="shared" si="38"/>
        <v>6.3612824003630442E-2</v>
      </c>
      <c r="AA317" t="s">
        <v>1932</v>
      </c>
      <c r="AB317">
        <v>101151</v>
      </c>
      <c r="AD317" t="s">
        <v>5</v>
      </c>
      <c r="AE317">
        <v>137</v>
      </c>
      <c r="AF317">
        <v>6</v>
      </c>
      <c r="AH317" t="s">
        <v>6042</v>
      </c>
      <c r="AI317" t="s">
        <v>7286</v>
      </c>
      <c r="AK317" t="s">
        <v>7285</v>
      </c>
      <c r="AL317">
        <v>13</v>
      </c>
      <c r="AM317" s="5">
        <f t="shared" ref="AM317:AM380" si="42">AL317/U317</f>
        <v>0.40625</v>
      </c>
      <c r="AN317" s="4">
        <f t="shared" si="39"/>
        <v>6.1529723589549411E-4</v>
      </c>
      <c r="AO317" s="3"/>
      <c r="AP317">
        <v>0</v>
      </c>
      <c r="AR317" t="s">
        <v>0</v>
      </c>
      <c r="AT317" s="2" t="s">
        <v>126</v>
      </c>
      <c r="AU317" s="1">
        <f t="shared" ref="AU317:AU380" si="43">(Y317*0.7+AN317*0.3)*100</f>
        <v>4.4713565973309954</v>
      </c>
      <c r="AV317" s="1">
        <f t="shared" ref="AV317:AV380" si="44">(Y317*0.5+AN317*0.5)*100</f>
        <v>3.2114060619762972</v>
      </c>
      <c r="AW317" s="1">
        <f t="shared" ref="AW317:AW380" si="45">(Y317*0.3+AN317*0.7)*100</f>
        <v>1.9514555266215978</v>
      </c>
    </row>
    <row r="318" spans="1:49" x14ac:dyDescent="0.2">
      <c r="A318">
        <v>316</v>
      </c>
      <c r="B318" t="s">
        <v>7284</v>
      </c>
      <c r="C318" t="s">
        <v>7283</v>
      </c>
      <c r="D318" t="s">
        <v>7282</v>
      </c>
      <c r="F318" t="s">
        <v>7281</v>
      </c>
      <c r="G318" t="s">
        <v>14</v>
      </c>
      <c r="H318" t="s">
        <v>13</v>
      </c>
      <c r="I318" t="s">
        <v>7280</v>
      </c>
      <c r="J318" t="s">
        <v>7279</v>
      </c>
      <c r="K318" t="s">
        <v>7278</v>
      </c>
      <c r="L318" t="s">
        <v>4430</v>
      </c>
      <c r="M318" t="s">
        <v>4429</v>
      </c>
      <c r="N318">
        <v>3</v>
      </c>
      <c r="O318" t="s">
        <v>7277</v>
      </c>
      <c r="P318" t="s">
        <v>7276</v>
      </c>
      <c r="Q318" t="s">
        <v>7275</v>
      </c>
      <c r="R318" s="7">
        <v>32874</v>
      </c>
      <c r="S318" s="8">
        <f t="shared" si="40"/>
        <v>1990</v>
      </c>
      <c r="T318" s="8">
        <v>1990</v>
      </c>
      <c r="U318" s="8">
        <f t="shared" si="41"/>
        <v>32</v>
      </c>
      <c r="V318" s="7">
        <v>1990</v>
      </c>
      <c r="W318" t="s">
        <v>7274</v>
      </c>
      <c r="X318" s="2">
        <v>1.63</v>
      </c>
      <c r="Y318" s="6">
        <f t="shared" si="38"/>
        <v>4.3511919062491654E-2</v>
      </c>
      <c r="AA318">
        <v>2638223</v>
      </c>
      <c r="AB318">
        <v>15063</v>
      </c>
      <c r="AD318" t="s">
        <v>5</v>
      </c>
      <c r="AE318">
        <v>16</v>
      </c>
      <c r="AF318" s="9">
        <v>44256</v>
      </c>
      <c r="AH318" t="s">
        <v>7273</v>
      </c>
      <c r="AI318" t="s">
        <v>7272</v>
      </c>
      <c r="AK318" t="s">
        <v>7271</v>
      </c>
      <c r="AL318">
        <v>2</v>
      </c>
      <c r="AM318" s="5">
        <f t="shared" si="42"/>
        <v>6.25E-2</v>
      </c>
      <c r="AN318" s="4">
        <f t="shared" si="39"/>
        <v>9.46611132146914E-5</v>
      </c>
      <c r="AO318" s="3"/>
      <c r="AP318">
        <v>0</v>
      </c>
      <c r="AR318" t="s">
        <v>0</v>
      </c>
      <c r="AT318" s="2">
        <v>5.407</v>
      </c>
      <c r="AU318" s="1">
        <f t="shared" si="43"/>
        <v>3.0486741677708564</v>
      </c>
      <c r="AV318" s="1">
        <f t="shared" si="44"/>
        <v>2.1803290087853173</v>
      </c>
      <c r="AW318" s="1">
        <f t="shared" si="45"/>
        <v>1.3119838497997778</v>
      </c>
    </row>
    <row r="319" spans="1:49" x14ac:dyDescent="0.2">
      <c r="A319">
        <v>317</v>
      </c>
      <c r="B319" t="s">
        <v>7270</v>
      </c>
      <c r="C319" t="s">
        <v>7269</v>
      </c>
      <c r="F319" t="s">
        <v>7268</v>
      </c>
      <c r="G319" t="s">
        <v>14</v>
      </c>
      <c r="H319" t="s">
        <v>13</v>
      </c>
      <c r="I319" t="s">
        <v>7267</v>
      </c>
      <c r="J319">
        <v>122297306</v>
      </c>
      <c r="K319" t="s">
        <v>7266</v>
      </c>
      <c r="L319" t="s">
        <v>7265</v>
      </c>
      <c r="M319" t="s">
        <v>197</v>
      </c>
      <c r="N319">
        <v>5</v>
      </c>
      <c r="O319" t="s">
        <v>7264</v>
      </c>
      <c r="P319" t="s">
        <v>7263</v>
      </c>
      <c r="Q319" t="s">
        <v>7262</v>
      </c>
      <c r="R319" s="7">
        <v>32874</v>
      </c>
      <c r="S319" s="8">
        <f t="shared" si="40"/>
        <v>1990</v>
      </c>
      <c r="T319" s="8">
        <v>1990</v>
      </c>
      <c r="U319" s="8">
        <f t="shared" si="41"/>
        <v>32</v>
      </c>
      <c r="V319" s="7">
        <v>33178</v>
      </c>
      <c r="W319" t="s">
        <v>7261</v>
      </c>
      <c r="X319" s="2">
        <v>2.0070000000000001</v>
      </c>
      <c r="Y319" s="6">
        <f t="shared" si="38"/>
        <v>5.3575718747497406E-2</v>
      </c>
      <c r="AA319">
        <v>948276</v>
      </c>
      <c r="AB319">
        <v>27962</v>
      </c>
      <c r="AC319">
        <v>19448007</v>
      </c>
      <c r="AD319" t="s">
        <v>5</v>
      </c>
      <c r="AE319">
        <v>17</v>
      </c>
      <c r="AF319">
        <v>12</v>
      </c>
      <c r="AH319" t="s">
        <v>7260</v>
      </c>
      <c r="AI319" t="s">
        <v>7259</v>
      </c>
      <c r="AK319" t="s">
        <v>7258</v>
      </c>
      <c r="AL319">
        <v>30</v>
      </c>
      <c r="AM319" s="5">
        <f t="shared" si="42"/>
        <v>0.9375</v>
      </c>
      <c r="AN319" s="4">
        <f t="shared" si="39"/>
        <v>1.4199166982203711E-3</v>
      </c>
      <c r="AO319" s="3"/>
      <c r="AP319">
        <v>0</v>
      </c>
      <c r="AR319" t="s">
        <v>0</v>
      </c>
      <c r="AT319" s="2">
        <v>4.72</v>
      </c>
      <c r="AU319" s="1">
        <f t="shared" si="43"/>
        <v>3.7928978132714293</v>
      </c>
      <c r="AV319" s="1">
        <f t="shared" si="44"/>
        <v>2.7497817722858886</v>
      </c>
      <c r="AW319" s="1">
        <f t="shared" si="45"/>
        <v>1.7066657313003479</v>
      </c>
    </row>
    <row r="320" spans="1:49" x14ac:dyDescent="0.2">
      <c r="A320">
        <v>318</v>
      </c>
      <c r="B320" t="s">
        <v>7257</v>
      </c>
      <c r="C320" t="s">
        <v>7256</v>
      </c>
      <c r="F320" t="s">
        <v>7255</v>
      </c>
      <c r="G320" t="s">
        <v>14</v>
      </c>
      <c r="H320" t="s">
        <v>13</v>
      </c>
      <c r="I320" t="s">
        <v>7254</v>
      </c>
      <c r="J320">
        <v>60021784</v>
      </c>
      <c r="K320" t="s">
        <v>7253</v>
      </c>
      <c r="L320" t="s">
        <v>7252</v>
      </c>
      <c r="M320" t="s">
        <v>197</v>
      </c>
      <c r="N320">
        <v>4</v>
      </c>
      <c r="O320" t="s">
        <v>7251</v>
      </c>
      <c r="P320" t="s">
        <v>7250</v>
      </c>
      <c r="Q320" t="s">
        <v>7249</v>
      </c>
      <c r="R320" s="7">
        <v>32874</v>
      </c>
      <c r="S320" s="8">
        <f t="shared" si="40"/>
        <v>1990</v>
      </c>
      <c r="T320" s="8">
        <v>1990</v>
      </c>
      <c r="U320" s="8">
        <f t="shared" si="41"/>
        <v>32</v>
      </c>
      <c r="V320" s="7" t="s">
        <v>6762</v>
      </c>
      <c r="W320" t="s">
        <v>7248</v>
      </c>
      <c r="X320" s="2" t="s">
        <v>126</v>
      </c>
      <c r="Y320" s="6" t="e">
        <f t="shared" si="38"/>
        <v>#VALUE!</v>
      </c>
      <c r="AA320">
        <v>7481896</v>
      </c>
      <c r="AB320">
        <v>78193</v>
      </c>
      <c r="AD320" t="s">
        <v>5</v>
      </c>
      <c r="AE320">
        <v>18</v>
      </c>
      <c r="AF320">
        <v>4</v>
      </c>
      <c r="AH320" t="s">
        <v>7247</v>
      </c>
      <c r="AI320" t="s">
        <v>7246</v>
      </c>
      <c r="AK320" t="s">
        <v>7245</v>
      </c>
      <c r="AL320">
        <v>3</v>
      </c>
      <c r="AM320" s="5">
        <f t="shared" si="42"/>
        <v>9.375E-2</v>
      </c>
      <c r="AN320" s="4">
        <f t="shared" si="39"/>
        <v>1.4199166982203711E-4</v>
      </c>
      <c r="AO320" s="3"/>
      <c r="AP320">
        <v>0</v>
      </c>
      <c r="AR320" t="s">
        <v>0</v>
      </c>
      <c r="AT320" s="2" t="s">
        <v>126</v>
      </c>
      <c r="AU320" s="1" t="e">
        <f t="shared" si="43"/>
        <v>#VALUE!</v>
      </c>
      <c r="AV320" s="1" t="e">
        <f t="shared" si="44"/>
        <v>#VALUE!</v>
      </c>
      <c r="AW320" s="1" t="e">
        <f t="shared" si="45"/>
        <v>#VALUE!</v>
      </c>
    </row>
    <row r="321" spans="1:49" x14ac:dyDescent="0.2">
      <c r="A321">
        <v>319</v>
      </c>
      <c r="B321" t="s">
        <v>7244</v>
      </c>
      <c r="C321" t="s">
        <v>7243</v>
      </c>
      <c r="F321" t="s">
        <v>7242</v>
      </c>
      <c r="G321" t="s">
        <v>14</v>
      </c>
      <c r="H321" t="s">
        <v>13</v>
      </c>
      <c r="I321" t="s">
        <v>7241</v>
      </c>
      <c r="J321">
        <v>60020975</v>
      </c>
      <c r="K321" t="s">
        <v>6683</v>
      </c>
      <c r="L321" t="s">
        <v>6682</v>
      </c>
      <c r="M321" t="s">
        <v>197</v>
      </c>
      <c r="N321">
        <v>1</v>
      </c>
      <c r="O321" t="s">
        <v>7240</v>
      </c>
      <c r="P321">
        <v>56219429900</v>
      </c>
      <c r="Q321">
        <v>60020975</v>
      </c>
      <c r="R321" s="7">
        <v>32874</v>
      </c>
      <c r="S321" s="8">
        <f t="shared" si="40"/>
        <v>1990</v>
      </c>
      <c r="T321" s="8">
        <v>1990</v>
      </c>
      <c r="U321" s="8">
        <f t="shared" si="41"/>
        <v>32</v>
      </c>
      <c r="V321" s="7" t="s">
        <v>6762</v>
      </c>
      <c r="W321" s="11" t="s">
        <v>1933</v>
      </c>
      <c r="X321" s="2">
        <v>2.383</v>
      </c>
      <c r="Y321" s="6">
        <f t="shared" si="38"/>
        <v>6.3612824003630442E-2</v>
      </c>
      <c r="AA321" t="s">
        <v>1932</v>
      </c>
      <c r="AB321">
        <v>101151</v>
      </c>
      <c r="AD321" t="s">
        <v>5</v>
      </c>
      <c r="AE321">
        <v>137</v>
      </c>
      <c r="AF321">
        <v>6</v>
      </c>
      <c r="AH321" t="s">
        <v>7239</v>
      </c>
      <c r="AI321" t="s">
        <v>7238</v>
      </c>
      <c r="AK321" t="s">
        <v>7237</v>
      </c>
      <c r="AL321">
        <v>8</v>
      </c>
      <c r="AM321" s="5">
        <f t="shared" si="42"/>
        <v>0.25</v>
      </c>
      <c r="AN321" s="4">
        <f t="shared" si="39"/>
        <v>3.786444528587656E-4</v>
      </c>
      <c r="AO321" s="3"/>
      <c r="AP321">
        <v>0</v>
      </c>
      <c r="AR321" t="s">
        <v>0</v>
      </c>
      <c r="AT321" s="2" t="s">
        <v>126</v>
      </c>
      <c r="AU321" s="1">
        <f t="shared" si="43"/>
        <v>4.4642570138398936</v>
      </c>
      <c r="AV321" s="1">
        <f t="shared" si="44"/>
        <v>3.1995734228244603</v>
      </c>
      <c r="AW321" s="1">
        <f t="shared" si="45"/>
        <v>1.9348898318090268</v>
      </c>
    </row>
    <row r="322" spans="1:49" x14ac:dyDescent="0.2">
      <c r="A322">
        <v>320</v>
      </c>
      <c r="B322" t="s">
        <v>7236</v>
      </c>
      <c r="C322" t="s">
        <v>7235</v>
      </c>
      <c r="F322" t="s">
        <v>7234</v>
      </c>
      <c r="G322" t="s">
        <v>14</v>
      </c>
      <c r="H322" t="s">
        <v>13</v>
      </c>
      <c r="I322" t="s">
        <v>7233</v>
      </c>
      <c r="J322">
        <v>60017293</v>
      </c>
      <c r="K322" t="s">
        <v>7232</v>
      </c>
      <c r="L322" t="s">
        <v>7231</v>
      </c>
      <c r="M322" t="s">
        <v>184</v>
      </c>
      <c r="N322">
        <v>4</v>
      </c>
      <c r="O322" t="s">
        <v>7230</v>
      </c>
      <c r="P322" t="s">
        <v>7229</v>
      </c>
      <c r="Q322" t="s">
        <v>7228</v>
      </c>
      <c r="R322" s="7">
        <v>32874</v>
      </c>
      <c r="S322" s="8">
        <f t="shared" si="40"/>
        <v>1990</v>
      </c>
      <c r="T322" s="8">
        <v>1990</v>
      </c>
      <c r="U322" s="8">
        <f t="shared" si="41"/>
        <v>32</v>
      </c>
      <c r="V322" s="7" t="s">
        <v>6762</v>
      </c>
      <c r="W322" s="11" t="s">
        <v>1933</v>
      </c>
      <c r="X322" s="2">
        <v>2.383</v>
      </c>
      <c r="Y322" s="6">
        <f t="shared" ref="Y322:Y385" si="46">(X322-$Z$4)/($Z$3-$Z$4)</f>
        <v>6.3612824003630442E-2</v>
      </c>
      <c r="AA322" t="s">
        <v>1932</v>
      </c>
      <c r="AB322">
        <v>101151</v>
      </c>
      <c r="AD322" t="s">
        <v>5</v>
      </c>
      <c r="AE322">
        <v>137</v>
      </c>
      <c r="AF322">
        <v>6</v>
      </c>
      <c r="AH322" t="s">
        <v>7227</v>
      </c>
      <c r="AI322" t="s">
        <v>7226</v>
      </c>
      <c r="AK322" t="s">
        <v>7225</v>
      </c>
      <c r="AL322">
        <v>202</v>
      </c>
      <c r="AM322" s="5">
        <f t="shared" si="42"/>
        <v>6.3125</v>
      </c>
      <c r="AN322" s="4">
        <f t="shared" ref="AN322:AN385" si="47">(AM322-$AO$4)/($AO$3-$AO$4)</f>
        <v>9.5607724346838327E-3</v>
      </c>
      <c r="AO322" s="3"/>
      <c r="AP322">
        <v>0</v>
      </c>
      <c r="AR322" t="s">
        <v>0</v>
      </c>
      <c r="AT322" s="2" t="s">
        <v>126</v>
      </c>
      <c r="AU322" s="1">
        <f t="shared" si="43"/>
        <v>4.7397208532946458</v>
      </c>
      <c r="AV322" s="1">
        <f t="shared" si="44"/>
        <v>3.6586798219157139</v>
      </c>
      <c r="AW322" s="1">
        <f t="shared" si="45"/>
        <v>2.5776387905367812</v>
      </c>
    </row>
    <row r="323" spans="1:49" x14ac:dyDescent="0.2">
      <c r="A323">
        <v>321</v>
      </c>
      <c r="B323" t="s">
        <v>7224</v>
      </c>
      <c r="C323" t="s">
        <v>7223</v>
      </c>
      <c r="F323" t="s">
        <v>7222</v>
      </c>
      <c r="G323" t="s">
        <v>14</v>
      </c>
      <c r="H323" t="s">
        <v>13</v>
      </c>
      <c r="I323" t="s">
        <v>7221</v>
      </c>
      <c r="J323">
        <v>60030710</v>
      </c>
      <c r="K323" t="s">
        <v>7220</v>
      </c>
      <c r="L323" t="s">
        <v>7219</v>
      </c>
      <c r="M323" t="s">
        <v>223</v>
      </c>
      <c r="N323">
        <v>4</v>
      </c>
      <c r="O323" t="s">
        <v>7218</v>
      </c>
      <c r="P323" t="s">
        <v>7217</v>
      </c>
      <c r="Q323" t="s">
        <v>7216</v>
      </c>
      <c r="R323" s="7">
        <v>32874</v>
      </c>
      <c r="S323" s="8">
        <f t="shared" si="40"/>
        <v>1990</v>
      </c>
      <c r="T323" s="8">
        <v>1990</v>
      </c>
      <c r="U323" s="8">
        <f t="shared" si="41"/>
        <v>32</v>
      </c>
      <c r="V323" s="7">
        <v>33147</v>
      </c>
      <c r="W323" t="s">
        <v>7215</v>
      </c>
      <c r="X323" s="2">
        <v>0.73499999999999999</v>
      </c>
      <c r="Y323" s="6">
        <f t="shared" si="46"/>
        <v>1.9620405221430288E-2</v>
      </c>
      <c r="AA323">
        <v>168025</v>
      </c>
      <c r="AB323">
        <v>27961</v>
      </c>
      <c r="AC323">
        <v>13652478</v>
      </c>
      <c r="AD323" t="s">
        <v>5</v>
      </c>
      <c r="AE323">
        <v>38</v>
      </c>
      <c r="AF323">
        <v>7</v>
      </c>
      <c r="AH323" t="s">
        <v>7214</v>
      </c>
      <c r="AI323" t="s">
        <v>7213</v>
      </c>
      <c r="AK323" t="s">
        <v>7212</v>
      </c>
      <c r="AL323">
        <v>20</v>
      </c>
      <c r="AM323" s="5">
        <f t="shared" si="42"/>
        <v>0.625</v>
      </c>
      <c r="AN323" s="4">
        <f t="shared" si="47"/>
        <v>9.4661113214691405E-4</v>
      </c>
      <c r="AO323" s="3"/>
      <c r="AP323">
        <v>0</v>
      </c>
      <c r="AR323" t="s">
        <v>0</v>
      </c>
      <c r="AT323" s="2">
        <v>1.742</v>
      </c>
      <c r="AU323" s="1">
        <f t="shared" si="43"/>
        <v>1.4018266994645276</v>
      </c>
      <c r="AV323" s="1">
        <f t="shared" si="44"/>
        <v>1.0283508176788601</v>
      </c>
      <c r="AW323" s="1">
        <f t="shared" si="45"/>
        <v>0.65487493589319268</v>
      </c>
    </row>
    <row r="324" spans="1:49" x14ac:dyDescent="0.2">
      <c r="A324">
        <v>322</v>
      </c>
      <c r="B324" t="s">
        <v>7211</v>
      </c>
      <c r="C324" t="s">
        <v>7210</v>
      </c>
      <c r="F324" t="s">
        <v>7209</v>
      </c>
      <c r="G324" t="s">
        <v>14</v>
      </c>
      <c r="H324" t="s">
        <v>13</v>
      </c>
      <c r="I324" t="s">
        <v>7208</v>
      </c>
      <c r="J324">
        <v>60014313</v>
      </c>
      <c r="K324" t="s">
        <v>607</v>
      </c>
      <c r="L324" t="s">
        <v>606</v>
      </c>
      <c r="M324" t="s">
        <v>197</v>
      </c>
      <c r="N324">
        <v>2</v>
      </c>
      <c r="O324" t="s">
        <v>7207</v>
      </c>
      <c r="P324" t="s">
        <v>7206</v>
      </c>
      <c r="Q324" t="s">
        <v>2878</v>
      </c>
      <c r="R324" s="7">
        <v>32874</v>
      </c>
      <c r="S324" s="8">
        <f t="shared" si="40"/>
        <v>1990</v>
      </c>
      <c r="T324" s="8">
        <v>1990</v>
      </c>
      <c r="U324" s="8">
        <f t="shared" si="41"/>
        <v>32</v>
      </c>
      <c r="V324" s="7" t="s">
        <v>6762</v>
      </c>
      <c r="W324" s="11" t="s">
        <v>1933</v>
      </c>
      <c r="X324" s="2">
        <v>2.383</v>
      </c>
      <c r="Y324" s="6">
        <f t="shared" si="46"/>
        <v>6.3612824003630442E-2</v>
      </c>
      <c r="AA324" t="s">
        <v>1932</v>
      </c>
      <c r="AB324">
        <v>101151</v>
      </c>
      <c r="AD324" t="s">
        <v>5</v>
      </c>
      <c r="AE324">
        <v>137</v>
      </c>
      <c r="AF324">
        <v>6</v>
      </c>
      <c r="AH324" t="s">
        <v>7205</v>
      </c>
      <c r="AI324" t="s">
        <v>7204</v>
      </c>
      <c r="AK324" t="s">
        <v>7203</v>
      </c>
      <c r="AL324">
        <v>5</v>
      </c>
      <c r="AM324" s="5">
        <f t="shared" si="42"/>
        <v>0.15625</v>
      </c>
      <c r="AN324" s="4">
        <f t="shared" si="47"/>
        <v>2.3665278303672851E-4</v>
      </c>
      <c r="AO324" s="3"/>
      <c r="AP324">
        <v>0</v>
      </c>
      <c r="AR324" t="s">
        <v>0</v>
      </c>
      <c r="AT324" s="2" t="s">
        <v>126</v>
      </c>
      <c r="AU324" s="1">
        <f t="shared" si="43"/>
        <v>4.4599972637452332</v>
      </c>
      <c r="AV324" s="1">
        <f t="shared" si="44"/>
        <v>3.192473839333358</v>
      </c>
      <c r="AW324" s="1">
        <f t="shared" si="45"/>
        <v>1.9249504149214842</v>
      </c>
    </row>
    <row r="325" spans="1:49" x14ac:dyDescent="0.2">
      <c r="A325">
        <v>323</v>
      </c>
      <c r="B325" t="s">
        <v>7202</v>
      </c>
      <c r="C325" t="s">
        <v>7201</v>
      </c>
      <c r="F325" t="s">
        <v>7200</v>
      </c>
      <c r="G325" t="s">
        <v>14</v>
      </c>
      <c r="H325" t="s">
        <v>13</v>
      </c>
      <c r="I325" t="s">
        <v>7199</v>
      </c>
      <c r="J325" t="s">
        <v>7198</v>
      </c>
      <c r="K325" t="s">
        <v>7197</v>
      </c>
      <c r="L325" t="s">
        <v>7196</v>
      </c>
      <c r="M325" t="s">
        <v>84</v>
      </c>
      <c r="N325">
        <v>1</v>
      </c>
      <c r="O325" t="s">
        <v>7195</v>
      </c>
      <c r="P325">
        <v>7003514705</v>
      </c>
      <c r="Q325" t="s">
        <v>7194</v>
      </c>
      <c r="R325" s="7">
        <v>32874</v>
      </c>
      <c r="S325" s="8">
        <f t="shared" si="40"/>
        <v>1990</v>
      </c>
      <c r="T325" s="8">
        <v>1990</v>
      </c>
      <c r="U325" s="8">
        <f t="shared" si="41"/>
        <v>32</v>
      </c>
      <c r="V325" s="7">
        <v>33208</v>
      </c>
      <c r="W325" t="s">
        <v>2428</v>
      </c>
      <c r="X325" s="2">
        <v>0.78200000000000003</v>
      </c>
      <c r="Y325" s="6">
        <f t="shared" si="46"/>
        <v>2.0875043378446919E-2</v>
      </c>
      <c r="AA325">
        <v>189316</v>
      </c>
      <c r="AB325">
        <v>19901</v>
      </c>
      <c r="AC325">
        <v>15579611</v>
      </c>
      <c r="AD325" t="s">
        <v>5</v>
      </c>
      <c r="AE325">
        <v>36</v>
      </c>
      <c r="AF325">
        <v>4</v>
      </c>
      <c r="AH325" t="s">
        <v>7193</v>
      </c>
      <c r="AI325" t="s">
        <v>7192</v>
      </c>
      <c r="AK325" t="s">
        <v>7191</v>
      </c>
      <c r="AL325">
        <v>0</v>
      </c>
      <c r="AM325" s="5">
        <f t="shared" si="42"/>
        <v>0</v>
      </c>
      <c r="AN325" s="4">
        <f t="shared" si="47"/>
        <v>0</v>
      </c>
      <c r="AO325" s="3"/>
      <c r="AP325">
        <v>0</v>
      </c>
      <c r="AR325" t="s">
        <v>0</v>
      </c>
      <c r="AT325" s="2">
        <v>3.863</v>
      </c>
      <c r="AU325" s="1">
        <f t="shared" si="43"/>
        <v>1.4612530364912841</v>
      </c>
      <c r="AV325" s="1">
        <f t="shared" si="44"/>
        <v>1.0437521689223459</v>
      </c>
      <c r="AW325" s="1">
        <f t="shared" si="45"/>
        <v>0.62625130135340756</v>
      </c>
    </row>
    <row r="326" spans="1:49" x14ac:dyDescent="0.2">
      <c r="A326">
        <v>324</v>
      </c>
      <c r="B326" t="s">
        <v>7190</v>
      </c>
      <c r="C326" t="s">
        <v>7189</v>
      </c>
      <c r="E326">
        <v>2254277</v>
      </c>
      <c r="F326" t="s">
        <v>7188</v>
      </c>
      <c r="G326" t="s">
        <v>14</v>
      </c>
      <c r="H326" t="s">
        <v>13</v>
      </c>
      <c r="I326" t="s">
        <v>7187</v>
      </c>
      <c r="J326">
        <v>60025641</v>
      </c>
      <c r="K326" t="s">
        <v>7186</v>
      </c>
      <c r="L326" t="s">
        <v>7185</v>
      </c>
      <c r="M326" t="s">
        <v>135</v>
      </c>
      <c r="N326">
        <v>4</v>
      </c>
      <c r="O326" t="s">
        <v>7184</v>
      </c>
      <c r="P326" t="s">
        <v>7183</v>
      </c>
      <c r="Q326" t="s">
        <v>7182</v>
      </c>
      <c r="R326" s="7">
        <v>32874</v>
      </c>
      <c r="S326" s="8">
        <f t="shared" si="40"/>
        <v>1990</v>
      </c>
      <c r="T326" s="8">
        <v>1990</v>
      </c>
      <c r="U326" s="8">
        <f t="shared" si="41"/>
        <v>32</v>
      </c>
      <c r="V326" s="7">
        <v>1990</v>
      </c>
      <c r="W326" t="s">
        <v>989</v>
      </c>
      <c r="X326" s="2">
        <v>1.6519999999999999</v>
      </c>
      <c r="Y326" s="6">
        <f t="shared" si="46"/>
        <v>4.409919649769093E-2</v>
      </c>
      <c r="AA326">
        <v>219193</v>
      </c>
      <c r="AB326">
        <v>20220</v>
      </c>
      <c r="AD326" t="s">
        <v>5</v>
      </c>
      <c r="AE326">
        <v>172</v>
      </c>
      <c r="AF326">
        <v>12</v>
      </c>
      <c r="AH326" t="s">
        <v>7181</v>
      </c>
      <c r="AI326" t="s">
        <v>7180</v>
      </c>
      <c r="AK326" t="s">
        <v>7179</v>
      </c>
      <c r="AL326">
        <v>18</v>
      </c>
      <c r="AM326" s="5">
        <f t="shared" si="42"/>
        <v>0.5625</v>
      </c>
      <c r="AN326" s="4">
        <f t="shared" si="47"/>
        <v>8.5195001893222262E-4</v>
      </c>
      <c r="AO326" s="3"/>
      <c r="AP326">
        <v>1</v>
      </c>
      <c r="AR326" t="s">
        <v>0</v>
      </c>
      <c r="AT326" s="2">
        <v>3.49</v>
      </c>
      <c r="AU326" s="1">
        <f t="shared" si="43"/>
        <v>3.1125022554063317</v>
      </c>
      <c r="AV326" s="1">
        <f t="shared" si="44"/>
        <v>2.2475573258311576</v>
      </c>
      <c r="AW326" s="1">
        <f t="shared" si="45"/>
        <v>1.3826123962559833</v>
      </c>
    </row>
    <row r="327" spans="1:49" x14ac:dyDescent="0.2">
      <c r="A327">
        <v>325</v>
      </c>
      <c r="B327" t="s">
        <v>7178</v>
      </c>
      <c r="C327" t="s">
        <v>7177</v>
      </c>
      <c r="F327" t="s">
        <v>7176</v>
      </c>
      <c r="G327" t="s">
        <v>14</v>
      </c>
      <c r="H327" t="s">
        <v>13</v>
      </c>
      <c r="I327" t="s">
        <v>7175</v>
      </c>
      <c r="J327">
        <v>60010818</v>
      </c>
      <c r="K327" t="s">
        <v>6006</v>
      </c>
      <c r="L327" t="s">
        <v>6005</v>
      </c>
      <c r="M327" t="s">
        <v>253</v>
      </c>
      <c r="N327">
        <v>2</v>
      </c>
      <c r="O327" t="s">
        <v>7174</v>
      </c>
      <c r="P327" t="s">
        <v>7173</v>
      </c>
      <c r="Q327" t="s">
        <v>7172</v>
      </c>
      <c r="R327" s="7">
        <v>32874</v>
      </c>
      <c r="S327" s="8">
        <f t="shared" si="40"/>
        <v>1990</v>
      </c>
      <c r="T327" s="8">
        <v>1990</v>
      </c>
      <c r="U327" s="8">
        <f t="shared" si="41"/>
        <v>32</v>
      </c>
      <c r="V327" s="7" t="s">
        <v>6762</v>
      </c>
      <c r="W327" s="11" t="s">
        <v>1933</v>
      </c>
      <c r="X327" s="2">
        <v>2.383</v>
      </c>
      <c r="Y327" s="6">
        <f t="shared" si="46"/>
        <v>6.3612824003630442E-2</v>
      </c>
      <c r="AA327" t="s">
        <v>1932</v>
      </c>
      <c r="AB327">
        <v>101151</v>
      </c>
      <c r="AD327" t="s">
        <v>5</v>
      </c>
      <c r="AE327">
        <v>137</v>
      </c>
      <c r="AF327">
        <v>6</v>
      </c>
      <c r="AH327" t="s">
        <v>7171</v>
      </c>
      <c r="AI327" t="s">
        <v>7170</v>
      </c>
      <c r="AK327" t="s">
        <v>7169</v>
      </c>
      <c r="AL327">
        <v>17</v>
      </c>
      <c r="AM327" s="5">
        <f t="shared" si="42"/>
        <v>0.53125</v>
      </c>
      <c r="AN327" s="4">
        <f t="shared" si="47"/>
        <v>8.0461946232487697E-4</v>
      </c>
      <c r="AO327" s="3"/>
      <c r="AP327">
        <v>0</v>
      </c>
      <c r="AR327" t="s">
        <v>0</v>
      </c>
      <c r="AT327" s="2" t="s">
        <v>126</v>
      </c>
      <c r="AU327" s="1">
        <f t="shared" si="43"/>
        <v>4.4770362641238775</v>
      </c>
      <c r="AV327" s="1">
        <f t="shared" si="44"/>
        <v>3.2208721732977659</v>
      </c>
      <c r="AW327" s="1">
        <f t="shared" si="45"/>
        <v>1.9647080824716545</v>
      </c>
    </row>
    <row r="328" spans="1:49" x14ac:dyDescent="0.2">
      <c r="A328">
        <v>326</v>
      </c>
      <c r="B328" t="s">
        <v>7168</v>
      </c>
      <c r="C328" t="s">
        <v>7167</v>
      </c>
      <c r="F328" t="s">
        <v>7166</v>
      </c>
      <c r="G328" t="s">
        <v>14</v>
      </c>
      <c r="H328" t="s">
        <v>13</v>
      </c>
      <c r="I328" t="s">
        <v>7165</v>
      </c>
      <c r="J328">
        <v>60030551</v>
      </c>
      <c r="K328" t="s">
        <v>2494</v>
      </c>
      <c r="L328" t="s">
        <v>2493</v>
      </c>
      <c r="M328" t="s">
        <v>197</v>
      </c>
      <c r="N328">
        <v>4</v>
      </c>
      <c r="O328" t="s">
        <v>7164</v>
      </c>
      <c r="P328" t="s">
        <v>7163</v>
      </c>
      <c r="Q328" t="s">
        <v>7162</v>
      </c>
      <c r="R328" s="7">
        <v>32874</v>
      </c>
      <c r="S328" s="8">
        <f t="shared" si="40"/>
        <v>1990</v>
      </c>
      <c r="T328" s="8">
        <v>1990</v>
      </c>
      <c r="U328" s="8">
        <f t="shared" si="41"/>
        <v>32</v>
      </c>
      <c r="V328" s="7" t="s">
        <v>6762</v>
      </c>
      <c r="W328" s="11" t="s">
        <v>1933</v>
      </c>
      <c r="X328" s="2">
        <v>2.383</v>
      </c>
      <c r="Y328" s="6">
        <f t="shared" si="46"/>
        <v>6.3612824003630442E-2</v>
      </c>
      <c r="AA328" t="s">
        <v>1932</v>
      </c>
      <c r="AB328">
        <v>101151</v>
      </c>
      <c r="AD328" t="s">
        <v>5</v>
      </c>
      <c r="AE328">
        <v>137</v>
      </c>
      <c r="AF328">
        <v>6</v>
      </c>
      <c r="AH328" t="s">
        <v>7161</v>
      </c>
      <c r="AI328" t="s">
        <v>7160</v>
      </c>
      <c r="AK328" t="s">
        <v>7159</v>
      </c>
      <c r="AL328">
        <v>42</v>
      </c>
      <c r="AM328" s="5">
        <f t="shared" si="42"/>
        <v>1.3125</v>
      </c>
      <c r="AN328" s="4">
        <f t="shared" si="47"/>
        <v>1.9878833775085194E-3</v>
      </c>
      <c r="AO328" s="3"/>
      <c r="AP328">
        <v>0</v>
      </c>
      <c r="AR328" t="s">
        <v>0</v>
      </c>
      <c r="AT328" s="2" t="s">
        <v>126</v>
      </c>
      <c r="AU328" s="1">
        <f t="shared" si="43"/>
        <v>4.5125341815793867</v>
      </c>
      <c r="AV328" s="1">
        <f t="shared" si="44"/>
        <v>3.2800353690569479</v>
      </c>
      <c r="AW328" s="1">
        <f t="shared" si="45"/>
        <v>2.0475365565345096</v>
      </c>
    </row>
    <row r="329" spans="1:49" x14ac:dyDescent="0.2">
      <c r="A329">
        <v>327</v>
      </c>
      <c r="B329" t="s">
        <v>7158</v>
      </c>
      <c r="C329" t="s">
        <v>7157</v>
      </c>
      <c r="F329" t="s">
        <v>7156</v>
      </c>
      <c r="G329" t="s">
        <v>14</v>
      </c>
      <c r="H329" t="s">
        <v>13</v>
      </c>
      <c r="I329" t="s">
        <v>7155</v>
      </c>
      <c r="J329">
        <v>60005837</v>
      </c>
      <c r="K329" t="s">
        <v>2977</v>
      </c>
      <c r="L329" t="s">
        <v>640</v>
      </c>
      <c r="M329" t="s">
        <v>197</v>
      </c>
      <c r="N329">
        <v>3</v>
      </c>
      <c r="O329" t="s">
        <v>7154</v>
      </c>
      <c r="P329" t="s">
        <v>7153</v>
      </c>
      <c r="Q329" t="s">
        <v>3695</v>
      </c>
      <c r="R329" s="7">
        <v>32874</v>
      </c>
      <c r="S329" s="8">
        <f t="shared" si="40"/>
        <v>1990</v>
      </c>
      <c r="T329" s="8">
        <v>1990</v>
      </c>
      <c r="U329" s="8">
        <f t="shared" si="41"/>
        <v>32</v>
      </c>
      <c r="V329" s="7">
        <v>33208</v>
      </c>
      <c r="W329" t="s">
        <v>2249</v>
      </c>
      <c r="X329" s="2">
        <v>1.6519999999999999</v>
      </c>
      <c r="Y329" s="6">
        <f t="shared" si="46"/>
        <v>4.409919649769093E-2</v>
      </c>
      <c r="AA329" t="s">
        <v>2248</v>
      </c>
      <c r="AB329">
        <v>17337</v>
      </c>
      <c r="AC329">
        <v>15582221</v>
      </c>
      <c r="AD329" t="s">
        <v>5</v>
      </c>
      <c r="AE329">
        <v>38</v>
      </c>
      <c r="AF329">
        <v>12</v>
      </c>
      <c r="AH329" t="s">
        <v>7152</v>
      </c>
      <c r="AI329" t="s">
        <v>7151</v>
      </c>
      <c r="AK329" t="s">
        <v>7150</v>
      </c>
      <c r="AL329">
        <v>11</v>
      </c>
      <c r="AM329" s="5">
        <f t="shared" si="42"/>
        <v>0.34375</v>
      </c>
      <c r="AN329" s="4">
        <f t="shared" si="47"/>
        <v>5.2063612268080268E-4</v>
      </c>
      <c r="AO329" s="3"/>
      <c r="AP329">
        <v>0</v>
      </c>
      <c r="AR329" t="s">
        <v>0</v>
      </c>
      <c r="AT329" s="2" t="s">
        <v>126</v>
      </c>
      <c r="AU329" s="1">
        <f t="shared" si="43"/>
        <v>3.1025628385187893</v>
      </c>
      <c r="AV329" s="1">
        <f t="shared" si="44"/>
        <v>2.2309916310185867</v>
      </c>
      <c r="AW329" s="1">
        <f t="shared" si="45"/>
        <v>1.359420423518384</v>
      </c>
    </row>
    <row r="330" spans="1:49" x14ac:dyDescent="0.2">
      <c r="A330">
        <v>328</v>
      </c>
      <c r="B330" t="s">
        <v>7149</v>
      </c>
      <c r="C330" t="s">
        <v>7148</v>
      </c>
      <c r="F330" t="s">
        <v>7147</v>
      </c>
      <c r="G330" t="s">
        <v>14</v>
      </c>
      <c r="H330" t="s">
        <v>13</v>
      </c>
      <c r="I330" t="s">
        <v>7146</v>
      </c>
      <c r="J330">
        <v>60015623</v>
      </c>
      <c r="K330" t="s">
        <v>685</v>
      </c>
      <c r="L330" t="s">
        <v>684</v>
      </c>
      <c r="M330" t="s">
        <v>197</v>
      </c>
      <c r="N330">
        <v>5</v>
      </c>
      <c r="O330" t="s">
        <v>7145</v>
      </c>
      <c r="P330" t="s">
        <v>7144</v>
      </c>
      <c r="Q330" t="s">
        <v>7143</v>
      </c>
      <c r="R330" s="7">
        <v>32874</v>
      </c>
      <c r="S330" s="8">
        <f t="shared" si="40"/>
        <v>1990</v>
      </c>
      <c r="T330" s="8">
        <v>1990</v>
      </c>
      <c r="U330" s="8">
        <f t="shared" si="41"/>
        <v>32</v>
      </c>
      <c r="V330" s="7">
        <v>33208</v>
      </c>
      <c r="W330" t="s">
        <v>7142</v>
      </c>
      <c r="X330" s="2">
        <v>0.53700000000000003</v>
      </c>
      <c r="Y330" s="6">
        <f t="shared" si="46"/>
        <v>1.4334908304636823E-2</v>
      </c>
      <c r="AA330">
        <v>189499</v>
      </c>
      <c r="AB330">
        <v>17368</v>
      </c>
      <c r="AC330">
        <v>15581578</v>
      </c>
      <c r="AD330" t="s">
        <v>5</v>
      </c>
      <c r="AE330">
        <v>37</v>
      </c>
      <c r="AF330">
        <v>6</v>
      </c>
      <c r="AH330" t="s">
        <v>7141</v>
      </c>
      <c r="AI330" t="s">
        <v>7140</v>
      </c>
      <c r="AK330" t="s">
        <v>7139</v>
      </c>
      <c r="AL330">
        <v>4</v>
      </c>
      <c r="AM330" s="5">
        <f t="shared" si="42"/>
        <v>0.125</v>
      </c>
      <c r="AN330" s="4">
        <f t="shared" si="47"/>
        <v>1.893222264293828E-4</v>
      </c>
      <c r="AO330" s="3"/>
      <c r="AP330">
        <v>0</v>
      </c>
      <c r="AR330" t="s">
        <v>0</v>
      </c>
      <c r="AT330" s="2">
        <v>1.679</v>
      </c>
      <c r="AU330" s="1">
        <f t="shared" si="43"/>
        <v>1.009123248117459</v>
      </c>
      <c r="AV330" s="1">
        <f t="shared" si="44"/>
        <v>0.72621152655331034</v>
      </c>
      <c r="AW330" s="1">
        <f t="shared" si="45"/>
        <v>0.44329980498916149</v>
      </c>
    </row>
    <row r="331" spans="1:49" x14ac:dyDescent="0.2">
      <c r="A331">
        <v>329</v>
      </c>
      <c r="B331" t="s">
        <v>7138</v>
      </c>
      <c r="C331" t="s">
        <v>7137</v>
      </c>
      <c r="F331" t="s">
        <v>7136</v>
      </c>
      <c r="G331" t="s">
        <v>14</v>
      </c>
      <c r="H331" t="s">
        <v>13</v>
      </c>
      <c r="I331" t="s">
        <v>7135</v>
      </c>
      <c r="J331">
        <v>60009512</v>
      </c>
      <c r="K331" t="s">
        <v>7134</v>
      </c>
      <c r="L331" t="s">
        <v>7133</v>
      </c>
      <c r="M331" t="s">
        <v>1224</v>
      </c>
      <c r="N331">
        <v>1</v>
      </c>
      <c r="O331" t="s">
        <v>7132</v>
      </c>
      <c r="P331">
        <v>57207923297</v>
      </c>
      <c r="Q331">
        <v>60009512</v>
      </c>
      <c r="R331" s="7">
        <v>32874</v>
      </c>
      <c r="S331" s="8">
        <f t="shared" si="40"/>
        <v>1990</v>
      </c>
      <c r="T331" s="8">
        <v>1990</v>
      </c>
      <c r="U331" s="8">
        <f t="shared" si="41"/>
        <v>32</v>
      </c>
      <c r="V331" s="7">
        <v>33208</v>
      </c>
      <c r="W331" t="s">
        <v>7131</v>
      </c>
      <c r="X331" s="2">
        <v>0.76500000000000001</v>
      </c>
      <c r="Y331" s="6">
        <f t="shared" si="46"/>
        <v>2.0421238087611118E-2</v>
      </c>
      <c r="AA331">
        <v>138703</v>
      </c>
      <c r="AB331">
        <v>19793</v>
      </c>
      <c r="AC331">
        <v>15707458</v>
      </c>
      <c r="AD331" t="s">
        <v>5</v>
      </c>
      <c r="AE331">
        <v>57</v>
      </c>
      <c r="AF331">
        <v>3</v>
      </c>
      <c r="AH331" t="s">
        <v>7130</v>
      </c>
      <c r="AI331" t="s">
        <v>7129</v>
      </c>
      <c r="AJ331" t="s">
        <v>7128</v>
      </c>
      <c r="AK331" t="s">
        <v>7127</v>
      </c>
      <c r="AL331">
        <v>39</v>
      </c>
      <c r="AM331" s="5">
        <f t="shared" si="42"/>
        <v>1.21875</v>
      </c>
      <c r="AN331" s="4">
        <f t="shared" si="47"/>
        <v>1.8458917076864824E-3</v>
      </c>
      <c r="AO331" s="3"/>
      <c r="AP331">
        <v>0</v>
      </c>
      <c r="AR331" t="s">
        <v>0</v>
      </c>
      <c r="AT331" s="2" t="s">
        <v>126</v>
      </c>
      <c r="AU331" s="1">
        <f t="shared" si="43"/>
        <v>1.4848634173633726</v>
      </c>
      <c r="AV331" s="1">
        <f t="shared" si="44"/>
        <v>1.11335648976488</v>
      </c>
      <c r="AW331" s="1">
        <f t="shared" si="45"/>
        <v>0.74184956216638731</v>
      </c>
    </row>
    <row r="332" spans="1:49" x14ac:dyDescent="0.2">
      <c r="A332">
        <v>330</v>
      </c>
      <c r="B332" t="s">
        <v>7126</v>
      </c>
      <c r="F332" t="s">
        <v>7125</v>
      </c>
      <c r="G332" t="s">
        <v>14</v>
      </c>
      <c r="H332" t="s">
        <v>13</v>
      </c>
      <c r="I332" t="s">
        <v>7124</v>
      </c>
      <c r="N332">
        <v>2</v>
      </c>
      <c r="O332" t="s">
        <v>7123</v>
      </c>
      <c r="P332" t="s">
        <v>7122</v>
      </c>
      <c r="Q332" t="s">
        <v>119</v>
      </c>
      <c r="R332" s="7">
        <v>32874</v>
      </c>
      <c r="S332" s="8">
        <f t="shared" si="40"/>
        <v>1990</v>
      </c>
      <c r="T332" s="8">
        <v>1990</v>
      </c>
      <c r="U332" s="8">
        <f t="shared" si="41"/>
        <v>32</v>
      </c>
      <c r="V332" s="7">
        <v>1990</v>
      </c>
      <c r="W332" t="s">
        <v>7121</v>
      </c>
      <c r="X332" s="2" t="s">
        <v>126</v>
      </c>
      <c r="Y332" s="6" t="e">
        <f t="shared" si="46"/>
        <v>#VALUE!</v>
      </c>
      <c r="AA332">
        <v>3792285</v>
      </c>
      <c r="AB332">
        <v>34899</v>
      </c>
      <c r="AD332" t="s">
        <v>5</v>
      </c>
      <c r="AE332">
        <v>14</v>
      </c>
      <c r="AF332">
        <v>3</v>
      </c>
      <c r="AH332" t="s">
        <v>7120</v>
      </c>
      <c r="AI332" t="s">
        <v>7119</v>
      </c>
      <c r="AK332" t="s">
        <v>7118</v>
      </c>
      <c r="AL332">
        <v>3</v>
      </c>
      <c r="AM332" s="5">
        <f t="shared" si="42"/>
        <v>9.375E-2</v>
      </c>
      <c r="AN332" s="4">
        <f t="shared" si="47"/>
        <v>1.4199166982203711E-4</v>
      </c>
      <c r="AO332" s="3"/>
      <c r="AP332">
        <v>0</v>
      </c>
      <c r="AR332" t="s">
        <v>0</v>
      </c>
      <c r="AT332" s="2" t="s">
        <v>126</v>
      </c>
      <c r="AU332" s="1" t="e">
        <f t="shared" si="43"/>
        <v>#VALUE!</v>
      </c>
      <c r="AV332" s="1" t="e">
        <f t="shared" si="44"/>
        <v>#VALUE!</v>
      </c>
      <c r="AW332" s="1" t="e">
        <f t="shared" si="45"/>
        <v>#VALUE!</v>
      </c>
    </row>
    <row r="333" spans="1:49" x14ac:dyDescent="0.2">
      <c r="A333">
        <v>331</v>
      </c>
      <c r="B333" t="s">
        <v>7117</v>
      </c>
      <c r="C333" t="s">
        <v>7116</v>
      </c>
      <c r="E333">
        <v>2278723</v>
      </c>
      <c r="F333" t="s">
        <v>7115</v>
      </c>
      <c r="G333" t="s">
        <v>14</v>
      </c>
      <c r="H333" t="s">
        <v>13</v>
      </c>
      <c r="I333" t="s">
        <v>7114</v>
      </c>
      <c r="J333" t="s">
        <v>7113</v>
      </c>
      <c r="K333" t="s">
        <v>7112</v>
      </c>
      <c r="L333" t="s">
        <v>7111</v>
      </c>
      <c r="M333" t="s">
        <v>7110</v>
      </c>
      <c r="N333">
        <v>3</v>
      </c>
      <c r="O333" t="s">
        <v>7109</v>
      </c>
      <c r="P333" t="s">
        <v>7108</v>
      </c>
      <c r="Q333" t="s">
        <v>7107</v>
      </c>
      <c r="R333" s="7">
        <v>32874</v>
      </c>
      <c r="S333" s="8">
        <f t="shared" si="40"/>
        <v>1990</v>
      </c>
      <c r="T333" s="8">
        <v>1990</v>
      </c>
      <c r="U333" s="8">
        <f t="shared" si="41"/>
        <v>32</v>
      </c>
      <c r="V333" s="7">
        <v>1990</v>
      </c>
      <c r="W333" t="s">
        <v>7106</v>
      </c>
      <c r="X333" s="2">
        <v>1.1739999999999999</v>
      </c>
      <c r="Y333" s="6">
        <f t="shared" si="46"/>
        <v>3.1339259496543072E-2</v>
      </c>
      <c r="AA333" t="s">
        <v>7105</v>
      </c>
      <c r="AB333">
        <v>28668</v>
      </c>
      <c r="AD333" t="s">
        <v>5</v>
      </c>
      <c r="AE333">
        <v>29</v>
      </c>
      <c r="AF333">
        <v>8</v>
      </c>
      <c r="AH333" t="s">
        <v>7104</v>
      </c>
      <c r="AI333" t="s">
        <v>7103</v>
      </c>
      <c r="AJ333" t="s">
        <v>7102</v>
      </c>
      <c r="AK333" t="s">
        <v>7101</v>
      </c>
      <c r="AL333">
        <v>7</v>
      </c>
      <c r="AM333" s="5">
        <f t="shared" si="42"/>
        <v>0.21875</v>
      </c>
      <c r="AN333" s="4">
        <f t="shared" si="47"/>
        <v>3.3131389625141994E-4</v>
      </c>
      <c r="AO333" s="3"/>
      <c r="AP333">
        <v>0</v>
      </c>
      <c r="AR333" t="s">
        <v>0</v>
      </c>
      <c r="AT333" s="2">
        <v>4.0890000000000004</v>
      </c>
      <c r="AU333" s="1">
        <f t="shared" si="43"/>
        <v>2.2036875816455574</v>
      </c>
      <c r="AV333" s="1">
        <f t="shared" si="44"/>
        <v>1.5835286696397246</v>
      </c>
      <c r="AW333" s="1">
        <f t="shared" si="45"/>
        <v>0.96336975763389143</v>
      </c>
    </row>
    <row r="334" spans="1:49" x14ac:dyDescent="0.2">
      <c r="A334">
        <v>332</v>
      </c>
      <c r="B334" t="s">
        <v>7100</v>
      </c>
      <c r="C334" t="s">
        <v>7099</v>
      </c>
      <c r="F334" t="s">
        <v>7098</v>
      </c>
      <c r="G334" t="s">
        <v>14</v>
      </c>
      <c r="H334" t="s">
        <v>13</v>
      </c>
      <c r="I334" t="s">
        <v>7016</v>
      </c>
      <c r="J334">
        <v>60013183</v>
      </c>
      <c r="K334" t="s">
        <v>4070</v>
      </c>
      <c r="L334" t="s">
        <v>4069</v>
      </c>
      <c r="M334" t="s">
        <v>4068</v>
      </c>
      <c r="N334">
        <v>1</v>
      </c>
      <c r="O334" t="s">
        <v>7097</v>
      </c>
      <c r="P334">
        <v>6507369392</v>
      </c>
      <c r="Q334">
        <v>60013183</v>
      </c>
      <c r="R334" s="7">
        <v>32874</v>
      </c>
      <c r="S334" s="8">
        <f t="shared" si="40"/>
        <v>1990</v>
      </c>
      <c r="T334" s="8">
        <v>1990</v>
      </c>
      <c r="U334" s="8">
        <f t="shared" si="41"/>
        <v>32</v>
      </c>
      <c r="V334" s="7">
        <v>33208</v>
      </c>
      <c r="W334" t="s">
        <v>2249</v>
      </c>
      <c r="X334" s="2">
        <v>1.6519999999999999</v>
      </c>
      <c r="Y334" s="6">
        <f t="shared" si="46"/>
        <v>4.409919649769093E-2</v>
      </c>
      <c r="AA334" t="s">
        <v>2248</v>
      </c>
      <c r="AB334">
        <v>17337</v>
      </c>
      <c r="AC334">
        <v>15582221</v>
      </c>
      <c r="AD334" t="s">
        <v>5</v>
      </c>
      <c r="AE334">
        <v>38</v>
      </c>
      <c r="AF334">
        <v>12</v>
      </c>
      <c r="AH334" t="s">
        <v>7096</v>
      </c>
      <c r="AI334" t="s">
        <v>7095</v>
      </c>
      <c r="AK334" t="s">
        <v>7094</v>
      </c>
      <c r="AL334">
        <v>0</v>
      </c>
      <c r="AM334" s="5">
        <f t="shared" si="42"/>
        <v>0</v>
      </c>
      <c r="AN334" s="4">
        <f t="shared" si="47"/>
        <v>0</v>
      </c>
      <c r="AO334" s="3"/>
      <c r="AP334">
        <v>0</v>
      </c>
      <c r="AR334" t="s">
        <v>0</v>
      </c>
      <c r="AT334" s="2" t="s">
        <v>126</v>
      </c>
      <c r="AU334" s="1">
        <f t="shared" si="43"/>
        <v>3.0869437548383649</v>
      </c>
      <c r="AV334" s="1">
        <f t="shared" si="44"/>
        <v>2.2049598248845466</v>
      </c>
      <c r="AW334" s="1">
        <f t="shared" si="45"/>
        <v>1.3229758949307278</v>
      </c>
    </row>
    <row r="335" spans="1:49" x14ac:dyDescent="0.2">
      <c r="A335">
        <v>333</v>
      </c>
      <c r="B335" t="s">
        <v>7093</v>
      </c>
      <c r="C335" t="s">
        <v>7092</v>
      </c>
      <c r="F335" t="s">
        <v>7091</v>
      </c>
      <c r="G335" t="s">
        <v>14</v>
      </c>
      <c r="H335" t="s">
        <v>13</v>
      </c>
      <c r="I335" t="s">
        <v>7090</v>
      </c>
      <c r="N335">
        <v>1</v>
      </c>
      <c r="O335" t="s">
        <v>7089</v>
      </c>
      <c r="P335">
        <v>6603303887</v>
      </c>
      <c r="R335" s="7">
        <v>32874</v>
      </c>
      <c r="S335" s="8">
        <f t="shared" si="40"/>
        <v>1990</v>
      </c>
      <c r="T335" s="8">
        <v>1990</v>
      </c>
      <c r="U335" s="8">
        <f t="shared" si="41"/>
        <v>32</v>
      </c>
      <c r="V335" s="7">
        <v>33208</v>
      </c>
      <c r="W335" t="s">
        <v>2428</v>
      </c>
      <c r="X335" s="2">
        <v>0.78200000000000003</v>
      </c>
      <c r="Y335" s="6">
        <f t="shared" si="46"/>
        <v>2.0875043378446919E-2</v>
      </c>
      <c r="AA335">
        <v>189316</v>
      </c>
      <c r="AB335">
        <v>19901</v>
      </c>
      <c r="AC335">
        <v>15579611</v>
      </c>
      <c r="AD335" t="s">
        <v>5</v>
      </c>
      <c r="AE335">
        <v>36</v>
      </c>
      <c r="AF335">
        <v>4</v>
      </c>
      <c r="AH335" t="s">
        <v>7088</v>
      </c>
      <c r="AI335" t="s">
        <v>7087</v>
      </c>
      <c r="AK335" t="s">
        <v>7086</v>
      </c>
      <c r="AL335">
        <v>3</v>
      </c>
      <c r="AM335" s="5">
        <f t="shared" si="42"/>
        <v>9.375E-2</v>
      </c>
      <c r="AN335" s="4">
        <f t="shared" si="47"/>
        <v>1.4199166982203711E-4</v>
      </c>
      <c r="AO335" s="3"/>
      <c r="AP335">
        <v>0</v>
      </c>
      <c r="AR335" t="s">
        <v>0</v>
      </c>
      <c r="AT335" s="2">
        <v>3.863</v>
      </c>
      <c r="AU335" s="1">
        <f t="shared" si="43"/>
        <v>1.4655127865859452</v>
      </c>
      <c r="AV335" s="1">
        <f t="shared" si="44"/>
        <v>1.0508517524134477</v>
      </c>
      <c r="AW335" s="1">
        <f t="shared" si="45"/>
        <v>0.63619071824095019</v>
      </c>
    </row>
    <row r="336" spans="1:49" x14ac:dyDescent="0.2">
      <c r="A336">
        <v>334</v>
      </c>
      <c r="B336" t="s">
        <v>7085</v>
      </c>
      <c r="C336" t="s">
        <v>7084</v>
      </c>
      <c r="F336" t="s">
        <v>7083</v>
      </c>
      <c r="G336" t="s">
        <v>14</v>
      </c>
      <c r="H336" t="s">
        <v>13</v>
      </c>
      <c r="I336" t="s">
        <v>7082</v>
      </c>
      <c r="J336">
        <v>60026715</v>
      </c>
      <c r="K336" t="s">
        <v>7081</v>
      </c>
      <c r="L336" t="s">
        <v>2449</v>
      </c>
      <c r="M336" t="s">
        <v>197</v>
      </c>
      <c r="N336">
        <v>2</v>
      </c>
      <c r="O336" t="s">
        <v>7080</v>
      </c>
      <c r="P336" t="s">
        <v>7079</v>
      </c>
      <c r="Q336" t="s">
        <v>7078</v>
      </c>
      <c r="R336" s="7">
        <v>32874</v>
      </c>
      <c r="S336" s="8">
        <f t="shared" si="40"/>
        <v>1990</v>
      </c>
      <c r="T336" s="8">
        <v>1990</v>
      </c>
      <c r="U336" s="8">
        <f t="shared" si="41"/>
        <v>32</v>
      </c>
      <c r="V336" s="7">
        <v>1990</v>
      </c>
      <c r="W336" t="s">
        <v>7077</v>
      </c>
      <c r="X336" s="2">
        <v>0.28299999999999997</v>
      </c>
      <c r="Y336" s="6">
        <f t="shared" si="46"/>
        <v>7.5545233709724781E-3</v>
      </c>
      <c r="AA336">
        <v>8327823</v>
      </c>
      <c r="AB336">
        <v>18061</v>
      </c>
      <c r="AD336" t="s">
        <v>5</v>
      </c>
      <c r="AE336">
        <v>25</v>
      </c>
      <c r="AF336">
        <v>4</v>
      </c>
      <c r="AH336" t="s">
        <v>7076</v>
      </c>
      <c r="AI336" t="s">
        <v>7075</v>
      </c>
      <c r="AK336" t="s">
        <v>7074</v>
      </c>
      <c r="AL336">
        <v>24</v>
      </c>
      <c r="AM336" s="5">
        <f t="shared" si="42"/>
        <v>0.75</v>
      </c>
      <c r="AN336" s="4">
        <f t="shared" si="47"/>
        <v>1.1359333585762969E-3</v>
      </c>
      <c r="AO336" s="3"/>
      <c r="AP336">
        <v>0</v>
      </c>
      <c r="AR336" t="s">
        <v>0</v>
      </c>
      <c r="AT336" s="2" t="s">
        <v>126</v>
      </c>
      <c r="AU336" s="1">
        <f t="shared" si="43"/>
        <v>0.56289463672536233</v>
      </c>
      <c r="AV336" s="1">
        <f t="shared" si="44"/>
        <v>0.43452283647743872</v>
      </c>
      <c r="AW336" s="1">
        <f t="shared" si="45"/>
        <v>0.30615103622951512</v>
      </c>
    </row>
    <row r="337" spans="1:49" x14ac:dyDescent="0.2">
      <c r="A337">
        <v>335</v>
      </c>
      <c r="B337" t="s">
        <v>7073</v>
      </c>
      <c r="C337" t="s">
        <v>7072</v>
      </c>
      <c r="F337" t="s">
        <v>7071</v>
      </c>
      <c r="G337" t="s">
        <v>14</v>
      </c>
      <c r="H337" t="s">
        <v>13</v>
      </c>
      <c r="I337" t="s">
        <v>7070</v>
      </c>
      <c r="J337">
        <v>60005304</v>
      </c>
      <c r="K337" t="s">
        <v>747</v>
      </c>
      <c r="L337" t="s">
        <v>746</v>
      </c>
      <c r="M337" t="s">
        <v>197</v>
      </c>
      <c r="N337">
        <v>2</v>
      </c>
      <c r="O337" t="s">
        <v>7069</v>
      </c>
      <c r="P337" t="s">
        <v>7068</v>
      </c>
      <c r="Q337" t="s">
        <v>7067</v>
      </c>
      <c r="R337" s="7">
        <v>32874</v>
      </c>
      <c r="S337" s="8">
        <f t="shared" si="40"/>
        <v>1990</v>
      </c>
      <c r="T337" s="8">
        <v>1990</v>
      </c>
      <c r="U337" s="8">
        <f t="shared" si="41"/>
        <v>32</v>
      </c>
      <c r="V337" s="7">
        <v>33208</v>
      </c>
      <c r="W337" t="s">
        <v>2249</v>
      </c>
      <c r="X337" s="2">
        <v>1.6519999999999999</v>
      </c>
      <c r="Y337" s="6">
        <f t="shared" si="46"/>
        <v>4.409919649769093E-2</v>
      </c>
      <c r="AA337" t="s">
        <v>2248</v>
      </c>
      <c r="AB337">
        <v>17337</v>
      </c>
      <c r="AC337">
        <v>15582221</v>
      </c>
      <c r="AD337" t="s">
        <v>5</v>
      </c>
      <c r="AE337">
        <v>38</v>
      </c>
      <c r="AF337">
        <v>12</v>
      </c>
      <c r="AH337" t="s">
        <v>7066</v>
      </c>
      <c r="AI337" t="s">
        <v>7065</v>
      </c>
      <c r="AK337" t="s">
        <v>7064</v>
      </c>
      <c r="AL337">
        <v>4</v>
      </c>
      <c r="AM337" s="5">
        <f t="shared" si="42"/>
        <v>0.125</v>
      </c>
      <c r="AN337" s="4">
        <f t="shared" si="47"/>
        <v>1.893222264293828E-4</v>
      </c>
      <c r="AO337" s="3"/>
      <c r="AP337">
        <v>0</v>
      </c>
      <c r="AR337" t="s">
        <v>0</v>
      </c>
      <c r="AT337" s="2" t="s">
        <v>126</v>
      </c>
      <c r="AU337" s="1">
        <f t="shared" si="43"/>
        <v>3.0926234216312465</v>
      </c>
      <c r="AV337" s="1">
        <f t="shared" si="44"/>
        <v>2.2144259362060157</v>
      </c>
      <c r="AW337" s="1">
        <f t="shared" si="45"/>
        <v>1.3362284507807847</v>
      </c>
    </row>
    <row r="338" spans="1:49" x14ac:dyDescent="0.2">
      <c r="A338">
        <v>336</v>
      </c>
      <c r="B338" t="s">
        <v>7063</v>
      </c>
      <c r="C338" t="s">
        <v>7062</v>
      </c>
      <c r="F338" t="s">
        <v>7061</v>
      </c>
      <c r="G338" t="s">
        <v>14</v>
      </c>
      <c r="H338" t="s">
        <v>13</v>
      </c>
      <c r="I338" t="s">
        <v>7060</v>
      </c>
      <c r="J338" t="s">
        <v>7059</v>
      </c>
      <c r="K338" t="s">
        <v>7058</v>
      </c>
      <c r="L338" t="s">
        <v>7057</v>
      </c>
      <c r="M338" t="s">
        <v>84</v>
      </c>
      <c r="N338">
        <v>2</v>
      </c>
      <c r="O338" t="s">
        <v>7056</v>
      </c>
      <c r="P338" t="s">
        <v>7055</v>
      </c>
      <c r="Q338" t="s">
        <v>7054</v>
      </c>
      <c r="R338" s="7">
        <v>32874</v>
      </c>
      <c r="S338" s="8">
        <f t="shared" si="40"/>
        <v>1990</v>
      </c>
      <c r="T338" s="8">
        <v>1990</v>
      </c>
      <c r="U338" s="8">
        <f t="shared" si="41"/>
        <v>32</v>
      </c>
      <c r="V338" s="7">
        <v>33208</v>
      </c>
      <c r="W338" t="s">
        <v>4207</v>
      </c>
      <c r="X338" s="2">
        <v>1.3460000000000001</v>
      </c>
      <c r="Y338" s="6">
        <f t="shared" si="46"/>
        <v>3.593070126264649E-2</v>
      </c>
      <c r="AA338">
        <v>7338724</v>
      </c>
      <c r="AB338">
        <v>12178</v>
      </c>
      <c r="AC338">
        <v>15582213</v>
      </c>
      <c r="AD338" t="s">
        <v>5</v>
      </c>
      <c r="AE338">
        <v>8</v>
      </c>
      <c r="AF338">
        <v>12</v>
      </c>
      <c r="AH338" t="s">
        <v>7053</v>
      </c>
      <c r="AI338" t="s">
        <v>7052</v>
      </c>
      <c r="AK338" t="s">
        <v>7051</v>
      </c>
      <c r="AL338">
        <v>56</v>
      </c>
      <c r="AM338" s="5">
        <f t="shared" si="42"/>
        <v>1.75</v>
      </c>
      <c r="AN338" s="4">
        <f t="shared" si="47"/>
        <v>2.6505111700113595E-3</v>
      </c>
      <c r="AO338" s="3"/>
      <c r="AP338">
        <v>0</v>
      </c>
      <c r="AR338" t="s">
        <v>0</v>
      </c>
      <c r="AT338" s="2">
        <v>4.1420000000000003</v>
      </c>
      <c r="AU338" s="1">
        <f t="shared" si="43"/>
        <v>2.5946644234855949</v>
      </c>
      <c r="AV338" s="1">
        <f t="shared" si="44"/>
        <v>1.9290606216328925</v>
      </c>
      <c r="AW338" s="1">
        <f t="shared" si="45"/>
        <v>1.2634568197801899</v>
      </c>
    </row>
    <row r="339" spans="1:49" x14ac:dyDescent="0.2">
      <c r="A339">
        <v>337</v>
      </c>
      <c r="B339" t="s">
        <v>7050</v>
      </c>
      <c r="C339" t="s">
        <v>7049</v>
      </c>
      <c r="F339" t="s">
        <v>7048</v>
      </c>
      <c r="G339" t="s">
        <v>14</v>
      </c>
      <c r="H339" t="s">
        <v>13</v>
      </c>
      <c r="I339" t="s">
        <v>7047</v>
      </c>
      <c r="J339">
        <v>60022774</v>
      </c>
      <c r="K339" t="s">
        <v>7046</v>
      </c>
      <c r="L339" t="s">
        <v>7045</v>
      </c>
      <c r="M339" t="s">
        <v>197</v>
      </c>
      <c r="N339">
        <v>1</v>
      </c>
      <c r="O339" t="s">
        <v>7044</v>
      </c>
      <c r="P339">
        <v>7404344256</v>
      </c>
      <c r="Q339">
        <v>60022774</v>
      </c>
      <c r="R339" s="7">
        <v>32874</v>
      </c>
      <c r="S339" s="8">
        <f t="shared" si="40"/>
        <v>1990</v>
      </c>
      <c r="T339" s="8">
        <v>1990</v>
      </c>
      <c r="U339" s="8">
        <f t="shared" si="41"/>
        <v>32</v>
      </c>
      <c r="V339" s="7">
        <v>33208</v>
      </c>
      <c r="W339" t="s">
        <v>2249</v>
      </c>
      <c r="X339" s="2">
        <v>1.6519999999999999</v>
      </c>
      <c r="Y339" s="6">
        <f t="shared" si="46"/>
        <v>4.409919649769093E-2</v>
      </c>
      <c r="AA339" t="s">
        <v>2248</v>
      </c>
      <c r="AB339">
        <v>17337</v>
      </c>
      <c r="AC339">
        <v>15582221</v>
      </c>
      <c r="AD339" t="s">
        <v>5</v>
      </c>
      <c r="AE339">
        <v>38</v>
      </c>
      <c r="AF339">
        <v>12</v>
      </c>
      <c r="AH339" t="s">
        <v>7043</v>
      </c>
      <c r="AI339" t="s">
        <v>7042</v>
      </c>
      <c r="AK339" t="s">
        <v>7041</v>
      </c>
      <c r="AL339">
        <v>4</v>
      </c>
      <c r="AM339" s="5">
        <f t="shared" si="42"/>
        <v>0.125</v>
      </c>
      <c r="AN339" s="4">
        <f t="shared" si="47"/>
        <v>1.893222264293828E-4</v>
      </c>
      <c r="AO339" s="3"/>
      <c r="AP339">
        <v>0</v>
      </c>
      <c r="AR339" t="s">
        <v>0</v>
      </c>
      <c r="AT339" s="2" t="s">
        <v>126</v>
      </c>
      <c r="AU339" s="1">
        <f t="shared" si="43"/>
        <v>3.0926234216312465</v>
      </c>
      <c r="AV339" s="1">
        <f t="shared" si="44"/>
        <v>2.2144259362060157</v>
      </c>
      <c r="AW339" s="1">
        <f t="shared" si="45"/>
        <v>1.3362284507807847</v>
      </c>
    </row>
    <row r="340" spans="1:49" x14ac:dyDescent="0.2">
      <c r="A340">
        <v>338</v>
      </c>
      <c r="B340" t="s">
        <v>7040</v>
      </c>
      <c r="C340" t="s">
        <v>7039</v>
      </c>
      <c r="F340" t="s">
        <v>7038</v>
      </c>
      <c r="G340" t="s">
        <v>14</v>
      </c>
      <c r="H340" t="s">
        <v>13</v>
      </c>
      <c r="I340" t="s">
        <v>7037</v>
      </c>
      <c r="J340">
        <v>60027716</v>
      </c>
      <c r="K340" t="s">
        <v>7036</v>
      </c>
      <c r="L340" t="s">
        <v>2279</v>
      </c>
      <c r="M340" t="s">
        <v>197</v>
      </c>
      <c r="N340">
        <v>3</v>
      </c>
      <c r="O340" t="s">
        <v>7035</v>
      </c>
      <c r="P340" t="s">
        <v>7034</v>
      </c>
      <c r="Q340" t="s">
        <v>7033</v>
      </c>
      <c r="R340" s="7">
        <v>32874</v>
      </c>
      <c r="S340" s="8">
        <f t="shared" si="40"/>
        <v>1990</v>
      </c>
      <c r="T340" s="8">
        <v>1990</v>
      </c>
      <c r="U340" s="8">
        <f t="shared" si="41"/>
        <v>32</v>
      </c>
      <c r="V340" s="7">
        <v>1990</v>
      </c>
      <c r="W340" t="s">
        <v>7032</v>
      </c>
      <c r="X340" s="2" t="s">
        <v>126</v>
      </c>
      <c r="Y340" s="6" t="e">
        <f t="shared" si="46"/>
        <v>#VALUE!</v>
      </c>
      <c r="AA340">
        <v>224928</v>
      </c>
      <c r="AB340">
        <v>13552</v>
      </c>
      <c r="AD340" t="s">
        <v>5</v>
      </c>
      <c r="AE340">
        <v>47</v>
      </c>
      <c r="AF340">
        <v>21</v>
      </c>
      <c r="AH340" t="s">
        <v>7031</v>
      </c>
      <c r="AI340" t="s">
        <v>7030</v>
      </c>
      <c r="AK340" t="s">
        <v>7029</v>
      </c>
      <c r="AL340">
        <v>1</v>
      </c>
      <c r="AM340" s="5">
        <f t="shared" si="42"/>
        <v>3.125E-2</v>
      </c>
      <c r="AN340" s="4">
        <f t="shared" si="47"/>
        <v>4.73305566073457E-5</v>
      </c>
      <c r="AO340" s="3"/>
      <c r="AP340">
        <v>0</v>
      </c>
      <c r="AR340" t="s">
        <v>0</v>
      </c>
      <c r="AT340" s="2">
        <v>3.1840000000000002</v>
      </c>
      <c r="AU340" s="1" t="e">
        <f t="shared" si="43"/>
        <v>#VALUE!</v>
      </c>
      <c r="AV340" s="1" t="e">
        <f t="shared" si="44"/>
        <v>#VALUE!</v>
      </c>
      <c r="AW340" s="1" t="e">
        <f t="shared" si="45"/>
        <v>#VALUE!</v>
      </c>
    </row>
    <row r="341" spans="1:49" x14ac:dyDescent="0.2">
      <c r="A341">
        <v>339</v>
      </c>
      <c r="B341" t="s">
        <v>7028</v>
      </c>
      <c r="C341" t="s">
        <v>7027</v>
      </c>
      <c r="F341" t="s">
        <v>7026</v>
      </c>
      <c r="G341" t="s">
        <v>14</v>
      </c>
      <c r="H341" t="s">
        <v>13</v>
      </c>
      <c r="I341" t="s">
        <v>6065</v>
      </c>
      <c r="J341">
        <v>60031126</v>
      </c>
      <c r="K341" t="s">
        <v>6064</v>
      </c>
      <c r="L341" t="s">
        <v>466</v>
      </c>
      <c r="M341" t="s">
        <v>267</v>
      </c>
      <c r="N341">
        <v>4</v>
      </c>
      <c r="O341" t="s">
        <v>7025</v>
      </c>
      <c r="P341" t="s">
        <v>7024</v>
      </c>
      <c r="Q341" t="s">
        <v>7023</v>
      </c>
      <c r="R341" s="7">
        <v>32874</v>
      </c>
      <c r="S341" s="8">
        <f t="shared" si="40"/>
        <v>1990</v>
      </c>
      <c r="T341" s="8">
        <v>1990</v>
      </c>
      <c r="U341" s="8">
        <f t="shared" si="41"/>
        <v>32</v>
      </c>
      <c r="V341" s="7" t="s">
        <v>6762</v>
      </c>
      <c r="W341" s="11" t="s">
        <v>1933</v>
      </c>
      <c r="X341" s="2">
        <v>2.383</v>
      </c>
      <c r="Y341" s="6">
        <f t="shared" si="46"/>
        <v>6.3612824003630442E-2</v>
      </c>
      <c r="AA341" t="s">
        <v>1932</v>
      </c>
      <c r="AB341">
        <v>101151</v>
      </c>
      <c r="AD341" t="s">
        <v>5</v>
      </c>
      <c r="AE341">
        <v>137</v>
      </c>
      <c r="AF341">
        <v>6</v>
      </c>
      <c r="AH341" t="s">
        <v>7022</v>
      </c>
      <c r="AI341" t="s">
        <v>7021</v>
      </c>
      <c r="AK341" t="s">
        <v>7020</v>
      </c>
      <c r="AL341">
        <v>30</v>
      </c>
      <c r="AM341" s="5">
        <f t="shared" si="42"/>
        <v>0.9375</v>
      </c>
      <c r="AN341" s="4">
        <f t="shared" si="47"/>
        <v>1.4199166982203711E-3</v>
      </c>
      <c r="AO341" s="3"/>
      <c r="AP341">
        <v>0</v>
      </c>
      <c r="AR341" t="s">
        <v>0</v>
      </c>
      <c r="AT341" s="2" t="s">
        <v>126</v>
      </c>
      <c r="AU341" s="1">
        <f t="shared" si="43"/>
        <v>4.4954951812007415</v>
      </c>
      <c r="AV341" s="1">
        <f t="shared" si="44"/>
        <v>3.251637035092541</v>
      </c>
      <c r="AW341" s="1">
        <f t="shared" si="45"/>
        <v>2.0077788889843391</v>
      </c>
    </row>
    <row r="342" spans="1:49" x14ac:dyDescent="0.2">
      <c r="A342">
        <v>340</v>
      </c>
      <c r="B342" t="s">
        <v>7019</v>
      </c>
      <c r="C342" t="s">
        <v>7018</v>
      </c>
      <c r="F342" t="s">
        <v>7017</v>
      </c>
      <c r="G342" t="s">
        <v>14</v>
      </c>
      <c r="H342" t="s">
        <v>13</v>
      </c>
      <c r="I342" t="s">
        <v>7016</v>
      </c>
      <c r="J342" t="s">
        <v>7015</v>
      </c>
      <c r="K342" t="s">
        <v>7014</v>
      </c>
      <c r="L342" t="s">
        <v>7013</v>
      </c>
      <c r="M342" t="s">
        <v>7012</v>
      </c>
      <c r="N342">
        <v>3</v>
      </c>
      <c r="O342" t="s">
        <v>7011</v>
      </c>
      <c r="P342" t="s">
        <v>7010</v>
      </c>
      <c r="Q342" t="s">
        <v>7009</v>
      </c>
      <c r="R342" s="7">
        <v>32874</v>
      </c>
      <c r="S342" s="8">
        <f t="shared" si="40"/>
        <v>1990</v>
      </c>
      <c r="T342" s="8">
        <v>1990</v>
      </c>
      <c r="U342" s="8">
        <f t="shared" si="41"/>
        <v>32</v>
      </c>
      <c r="V342" s="7">
        <v>33208</v>
      </c>
      <c r="W342" t="s">
        <v>2249</v>
      </c>
      <c r="X342" s="2">
        <v>1.6519999999999999</v>
      </c>
      <c r="Y342" s="6">
        <f t="shared" si="46"/>
        <v>4.409919649769093E-2</v>
      </c>
      <c r="AA342" t="s">
        <v>2248</v>
      </c>
      <c r="AB342">
        <v>17337</v>
      </c>
      <c r="AC342">
        <v>15582221</v>
      </c>
      <c r="AD342" t="s">
        <v>5</v>
      </c>
      <c r="AE342">
        <v>38</v>
      </c>
      <c r="AF342">
        <v>12</v>
      </c>
      <c r="AH342" t="s">
        <v>7008</v>
      </c>
      <c r="AI342" t="s">
        <v>7007</v>
      </c>
      <c r="AK342" t="s">
        <v>7006</v>
      </c>
      <c r="AL342">
        <v>5</v>
      </c>
      <c r="AM342" s="5">
        <f t="shared" si="42"/>
        <v>0.15625</v>
      </c>
      <c r="AN342" s="4">
        <f t="shared" si="47"/>
        <v>2.3665278303672851E-4</v>
      </c>
      <c r="AO342" s="3"/>
      <c r="AP342">
        <v>0</v>
      </c>
      <c r="AR342" t="s">
        <v>0</v>
      </c>
      <c r="AT342" s="2" t="s">
        <v>126</v>
      </c>
      <c r="AU342" s="1">
        <f t="shared" si="43"/>
        <v>3.0940433383294672</v>
      </c>
      <c r="AV342" s="1">
        <f t="shared" si="44"/>
        <v>2.216792464036383</v>
      </c>
      <c r="AW342" s="1">
        <f t="shared" si="45"/>
        <v>1.3395415897432987</v>
      </c>
    </row>
    <row r="343" spans="1:49" x14ac:dyDescent="0.2">
      <c r="A343">
        <v>341</v>
      </c>
      <c r="B343" t="s">
        <v>7005</v>
      </c>
      <c r="C343" t="s">
        <v>7004</v>
      </c>
      <c r="F343" t="s">
        <v>7003</v>
      </c>
      <c r="G343" t="s">
        <v>14</v>
      </c>
      <c r="H343" t="s">
        <v>13</v>
      </c>
      <c r="I343" t="s">
        <v>7002</v>
      </c>
      <c r="J343">
        <v>60021219</v>
      </c>
      <c r="K343" t="s">
        <v>7001</v>
      </c>
      <c r="L343" t="s">
        <v>7000</v>
      </c>
      <c r="M343" t="s">
        <v>253</v>
      </c>
      <c r="N343">
        <v>2</v>
      </c>
      <c r="O343" t="s">
        <v>6999</v>
      </c>
      <c r="P343" t="s">
        <v>6998</v>
      </c>
      <c r="Q343" t="s">
        <v>6997</v>
      </c>
      <c r="R343" s="7">
        <v>32874</v>
      </c>
      <c r="S343" s="8">
        <f t="shared" si="40"/>
        <v>1990</v>
      </c>
      <c r="T343" s="8">
        <v>1990</v>
      </c>
      <c r="U343" s="8">
        <f t="shared" si="41"/>
        <v>32</v>
      </c>
      <c r="V343" s="7" t="s">
        <v>6762</v>
      </c>
      <c r="W343" s="11" t="s">
        <v>6996</v>
      </c>
      <c r="X343" s="2">
        <v>2.383</v>
      </c>
      <c r="Y343" s="6">
        <f t="shared" si="46"/>
        <v>6.3612824003630442E-2</v>
      </c>
      <c r="AA343">
        <v>9563776</v>
      </c>
      <c r="AB343">
        <v>68339</v>
      </c>
      <c r="AD343" t="s">
        <v>5</v>
      </c>
      <c r="AE343">
        <v>137</v>
      </c>
      <c r="AF343" t="s">
        <v>6995</v>
      </c>
      <c r="AH343" t="s">
        <v>6994</v>
      </c>
      <c r="AI343" t="s">
        <v>6993</v>
      </c>
      <c r="AK343" t="s">
        <v>6992</v>
      </c>
      <c r="AL343">
        <v>6</v>
      </c>
      <c r="AM343" s="5">
        <f t="shared" si="42"/>
        <v>0.1875</v>
      </c>
      <c r="AN343" s="4">
        <f t="shared" si="47"/>
        <v>2.8398333964407423E-4</v>
      </c>
      <c r="AO343" s="3"/>
      <c r="AP343">
        <v>0</v>
      </c>
      <c r="AR343" t="s">
        <v>0</v>
      </c>
      <c r="AT343" s="2" t="s">
        <v>126</v>
      </c>
      <c r="AU343" s="1">
        <f t="shared" si="43"/>
        <v>4.461417180443453</v>
      </c>
      <c r="AV343" s="1">
        <f t="shared" si="44"/>
        <v>3.1948403671637262</v>
      </c>
      <c r="AW343" s="1">
        <f t="shared" si="45"/>
        <v>1.9282635538839985</v>
      </c>
    </row>
    <row r="344" spans="1:49" x14ac:dyDescent="0.2">
      <c r="A344">
        <v>342</v>
      </c>
      <c r="B344" t="s">
        <v>6991</v>
      </c>
      <c r="C344" t="s">
        <v>6990</v>
      </c>
      <c r="F344" t="s">
        <v>6989</v>
      </c>
      <c r="G344" t="s">
        <v>14</v>
      </c>
      <c r="H344" t="s">
        <v>13</v>
      </c>
      <c r="I344" t="s">
        <v>6988</v>
      </c>
      <c r="J344">
        <v>60001247</v>
      </c>
      <c r="K344" t="s">
        <v>6330</v>
      </c>
      <c r="M344" t="s">
        <v>197</v>
      </c>
      <c r="N344">
        <v>2</v>
      </c>
      <c r="O344" t="s">
        <v>6987</v>
      </c>
      <c r="P344" t="s">
        <v>6986</v>
      </c>
      <c r="Q344" t="s">
        <v>6985</v>
      </c>
      <c r="R344" s="7">
        <v>32874</v>
      </c>
      <c r="S344" s="8">
        <f t="shared" si="40"/>
        <v>1990</v>
      </c>
      <c r="T344" s="8">
        <v>1990</v>
      </c>
      <c r="U344" s="8">
        <f t="shared" si="41"/>
        <v>32</v>
      </c>
      <c r="V344" s="7">
        <v>33208</v>
      </c>
      <c r="W344" t="s">
        <v>2249</v>
      </c>
      <c r="X344" s="2">
        <v>1.6519999999999999</v>
      </c>
      <c r="Y344" s="6">
        <f t="shared" si="46"/>
        <v>4.409919649769093E-2</v>
      </c>
      <c r="AA344" t="s">
        <v>2248</v>
      </c>
      <c r="AB344">
        <v>17337</v>
      </c>
      <c r="AC344">
        <v>15582221</v>
      </c>
      <c r="AD344" t="s">
        <v>5</v>
      </c>
      <c r="AE344">
        <v>38</v>
      </c>
      <c r="AF344">
        <v>12</v>
      </c>
      <c r="AH344" t="s">
        <v>6984</v>
      </c>
      <c r="AI344" t="s">
        <v>6983</v>
      </c>
      <c r="AK344" t="s">
        <v>6982</v>
      </c>
      <c r="AL344">
        <v>317</v>
      </c>
      <c r="AM344" s="5">
        <f t="shared" si="42"/>
        <v>9.90625</v>
      </c>
      <c r="AN344" s="4">
        <f t="shared" si="47"/>
        <v>1.5003786444528587E-2</v>
      </c>
      <c r="AO344" s="3"/>
      <c r="AP344">
        <v>0</v>
      </c>
      <c r="AR344" t="s">
        <v>0</v>
      </c>
      <c r="AT344" s="2" t="s">
        <v>126</v>
      </c>
      <c r="AU344" s="1">
        <f t="shared" si="43"/>
        <v>3.5370573481742227</v>
      </c>
      <c r="AV344" s="1">
        <f t="shared" si="44"/>
        <v>2.9551491471109759</v>
      </c>
      <c r="AW344" s="1">
        <f t="shared" si="45"/>
        <v>2.3732409460477291</v>
      </c>
    </row>
    <row r="345" spans="1:49" x14ac:dyDescent="0.2">
      <c r="A345">
        <v>343</v>
      </c>
      <c r="B345" t="s">
        <v>6981</v>
      </c>
      <c r="C345" t="s">
        <v>6980</v>
      </c>
      <c r="F345" t="s">
        <v>6979</v>
      </c>
      <c r="G345" t="s">
        <v>14</v>
      </c>
      <c r="H345" t="s">
        <v>13</v>
      </c>
      <c r="I345" t="s">
        <v>6978</v>
      </c>
      <c r="J345" t="s">
        <v>6977</v>
      </c>
      <c r="K345" t="s">
        <v>6976</v>
      </c>
      <c r="L345" t="s">
        <v>6975</v>
      </c>
      <c r="M345" t="s">
        <v>84</v>
      </c>
      <c r="N345">
        <v>4</v>
      </c>
      <c r="O345" t="s">
        <v>6974</v>
      </c>
      <c r="P345" t="s">
        <v>6973</v>
      </c>
      <c r="Q345" t="s">
        <v>6972</v>
      </c>
      <c r="R345" s="7">
        <v>32874</v>
      </c>
      <c r="S345" s="8">
        <f t="shared" si="40"/>
        <v>1990</v>
      </c>
      <c r="T345" s="8">
        <v>1990</v>
      </c>
      <c r="U345" s="8">
        <f t="shared" si="41"/>
        <v>32</v>
      </c>
      <c r="V345" s="7">
        <v>1990</v>
      </c>
      <c r="W345" t="s">
        <v>6971</v>
      </c>
      <c r="X345" s="2">
        <v>12.555999999999999</v>
      </c>
      <c r="Y345" s="6">
        <f t="shared" si="46"/>
        <v>0.33517524892554923</v>
      </c>
      <c r="AA345">
        <v>368075</v>
      </c>
      <c r="AB345">
        <v>23571</v>
      </c>
      <c r="AD345" t="s">
        <v>5</v>
      </c>
      <c r="AE345">
        <v>248</v>
      </c>
      <c r="AF345">
        <v>4958</v>
      </c>
      <c r="AH345" t="s">
        <v>6970</v>
      </c>
      <c r="AI345" t="s">
        <v>6969</v>
      </c>
      <c r="AK345" t="s">
        <v>6968</v>
      </c>
      <c r="AL345">
        <v>96</v>
      </c>
      <c r="AM345" s="5">
        <f t="shared" si="42"/>
        <v>3</v>
      </c>
      <c r="AN345" s="4">
        <f t="shared" si="47"/>
        <v>4.5437334343051876E-3</v>
      </c>
      <c r="AO345" s="3"/>
      <c r="AP345">
        <v>0</v>
      </c>
      <c r="AR345" t="s">
        <v>0</v>
      </c>
      <c r="AT345" s="2">
        <v>47.728000000000002</v>
      </c>
      <c r="AU345" s="1">
        <f t="shared" si="43"/>
        <v>23.598579427817597</v>
      </c>
      <c r="AV345" s="1">
        <f t="shared" si="44"/>
        <v>16.985949117992721</v>
      </c>
      <c r="AW345" s="1">
        <f t="shared" si="45"/>
        <v>10.37331880816784</v>
      </c>
    </row>
    <row r="346" spans="1:49" x14ac:dyDescent="0.2">
      <c r="A346">
        <v>344</v>
      </c>
      <c r="B346" t="s">
        <v>6967</v>
      </c>
      <c r="C346" t="s">
        <v>6966</v>
      </c>
      <c r="F346" t="s">
        <v>6965</v>
      </c>
      <c r="G346" t="s">
        <v>14</v>
      </c>
      <c r="H346" t="s">
        <v>13</v>
      </c>
      <c r="I346" t="s">
        <v>6964</v>
      </c>
      <c r="J346">
        <v>60009697</v>
      </c>
      <c r="K346" t="s">
        <v>1939</v>
      </c>
      <c r="L346" t="s">
        <v>1938</v>
      </c>
      <c r="M346" t="s">
        <v>1937</v>
      </c>
      <c r="N346">
        <v>2</v>
      </c>
      <c r="O346" t="s">
        <v>6963</v>
      </c>
      <c r="P346" t="s">
        <v>6962</v>
      </c>
      <c r="Q346" t="s">
        <v>1934</v>
      </c>
      <c r="R346" s="7">
        <v>32874</v>
      </c>
      <c r="S346" s="8">
        <f t="shared" si="40"/>
        <v>1990</v>
      </c>
      <c r="T346" s="8">
        <v>1990</v>
      </c>
      <c r="U346" s="8">
        <f t="shared" si="41"/>
        <v>32</v>
      </c>
      <c r="V346" s="7" t="s">
        <v>6762</v>
      </c>
      <c r="W346" s="11" t="s">
        <v>1933</v>
      </c>
      <c r="X346" s="2">
        <v>2.383</v>
      </c>
      <c r="Y346" s="6">
        <f t="shared" si="46"/>
        <v>6.3612824003630442E-2</v>
      </c>
      <c r="AA346" t="s">
        <v>1932</v>
      </c>
      <c r="AB346">
        <v>101151</v>
      </c>
      <c r="AD346" t="s">
        <v>5</v>
      </c>
      <c r="AE346">
        <v>137</v>
      </c>
      <c r="AF346">
        <v>6</v>
      </c>
      <c r="AH346" t="s">
        <v>6961</v>
      </c>
      <c r="AI346" t="s">
        <v>6960</v>
      </c>
      <c r="AK346" t="s">
        <v>6959</v>
      </c>
      <c r="AL346">
        <v>2</v>
      </c>
      <c r="AM346" s="5">
        <f t="shared" si="42"/>
        <v>6.25E-2</v>
      </c>
      <c r="AN346" s="4">
        <f t="shared" si="47"/>
        <v>9.46611132146914E-5</v>
      </c>
      <c r="AO346" s="3"/>
      <c r="AP346">
        <v>0</v>
      </c>
      <c r="AR346" t="s">
        <v>0</v>
      </c>
      <c r="AT346" s="2" t="s">
        <v>126</v>
      </c>
      <c r="AU346" s="1">
        <f t="shared" si="43"/>
        <v>4.4557375136505719</v>
      </c>
      <c r="AV346" s="1">
        <f t="shared" si="44"/>
        <v>3.1853742558422571</v>
      </c>
      <c r="AW346" s="1">
        <f t="shared" si="45"/>
        <v>1.9150109980339416</v>
      </c>
    </row>
    <row r="347" spans="1:49" x14ac:dyDescent="0.2">
      <c r="A347">
        <v>345</v>
      </c>
      <c r="B347" t="s">
        <v>6958</v>
      </c>
      <c r="C347" t="s">
        <v>6957</v>
      </c>
      <c r="F347" t="s">
        <v>6956</v>
      </c>
      <c r="G347" t="s">
        <v>14</v>
      </c>
      <c r="H347" t="s">
        <v>13</v>
      </c>
      <c r="I347" t="s">
        <v>4147</v>
      </c>
      <c r="J347">
        <v>60027550</v>
      </c>
      <c r="K347" t="s">
        <v>3438</v>
      </c>
      <c r="L347" t="s">
        <v>280</v>
      </c>
      <c r="M347" t="s">
        <v>197</v>
      </c>
      <c r="N347">
        <v>2</v>
      </c>
      <c r="O347" t="s">
        <v>6955</v>
      </c>
      <c r="P347" t="s">
        <v>6954</v>
      </c>
      <c r="Q347" t="s">
        <v>3435</v>
      </c>
      <c r="R347" s="7">
        <v>32874</v>
      </c>
      <c r="S347" s="8">
        <f t="shared" si="40"/>
        <v>1990</v>
      </c>
      <c r="T347" s="8">
        <v>1990</v>
      </c>
      <c r="U347" s="8">
        <f t="shared" si="41"/>
        <v>32</v>
      </c>
      <c r="V347" s="7" t="s">
        <v>6762</v>
      </c>
      <c r="W347" s="11" t="s">
        <v>1933</v>
      </c>
      <c r="X347" s="2">
        <v>2.383</v>
      </c>
      <c r="Y347" s="6">
        <f t="shared" si="46"/>
        <v>6.3612824003630442E-2</v>
      </c>
      <c r="AA347" t="s">
        <v>1932</v>
      </c>
      <c r="AB347">
        <v>101151</v>
      </c>
      <c r="AD347" t="s">
        <v>5</v>
      </c>
      <c r="AE347">
        <v>137</v>
      </c>
      <c r="AF347">
        <v>6</v>
      </c>
      <c r="AH347" t="s">
        <v>6953</v>
      </c>
      <c r="AI347" t="s">
        <v>6952</v>
      </c>
      <c r="AK347" t="s">
        <v>6951</v>
      </c>
      <c r="AL347">
        <v>2</v>
      </c>
      <c r="AM347" s="5">
        <f t="shared" si="42"/>
        <v>6.25E-2</v>
      </c>
      <c r="AN347" s="4">
        <f t="shared" si="47"/>
        <v>9.46611132146914E-5</v>
      </c>
      <c r="AO347" s="3"/>
      <c r="AP347">
        <v>0</v>
      </c>
      <c r="AR347" t="s">
        <v>0</v>
      </c>
      <c r="AT347" s="2" t="s">
        <v>126</v>
      </c>
      <c r="AU347" s="1">
        <f t="shared" si="43"/>
        <v>4.4557375136505719</v>
      </c>
      <c r="AV347" s="1">
        <f t="shared" si="44"/>
        <v>3.1853742558422571</v>
      </c>
      <c r="AW347" s="1">
        <f t="shared" si="45"/>
        <v>1.9150109980339416</v>
      </c>
    </row>
    <row r="348" spans="1:49" x14ac:dyDescent="0.2">
      <c r="A348">
        <v>346</v>
      </c>
      <c r="B348" t="s">
        <v>6950</v>
      </c>
      <c r="F348" t="s">
        <v>6949</v>
      </c>
      <c r="G348" t="s">
        <v>14</v>
      </c>
      <c r="H348" t="s">
        <v>13</v>
      </c>
      <c r="I348" t="s">
        <v>6948</v>
      </c>
      <c r="J348">
        <v>60031216</v>
      </c>
      <c r="K348" t="s">
        <v>6947</v>
      </c>
      <c r="L348" t="s">
        <v>6946</v>
      </c>
      <c r="M348" t="s">
        <v>135</v>
      </c>
      <c r="N348">
        <v>1</v>
      </c>
      <c r="O348" t="s">
        <v>6945</v>
      </c>
      <c r="P348">
        <v>7409933123</v>
      </c>
      <c r="Q348">
        <v>60031216</v>
      </c>
      <c r="R348" s="7">
        <v>32874</v>
      </c>
      <c r="S348" s="8">
        <f t="shared" si="40"/>
        <v>1990</v>
      </c>
      <c r="T348" s="8">
        <v>1990</v>
      </c>
      <c r="U348" s="8">
        <f t="shared" si="41"/>
        <v>32</v>
      </c>
      <c r="V348" s="7">
        <v>1990</v>
      </c>
      <c r="W348" t="s">
        <v>6944</v>
      </c>
      <c r="X348" s="2">
        <v>1.17</v>
      </c>
      <c r="Y348" s="6">
        <f t="shared" si="46"/>
        <v>3.1232481781052295E-2</v>
      </c>
      <c r="AA348">
        <v>2543591</v>
      </c>
      <c r="AB348">
        <v>75865</v>
      </c>
      <c r="AD348" t="s">
        <v>5</v>
      </c>
      <c r="AE348">
        <v>28</v>
      </c>
      <c r="AF348">
        <v>2</v>
      </c>
      <c r="AH348" t="s">
        <v>6943</v>
      </c>
      <c r="AI348" t="s">
        <v>6942</v>
      </c>
      <c r="AK348" t="s">
        <v>6941</v>
      </c>
      <c r="AL348">
        <v>53</v>
      </c>
      <c r="AM348" s="5">
        <f t="shared" si="42"/>
        <v>1.65625</v>
      </c>
      <c r="AN348" s="4">
        <f t="shared" si="47"/>
        <v>2.5085195001893221E-3</v>
      </c>
      <c r="AO348" s="3"/>
      <c r="AP348">
        <v>0</v>
      </c>
      <c r="AR348" t="s">
        <v>0</v>
      </c>
      <c r="AT348" s="2" t="s">
        <v>126</v>
      </c>
      <c r="AU348" s="1">
        <f t="shared" si="43"/>
        <v>2.2615293096793403</v>
      </c>
      <c r="AV348" s="1">
        <f t="shared" si="44"/>
        <v>1.6870500640620809</v>
      </c>
      <c r="AW348" s="1">
        <f t="shared" si="45"/>
        <v>1.1125708184448213</v>
      </c>
    </row>
    <row r="349" spans="1:49" x14ac:dyDescent="0.2">
      <c r="A349">
        <v>347</v>
      </c>
      <c r="B349" t="s">
        <v>6940</v>
      </c>
      <c r="C349" t="s">
        <v>6939</v>
      </c>
      <c r="F349" t="s">
        <v>6938</v>
      </c>
      <c r="G349" t="s">
        <v>14</v>
      </c>
      <c r="H349" t="s">
        <v>13</v>
      </c>
      <c r="I349" t="s">
        <v>6937</v>
      </c>
      <c r="J349">
        <v>60103653</v>
      </c>
      <c r="K349" t="s">
        <v>2070</v>
      </c>
      <c r="L349" t="s">
        <v>2069</v>
      </c>
      <c r="M349" t="s">
        <v>2068</v>
      </c>
      <c r="N349">
        <v>1</v>
      </c>
      <c r="O349" t="s">
        <v>6936</v>
      </c>
      <c r="P349">
        <v>7003588789</v>
      </c>
      <c r="Q349">
        <v>60103653</v>
      </c>
      <c r="R349" s="7">
        <v>32874</v>
      </c>
      <c r="S349" s="8">
        <f t="shared" si="40"/>
        <v>1990</v>
      </c>
      <c r="T349" s="8">
        <v>1990</v>
      </c>
      <c r="U349" s="8">
        <f t="shared" si="41"/>
        <v>32</v>
      </c>
      <c r="V349" s="7">
        <v>33208</v>
      </c>
      <c r="W349" t="s">
        <v>2249</v>
      </c>
      <c r="X349" s="2">
        <v>1.6519999999999999</v>
      </c>
      <c r="Y349" s="6">
        <f t="shared" si="46"/>
        <v>4.409919649769093E-2</v>
      </c>
      <c r="AA349" t="s">
        <v>2248</v>
      </c>
      <c r="AB349">
        <v>17337</v>
      </c>
      <c r="AC349">
        <v>15582221</v>
      </c>
      <c r="AD349" t="s">
        <v>5</v>
      </c>
      <c r="AE349">
        <v>38</v>
      </c>
      <c r="AF349">
        <v>12</v>
      </c>
      <c r="AH349" t="s">
        <v>6935</v>
      </c>
      <c r="AI349" t="s">
        <v>6934</v>
      </c>
      <c r="AK349" t="s">
        <v>6933</v>
      </c>
      <c r="AL349">
        <v>19</v>
      </c>
      <c r="AM349" s="5">
        <f t="shared" si="42"/>
        <v>0.59375</v>
      </c>
      <c r="AN349" s="4">
        <f t="shared" si="47"/>
        <v>8.9928057553956839E-4</v>
      </c>
      <c r="AO349" s="3"/>
      <c r="AP349">
        <v>0</v>
      </c>
      <c r="AR349" t="s">
        <v>0</v>
      </c>
      <c r="AT349" s="2" t="s">
        <v>126</v>
      </c>
      <c r="AU349" s="1">
        <f t="shared" si="43"/>
        <v>3.113922172104552</v>
      </c>
      <c r="AV349" s="1">
        <f t="shared" si="44"/>
        <v>2.2499238536615249</v>
      </c>
      <c r="AW349" s="1">
        <f t="shared" si="45"/>
        <v>1.3859255352184976</v>
      </c>
    </row>
    <row r="350" spans="1:49" x14ac:dyDescent="0.2">
      <c r="A350">
        <v>348</v>
      </c>
      <c r="B350" t="s">
        <v>6932</v>
      </c>
      <c r="C350" t="s">
        <v>6931</v>
      </c>
      <c r="F350" t="s">
        <v>6930</v>
      </c>
      <c r="G350" t="s">
        <v>14</v>
      </c>
      <c r="H350" t="s">
        <v>13</v>
      </c>
      <c r="I350" t="s">
        <v>6929</v>
      </c>
      <c r="J350" t="s">
        <v>6928</v>
      </c>
      <c r="K350" t="s">
        <v>6927</v>
      </c>
      <c r="L350" t="s">
        <v>6926</v>
      </c>
      <c r="M350" t="s">
        <v>6925</v>
      </c>
      <c r="N350">
        <v>5</v>
      </c>
      <c r="O350" t="s">
        <v>6924</v>
      </c>
      <c r="P350" t="s">
        <v>6923</v>
      </c>
      <c r="Q350" t="s">
        <v>6922</v>
      </c>
      <c r="R350" s="7">
        <v>32874</v>
      </c>
      <c r="S350" s="8">
        <f t="shared" si="40"/>
        <v>1990</v>
      </c>
      <c r="T350" s="8">
        <v>1990</v>
      </c>
      <c r="U350" s="8">
        <f t="shared" si="41"/>
        <v>32</v>
      </c>
      <c r="V350" s="7">
        <v>33218</v>
      </c>
      <c r="W350" t="s">
        <v>6921</v>
      </c>
      <c r="X350" s="2" t="s">
        <v>126</v>
      </c>
      <c r="Y350" s="6" t="e">
        <f t="shared" si="46"/>
        <v>#VALUE!</v>
      </c>
      <c r="AA350">
        <v>963941</v>
      </c>
      <c r="AB350">
        <v>27895</v>
      </c>
      <c r="AC350">
        <v>23249250</v>
      </c>
      <c r="AD350" t="s">
        <v>5</v>
      </c>
      <c r="AE350">
        <v>71</v>
      </c>
      <c r="AF350">
        <v>50</v>
      </c>
      <c r="AH350" t="s">
        <v>6920</v>
      </c>
      <c r="AI350" t="s">
        <v>6919</v>
      </c>
      <c r="AK350" t="s">
        <v>6918</v>
      </c>
      <c r="AL350">
        <v>28</v>
      </c>
      <c r="AM350" s="5">
        <f t="shared" si="42"/>
        <v>0.875</v>
      </c>
      <c r="AN350" s="4">
        <f t="shared" si="47"/>
        <v>1.3252555850056798E-3</v>
      </c>
      <c r="AO350" s="3"/>
      <c r="AP350">
        <v>0</v>
      </c>
      <c r="AR350" t="s">
        <v>0</v>
      </c>
      <c r="AT350" s="2" t="s">
        <v>126</v>
      </c>
      <c r="AU350" s="1" t="e">
        <f t="shared" si="43"/>
        <v>#VALUE!</v>
      </c>
      <c r="AV350" s="1" t="e">
        <f t="shared" si="44"/>
        <v>#VALUE!</v>
      </c>
      <c r="AW350" s="1" t="e">
        <f t="shared" si="45"/>
        <v>#VALUE!</v>
      </c>
    </row>
    <row r="351" spans="1:49" x14ac:dyDescent="0.2">
      <c r="A351">
        <v>349</v>
      </c>
      <c r="B351" t="s">
        <v>6917</v>
      </c>
      <c r="C351" t="s">
        <v>6916</v>
      </c>
      <c r="F351" t="s">
        <v>6915</v>
      </c>
      <c r="G351" t="s">
        <v>14</v>
      </c>
      <c r="H351" t="s">
        <v>13</v>
      </c>
      <c r="I351" t="s">
        <v>6914</v>
      </c>
      <c r="J351">
        <v>60023053</v>
      </c>
      <c r="K351" t="s">
        <v>2223</v>
      </c>
      <c r="L351" t="s">
        <v>2222</v>
      </c>
      <c r="M351" t="s">
        <v>197</v>
      </c>
      <c r="N351">
        <v>2</v>
      </c>
      <c r="O351" t="s">
        <v>6913</v>
      </c>
      <c r="P351" t="s">
        <v>6912</v>
      </c>
      <c r="Q351" t="s">
        <v>4152</v>
      </c>
      <c r="R351" s="7">
        <v>32874</v>
      </c>
      <c r="S351" s="8">
        <f t="shared" si="40"/>
        <v>1990</v>
      </c>
      <c r="T351" s="8">
        <v>1990</v>
      </c>
      <c r="U351" s="8">
        <f t="shared" si="41"/>
        <v>32</v>
      </c>
      <c r="V351" s="7">
        <v>33208</v>
      </c>
      <c r="W351" t="s">
        <v>2249</v>
      </c>
      <c r="X351" s="2">
        <v>1.6519999999999999</v>
      </c>
      <c r="Y351" s="6">
        <f t="shared" si="46"/>
        <v>4.409919649769093E-2</v>
      </c>
      <c r="AA351" t="s">
        <v>2248</v>
      </c>
      <c r="AB351">
        <v>17337</v>
      </c>
      <c r="AC351">
        <v>15582221</v>
      </c>
      <c r="AD351" t="s">
        <v>5</v>
      </c>
      <c r="AE351">
        <v>38</v>
      </c>
      <c r="AF351">
        <v>12</v>
      </c>
      <c r="AH351" t="s">
        <v>6911</v>
      </c>
      <c r="AI351" t="s">
        <v>6910</v>
      </c>
      <c r="AK351" t="s">
        <v>6909</v>
      </c>
      <c r="AL351">
        <v>14</v>
      </c>
      <c r="AM351" s="5">
        <f t="shared" si="42"/>
        <v>0.4375</v>
      </c>
      <c r="AN351" s="4">
        <f t="shared" si="47"/>
        <v>6.6262779250283988E-4</v>
      </c>
      <c r="AO351" s="3"/>
      <c r="AP351">
        <v>0</v>
      </c>
      <c r="AR351" t="s">
        <v>0</v>
      </c>
      <c r="AT351" s="2" t="s">
        <v>126</v>
      </c>
      <c r="AU351" s="1">
        <f t="shared" si="43"/>
        <v>3.1068225886134506</v>
      </c>
      <c r="AV351" s="1">
        <f t="shared" si="44"/>
        <v>2.2380912145096885</v>
      </c>
      <c r="AW351" s="1">
        <f t="shared" si="45"/>
        <v>1.3693598404059266</v>
      </c>
    </row>
    <row r="352" spans="1:49" x14ac:dyDescent="0.2">
      <c r="A352">
        <v>350</v>
      </c>
      <c r="B352" t="s">
        <v>6908</v>
      </c>
      <c r="C352" t="s">
        <v>6907</v>
      </c>
      <c r="F352" t="s">
        <v>6906</v>
      </c>
      <c r="G352" t="s">
        <v>14</v>
      </c>
      <c r="H352" t="s">
        <v>13</v>
      </c>
      <c r="I352" t="s">
        <v>6905</v>
      </c>
      <c r="J352">
        <v>60010348</v>
      </c>
      <c r="K352" t="s">
        <v>6904</v>
      </c>
      <c r="L352" t="s">
        <v>6903</v>
      </c>
      <c r="M352" t="s">
        <v>5465</v>
      </c>
      <c r="N352">
        <v>1</v>
      </c>
      <c r="O352" t="s">
        <v>6902</v>
      </c>
      <c r="P352">
        <v>6508144004</v>
      </c>
      <c r="Q352">
        <v>60010348</v>
      </c>
      <c r="R352" s="7">
        <v>32874</v>
      </c>
      <c r="S352" s="8">
        <f t="shared" si="40"/>
        <v>1990</v>
      </c>
      <c r="T352" s="8">
        <v>1990</v>
      </c>
      <c r="U352" s="8">
        <f t="shared" si="41"/>
        <v>32</v>
      </c>
      <c r="V352" s="7">
        <v>32994</v>
      </c>
      <c r="W352" t="s">
        <v>1128</v>
      </c>
      <c r="X352" s="2">
        <v>0.5</v>
      </c>
      <c r="Y352" s="6">
        <f t="shared" si="46"/>
        <v>1.3347214436347135E-2</v>
      </c>
      <c r="AA352">
        <v>253154</v>
      </c>
      <c r="AB352">
        <v>12162</v>
      </c>
      <c r="AC352">
        <v>14697769</v>
      </c>
      <c r="AD352" t="s">
        <v>5</v>
      </c>
      <c r="AE352">
        <v>70</v>
      </c>
      <c r="AF352">
        <v>2</v>
      </c>
      <c r="AH352" t="s">
        <v>6901</v>
      </c>
      <c r="AI352" t="s">
        <v>6900</v>
      </c>
      <c r="AK352" t="s">
        <v>6899</v>
      </c>
      <c r="AL352">
        <v>26</v>
      </c>
      <c r="AM352" s="5">
        <f t="shared" si="42"/>
        <v>0.8125</v>
      </c>
      <c r="AN352" s="4">
        <f t="shared" si="47"/>
        <v>1.2305944717909882E-3</v>
      </c>
      <c r="AO352" s="3"/>
      <c r="AP352">
        <v>0</v>
      </c>
      <c r="AR352" t="s">
        <v>0</v>
      </c>
      <c r="AT352" s="2" t="s">
        <v>126</v>
      </c>
      <c r="AU352" s="1">
        <f t="shared" si="43"/>
        <v>0.97122284469802889</v>
      </c>
      <c r="AV352" s="1">
        <f t="shared" si="44"/>
        <v>0.72889044540690617</v>
      </c>
      <c r="AW352" s="1">
        <f t="shared" si="45"/>
        <v>0.48655804611578318</v>
      </c>
    </row>
    <row r="353" spans="1:49" x14ac:dyDescent="0.2">
      <c r="A353">
        <v>351</v>
      </c>
      <c r="B353" t="s">
        <v>6898</v>
      </c>
      <c r="C353" t="s">
        <v>6897</v>
      </c>
      <c r="F353" t="s">
        <v>6896</v>
      </c>
      <c r="G353" t="s">
        <v>14</v>
      </c>
      <c r="H353" t="s">
        <v>13</v>
      </c>
      <c r="I353" t="s">
        <v>6895</v>
      </c>
      <c r="J353">
        <v>60003500</v>
      </c>
      <c r="K353" t="s">
        <v>3159</v>
      </c>
      <c r="L353" t="s">
        <v>3158</v>
      </c>
      <c r="M353" t="s">
        <v>197</v>
      </c>
      <c r="N353">
        <v>3</v>
      </c>
      <c r="O353" t="s">
        <v>6894</v>
      </c>
      <c r="P353" t="s">
        <v>6893</v>
      </c>
      <c r="Q353" t="s">
        <v>3906</v>
      </c>
      <c r="R353" s="7">
        <v>32874</v>
      </c>
      <c r="S353" s="8">
        <f t="shared" si="40"/>
        <v>1990</v>
      </c>
      <c r="T353" s="8">
        <v>1990</v>
      </c>
      <c r="U353" s="8">
        <f t="shared" si="41"/>
        <v>32</v>
      </c>
      <c r="V353" s="7">
        <v>33208</v>
      </c>
      <c r="W353" t="s">
        <v>2249</v>
      </c>
      <c r="X353" s="2">
        <v>1.6519999999999999</v>
      </c>
      <c r="Y353" s="6">
        <f t="shared" si="46"/>
        <v>4.409919649769093E-2</v>
      </c>
      <c r="AA353" t="s">
        <v>2248</v>
      </c>
      <c r="AB353">
        <v>17337</v>
      </c>
      <c r="AC353">
        <v>15582221</v>
      </c>
      <c r="AD353" t="s">
        <v>5</v>
      </c>
      <c r="AE353">
        <v>38</v>
      </c>
      <c r="AF353">
        <v>12</v>
      </c>
      <c r="AH353" t="s">
        <v>6892</v>
      </c>
      <c r="AI353" t="s">
        <v>6891</v>
      </c>
      <c r="AK353" t="s">
        <v>6890</v>
      </c>
      <c r="AL353">
        <v>4</v>
      </c>
      <c r="AM353" s="5">
        <f t="shared" si="42"/>
        <v>0.125</v>
      </c>
      <c r="AN353" s="4">
        <f t="shared" si="47"/>
        <v>1.893222264293828E-4</v>
      </c>
      <c r="AO353" s="3"/>
      <c r="AP353">
        <v>0</v>
      </c>
      <c r="AR353" t="s">
        <v>0</v>
      </c>
      <c r="AT353" s="2" t="s">
        <v>126</v>
      </c>
      <c r="AU353" s="1">
        <f t="shared" si="43"/>
        <v>3.0926234216312465</v>
      </c>
      <c r="AV353" s="1">
        <f t="shared" si="44"/>
        <v>2.2144259362060157</v>
      </c>
      <c r="AW353" s="1">
        <f t="shared" si="45"/>
        <v>1.3362284507807847</v>
      </c>
    </row>
    <row r="354" spans="1:49" x14ac:dyDescent="0.2">
      <c r="A354">
        <v>352</v>
      </c>
      <c r="B354" t="s">
        <v>6889</v>
      </c>
      <c r="C354" t="s">
        <v>6888</v>
      </c>
      <c r="D354" t="s">
        <v>6887</v>
      </c>
      <c r="F354" t="s">
        <v>6886</v>
      </c>
      <c r="G354" t="s">
        <v>14</v>
      </c>
      <c r="H354" t="s">
        <v>13</v>
      </c>
      <c r="I354" t="s">
        <v>4082</v>
      </c>
      <c r="J354">
        <v>60025578</v>
      </c>
      <c r="K354" t="s">
        <v>6885</v>
      </c>
      <c r="L354" t="s">
        <v>6884</v>
      </c>
      <c r="M354" t="s">
        <v>854</v>
      </c>
      <c r="N354">
        <v>3</v>
      </c>
      <c r="O354" t="s">
        <v>6883</v>
      </c>
      <c r="P354" t="s">
        <v>6882</v>
      </c>
      <c r="Q354" t="s">
        <v>6881</v>
      </c>
      <c r="R354" s="7">
        <v>32874</v>
      </c>
      <c r="S354" s="8">
        <f t="shared" si="40"/>
        <v>1990</v>
      </c>
      <c r="T354" s="8">
        <v>1990</v>
      </c>
      <c r="U354" s="8">
        <f t="shared" si="41"/>
        <v>32</v>
      </c>
      <c r="V354" s="7">
        <v>1990</v>
      </c>
      <c r="W354" t="s">
        <v>6880</v>
      </c>
      <c r="X354" s="2">
        <v>1.45</v>
      </c>
      <c r="Y354" s="6">
        <f t="shared" si="46"/>
        <v>3.8706921865406689E-2</v>
      </c>
      <c r="AA354">
        <v>457949</v>
      </c>
      <c r="AB354">
        <v>18171</v>
      </c>
      <c r="AD354" t="s">
        <v>5</v>
      </c>
      <c r="AE354">
        <v>37</v>
      </c>
      <c r="AF354">
        <v>4</v>
      </c>
      <c r="AH354" t="s">
        <v>6879</v>
      </c>
      <c r="AI354" t="s">
        <v>6878</v>
      </c>
      <c r="AK354" t="s">
        <v>6877</v>
      </c>
      <c r="AL354">
        <v>3</v>
      </c>
      <c r="AM354" s="5">
        <f t="shared" si="42"/>
        <v>9.375E-2</v>
      </c>
      <c r="AN354" s="4">
        <f t="shared" si="47"/>
        <v>1.4199166982203711E-4</v>
      </c>
      <c r="AO354" s="3"/>
      <c r="AP354">
        <v>0</v>
      </c>
      <c r="AR354" t="s">
        <v>0</v>
      </c>
      <c r="AT354" s="2" t="s">
        <v>126</v>
      </c>
      <c r="AU354" s="1">
        <f t="shared" si="43"/>
        <v>2.7137442806731293</v>
      </c>
      <c r="AV354" s="1">
        <f t="shared" si="44"/>
        <v>1.9424456767614364</v>
      </c>
      <c r="AW354" s="1">
        <f t="shared" si="45"/>
        <v>1.1711470728497433</v>
      </c>
    </row>
    <row r="355" spans="1:49" x14ac:dyDescent="0.2">
      <c r="A355">
        <v>353</v>
      </c>
      <c r="B355" t="s">
        <v>6876</v>
      </c>
      <c r="C355" t="s">
        <v>6875</v>
      </c>
      <c r="F355" t="s">
        <v>6874</v>
      </c>
      <c r="G355" t="s">
        <v>14</v>
      </c>
      <c r="H355" t="s">
        <v>13</v>
      </c>
      <c r="I355" t="s">
        <v>6873</v>
      </c>
      <c r="J355">
        <v>60013901</v>
      </c>
      <c r="K355" t="s">
        <v>6872</v>
      </c>
      <c r="L355" t="s">
        <v>6871</v>
      </c>
      <c r="M355" t="s">
        <v>197</v>
      </c>
      <c r="N355">
        <v>1</v>
      </c>
      <c r="O355" t="s">
        <v>6870</v>
      </c>
      <c r="P355">
        <v>8388863800</v>
      </c>
      <c r="Q355">
        <v>60013901</v>
      </c>
      <c r="R355" s="7">
        <v>32874</v>
      </c>
      <c r="S355" s="8">
        <f t="shared" si="40"/>
        <v>1990</v>
      </c>
      <c r="T355" s="8">
        <v>1990</v>
      </c>
      <c r="U355" s="8">
        <f t="shared" si="41"/>
        <v>32</v>
      </c>
      <c r="V355" s="7">
        <v>33208</v>
      </c>
      <c r="W355" t="s">
        <v>6869</v>
      </c>
      <c r="X355" s="2">
        <v>0.78800000000000003</v>
      </c>
      <c r="Y355" s="6">
        <f t="shared" si="46"/>
        <v>2.1035209951683086E-2</v>
      </c>
      <c r="AA355">
        <v>8842914</v>
      </c>
      <c r="AB355">
        <v>21161</v>
      </c>
      <c r="AC355">
        <v>20445326</v>
      </c>
      <c r="AD355" t="s">
        <v>5</v>
      </c>
      <c r="AE355">
        <v>5</v>
      </c>
      <c r="AF355">
        <v>12</v>
      </c>
      <c r="AH355" t="s">
        <v>6868</v>
      </c>
      <c r="AI355" t="s">
        <v>6867</v>
      </c>
      <c r="AK355" t="s">
        <v>6866</v>
      </c>
      <c r="AL355">
        <v>2</v>
      </c>
      <c r="AM355" s="5">
        <f t="shared" si="42"/>
        <v>6.25E-2</v>
      </c>
      <c r="AN355" s="4">
        <f t="shared" si="47"/>
        <v>9.46611132146914E-5</v>
      </c>
      <c r="AO355" s="3"/>
      <c r="AP355">
        <v>0</v>
      </c>
      <c r="AQ355" t="s">
        <v>4311</v>
      </c>
      <c r="AR355" t="s">
        <v>6865</v>
      </c>
      <c r="AS355" t="s">
        <v>4310</v>
      </c>
      <c r="AT355" s="2">
        <v>3.089</v>
      </c>
      <c r="AU355" s="1">
        <f t="shared" si="43"/>
        <v>1.4753045300142567</v>
      </c>
      <c r="AV355" s="1">
        <f t="shared" si="44"/>
        <v>1.0564935532448887</v>
      </c>
      <c r="AW355" s="1">
        <f t="shared" si="45"/>
        <v>0.63768257647552096</v>
      </c>
    </row>
    <row r="356" spans="1:49" x14ac:dyDescent="0.2">
      <c r="A356">
        <v>354</v>
      </c>
      <c r="B356" t="s">
        <v>6864</v>
      </c>
      <c r="C356" t="s">
        <v>6863</v>
      </c>
      <c r="F356" t="s">
        <v>6862</v>
      </c>
      <c r="G356" t="s">
        <v>14</v>
      </c>
      <c r="H356" t="s">
        <v>13</v>
      </c>
      <c r="I356" t="s">
        <v>6861</v>
      </c>
      <c r="N356">
        <v>2</v>
      </c>
      <c r="O356" t="s">
        <v>6860</v>
      </c>
      <c r="P356" t="s">
        <v>6859</v>
      </c>
      <c r="Q356" t="s">
        <v>119</v>
      </c>
      <c r="R356" s="7">
        <v>32874</v>
      </c>
      <c r="S356" s="8">
        <f t="shared" si="40"/>
        <v>1990</v>
      </c>
      <c r="T356" s="8">
        <v>1990</v>
      </c>
      <c r="U356" s="8">
        <f t="shared" si="41"/>
        <v>32</v>
      </c>
      <c r="V356" s="7">
        <v>1990</v>
      </c>
      <c r="W356" t="s">
        <v>6858</v>
      </c>
      <c r="X356" s="2">
        <v>1.67</v>
      </c>
      <c r="Y356" s="6">
        <f t="shared" si="46"/>
        <v>4.4579696217399427E-2</v>
      </c>
      <c r="AA356">
        <v>1480227</v>
      </c>
      <c r="AB356">
        <v>28428</v>
      </c>
      <c r="AD356" t="s">
        <v>5</v>
      </c>
      <c r="AE356">
        <v>95</v>
      </c>
      <c r="AF356" t="s">
        <v>6857</v>
      </c>
      <c r="AI356" t="s">
        <v>6856</v>
      </c>
      <c r="AK356" t="s">
        <v>6855</v>
      </c>
      <c r="AL356">
        <v>26</v>
      </c>
      <c r="AM356" s="5">
        <f t="shared" si="42"/>
        <v>0.8125</v>
      </c>
      <c r="AN356" s="4">
        <f t="shared" si="47"/>
        <v>1.2305944717909882E-3</v>
      </c>
      <c r="AO356" s="3"/>
      <c r="AP356">
        <v>0</v>
      </c>
      <c r="AR356" t="s">
        <v>0</v>
      </c>
      <c r="AT356" s="2" t="s">
        <v>126</v>
      </c>
      <c r="AU356" s="1">
        <f t="shared" si="43"/>
        <v>3.1574965693716894</v>
      </c>
      <c r="AV356" s="1">
        <f t="shared" si="44"/>
        <v>2.290514534459521</v>
      </c>
      <c r="AW356" s="1">
        <f t="shared" si="45"/>
        <v>1.4235324995473519</v>
      </c>
    </row>
    <row r="357" spans="1:49" x14ac:dyDescent="0.2">
      <c r="A357">
        <v>355</v>
      </c>
      <c r="B357" t="s">
        <v>6854</v>
      </c>
      <c r="F357" t="s">
        <v>6853</v>
      </c>
      <c r="G357" t="s">
        <v>14</v>
      </c>
      <c r="H357" t="s">
        <v>13</v>
      </c>
      <c r="I357" t="s">
        <v>6852</v>
      </c>
      <c r="N357">
        <v>1</v>
      </c>
      <c r="O357" t="s">
        <v>6851</v>
      </c>
      <c r="P357">
        <v>56289418500</v>
      </c>
      <c r="R357" s="7">
        <v>32874</v>
      </c>
      <c r="S357" s="8">
        <f t="shared" si="40"/>
        <v>1990</v>
      </c>
      <c r="T357" s="8">
        <v>1990</v>
      </c>
      <c r="U357" s="8">
        <f t="shared" si="41"/>
        <v>32</v>
      </c>
      <c r="V357" s="7">
        <v>1990</v>
      </c>
      <c r="W357" t="s">
        <v>6850</v>
      </c>
      <c r="X357" s="2" t="s">
        <v>126</v>
      </c>
      <c r="Y357" s="6" t="e">
        <f t="shared" si="46"/>
        <v>#VALUE!</v>
      </c>
      <c r="AB357">
        <v>37901</v>
      </c>
      <c r="AD357" t="s">
        <v>5</v>
      </c>
      <c r="AE357">
        <v>36</v>
      </c>
      <c r="AF357">
        <v>2</v>
      </c>
      <c r="AH357" t="s">
        <v>6849</v>
      </c>
      <c r="AI357" t="s">
        <v>6848</v>
      </c>
      <c r="AK357" t="s">
        <v>6847</v>
      </c>
      <c r="AL357">
        <v>1</v>
      </c>
      <c r="AM357" s="5">
        <f t="shared" si="42"/>
        <v>3.125E-2</v>
      </c>
      <c r="AN357" s="4">
        <f t="shared" si="47"/>
        <v>4.73305566073457E-5</v>
      </c>
      <c r="AO357" s="3"/>
      <c r="AP357">
        <v>0</v>
      </c>
      <c r="AR357" t="s">
        <v>0</v>
      </c>
      <c r="AT357" s="2" t="s">
        <v>126</v>
      </c>
      <c r="AU357" s="1" t="e">
        <f t="shared" si="43"/>
        <v>#VALUE!</v>
      </c>
      <c r="AV357" s="1" t="e">
        <f t="shared" si="44"/>
        <v>#VALUE!</v>
      </c>
      <c r="AW357" s="1" t="e">
        <f t="shared" si="45"/>
        <v>#VALUE!</v>
      </c>
    </row>
    <row r="358" spans="1:49" x14ac:dyDescent="0.2">
      <c r="A358">
        <v>356</v>
      </c>
      <c r="B358" t="s">
        <v>6846</v>
      </c>
      <c r="C358" t="s">
        <v>6845</v>
      </c>
      <c r="D358" t="s">
        <v>6844</v>
      </c>
      <c r="F358" t="s">
        <v>6843</v>
      </c>
      <c r="G358" t="s">
        <v>14</v>
      </c>
      <c r="H358" t="s">
        <v>13</v>
      </c>
      <c r="I358" t="s">
        <v>6842</v>
      </c>
      <c r="J358">
        <v>60024745</v>
      </c>
      <c r="K358" t="s">
        <v>6841</v>
      </c>
      <c r="L358" t="s">
        <v>6840</v>
      </c>
      <c r="M358" t="s">
        <v>209</v>
      </c>
      <c r="N358">
        <v>1</v>
      </c>
      <c r="O358" t="s">
        <v>6839</v>
      </c>
      <c r="P358">
        <v>7003915908</v>
      </c>
      <c r="Q358">
        <v>60024745</v>
      </c>
      <c r="R358" s="7">
        <v>32874</v>
      </c>
      <c r="S358" s="8">
        <f t="shared" si="40"/>
        <v>1990</v>
      </c>
      <c r="T358" s="8">
        <v>1990</v>
      </c>
      <c r="U358" s="8">
        <f t="shared" si="41"/>
        <v>32</v>
      </c>
      <c r="V358" s="7">
        <v>1990</v>
      </c>
      <c r="W358" t="s">
        <v>6814</v>
      </c>
      <c r="X358" s="2">
        <v>0.68200000000000005</v>
      </c>
      <c r="Y358" s="6">
        <f t="shared" si="46"/>
        <v>1.8205600491177493E-2</v>
      </c>
      <c r="AA358">
        <v>2731177</v>
      </c>
      <c r="AB358">
        <v>12375</v>
      </c>
      <c r="AD358" t="s">
        <v>5</v>
      </c>
      <c r="AE358">
        <v>10</v>
      </c>
      <c r="AF358">
        <v>10</v>
      </c>
      <c r="AH358" t="s">
        <v>6838</v>
      </c>
      <c r="AI358" t="s">
        <v>6837</v>
      </c>
      <c r="AK358" t="s">
        <v>6836</v>
      </c>
      <c r="AL358">
        <v>1</v>
      </c>
      <c r="AM358" s="5">
        <f t="shared" si="42"/>
        <v>3.125E-2</v>
      </c>
      <c r="AN358" s="4">
        <f t="shared" si="47"/>
        <v>4.73305566073457E-5</v>
      </c>
      <c r="AO358" s="3"/>
      <c r="AP358">
        <v>0</v>
      </c>
      <c r="AQ358" t="s">
        <v>6835</v>
      </c>
      <c r="AR358" t="s">
        <v>0</v>
      </c>
      <c r="AS358" t="s">
        <v>6834</v>
      </c>
      <c r="AT358" s="2">
        <v>2.1520000000000001</v>
      </c>
      <c r="AU358" s="1">
        <f t="shared" si="43"/>
        <v>1.2758119510806447</v>
      </c>
      <c r="AV358" s="1">
        <f t="shared" si="44"/>
        <v>0.91264655238924197</v>
      </c>
      <c r="AW358" s="1">
        <f t="shared" si="45"/>
        <v>0.5494811536978389</v>
      </c>
    </row>
    <row r="359" spans="1:49" x14ac:dyDescent="0.2">
      <c r="A359">
        <v>357</v>
      </c>
      <c r="B359" t="s">
        <v>6833</v>
      </c>
      <c r="C359" t="s">
        <v>6832</v>
      </c>
      <c r="D359" t="s">
        <v>6831</v>
      </c>
      <c r="F359" t="s">
        <v>6830</v>
      </c>
      <c r="G359" t="s">
        <v>14</v>
      </c>
      <c r="H359" t="s">
        <v>13</v>
      </c>
      <c r="I359" t="s">
        <v>6829</v>
      </c>
      <c r="J359">
        <v>60019722</v>
      </c>
      <c r="K359" t="s">
        <v>1077</v>
      </c>
      <c r="L359" t="s">
        <v>594</v>
      </c>
      <c r="M359" t="s">
        <v>135</v>
      </c>
      <c r="N359">
        <v>1</v>
      </c>
      <c r="O359" t="s">
        <v>6828</v>
      </c>
      <c r="P359">
        <v>7103208487</v>
      </c>
      <c r="Q359">
        <v>60019722</v>
      </c>
      <c r="R359" s="7">
        <v>32874</v>
      </c>
      <c r="S359" s="8">
        <f t="shared" si="40"/>
        <v>1990</v>
      </c>
      <c r="T359" s="8">
        <v>1990</v>
      </c>
      <c r="U359" s="8">
        <f t="shared" si="41"/>
        <v>32</v>
      </c>
      <c r="V359" s="7">
        <v>1990</v>
      </c>
      <c r="W359" t="s">
        <v>6827</v>
      </c>
      <c r="X359" s="2">
        <v>0.73799999999999999</v>
      </c>
      <c r="Y359" s="6">
        <f t="shared" si="46"/>
        <v>1.9700488508048369E-2</v>
      </c>
      <c r="AA359" t="s">
        <v>6826</v>
      </c>
      <c r="AB359">
        <v>12489</v>
      </c>
      <c r="AD359" t="s">
        <v>5</v>
      </c>
      <c r="AE359">
        <v>41</v>
      </c>
      <c r="AF359" s="9">
        <v>44351</v>
      </c>
      <c r="AH359" t="s">
        <v>6825</v>
      </c>
      <c r="AI359" t="s">
        <v>6824</v>
      </c>
      <c r="AK359" t="s">
        <v>6823</v>
      </c>
      <c r="AL359">
        <v>2</v>
      </c>
      <c r="AM359" s="5">
        <f t="shared" si="42"/>
        <v>6.25E-2</v>
      </c>
      <c r="AN359" s="4">
        <f t="shared" si="47"/>
        <v>9.46611132146914E-5</v>
      </c>
      <c r="AO359" s="3"/>
      <c r="AP359">
        <v>0</v>
      </c>
      <c r="AR359" t="s">
        <v>0</v>
      </c>
      <c r="AT359" s="2">
        <v>3.6269999999999998</v>
      </c>
      <c r="AU359" s="1">
        <f t="shared" si="43"/>
        <v>1.3818740289598266</v>
      </c>
      <c r="AV359" s="1">
        <f t="shared" si="44"/>
        <v>0.98975748106315298</v>
      </c>
      <c r="AW359" s="1">
        <f t="shared" si="45"/>
        <v>0.59764093316647948</v>
      </c>
    </row>
    <row r="360" spans="1:49" x14ac:dyDescent="0.2">
      <c r="A360">
        <v>358</v>
      </c>
      <c r="B360" t="s">
        <v>6822</v>
      </c>
      <c r="C360" t="s">
        <v>6821</v>
      </c>
      <c r="D360" t="s">
        <v>6820</v>
      </c>
      <c r="F360" t="s">
        <v>6819</v>
      </c>
      <c r="G360" t="s">
        <v>14</v>
      </c>
      <c r="H360" t="s">
        <v>13</v>
      </c>
      <c r="I360" t="s">
        <v>6818</v>
      </c>
      <c r="J360">
        <v>60011001</v>
      </c>
      <c r="K360" t="s">
        <v>2386</v>
      </c>
      <c r="L360" t="s">
        <v>2385</v>
      </c>
      <c r="M360" t="s">
        <v>267</v>
      </c>
      <c r="N360">
        <v>4</v>
      </c>
      <c r="O360" t="s">
        <v>6817</v>
      </c>
      <c r="P360" t="s">
        <v>6816</v>
      </c>
      <c r="Q360" t="s">
        <v>6815</v>
      </c>
      <c r="R360" s="7">
        <v>32874</v>
      </c>
      <c r="S360" s="8">
        <f t="shared" si="40"/>
        <v>1990</v>
      </c>
      <c r="T360" s="8">
        <v>1990</v>
      </c>
      <c r="U360" s="8">
        <f t="shared" si="41"/>
        <v>32</v>
      </c>
      <c r="V360" s="7">
        <v>1990</v>
      </c>
      <c r="W360" t="s">
        <v>6814</v>
      </c>
      <c r="X360" s="2">
        <v>0.68200000000000005</v>
      </c>
      <c r="Y360" s="6">
        <f t="shared" si="46"/>
        <v>1.8205600491177493E-2</v>
      </c>
      <c r="AA360">
        <v>2731177</v>
      </c>
      <c r="AB360">
        <v>12375</v>
      </c>
      <c r="AD360" t="s">
        <v>5</v>
      </c>
      <c r="AE360">
        <v>10</v>
      </c>
      <c r="AF360">
        <v>10</v>
      </c>
      <c r="AH360" t="s">
        <v>6813</v>
      </c>
      <c r="AI360" t="s">
        <v>6812</v>
      </c>
      <c r="AK360" t="s">
        <v>6811</v>
      </c>
      <c r="AL360">
        <v>3</v>
      </c>
      <c r="AM360" s="5">
        <f t="shared" si="42"/>
        <v>9.375E-2</v>
      </c>
      <c r="AN360" s="4">
        <f t="shared" si="47"/>
        <v>1.4199166982203711E-4</v>
      </c>
      <c r="AO360" s="3"/>
      <c r="AP360">
        <v>0</v>
      </c>
      <c r="AR360" t="s">
        <v>0</v>
      </c>
      <c r="AT360" s="2">
        <v>2.1520000000000001</v>
      </c>
      <c r="AU360" s="1">
        <f t="shared" si="43"/>
        <v>1.2786517844770855</v>
      </c>
      <c r="AV360" s="1">
        <f t="shared" si="44"/>
        <v>0.91737960804997642</v>
      </c>
      <c r="AW360" s="1">
        <f t="shared" si="45"/>
        <v>0.55610743162286735</v>
      </c>
    </row>
    <row r="361" spans="1:49" x14ac:dyDescent="0.2">
      <c r="A361">
        <v>359</v>
      </c>
      <c r="B361" t="s">
        <v>6810</v>
      </c>
      <c r="C361" t="s">
        <v>6809</v>
      </c>
      <c r="F361" t="s">
        <v>6808</v>
      </c>
      <c r="G361" t="s">
        <v>14</v>
      </c>
      <c r="H361" t="s">
        <v>13</v>
      </c>
      <c r="I361" t="s">
        <v>6807</v>
      </c>
      <c r="J361" t="s">
        <v>6806</v>
      </c>
      <c r="K361" t="s">
        <v>6805</v>
      </c>
      <c r="L361" t="s">
        <v>6804</v>
      </c>
      <c r="M361" t="s">
        <v>84</v>
      </c>
      <c r="N361">
        <v>4</v>
      </c>
      <c r="O361" t="s">
        <v>6803</v>
      </c>
      <c r="P361" t="s">
        <v>6802</v>
      </c>
      <c r="Q361" t="s">
        <v>6801</v>
      </c>
      <c r="R361" s="7">
        <v>32874</v>
      </c>
      <c r="S361" s="8">
        <f t="shared" si="40"/>
        <v>1990</v>
      </c>
      <c r="T361" s="8">
        <v>1990</v>
      </c>
      <c r="U361" s="8">
        <f t="shared" si="41"/>
        <v>32</v>
      </c>
      <c r="V361" s="7">
        <v>33208</v>
      </c>
      <c r="W361" t="s">
        <v>1844</v>
      </c>
      <c r="X361" s="2">
        <v>1.774</v>
      </c>
      <c r="Y361" s="6">
        <f t="shared" si="46"/>
        <v>4.7355916820159633E-2</v>
      </c>
      <c r="AA361">
        <v>295515</v>
      </c>
      <c r="AB361">
        <v>29066</v>
      </c>
      <c r="AC361">
        <v>17414326</v>
      </c>
      <c r="AD361" t="s">
        <v>5</v>
      </c>
      <c r="AE361">
        <v>30</v>
      </c>
      <c r="AF361">
        <v>12</v>
      </c>
      <c r="AH361" t="s">
        <v>6800</v>
      </c>
      <c r="AI361" t="s">
        <v>6799</v>
      </c>
      <c r="AK361" t="s">
        <v>6798</v>
      </c>
      <c r="AL361">
        <v>14</v>
      </c>
      <c r="AM361" s="5">
        <f t="shared" si="42"/>
        <v>0.4375</v>
      </c>
      <c r="AN361" s="4">
        <f t="shared" si="47"/>
        <v>6.6262779250283988E-4</v>
      </c>
      <c r="AO361" s="3"/>
      <c r="AP361">
        <v>0</v>
      </c>
      <c r="AR361" t="s">
        <v>0</v>
      </c>
      <c r="AT361" s="2">
        <v>3.1789999999999998</v>
      </c>
      <c r="AU361" s="1">
        <f t="shared" si="43"/>
        <v>3.3347930111862594</v>
      </c>
      <c r="AV361" s="1">
        <f t="shared" si="44"/>
        <v>2.4009272306331235</v>
      </c>
      <c r="AW361" s="1">
        <f t="shared" si="45"/>
        <v>1.4670614500799877</v>
      </c>
    </row>
    <row r="362" spans="1:49" x14ac:dyDescent="0.2">
      <c r="A362">
        <v>360</v>
      </c>
      <c r="B362" t="s">
        <v>6797</v>
      </c>
      <c r="C362" t="s">
        <v>6796</v>
      </c>
      <c r="F362" t="s">
        <v>6795</v>
      </c>
      <c r="G362" t="s">
        <v>14</v>
      </c>
      <c r="H362" t="s">
        <v>13</v>
      </c>
      <c r="I362" t="s">
        <v>5263</v>
      </c>
      <c r="J362">
        <v>60030000</v>
      </c>
      <c r="K362" t="s">
        <v>1901</v>
      </c>
      <c r="L362" t="s">
        <v>1900</v>
      </c>
      <c r="M362" t="s">
        <v>1224</v>
      </c>
      <c r="N362">
        <v>1</v>
      </c>
      <c r="O362" t="s">
        <v>6794</v>
      </c>
      <c r="P362">
        <v>6701860648</v>
      </c>
      <c r="Q362">
        <v>60030000</v>
      </c>
      <c r="R362" s="7">
        <v>32874</v>
      </c>
      <c r="S362" s="8">
        <f t="shared" si="40"/>
        <v>1990</v>
      </c>
      <c r="T362" s="8">
        <v>1990</v>
      </c>
      <c r="U362" s="8">
        <f t="shared" si="41"/>
        <v>32</v>
      </c>
      <c r="V362" s="7">
        <v>33208</v>
      </c>
      <c r="W362" t="s">
        <v>1858</v>
      </c>
      <c r="X362" s="2">
        <v>0.88100000000000001</v>
      </c>
      <c r="Y362" s="6">
        <f t="shared" si="46"/>
        <v>2.3517791836843653E-2</v>
      </c>
      <c r="AA362">
        <v>10459243</v>
      </c>
      <c r="AB362">
        <v>17248</v>
      </c>
      <c r="AD362" t="s">
        <v>5</v>
      </c>
      <c r="AE362">
        <v>32</v>
      </c>
      <c r="AF362">
        <v>6</v>
      </c>
      <c r="AH362" s="9">
        <v>44506</v>
      </c>
      <c r="AL362">
        <v>11</v>
      </c>
      <c r="AM362" s="5">
        <f t="shared" si="42"/>
        <v>0.34375</v>
      </c>
      <c r="AN362" s="4">
        <f t="shared" si="47"/>
        <v>5.2063612268080268E-4</v>
      </c>
      <c r="AO362" s="3"/>
      <c r="AP362">
        <v>0</v>
      </c>
      <c r="AR362" t="s">
        <v>0</v>
      </c>
      <c r="AT362" s="2" t="s">
        <v>126</v>
      </c>
      <c r="AU362" s="1">
        <f t="shared" si="43"/>
        <v>1.6618645122594797</v>
      </c>
      <c r="AV362" s="1">
        <f t="shared" si="44"/>
        <v>1.2019213979762227</v>
      </c>
      <c r="AW362" s="1">
        <f t="shared" si="45"/>
        <v>0.7419782836929657</v>
      </c>
    </row>
    <row r="363" spans="1:49" x14ac:dyDescent="0.2">
      <c r="A363">
        <v>361</v>
      </c>
      <c r="B363" t="s">
        <v>6793</v>
      </c>
      <c r="C363" t="s">
        <v>6792</v>
      </c>
      <c r="D363" t="s">
        <v>6791</v>
      </c>
      <c r="F363" t="s">
        <v>6790</v>
      </c>
      <c r="G363" t="s">
        <v>14</v>
      </c>
      <c r="H363" t="s">
        <v>13</v>
      </c>
      <c r="I363" t="s">
        <v>5148</v>
      </c>
      <c r="J363">
        <v>60013183</v>
      </c>
      <c r="K363" t="s">
        <v>4070</v>
      </c>
      <c r="L363" t="s">
        <v>4069</v>
      </c>
      <c r="M363" t="s">
        <v>4068</v>
      </c>
      <c r="N363">
        <v>2</v>
      </c>
      <c r="O363" t="s">
        <v>6789</v>
      </c>
      <c r="P363" t="s">
        <v>6788</v>
      </c>
      <c r="Q363" t="s">
        <v>6787</v>
      </c>
      <c r="R363" s="7">
        <v>32874</v>
      </c>
      <c r="S363" s="8">
        <f t="shared" si="40"/>
        <v>1990</v>
      </c>
      <c r="T363" s="8">
        <v>1990</v>
      </c>
      <c r="U363" s="8">
        <f t="shared" si="41"/>
        <v>32</v>
      </c>
      <c r="V363" s="7">
        <v>1990</v>
      </c>
      <c r="W363" t="s">
        <v>6716</v>
      </c>
      <c r="X363" s="2" t="s">
        <v>126</v>
      </c>
      <c r="Y363" s="6" t="e">
        <f t="shared" si="46"/>
        <v>#VALUE!</v>
      </c>
      <c r="AA363">
        <v>10183639</v>
      </c>
      <c r="AB363">
        <v>30286</v>
      </c>
      <c r="AD363" t="s">
        <v>5</v>
      </c>
      <c r="AE363">
        <v>2</v>
      </c>
      <c r="AF363">
        <v>2</v>
      </c>
      <c r="AH363" t="s">
        <v>6786</v>
      </c>
      <c r="AI363" t="s">
        <v>6785</v>
      </c>
      <c r="AK363" t="s">
        <v>6784</v>
      </c>
      <c r="AL363">
        <v>0</v>
      </c>
      <c r="AM363" s="5">
        <f t="shared" si="42"/>
        <v>0</v>
      </c>
      <c r="AN363" s="4">
        <f t="shared" si="47"/>
        <v>0</v>
      </c>
      <c r="AO363" s="3"/>
      <c r="AP363">
        <v>1</v>
      </c>
      <c r="AR363" t="s">
        <v>0</v>
      </c>
      <c r="AT363" s="2" t="s">
        <v>126</v>
      </c>
      <c r="AU363" s="1" t="e">
        <f t="shared" si="43"/>
        <v>#VALUE!</v>
      </c>
      <c r="AV363" s="1" t="e">
        <f t="shared" si="44"/>
        <v>#VALUE!</v>
      </c>
      <c r="AW363" s="1" t="e">
        <f t="shared" si="45"/>
        <v>#VALUE!</v>
      </c>
    </row>
    <row r="364" spans="1:49" x14ac:dyDescent="0.2">
      <c r="A364">
        <v>362</v>
      </c>
      <c r="B364" t="s">
        <v>6783</v>
      </c>
      <c r="C364" t="s">
        <v>6782</v>
      </c>
      <c r="F364" t="s">
        <v>6781</v>
      </c>
      <c r="G364" t="s">
        <v>14</v>
      </c>
      <c r="H364" t="s">
        <v>13</v>
      </c>
      <c r="I364" t="s">
        <v>6780</v>
      </c>
      <c r="J364" t="s">
        <v>6779</v>
      </c>
      <c r="K364" t="s">
        <v>6778</v>
      </c>
      <c r="L364" t="s">
        <v>6777</v>
      </c>
      <c r="M364" t="s">
        <v>2774</v>
      </c>
      <c r="N364">
        <v>2</v>
      </c>
      <c r="O364" t="s">
        <v>6776</v>
      </c>
      <c r="P364" t="s">
        <v>6775</v>
      </c>
      <c r="Q364" t="s">
        <v>6774</v>
      </c>
      <c r="R364" s="7">
        <v>32874</v>
      </c>
      <c r="S364" s="8">
        <f t="shared" si="40"/>
        <v>1990</v>
      </c>
      <c r="T364" s="8">
        <v>1990</v>
      </c>
      <c r="U364" s="8">
        <f t="shared" si="41"/>
        <v>32</v>
      </c>
      <c r="V364" s="7">
        <v>33208</v>
      </c>
      <c r="W364" t="s">
        <v>6773</v>
      </c>
      <c r="X364" s="2">
        <v>0.71899999999999997</v>
      </c>
      <c r="Y364" s="6">
        <f t="shared" si="46"/>
        <v>1.9193294359467178E-2</v>
      </c>
      <c r="AA364">
        <v>1704214</v>
      </c>
      <c r="AB364">
        <v>24594</v>
      </c>
      <c r="AC364">
        <v>10991476</v>
      </c>
      <c r="AD364" t="s">
        <v>5</v>
      </c>
      <c r="AE364">
        <v>13</v>
      </c>
      <c r="AF364">
        <v>6</v>
      </c>
      <c r="AH364" t="s">
        <v>6772</v>
      </c>
      <c r="AI364" t="s">
        <v>6771</v>
      </c>
      <c r="AK364" t="s">
        <v>6770</v>
      </c>
      <c r="AL364">
        <v>8</v>
      </c>
      <c r="AM364" s="5">
        <f t="shared" si="42"/>
        <v>0.25</v>
      </c>
      <c r="AN364" s="4">
        <f t="shared" si="47"/>
        <v>3.786444528587656E-4</v>
      </c>
      <c r="AO364" s="3"/>
      <c r="AP364">
        <v>0</v>
      </c>
      <c r="AR364" t="s">
        <v>0</v>
      </c>
      <c r="AT364" s="2" t="s">
        <v>126</v>
      </c>
      <c r="AU364" s="1">
        <f t="shared" si="43"/>
        <v>1.3548899387484654</v>
      </c>
      <c r="AV364" s="1">
        <f t="shared" si="44"/>
        <v>0.97859694061629721</v>
      </c>
      <c r="AW364" s="1">
        <f t="shared" si="45"/>
        <v>0.60230394248412888</v>
      </c>
    </row>
    <row r="365" spans="1:49" x14ac:dyDescent="0.2">
      <c r="A365">
        <v>363</v>
      </c>
      <c r="B365" t="s">
        <v>6769</v>
      </c>
      <c r="C365" t="s">
        <v>6768</v>
      </c>
      <c r="F365" t="s">
        <v>6767</v>
      </c>
      <c r="G365" t="s">
        <v>14</v>
      </c>
      <c r="H365" t="s">
        <v>13</v>
      </c>
      <c r="I365" t="s">
        <v>6766</v>
      </c>
      <c r="J365">
        <v>60019716</v>
      </c>
      <c r="K365" t="s">
        <v>6765</v>
      </c>
      <c r="L365" t="s">
        <v>6764</v>
      </c>
      <c r="M365" t="s">
        <v>267</v>
      </c>
      <c r="N365">
        <v>1</v>
      </c>
      <c r="O365" t="s">
        <v>6763</v>
      </c>
      <c r="P365">
        <v>36893899600</v>
      </c>
      <c r="Q365">
        <v>60019716</v>
      </c>
      <c r="R365" s="7">
        <v>32874</v>
      </c>
      <c r="S365" s="8">
        <f t="shared" si="40"/>
        <v>1990</v>
      </c>
      <c r="T365" s="8">
        <v>1990</v>
      </c>
      <c r="U365" s="8">
        <f t="shared" si="41"/>
        <v>32</v>
      </c>
      <c r="V365" s="7" t="s">
        <v>6762</v>
      </c>
      <c r="W365" s="11" t="s">
        <v>6761</v>
      </c>
      <c r="X365" s="2">
        <v>2.383</v>
      </c>
      <c r="Y365" s="6">
        <f t="shared" si="46"/>
        <v>6.3612824003630442E-2</v>
      </c>
      <c r="AA365" t="s">
        <v>6760</v>
      </c>
      <c r="AB365">
        <v>96433</v>
      </c>
      <c r="AD365" t="s">
        <v>5</v>
      </c>
      <c r="AE365">
        <v>137</v>
      </c>
      <c r="AF365">
        <v>6</v>
      </c>
      <c r="AH365" t="s">
        <v>6759</v>
      </c>
      <c r="AI365" t="s">
        <v>6758</v>
      </c>
      <c r="AK365" t="s">
        <v>6757</v>
      </c>
      <c r="AL365">
        <v>5</v>
      </c>
      <c r="AM365" s="5">
        <f t="shared" si="42"/>
        <v>0.15625</v>
      </c>
      <c r="AN365" s="4">
        <f t="shared" si="47"/>
        <v>2.3665278303672851E-4</v>
      </c>
      <c r="AO365" s="3"/>
      <c r="AP365">
        <v>0</v>
      </c>
      <c r="AR365" t="s">
        <v>0</v>
      </c>
      <c r="AT365" s="2" t="s">
        <v>126</v>
      </c>
      <c r="AU365" s="1">
        <f t="shared" si="43"/>
        <v>4.4599972637452332</v>
      </c>
      <c r="AV365" s="1">
        <f t="shared" si="44"/>
        <v>3.192473839333358</v>
      </c>
      <c r="AW365" s="1">
        <f t="shared" si="45"/>
        <v>1.9249504149214842</v>
      </c>
    </row>
    <row r="366" spans="1:49" x14ac:dyDescent="0.2">
      <c r="A366">
        <v>364</v>
      </c>
      <c r="B366" t="s">
        <v>6756</v>
      </c>
      <c r="C366" t="s">
        <v>6755</v>
      </c>
      <c r="F366" t="s">
        <v>6754</v>
      </c>
      <c r="G366" t="s">
        <v>14</v>
      </c>
      <c r="H366" t="s">
        <v>13</v>
      </c>
      <c r="I366" t="s">
        <v>6753</v>
      </c>
      <c r="J366">
        <v>60031624</v>
      </c>
      <c r="K366" t="s">
        <v>6752</v>
      </c>
      <c r="L366" t="s">
        <v>6751</v>
      </c>
      <c r="M366" t="s">
        <v>184</v>
      </c>
      <c r="N366">
        <v>1</v>
      </c>
      <c r="O366" t="s">
        <v>6750</v>
      </c>
      <c r="P366">
        <v>7102832809</v>
      </c>
      <c r="Q366">
        <v>60031624</v>
      </c>
      <c r="R366" s="7">
        <v>32874</v>
      </c>
      <c r="S366" s="8">
        <f t="shared" si="40"/>
        <v>1990</v>
      </c>
      <c r="T366" s="8">
        <v>1990</v>
      </c>
      <c r="U366" s="8">
        <f t="shared" si="41"/>
        <v>32</v>
      </c>
      <c r="V366" s="7" t="s">
        <v>5224</v>
      </c>
      <c r="W366" t="s">
        <v>6749</v>
      </c>
      <c r="X366" s="2">
        <v>0.34699999999999998</v>
      </c>
      <c r="Y366" s="6">
        <f t="shared" si="46"/>
        <v>9.2629668188249116E-3</v>
      </c>
      <c r="AA366" t="s">
        <v>6748</v>
      </c>
      <c r="AB366">
        <v>18817</v>
      </c>
      <c r="AC366">
        <v>15418251</v>
      </c>
      <c r="AD366" t="s">
        <v>5</v>
      </c>
      <c r="AE366">
        <v>1</v>
      </c>
      <c r="AF366">
        <v>5</v>
      </c>
      <c r="AH366" t="s">
        <v>6747</v>
      </c>
      <c r="AI366" t="s">
        <v>6746</v>
      </c>
      <c r="AK366" t="s">
        <v>6745</v>
      </c>
      <c r="AL366">
        <v>2</v>
      </c>
      <c r="AM366" s="5">
        <f t="shared" si="42"/>
        <v>6.25E-2</v>
      </c>
      <c r="AN366" s="4">
        <f t="shared" si="47"/>
        <v>9.46611132146914E-5</v>
      </c>
      <c r="AO366" s="3"/>
      <c r="AP366">
        <v>0</v>
      </c>
      <c r="AR366" t="s">
        <v>0</v>
      </c>
      <c r="AT366" s="2" t="s">
        <v>126</v>
      </c>
      <c r="AU366" s="1">
        <f t="shared" si="43"/>
        <v>0.65124751071418452</v>
      </c>
      <c r="AV366" s="1">
        <f t="shared" si="44"/>
        <v>0.46788139660198019</v>
      </c>
      <c r="AW366" s="1">
        <f t="shared" si="45"/>
        <v>0.28451528248977576</v>
      </c>
    </row>
    <row r="367" spans="1:49" x14ac:dyDescent="0.2">
      <c r="A367">
        <v>365</v>
      </c>
      <c r="B367" t="s">
        <v>6744</v>
      </c>
      <c r="C367" t="s">
        <v>6743</v>
      </c>
      <c r="D367" t="s">
        <v>6742</v>
      </c>
      <c r="F367" t="s">
        <v>6741</v>
      </c>
      <c r="G367" t="s">
        <v>14</v>
      </c>
      <c r="H367" t="s">
        <v>13</v>
      </c>
      <c r="I367" t="s">
        <v>1301</v>
      </c>
      <c r="J367">
        <v>60027161</v>
      </c>
      <c r="K367" t="s">
        <v>1300</v>
      </c>
      <c r="L367" t="s">
        <v>1299</v>
      </c>
      <c r="M367" t="s">
        <v>536</v>
      </c>
      <c r="N367">
        <v>2</v>
      </c>
      <c r="O367" t="s">
        <v>1298</v>
      </c>
      <c r="P367" t="s">
        <v>6740</v>
      </c>
      <c r="Q367" t="s">
        <v>1296</v>
      </c>
      <c r="R367" s="7">
        <v>32874</v>
      </c>
      <c r="S367" s="8">
        <f t="shared" si="40"/>
        <v>1990</v>
      </c>
      <c r="T367" s="8">
        <v>1990</v>
      </c>
      <c r="U367" s="8">
        <f t="shared" si="41"/>
        <v>32</v>
      </c>
      <c r="V367" s="7">
        <v>1990</v>
      </c>
      <c r="W367" t="s">
        <v>6739</v>
      </c>
      <c r="X367" s="2">
        <v>1.0049999999999999</v>
      </c>
      <c r="Y367" s="6">
        <f t="shared" si="46"/>
        <v>2.6827901017057738E-2</v>
      </c>
      <c r="AA367">
        <v>160032</v>
      </c>
      <c r="AB367">
        <v>27959</v>
      </c>
      <c r="AD367" t="s">
        <v>5</v>
      </c>
      <c r="AE367">
        <v>327</v>
      </c>
      <c r="AF367">
        <v>6</v>
      </c>
      <c r="AH367" t="s">
        <v>6738</v>
      </c>
      <c r="AI367" t="s">
        <v>6737</v>
      </c>
      <c r="AK367" t="s">
        <v>6736</v>
      </c>
      <c r="AL367">
        <v>3</v>
      </c>
      <c r="AM367" s="5">
        <f t="shared" si="42"/>
        <v>9.375E-2</v>
      </c>
      <c r="AN367" s="4">
        <f t="shared" si="47"/>
        <v>1.4199166982203711E-4</v>
      </c>
      <c r="AO367" s="3"/>
      <c r="AP367">
        <v>0</v>
      </c>
      <c r="AR367" t="s">
        <v>0</v>
      </c>
      <c r="AT367" s="2" t="s">
        <v>126</v>
      </c>
      <c r="AU367" s="1">
        <f t="shared" si="43"/>
        <v>1.8822128212887028</v>
      </c>
      <c r="AV367" s="1">
        <f t="shared" si="44"/>
        <v>1.3484946343439888</v>
      </c>
      <c r="AW367" s="1">
        <f t="shared" si="45"/>
        <v>0.81477644739927479</v>
      </c>
    </row>
    <row r="368" spans="1:49" x14ac:dyDescent="0.2">
      <c r="A368">
        <v>366</v>
      </c>
      <c r="B368" t="s">
        <v>6735</v>
      </c>
      <c r="C368" t="s">
        <v>6734</v>
      </c>
      <c r="F368" t="s">
        <v>6733</v>
      </c>
      <c r="G368" t="s">
        <v>14</v>
      </c>
      <c r="H368" t="s">
        <v>13</v>
      </c>
      <c r="I368" t="s">
        <v>6732</v>
      </c>
      <c r="J368" t="s">
        <v>6731</v>
      </c>
      <c r="K368" t="s">
        <v>6730</v>
      </c>
      <c r="L368" t="s">
        <v>6729</v>
      </c>
      <c r="M368" t="s">
        <v>6728</v>
      </c>
      <c r="N368">
        <v>4</v>
      </c>
      <c r="O368" t="s">
        <v>6727</v>
      </c>
      <c r="P368" t="s">
        <v>6726</v>
      </c>
      <c r="Q368" t="s">
        <v>6725</v>
      </c>
      <c r="R368" s="7">
        <v>32874</v>
      </c>
      <c r="S368" s="8">
        <f t="shared" si="40"/>
        <v>1990</v>
      </c>
      <c r="T368" s="8">
        <v>1990</v>
      </c>
      <c r="U368" s="8">
        <f t="shared" si="41"/>
        <v>32</v>
      </c>
      <c r="V368" s="7">
        <v>33208</v>
      </c>
      <c r="W368" t="s">
        <v>5578</v>
      </c>
      <c r="X368" s="2">
        <v>0.249</v>
      </c>
      <c r="Y368" s="6">
        <f t="shared" si="46"/>
        <v>6.6469127893008734E-3</v>
      </c>
      <c r="AA368">
        <v>8943370</v>
      </c>
      <c r="AB368">
        <v>18200</v>
      </c>
      <c r="AC368">
        <v>10991204</v>
      </c>
      <c r="AD368" t="s">
        <v>5</v>
      </c>
      <c r="AE368">
        <v>3</v>
      </c>
      <c r="AF368">
        <v>4</v>
      </c>
      <c r="AH368" t="s">
        <v>6724</v>
      </c>
      <c r="AI368" t="s">
        <v>6723</v>
      </c>
      <c r="AK368" t="s">
        <v>6722</v>
      </c>
      <c r="AL368">
        <v>27</v>
      </c>
      <c r="AM368" s="5">
        <f t="shared" si="42"/>
        <v>0.84375</v>
      </c>
      <c r="AN368" s="4">
        <f t="shared" si="47"/>
        <v>1.2779250283983339E-3</v>
      </c>
      <c r="AO368" s="3"/>
      <c r="AP368">
        <v>0</v>
      </c>
      <c r="AR368" t="s">
        <v>0</v>
      </c>
      <c r="AT368" s="2" t="s">
        <v>126</v>
      </c>
      <c r="AU368" s="1">
        <f t="shared" si="43"/>
        <v>0.50362164610301108</v>
      </c>
      <c r="AV368" s="1">
        <f t="shared" si="44"/>
        <v>0.39624189088496037</v>
      </c>
      <c r="AW368" s="1">
        <f t="shared" si="45"/>
        <v>0.28886213566690955</v>
      </c>
    </row>
    <row r="369" spans="1:49" x14ac:dyDescent="0.2">
      <c r="A369">
        <v>367</v>
      </c>
      <c r="B369" t="s">
        <v>6721</v>
      </c>
      <c r="C369" t="s">
        <v>6720</v>
      </c>
      <c r="D369" t="s">
        <v>6719</v>
      </c>
      <c r="F369" t="s">
        <v>6718</v>
      </c>
      <c r="G369" t="s">
        <v>14</v>
      </c>
      <c r="H369" t="s">
        <v>13</v>
      </c>
      <c r="I369" t="s">
        <v>6717</v>
      </c>
      <c r="J369">
        <v>60013183</v>
      </c>
      <c r="K369" t="s">
        <v>4070</v>
      </c>
      <c r="L369" t="s">
        <v>4069</v>
      </c>
      <c r="M369" t="s">
        <v>4068</v>
      </c>
      <c r="N369">
        <v>1</v>
      </c>
      <c r="O369" t="s">
        <v>4389</v>
      </c>
      <c r="P369">
        <v>57203737489</v>
      </c>
      <c r="Q369">
        <v>60013183</v>
      </c>
      <c r="R369" s="7">
        <v>32874</v>
      </c>
      <c r="S369" s="8">
        <f t="shared" si="40"/>
        <v>1990</v>
      </c>
      <c r="T369" s="8">
        <v>1990</v>
      </c>
      <c r="U369" s="8">
        <f t="shared" si="41"/>
        <v>32</v>
      </c>
      <c r="V369" s="7">
        <v>1990</v>
      </c>
      <c r="W369" t="s">
        <v>6716</v>
      </c>
      <c r="X369" s="2" t="s">
        <v>126</v>
      </c>
      <c r="Y369" s="6" t="e">
        <f t="shared" si="46"/>
        <v>#VALUE!</v>
      </c>
      <c r="AA369">
        <v>10183639</v>
      </c>
      <c r="AB369">
        <v>30286</v>
      </c>
      <c r="AD369" t="s">
        <v>5</v>
      </c>
      <c r="AE369">
        <v>2</v>
      </c>
      <c r="AF369">
        <v>2</v>
      </c>
      <c r="AH369" t="s">
        <v>6715</v>
      </c>
      <c r="AI369" t="s">
        <v>6714</v>
      </c>
      <c r="AK369" t="s">
        <v>6713</v>
      </c>
      <c r="AL369">
        <v>0</v>
      </c>
      <c r="AM369" s="5">
        <f t="shared" si="42"/>
        <v>0</v>
      </c>
      <c r="AN369" s="4">
        <f t="shared" si="47"/>
        <v>0</v>
      </c>
      <c r="AO369" s="3"/>
      <c r="AP369">
        <v>1</v>
      </c>
      <c r="AR369" t="s">
        <v>0</v>
      </c>
      <c r="AT369" s="2" t="s">
        <v>126</v>
      </c>
      <c r="AU369" s="1" t="e">
        <f t="shared" si="43"/>
        <v>#VALUE!</v>
      </c>
      <c r="AV369" s="1" t="e">
        <f t="shared" si="44"/>
        <v>#VALUE!</v>
      </c>
      <c r="AW369" s="1" t="e">
        <f t="shared" si="45"/>
        <v>#VALUE!</v>
      </c>
    </row>
    <row r="370" spans="1:49" x14ac:dyDescent="0.2">
      <c r="A370">
        <v>368</v>
      </c>
      <c r="B370" t="s">
        <v>6712</v>
      </c>
      <c r="C370" t="s">
        <v>6711</v>
      </c>
      <c r="F370" t="s">
        <v>6710</v>
      </c>
      <c r="G370" t="s">
        <v>14</v>
      </c>
      <c r="H370" t="s">
        <v>13</v>
      </c>
      <c r="I370" t="s">
        <v>6709</v>
      </c>
      <c r="J370" t="s">
        <v>6708</v>
      </c>
      <c r="K370" t="s">
        <v>6707</v>
      </c>
      <c r="L370" t="s">
        <v>6706</v>
      </c>
      <c r="M370" t="s">
        <v>6705</v>
      </c>
      <c r="N370">
        <v>4</v>
      </c>
      <c r="O370" t="s">
        <v>6704</v>
      </c>
      <c r="P370" t="s">
        <v>6703</v>
      </c>
      <c r="Q370" t="s">
        <v>6702</v>
      </c>
      <c r="R370" s="7">
        <v>32874</v>
      </c>
      <c r="S370" s="8">
        <f t="shared" si="40"/>
        <v>1990</v>
      </c>
      <c r="T370" s="8">
        <v>1990</v>
      </c>
      <c r="U370" s="8">
        <f t="shared" si="41"/>
        <v>32</v>
      </c>
      <c r="V370" s="7">
        <v>33208</v>
      </c>
      <c r="W370" t="s">
        <v>1152</v>
      </c>
      <c r="X370" s="2">
        <v>0.30399999999999999</v>
      </c>
      <c r="Y370" s="6">
        <f t="shared" si="46"/>
        <v>8.115106377299057E-3</v>
      </c>
      <c r="AA370">
        <v>8952477</v>
      </c>
      <c r="AB370">
        <v>12250</v>
      </c>
      <c r="AC370">
        <v>10982760</v>
      </c>
      <c r="AD370" t="s">
        <v>5</v>
      </c>
      <c r="AE370">
        <v>3</v>
      </c>
      <c r="AF370">
        <v>12</v>
      </c>
      <c r="AH370" t="s">
        <v>6701</v>
      </c>
      <c r="AI370" t="s">
        <v>6700</v>
      </c>
      <c r="AJ370" t="s">
        <v>6699</v>
      </c>
      <c r="AK370" t="s">
        <v>6698</v>
      </c>
      <c r="AL370">
        <v>2</v>
      </c>
      <c r="AM370" s="5">
        <f t="shared" si="42"/>
        <v>6.25E-2</v>
      </c>
      <c r="AN370" s="4">
        <f t="shared" si="47"/>
        <v>9.46611132146914E-5</v>
      </c>
      <c r="AO370" s="3"/>
      <c r="AP370">
        <v>0</v>
      </c>
      <c r="AR370" t="s">
        <v>0</v>
      </c>
      <c r="AT370" s="2" t="s">
        <v>126</v>
      </c>
      <c r="AU370" s="1">
        <f t="shared" si="43"/>
        <v>0.5708972798073747</v>
      </c>
      <c r="AV370" s="1">
        <f t="shared" si="44"/>
        <v>0.41048837452568748</v>
      </c>
      <c r="AW370" s="1">
        <f t="shared" si="45"/>
        <v>0.25007946924400015</v>
      </c>
    </row>
    <row r="371" spans="1:49" x14ac:dyDescent="0.2">
      <c r="A371">
        <v>369</v>
      </c>
      <c r="B371" t="s">
        <v>6697</v>
      </c>
      <c r="C371" t="s">
        <v>6696</v>
      </c>
      <c r="F371" t="s">
        <v>6695</v>
      </c>
      <c r="G371" t="s">
        <v>14</v>
      </c>
      <c r="H371" t="s">
        <v>13</v>
      </c>
      <c r="I371" t="s">
        <v>6694</v>
      </c>
      <c r="J371">
        <v>60021508</v>
      </c>
      <c r="K371" t="s">
        <v>6693</v>
      </c>
      <c r="L371" t="s">
        <v>6692</v>
      </c>
      <c r="M371" t="s">
        <v>197</v>
      </c>
      <c r="N371">
        <v>2</v>
      </c>
      <c r="O371" t="s">
        <v>6691</v>
      </c>
      <c r="P371" t="s">
        <v>6690</v>
      </c>
      <c r="Q371" t="s">
        <v>6689</v>
      </c>
      <c r="R371" s="7">
        <v>32874</v>
      </c>
      <c r="S371" s="8">
        <f t="shared" si="40"/>
        <v>1990</v>
      </c>
      <c r="T371" s="8">
        <v>1990</v>
      </c>
      <c r="U371" s="8">
        <f t="shared" si="41"/>
        <v>32</v>
      </c>
      <c r="V371" s="7">
        <v>33208</v>
      </c>
      <c r="W371" t="s">
        <v>6688</v>
      </c>
      <c r="X371" s="2" t="s">
        <v>126</v>
      </c>
      <c r="Y371" s="6" t="e">
        <f t="shared" si="46"/>
        <v>#VALUE!</v>
      </c>
      <c r="AA371">
        <v>2721708</v>
      </c>
      <c r="AB371">
        <v>87343</v>
      </c>
      <c r="AD371" t="s">
        <v>5</v>
      </c>
      <c r="AE371">
        <v>10</v>
      </c>
      <c r="AF371">
        <v>7</v>
      </c>
      <c r="AH371" s="9">
        <v>44503</v>
      </c>
      <c r="AL371">
        <v>16</v>
      </c>
      <c r="AM371" s="5">
        <f t="shared" si="42"/>
        <v>0.5</v>
      </c>
      <c r="AN371" s="4">
        <f t="shared" si="47"/>
        <v>7.572889057175312E-4</v>
      </c>
      <c r="AO371" s="3"/>
      <c r="AP371">
        <v>0</v>
      </c>
      <c r="AR371" t="s">
        <v>0</v>
      </c>
      <c r="AT371" s="2">
        <v>11.119</v>
      </c>
      <c r="AU371" s="1" t="e">
        <f t="shared" si="43"/>
        <v>#VALUE!</v>
      </c>
      <c r="AV371" s="1" t="e">
        <f t="shared" si="44"/>
        <v>#VALUE!</v>
      </c>
      <c r="AW371" s="1" t="e">
        <f t="shared" si="45"/>
        <v>#VALUE!</v>
      </c>
    </row>
    <row r="372" spans="1:49" x14ac:dyDescent="0.2">
      <c r="A372">
        <v>370</v>
      </c>
      <c r="B372" t="s">
        <v>6687</v>
      </c>
      <c r="C372" t="s">
        <v>6686</v>
      </c>
      <c r="F372" t="s">
        <v>6685</v>
      </c>
      <c r="G372" t="s">
        <v>14</v>
      </c>
      <c r="H372" t="s">
        <v>13</v>
      </c>
      <c r="I372" t="s">
        <v>6684</v>
      </c>
      <c r="J372">
        <v>60020975</v>
      </c>
      <c r="K372" t="s">
        <v>6683</v>
      </c>
      <c r="L372" t="s">
        <v>6682</v>
      </c>
      <c r="M372" t="s">
        <v>197</v>
      </c>
      <c r="N372">
        <v>1</v>
      </c>
      <c r="O372" t="s">
        <v>6681</v>
      </c>
      <c r="P372">
        <v>56219429900</v>
      </c>
      <c r="Q372">
        <v>60020975</v>
      </c>
      <c r="R372" s="7">
        <v>32874</v>
      </c>
      <c r="S372" s="8">
        <f t="shared" si="40"/>
        <v>1990</v>
      </c>
      <c r="T372" s="8">
        <v>1990</v>
      </c>
      <c r="U372" s="8">
        <f t="shared" si="41"/>
        <v>32</v>
      </c>
      <c r="V372" s="7">
        <v>33208</v>
      </c>
      <c r="W372" t="s">
        <v>1858</v>
      </c>
      <c r="X372" s="2">
        <v>0.88100000000000001</v>
      </c>
      <c r="Y372" s="6">
        <f t="shared" si="46"/>
        <v>2.3517791836843653E-2</v>
      </c>
      <c r="AA372">
        <v>10459243</v>
      </c>
      <c r="AB372">
        <v>17248</v>
      </c>
      <c r="AD372" t="s">
        <v>5</v>
      </c>
      <c r="AE372">
        <v>32</v>
      </c>
      <c r="AF372">
        <v>6</v>
      </c>
      <c r="AH372" t="s">
        <v>4837</v>
      </c>
      <c r="AI372" t="s">
        <v>6680</v>
      </c>
      <c r="AK372" t="s">
        <v>6679</v>
      </c>
      <c r="AL372">
        <v>12</v>
      </c>
      <c r="AM372" s="5">
        <f t="shared" si="42"/>
        <v>0.375</v>
      </c>
      <c r="AN372" s="4">
        <f t="shared" si="47"/>
        <v>5.6796667928814845E-4</v>
      </c>
      <c r="AO372" s="3"/>
      <c r="AP372">
        <v>0</v>
      </c>
      <c r="AR372" t="s">
        <v>0</v>
      </c>
      <c r="AT372" s="2" t="s">
        <v>126</v>
      </c>
      <c r="AU372" s="1">
        <f t="shared" si="43"/>
        <v>1.6632844289576998</v>
      </c>
      <c r="AV372" s="1">
        <f t="shared" si="44"/>
        <v>1.2042879258065902</v>
      </c>
      <c r="AW372" s="1">
        <f t="shared" si="45"/>
        <v>0.74529142265547998</v>
      </c>
    </row>
    <row r="373" spans="1:49" x14ac:dyDescent="0.2">
      <c r="A373">
        <v>371</v>
      </c>
      <c r="B373" t="s">
        <v>6678</v>
      </c>
      <c r="C373" t="s">
        <v>6677</v>
      </c>
      <c r="F373" t="s">
        <v>6676</v>
      </c>
      <c r="G373" t="s">
        <v>14</v>
      </c>
      <c r="H373" t="s">
        <v>13</v>
      </c>
      <c r="I373" t="s">
        <v>6675</v>
      </c>
      <c r="J373">
        <v>60030835</v>
      </c>
      <c r="K373" t="s">
        <v>6674</v>
      </c>
      <c r="L373" t="s">
        <v>4020</v>
      </c>
      <c r="M373" t="s">
        <v>1937</v>
      </c>
      <c r="N373">
        <v>2</v>
      </c>
      <c r="O373" t="s">
        <v>6673</v>
      </c>
      <c r="P373" t="s">
        <v>6672</v>
      </c>
      <c r="Q373" t="s">
        <v>6671</v>
      </c>
      <c r="R373" s="7">
        <v>32874</v>
      </c>
      <c r="S373" s="8">
        <f t="shared" si="40"/>
        <v>1990</v>
      </c>
      <c r="T373" s="8">
        <v>1990</v>
      </c>
      <c r="U373" s="8">
        <f t="shared" si="41"/>
        <v>32</v>
      </c>
      <c r="V373" s="7">
        <v>33178</v>
      </c>
      <c r="W373" t="s">
        <v>6670</v>
      </c>
      <c r="X373" s="2" t="s">
        <v>126</v>
      </c>
      <c r="Y373" s="6" t="e">
        <f t="shared" si="46"/>
        <v>#VALUE!</v>
      </c>
      <c r="AA373" t="s">
        <v>6669</v>
      </c>
      <c r="AB373">
        <v>19716</v>
      </c>
      <c r="AC373">
        <v>19183240</v>
      </c>
      <c r="AD373" t="s">
        <v>5</v>
      </c>
      <c r="AE373">
        <v>122</v>
      </c>
      <c r="AF373">
        <v>5</v>
      </c>
      <c r="AH373" t="s">
        <v>6668</v>
      </c>
      <c r="AI373" t="s">
        <v>6667</v>
      </c>
      <c r="AK373" t="s">
        <v>6666</v>
      </c>
      <c r="AL373">
        <v>5</v>
      </c>
      <c r="AM373" s="5">
        <f t="shared" si="42"/>
        <v>0.15625</v>
      </c>
      <c r="AN373" s="4">
        <f t="shared" si="47"/>
        <v>2.3665278303672851E-4</v>
      </c>
      <c r="AO373" s="3"/>
      <c r="AP373">
        <v>0</v>
      </c>
      <c r="AQ373" t="s">
        <v>1454</v>
      </c>
      <c r="AR373" t="s">
        <v>6665</v>
      </c>
      <c r="AS373" t="s">
        <v>1452</v>
      </c>
      <c r="AT373" s="2" t="s">
        <v>126</v>
      </c>
      <c r="AU373" s="1" t="e">
        <f t="shared" si="43"/>
        <v>#VALUE!</v>
      </c>
      <c r="AV373" s="1" t="e">
        <f t="shared" si="44"/>
        <v>#VALUE!</v>
      </c>
      <c r="AW373" s="1" t="e">
        <f t="shared" si="45"/>
        <v>#VALUE!</v>
      </c>
    </row>
    <row r="374" spans="1:49" x14ac:dyDescent="0.2">
      <c r="A374">
        <v>372</v>
      </c>
      <c r="B374" t="s">
        <v>6664</v>
      </c>
      <c r="C374" t="s">
        <v>6663</v>
      </c>
      <c r="F374" t="s">
        <v>6662</v>
      </c>
      <c r="G374" t="s">
        <v>14</v>
      </c>
      <c r="H374" t="s">
        <v>13</v>
      </c>
      <c r="I374" t="s">
        <v>6661</v>
      </c>
      <c r="J374">
        <v>100519258</v>
      </c>
      <c r="K374" t="s">
        <v>6660</v>
      </c>
      <c r="L374" t="s">
        <v>6659</v>
      </c>
      <c r="M374" t="s">
        <v>4187</v>
      </c>
      <c r="N374">
        <v>1</v>
      </c>
      <c r="O374" t="s">
        <v>6658</v>
      </c>
      <c r="P374">
        <v>6603443366</v>
      </c>
      <c r="Q374">
        <v>100519258</v>
      </c>
      <c r="R374" s="7">
        <v>32874</v>
      </c>
      <c r="S374" s="8">
        <f t="shared" si="40"/>
        <v>1990</v>
      </c>
      <c r="T374" s="8">
        <v>1990</v>
      </c>
      <c r="U374" s="8">
        <f t="shared" si="41"/>
        <v>32</v>
      </c>
      <c r="V374" s="7">
        <v>1990</v>
      </c>
      <c r="W374" t="s">
        <v>6657</v>
      </c>
      <c r="X374" s="2" t="s">
        <v>126</v>
      </c>
      <c r="Y374" s="6" t="e">
        <f t="shared" si="46"/>
        <v>#VALUE!</v>
      </c>
      <c r="AA374">
        <v>209309</v>
      </c>
      <c r="AB374">
        <v>31487</v>
      </c>
      <c r="AC374">
        <v>15222632</v>
      </c>
      <c r="AD374" t="s">
        <v>5</v>
      </c>
      <c r="AE374">
        <v>75</v>
      </c>
      <c r="AF374">
        <v>5</v>
      </c>
      <c r="AH374" t="s">
        <v>6656</v>
      </c>
      <c r="AI374" t="s">
        <v>6655</v>
      </c>
      <c r="AJ374" t="s">
        <v>6654</v>
      </c>
      <c r="AK374" t="s">
        <v>6653</v>
      </c>
      <c r="AL374">
        <v>10</v>
      </c>
      <c r="AM374" s="5">
        <f t="shared" si="42"/>
        <v>0.3125</v>
      </c>
      <c r="AN374" s="4">
        <f t="shared" si="47"/>
        <v>4.7330556607345703E-4</v>
      </c>
      <c r="AO374" s="3"/>
      <c r="AP374">
        <v>0</v>
      </c>
      <c r="AR374" t="s">
        <v>0</v>
      </c>
      <c r="AT374" s="2" t="s">
        <v>126</v>
      </c>
      <c r="AU374" s="1" t="e">
        <f t="shared" si="43"/>
        <v>#VALUE!</v>
      </c>
      <c r="AV374" s="1" t="e">
        <f t="shared" si="44"/>
        <v>#VALUE!</v>
      </c>
      <c r="AW374" s="1" t="e">
        <f t="shared" si="45"/>
        <v>#VALUE!</v>
      </c>
    </row>
    <row r="375" spans="1:49" x14ac:dyDescent="0.2">
      <c r="A375">
        <v>373</v>
      </c>
      <c r="B375" t="s">
        <v>6652</v>
      </c>
      <c r="C375" t="s">
        <v>6651</v>
      </c>
      <c r="F375" t="s">
        <v>6650</v>
      </c>
      <c r="G375" t="s">
        <v>14</v>
      </c>
      <c r="H375" t="s">
        <v>13</v>
      </c>
      <c r="I375" t="s">
        <v>6649</v>
      </c>
      <c r="J375">
        <v>60018276</v>
      </c>
      <c r="K375" t="s">
        <v>6648</v>
      </c>
      <c r="L375" t="s">
        <v>6647</v>
      </c>
      <c r="M375" t="s">
        <v>135</v>
      </c>
      <c r="N375">
        <v>3</v>
      </c>
      <c r="O375" t="s">
        <v>6646</v>
      </c>
      <c r="P375" t="s">
        <v>6645</v>
      </c>
      <c r="Q375" t="s">
        <v>6644</v>
      </c>
      <c r="R375" s="7">
        <v>32874</v>
      </c>
      <c r="S375" s="8">
        <f t="shared" si="40"/>
        <v>1990</v>
      </c>
      <c r="T375" s="8">
        <v>1990</v>
      </c>
      <c r="U375" s="8">
        <f t="shared" si="41"/>
        <v>32</v>
      </c>
      <c r="V375" s="7" t="s">
        <v>6617</v>
      </c>
      <c r="W375" t="s">
        <v>6616</v>
      </c>
      <c r="X375" s="2">
        <v>0.442</v>
      </c>
      <c r="Y375" s="6">
        <f t="shared" si="46"/>
        <v>1.1798937561730867E-2</v>
      </c>
      <c r="AA375">
        <v>1490419</v>
      </c>
      <c r="AB375">
        <v>29742</v>
      </c>
      <c r="AC375" t="s">
        <v>6615</v>
      </c>
      <c r="AD375" t="s">
        <v>5</v>
      </c>
      <c r="AE375">
        <v>14</v>
      </c>
      <c r="AF375" s="9">
        <v>44289</v>
      </c>
      <c r="AH375" t="s">
        <v>6643</v>
      </c>
      <c r="AI375" t="s">
        <v>6642</v>
      </c>
      <c r="AJ375" t="s">
        <v>6641</v>
      </c>
      <c r="AK375" t="s">
        <v>6640</v>
      </c>
      <c r="AL375">
        <v>11</v>
      </c>
      <c r="AM375" s="5">
        <f t="shared" si="42"/>
        <v>0.34375</v>
      </c>
      <c r="AN375" s="4">
        <f t="shared" si="47"/>
        <v>5.2063612268080268E-4</v>
      </c>
      <c r="AO375" s="3"/>
      <c r="AP375">
        <v>0</v>
      </c>
      <c r="AR375" t="s">
        <v>0</v>
      </c>
      <c r="AT375" s="2">
        <v>1.667</v>
      </c>
      <c r="AU375" s="1">
        <f t="shared" si="43"/>
        <v>0.84154471300158484</v>
      </c>
      <c r="AV375" s="1">
        <f t="shared" si="44"/>
        <v>0.61597868422058355</v>
      </c>
      <c r="AW375" s="1">
        <f t="shared" si="45"/>
        <v>0.39041265543958215</v>
      </c>
    </row>
    <row r="376" spans="1:49" x14ac:dyDescent="0.2">
      <c r="A376">
        <v>374</v>
      </c>
      <c r="B376" t="s">
        <v>6639</v>
      </c>
      <c r="C376" t="s">
        <v>6638</v>
      </c>
      <c r="F376" t="s">
        <v>6637</v>
      </c>
      <c r="G376" t="s">
        <v>14</v>
      </c>
      <c r="H376" t="s">
        <v>13</v>
      </c>
      <c r="I376" t="s">
        <v>6636</v>
      </c>
      <c r="J376">
        <v>60023324</v>
      </c>
      <c r="K376" t="s">
        <v>1036</v>
      </c>
      <c r="L376" t="s">
        <v>1035</v>
      </c>
      <c r="M376" t="s">
        <v>197</v>
      </c>
      <c r="N376">
        <v>3</v>
      </c>
      <c r="O376" t="s">
        <v>6635</v>
      </c>
      <c r="P376" t="s">
        <v>6634</v>
      </c>
      <c r="Q376" t="s">
        <v>6633</v>
      </c>
      <c r="R376" s="7">
        <v>32874</v>
      </c>
      <c r="S376" s="8">
        <f t="shared" si="40"/>
        <v>1990</v>
      </c>
      <c r="T376" s="8">
        <v>1990</v>
      </c>
      <c r="U376" s="8">
        <f t="shared" si="41"/>
        <v>32</v>
      </c>
      <c r="V376" s="7">
        <v>33117</v>
      </c>
      <c r="W376" t="s">
        <v>6632</v>
      </c>
      <c r="X376" s="2">
        <v>0.69299999999999995</v>
      </c>
      <c r="Y376" s="6">
        <f t="shared" si="46"/>
        <v>1.8499239208777128E-2</v>
      </c>
      <c r="AA376">
        <v>3076962</v>
      </c>
      <c r="AB376">
        <v>21084</v>
      </c>
      <c r="AC376">
        <v>13653032</v>
      </c>
      <c r="AD376" t="s">
        <v>5</v>
      </c>
      <c r="AE376">
        <v>15</v>
      </c>
      <c r="AF376">
        <v>3</v>
      </c>
      <c r="AH376" t="s">
        <v>6631</v>
      </c>
      <c r="AI376" t="s">
        <v>6630</v>
      </c>
      <c r="AJ376" t="s">
        <v>6629</v>
      </c>
      <c r="AK376" t="s">
        <v>6628</v>
      </c>
      <c r="AL376">
        <v>24</v>
      </c>
      <c r="AM376" s="5">
        <f t="shared" si="42"/>
        <v>0.75</v>
      </c>
      <c r="AN376" s="4">
        <f t="shared" si="47"/>
        <v>1.1359333585762969E-3</v>
      </c>
      <c r="AO376" s="3"/>
      <c r="AP376">
        <v>0</v>
      </c>
      <c r="AR376" t="s">
        <v>0</v>
      </c>
      <c r="AT376" s="2">
        <v>1.833</v>
      </c>
      <c r="AU376" s="1">
        <f t="shared" si="43"/>
        <v>1.3290247453716879</v>
      </c>
      <c r="AV376" s="1">
        <f t="shared" si="44"/>
        <v>0.98175862836767125</v>
      </c>
      <c r="AW376" s="1">
        <f t="shared" si="45"/>
        <v>0.63449251136365459</v>
      </c>
    </row>
    <row r="377" spans="1:49" x14ac:dyDescent="0.2">
      <c r="A377">
        <v>375</v>
      </c>
      <c r="B377" t="s">
        <v>6627</v>
      </c>
      <c r="C377" t="s">
        <v>6626</v>
      </c>
      <c r="F377" t="s">
        <v>6625</v>
      </c>
      <c r="G377" t="s">
        <v>14</v>
      </c>
      <c r="H377" t="s">
        <v>13</v>
      </c>
      <c r="I377" t="s">
        <v>6624</v>
      </c>
      <c r="J377" t="s">
        <v>6623</v>
      </c>
      <c r="K377" t="s">
        <v>6622</v>
      </c>
      <c r="L377" t="s">
        <v>6621</v>
      </c>
      <c r="M377" t="s">
        <v>1702</v>
      </c>
      <c r="N377">
        <v>12</v>
      </c>
      <c r="O377" t="s">
        <v>6620</v>
      </c>
      <c r="P377" t="s">
        <v>6619</v>
      </c>
      <c r="Q377" t="s">
        <v>6618</v>
      </c>
      <c r="R377" s="7">
        <v>32874</v>
      </c>
      <c r="S377" s="8">
        <f t="shared" si="40"/>
        <v>1990</v>
      </c>
      <c r="T377" s="8">
        <v>1990</v>
      </c>
      <c r="U377" s="8">
        <f t="shared" si="41"/>
        <v>32</v>
      </c>
      <c r="V377" s="7" t="s">
        <v>6617</v>
      </c>
      <c r="W377" t="s">
        <v>6616</v>
      </c>
      <c r="X377" s="2">
        <v>0.442</v>
      </c>
      <c r="Y377" s="6">
        <f t="shared" si="46"/>
        <v>1.1798937561730867E-2</v>
      </c>
      <c r="AA377">
        <v>1490419</v>
      </c>
      <c r="AB377">
        <v>29742</v>
      </c>
      <c r="AC377" t="s">
        <v>6615</v>
      </c>
      <c r="AD377" t="s">
        <v>5</v>
      </c>
      <c r="AE377">
        <v>14</v>
      </c>
      <c r="AF377" s="9">
        <v>44289</v>
      </c>
      <c r="AH377" t="s">
        <v>6614</v>
      </c>
      <c r="AI377" t="s">
        <v>6613</v>
      </c>
      <c r="AJ377" t="s">
        <v>6612</v>
      </c>
      <c r="AK377" t="s">
        <v>6611</v>
      </c>
      <c r="AL377">
        <v>5</v>
      </c>
      <c r="AM377" s="5">
        <f t="shared" si="42"/>
        <v>0.15625</v>
      </c>
      <c r="AN377" s="4">
        <f t="shared" si="47"/>
        <v>2.3665278303672851E-4</v>
      </c>
      <c r="AO377" s="3"/>
      <c r="AP377">
        <v>0</v>
      </c>
      <c r="AR377" t="s">
        <v>0</v>
      </c>
      <c r="AT377" s="2">
        <v>1.667</v>
      </c>
      <c r="AU377" s="1">
        <f t="shared" si="43"/>
        <v>0.83302521281226249</v>
      </c>
      <c r="AV377" s="1">
        <f t="shared" si="44"/>
        <v>0.60177951723837975</v>
      </c>
      <c r="AW377" s="1">
        <f t="shared" si="45"/>
        <v>0.370533821664497</v>
      </c>
    </row>
    <row r="378" spans="1:49" x14ac:dyDescent="0.2">
      <c r="A378">
        <v>376</v>
      </c>
      <c r="B378" t="s">
        <v>6610</v>
      </c>
      <c r="C378" t="s">
        <v>6609</v>
      </c>
      <c r="F378" t="s">
        <v>6608</v>
      </c>
      <c r="G378" t="s">
        <v>14</v>
      </c>
      <c r="H378" t="s">
        <v>13</v>
      </c>
      <c r="I378" t="s">
        <v>6607</v>
      </c>
      <c r="J378">
        <v>60001439</v>
      </c>
      <c r="K378" t="s">
        <v>2675</v>
      </c>
      <c r="L378" t="s">
        <v>2674</v>
      </c>
      <c r="M378" t="s">
        <v>197</v>
      </c>
      <c r="N378">
        <v>3</v>
      </c>
      <c r="O378" t="s">
        <v>6606</v>
      </c>
      <c r="P378" t="s">
        <v>6605</v>
      </c>
      <c r="Q378" t="s">
        <v>2838</v>
      </c>
      <c r="R378" s="7">
        <v>32874</v>
      </c>
      <c r="S378" s="8">
        <f t="shared" si="40"/>
        <v>1990</v>
      </c>
      <c r="T378" s="8">
        <v>1990</v>
      </c>
      <c r="U378" s="8">
        <f t="shared" si="41"/>
        <v>32</v>
      </c>
      <c r="V378" s="7">
        <v>33178</v>
      </c>
      <c r="W378" t="s">
        <v>2156</v>
      </c>
      <c r="X378" s="2">
        <v>0.65500000000000003</v>
      </c>
      <c r="Y378" s="6">
        <f t="shared" si="46"/>
        <v>1.7484850911614749E-2</v>
      </c>
      <c r="AA378">
        <v>189375</v>
      </c>
      <c r="AB378">
        <v>26051</v>
      </c>
      <c r="AC378" t="s">
        <v>2155</v>
      </c>
      <c r="AD378" t="s">
        <v>5</v>
      </c>
      <c r="AE378">
        <v>32</v>
      </c>
      <c r="AF378">
        <v>4</v>
      </c>
      <c r="AH378" t="s">
        <v>6604</v>
      </c>
      <c r="AI378" t="s">
        <v>6603</v>
      </c>
      <c r="AK378" t="s">
        <v>6602</v>
      </c>
      <c r="AL378">
        <v>60</v>
      </c>
      <c r="AM378" s="5">
        <f t="shared" si="42"/>
        <v>1.875</v>
      </c>
      <c r="AN378" s="4">
        <f t="shared" si="47"/>
        <v>2.8398333964407422E-3</v>
      </c>
      <c r="AO378" s="3"/>
      <c r="AP378">
        <v>0</v>
      </c>
      <c r="AR378" t="s">
        <v>0</v>
      </c>
      <c r="AS378" t="s">
        <v>6601</v>
      </c>
      <c r="AT378" s="2" t="s">
        <v>126</v>
      </c>
      <c r="AU378" s="1">
        <f t="shared" si="43"/>
        <v>1.3091345657062545</v>
      </c>
      <c r="AV378" s="1">
        <f t="shared" si="44"/>
        <v>1.0162342154027746</v>
      </c>
      <c r="AW378" s="1">
        <f t="shared" si="45"/>
        <v>0.72333386509929443</v>
      </c>
    </row>
    <row r="379" spans="1:49" x14ac:dyDescent="0.2">
      <c r="A379">
        <v>377</v>
      </c>
      <c r="B379" t="s">
        <v>6600</v>
      </c>
      <c r="C379" t="s">
        <v>6599</v>
      </c>
      <c r="F379" t="s">
        <v>6598</v>
      </c>
      <c r="G379" t="s">
        <v>14</v>
      </c>
      <c r="H379" t="s">
        <v>13</v>
      </c>
      <c r="I379" t="s">
        <v>6597</v>
      </c>
      <c r="J379">
        <v>60017366</v>
      </c>
      <c r="K379" t="s">
        <v>425</v>
      </c>
      <c r="L379" t="s">
        <v>424</v>
      </c>
      <c r="M379" t="s">
        <v>197</v>
      </c>
      <c r="N379">
        <v>2</v>
      </c>
      <c r="O379" t="s">
        <v>6596</v>
      </c>
      <c r="P379" t="s">
        <v>6595</v>
      </c>
      <c r="Q379" t="s">
        <v>6585</v>
      </c>
      <c r="R379" s="7">
        <v>32874</v>
      </c>
      <c r="S379" s="8">
        <f t="shared" si="40"/>
        <v>1990</v>
      </c>
      <c r="T379" s="8">
        <v>1990</v>
      </c>
      <c r="U379" s="8">
        <f t="shared" si="41"/>
        <v>32</v>
      </c>
      <c r="V379" s="7">
        <v>33178</v>
      </c>
      <c r="W379" t="s">
        <v>2249</v>
      </c>
      <c r="X379" s="2">
        <v>1.6519999999999999</v>
      </c>
      <c r="Y379" s="6">
        <f t="shared" si="46"/>
        <v>4.409919649769093E-2</v>
      </c>
      <c r="AA379" t="s">
        <v>2248</v>
      </c>
      <c r="AB379">
        <v>17337</v>
      </c>
      <c r="AC379">
        <v>15582221</v>
      </c>
      <c r="AD379" t="s">
        <v>5</v>
      </c>
      <c r="AE379">
        <v>38</v>
      </c>
      <c r="AF379">
        <v>11</v>
      </c>
      <c r="AH379" t="s">
        <v>6594</v>
      </c>
      <c r="AI379" t="s">
        <v>6593</v>
      </c>
      <c r="AK379" t="s">
        <v>6592</v>
      </c>
      <c r="AL379">
        <v>67</v>
      </c>
      <c r="AM379" s="5">
        <f t="shared" si="42"/>
        <v>2.09375</v>
      </c>
      <c r="AN379" s="4">
        <f t="shared" si="47"/>
        <v>3.1711472926921622E-3</v>
      </c>
      <c r="AO379" s="3"/>
      <c r="AP379">
        <v>0</v>
      </c>
      <c r="AR379" t="s">
        <v>0</v>
      </c>
      <c r="AT379" s="2" t="s">
        <v>126</v>
      </c>
      <c r="AU379" s="1">
        <f t="shared" si="43"/>
        <v>3.1820781736191304</v>
      </c>
      <c r="AV379" s="1">
        <f t="shared" si="44"/>
        <v>2.3635171895191545</v>
      </c>
      <c r="AW379" s="1">
        <f t="shared" si="45"/>
        <v>1.5449562054191792</v>
      </c>
    </row>
    <row r="380" spans="1:49" x14ac:dyDescent="0.2">
      <c r="A380">
        <v>378</v>
      </c>
      <c r="B380" t="s">
        <v>6591</v>
      </c>
      <c r="C380" t="s">
        <v>6590</v>
      </c>
      <c r="F380" t="s">
        <v>6589</v>
      </c>
      <c r="G380" t="s">
        <v>14</v>
      </c>
      <c r="H380" t="s">
        <v>13</v>
      </c>
      <c r="I380" t="s">
        <v>6588</v>
      </c>
      <c r="J380">
        <v>60017366</v>
      </c>
      <c r="K380" t="s">
        <v>425</v>
      </c>
      <c r="L380" t="s">
        <v>424</v>
      </c>
      <c r="M380" t="s">
        <v>197</v>
      </c>
      <c r="N380">
        <v>2</v>
      </c>
      <c r="O380" t="s">
        <v>6587</v>
      </c>
      <c r="P380" t="s">
        <v>6586</v>
      </c>
      <c r="Q380" t="s">
        <v>6585</v>
      </c>
      <c r="R380" s="7">
        <v>32874</v>
      </c>
      <c r="S380" s="8">
        <f t="shared" si="40"/>
        <v>1990</v>
      </c>
      <c r="T380" s="8">
        <v>1990</v>
      </c>
      <c r="U380" s="8">
        <f t="shared" si="41"/>
        <v>32</v>
      </c>
      <c r="V380" s="7">
        <v>33178</v>
      </c>
      <c r="W380" t="s">
        <v>1309</v>
      </c>
      <c r="X380" s="2">
        <v>1.3720000000000001</v>
      </c>
      <c r="Y380" s="6">
        <f t="shared" si="46"/>
        <v>3.662475641333654E-2</v>
      </c>
      <c r="AA380">
        <v>189480</v>
      </c>
      <c r="AB380">
        <v>17366</v>
      </c>
      <c r="AC380">
        <v>15579670</v>
      </c>
      <c r="AD380" t="s">
        <v>5</v>
      </c>
      <c r="AE380">
        <v>38</v>
      </c>
      <c r="AF380">
        <v>11</v>
      </c>
      <c r="AH380" t="s">
        <v>6584</v>
      </c>
      <c r="AI380" t="s">
        <v>6583</v>
      </c>
      <c r="AK380" t="s">
        <v>6582</v>
      </c>
      <c r="AL380">
        <v>426</v>
      </c>
      <c r="AM380" s="5">
        <f t="shared" si="42"/>
        <v>13.3125</v>
      </c>
      <c r="AN380" s="4">
        <f t="shared" si="47"/>
        <v>2.0162817114729271E-2</v>
      </c>
      <c r="AO380" s="3"/>
      <c r="AP380">
        <v>0</v>
      </c>
      <c r="AQ380" t="s">
        <v>4311</v>
      </c>
      <c r="AR380" t="s">
        <v>0</v>
      </c>
      <c r="AS380" t="s">
        <v>4310</v>
      </c>
      <c r="AT380" s="2" t="s">
        <v>126</v>
      </c>
      <c r="AU380" s="1">
        <f t="shared" si="43"/>
        <v>3.168617462375436</v>
      </c>
      <c r="AV380" s="1">
        <f t="shared" si="44"/>
        <v>2.8393786764032902</v>
      </c>
      <c r="AW380" s="1">
        <f t="shared" si="45"/>
        <v>2.5101398904311449</v>
      </c>
    </row>
    <row r="381" spans="1:49" x14ac:dyDescent="0.2">
      <c r="A381">
        <v>379</v>
      </c>
      <c r="B381" t="s">
        <v>6581</v>
      </c>
      <c r="C381" t="s">
        <v>6580</v>
      </c>
      <c r="F381" t="s">
        <v>6579</v>
      </c>
      <c r="G381" t="s">
        <v>14</v>
      </c>
      <c r="H381" t="s">
        <v>13</v>
      </c>
      <c r="I381" t="s">
        <v>6578</v>
      </c>
      <c r="J381">
        <v>60092258</v>
      </c>
      <c r="K381" t="s">
        <v>6577</v>
      </c>
      <c r="L381" t="s">
        <v>6576</v>
      </c>
      <c r="M381" t="s">
        <v>267</v>
      </c>
      <c r="N381">
        <v>1</v>
      </c>
      <c r="O381" t="s">
        <v>6575</v>
      </c>
      <c r="P381">
        <v>36176445900</v>
      </c>
      <c r="Q381">
        <v>60092258</v>
      </c>
      <c r="R381" s="7">
        <v>32874</v>
      </c>
      <c r="S381" s="8">
        <f t="shared" ref="S381:S444" si="48">YEAR(R381)</f>
        <v>1990</v>
      </c>
      <c r="T381" s="8">
        <v>1990</v>
      </c>
      <c r="U381" s="8">
        <f t="shared" ref="U381:U444" si="49">2022-T381</f>
        <v>32</v>
      </c>
      <c r="V381" s="7">
        <v>33178</v>
      </c>
      <c r="W381" t="s">
        <v>2156</v>
      </c>
      <c r="X381" s="2">
        <v>0.65500000000000003</v>
      </c>
      <c r="Y381" s="6">
        <f t="shared" si="46"/>
        <v>1.7484850911614749E-2</v>
      </c>
      <c r="AA381">
        <v>189375</v>
      </c>
      <c r="AB381">
        <v>26051</v>
      </c>
      <c r="AC381" t="s">
        <v>2155</v>
      </c>
      <c r="AD381" t="s">
        <v>5</v>
      </c>
      <c r="AE381">
        <v>32</v>
      </c>
      <c r="AF381">
        <v>4</v>
      </c>
      <c r="AH381" t="s">
        <v>6574</v>
      </c>
      <c r="AI381" t="s">
        <v>6573</v>
      </c>
      <c r="AK381" t="s">
        <v>6572</v>
      </c>
      <c r="AL381">
        <v>20</v>
      </c>
      <c r="AM381" s="5">
        <f t="shared" ref="AM381:AM444" si="50">AL381/U381</f>
        <v>0.625</v>
      </c>
      <c r="AN381" s="4">
        <f t="shared" si="47"/>
        <v>9.4661113214691405E-4</v>
      </c>
      <c r="AO381" s="3"/>
      <c r="AP381">
        <v>0</v>
      </c>
      <c r="AR381" t="s">
        <v>0</v>
      </c>
      <c r="AT381" s="2" t="s">
        <v>126</v>
      </c>
      <c r="AU381" s="1">
        <f t="shared" ref="AU381:AU444" si="51">(Y381*0.7+AN381*0.3)*100</f>
        <v>1.2523378977774398</v>
      </c>
      <c r="AV381" s="1">
        <f t="shared" ref="AV381:AV444" si="52">(Y381*0.5+AN381*0.5)*100</f>
        <v>0.92157310218808319</v>
      </c>
      <c r="AW381" s="1">
        <f t="shared" ref="AW381:AW444" si="53">(Y381*0.3+AN381*0.7)*100</f>
        <v>0.59080830659872652</v>
      </c>
    </row>
    <row r="382" spans="1:49" x14ac:dyDescent="0.2">
      <c r="A382">
        <v>380</v>
      </c>
      <c r="B382" t="s">
        <v>6571</v>
      </c>
      <c r="C382" t="s">
        <v>6570</v>
      </c>
      <c r="F382" t="s">
        <v>6569</v>
      </c>
      <c r="G382" t="s">
        <v>14</v>
      </c>
      <c r="H382" t="s">
        <v>13</v>
      </c>
      <c r="I382" t="s">
        <v>6568</v>
      </c>
      <c r="J382">
        <v>60021293</v>
      </c>
      <c r="K382" t="s">
        <v>6567</v>
      </c>
      <c r="L382" t="s">
        <v>6566</v>
      </c>
      <c r="M382" t="s">
        <v>197</v>
      </c>
      <c r="N382">
        <v>1</v>
      </c>
      <c r="O382" t="s">
        <v>6565</v>
      </c>
      <c r="P382">
        <v>56128115600</v>
      </c>
      <c r="Q382">
        <v>60021293</v>
      </c>
      <c r="R382" s="7">
        <v>32874</v>
      </c>
      <c r="S382" s="8">
        <f t="shared" si="48"/>
        <v>1990</v>
      </c>
      <c r="T382" s="8">
        <v>1990</v>
      </c>
      <c r="U382" s="8">
        <f t="shared" si="49"/>
        <v>32</v>
      </c>
      <c r="V382" s="7">
        <v>33178</v>
      </c>
      <c r="W382" t="s">
        <v>2156</v>
      </c>
      <c r="X382" s="2">
        <v>0.65500000000000003</v>
      </c>
      <c r="Y382" s="6">
        <f t="shared" si="46"/>
        <v>1.7484850911614749E-2</v>
      </c>
      <c r="AA382">
        <v>189375</v>
      </c>
      <c r="AB382">
        <v>26051</v>
      </c>
      <c r="AC382" t="s">
        <v>2155</v>
      </c>
      <c r="AD382" t="s">
        <v>5</v>
      </c>
      <c r="AE382">
        <v>32</v>
      </c>
      <c r="AF382">
        <v>4</v>
      </c>
      <c r="AH382" t="s">
        <v>6564</v>
      </c>
      <c r="AI382" t="s">
        <v>6563</v>
      </c>
      <c r="AK382" t="s">
        <v>6562</v>
      </c>
      <c r="AL382">
        <v>2</v>
      </c>
      <c r="AM382" s="5">
        <f t="shared" si="50"/>
        <v>6.25E-2</v>
      </c>
      <c r="AN382" s="4">
        <f t="shared" si="47"/>
        <v>9.46611132146914E-5</v>
      </c>
      <c r="AO382" s="3"/>
      <c r="AP382">
        <v>0</v>
      </c>
      <c r="AR382" t="s">
        <v>0</v>
      </c>
      <c r="AT382" s="2" t="s">
        <v>126</v>
      </c>
      <c r="AU382" s="1">
        <f t="shared" si="51"/>
        <v>1.2267793972094729</v>
      </c>
      <c r="AV382" s="1">
        <f t="shared" si="52"/>
        <v>0.878975601241472</v>
      </c>
      <c r="AW382" s="1">
        <f t="shared" si="53"/>
        <v>0.53117180527347085</v>
      </c>
    </row>
    <row r="383" spans="1:49" x14ac:dyDescent="0.2">
      <c r="A383">
        <v>381</v>
      </c>
      <c r="B383" t="s">
        <v>6561</v>
      </c>
      <c r="C383" t="s">
        <v>6560</v>
      </c>
      <c r="F383" t="s">
        <v>6559</v>
      </c>
      <c r="G383" t="s">
        <v>14</v>
      </c>
      <c r="H383" t="s">
        <v>13</v>
      </c>
      <c r="I383" t="s">
        <v>6558</v>
      </c>
      <c r="J383">
        <v>60011373</v>
      </c>
      <c r="K383" t="s">
        <v>6557</v>
      </c>
      <c r="L383" t="s">
        <v>6556</v>
      </c>
      <c r="M383" t="s">
        <v>151</v>
      </c>
      <c r="N383">
        <v>1</v>
      </c>
      <c r="O383" t="s">
        <v>6555</v>
      </c>
      <c r="P383">
        <v>7401668112</v>
      </c>
      <c r="Q383">
        <v>60011373</v>
      </c>
      <c r="R383" s="7">
        <v>32874</v>
      </c>
      <c r="S383" s="8">
        <f t="shared" si="48"/>
        <v>1990</v>
      </c>
      <c r="T383" s="8">
        <v>1990</v>
      </c>
      <c r="U383" s="8">
        <f t="shared" si="49"/>
        <v>32</v>
      </c>
      <c r="V383" s="7">
        <v>33178</v>
      </c>
      <c r="W383" t="s">
        <v>2249</v>
      </c>
      <c r="X383" s="2">
        <v>1.6519999999999999</v>
      </c>
      <c r="Y383" s="6">
        <f t="shared" si="46"/>
        <v>4.409919649769093E-2</v>
      </c>
      <c r="AA383" t="s">
        <v>2248</v>
      </c>
      <c r="AB383">
        <v>17337</v>
      </c>
      <c r="AC383">
        <v>15582221</v>
      </c>
      <c r="AD383" t="s">
        <v>5</v>
      </c>
      <c r="AE383">
        <v>38</v>
      </c>
      <c r="AF383">
        <v>11</v>
      </c>
      <c r="AH383" t="s">
        <v>6554</v>
      </c>
      <c r="AI383" t="s">
        <v>6553</v>
      </c>
      <c r="AK383" t="s">
        <v>6552</v>
      </c>
      <c r="AL383">
        <v>11</v>
      </c>
      <c r="AM383" s="5">
        <f t="shared" si="50"/>
        <v>0.34375</v>
      </c>
      <c r="AN383" s="4">
        <f t="shared" si="47"/>
        <v>5.2063612268080268E-4</v>
      </c>
      <c r="AO383" s="3"/>
      <c r="AP383">
        <v>0</v>
      </c>
      <c r="AR383" t="s">
        <v>0</v>
      </c>
      <c r="AT383" s="2" t="s">
        <v>126</v>
      </c>
      <c r="AU383" s="1">
        <f t="shared" si="51"/>
        <v>3.1025628385187893</v>
      </c>
      <c r="AV383" s="1">
        <f t="shared" si="52"/>
        <v>2.2309916310185867</v>
      </c>
      <c r="AW383" s="1">
        <f t="shared" si="53"/>
        <v>1.359420423518384</v>
      </c>
    </row>
    <row r="384" spans="1:49" x14ac:dyDescent="0.2">
      <c r="A384">
        <v>382</v>
      </c>
      <c r="B384" t="s">
        <v>6551</v>
      </c>
      <c r="C384" t="s">
        <v>6550</v>
      </c>
      <c r="F384" t="s">
        <v>6549</v>
      </c>
      <c r="G384" t="s">
        <v>14</v>
      </c>
      <c r="H384" t="s">
        <v>13</v>
      </c>
      <c r="I384" t="s">
        <v>6548</v>
      </c>
      <c r="J384">
        <v>60028628</v>
      </c>
      <c r="K384" t="s">
        <v>930</v>
      </c>
      <c r="L384" t="s">
        <v>684</v>
      </c>
      <c r="M384" t="s">
        <v>197</v>
      </c>
      <c r="N384">
        <v>1</v>
      </c>
      <c r="O384" t="s">
        <v>6547</v>
      </c>
      <c r="P384">
        <v>57225281903</v>
      </c>
      <c r="Q384">
        <v>60028628</v>
      </c>
      <c r="R384" s="7">
        <v>32874</v>
      </c>
      <c r="S384" s="8">
        <f t="shared" si="48"/>
        <v>1990</v>
      </c>
      <c r="T384" s="8">
        <v>1990</v>
      </c>
      <c r="U384" s="8">
        <f t="shared" si="49"/>
        <v>32</v>
      </c>
      <c r="V384" s="7">
        <v>33178</v>
      </c>
      <c r="W384" t="s">
        <v>2249</v>
      </c>
      <c r="X384" s="2">
        <v>1.6519999999999999</v>
      </c>
      <c r="Y384" s="6">
        <f t="shared" si="46"/>
        <v>4.409919649769093E-2</v>
      </c>
      <c r="AA384" t="s">
        <v>2248</v>
      </c>
      <c r="AB384">
        <v>17337</v>
      </c>
      <c r="AC384">
        <v>15582221</v>
      </c>
      <c r="AD384" t="s">
        <v>5</v>
      </c>
      <c r="AE384">
        <v>38</v>
      </c>
      <c r="AF384">
        <v>11</v>
      </c>
      <c r="AH384" t="s">
        <v>6546</v>
      </c>
      <c r="AI384" t="s">
        <v>6545</v>
      </c>
      <c r="AK384" t="s">
        <v>6544</v>
      </c>
      <c r="AL384">
        <v>6</v>
      </c>
      <c r="AM384" s="5">
        <f t="shared" si="50"/>
        <v>0.1875</v>
      </c>
      <c r="AN384" s="4">
        <f t="shared" si="47"/>
        <v>2.8398333964407423E-4</v>
      </c>
      <c r="AO384" s="3"/>
      <c r="AP384">
        <v>0</v>
      </c>
      <c r="AR384" t="s">
        <v>0</v>
      </c>
      <c r="AT384" s="2" t="s">
        <v>126</v>
      </c>
      <c r="AU384" s="1">
        <f t="shared" si="51"/>
        <v>3.095463255027687</v>
      </c>
      <c r="AV384" s="1">
        <f t="shared" si="52"/>
        <v>2.2191589918667503</v>
      </c>
      <c r="AW384" s="1">
        <f t="shared" si="53"/>
        <v>1.342854728705813</v>
      </c>
    </row>
    <row r="385" spans="1:49" x14ac:dyDescent="0.2">
      <c r="A385">
        <v>383</v>
      </c>
      <c r="B385" t="s">
        <v>6543</v>
      </c>
      <c r="C385" t="s">
        <v>6542</v>
      </c>
      <c r="F385" t="s">
        <v>6541</v>
      </c>
      <c r="G385" t="s">
        <v>14</v>
      </c>
      <c r="H385" t="s">
        <v>13</v>
      </c>
      <c r="I385" t="s">
        <v>6540</v>
      </c>
      <c r="J385">
        <v>60025778</v>
      </c>
      <c r="K385" t="s">
        <v>436</v>
      </c>
      <c r="L385" t="s">
        <v>435</v>
      </c>
      <c r="M385" t="s">
        <v>197</v>
      </c>
      <c r="N385">
        <v>1</v>
      </c>
      <c r="O385" t="s">
        <v>6539</v>
      </c>
      <c r="P385">
        <v>24298127400</v>
      </c>
      <c r="Q385">
        <v>60025778</v>
      </c>
      <c r="R385" s="7">
        <v>32874</v>
      </c>
      <c r="S385" s="8">
        <f t="shared" si="48"/>
        <v>1990</v>
      </c>
      <c r="T385" s="8">
        <v>1990</v>
      </c>
      <c r="U385" s="8">
        <f t="shared" si="49"/>
        <v>32</v>
      </c>
      <c r="V385" s="7">
        <v>33178</v>
      </c>
      <c r="W385" t="s">
        <v>1309</v>
      </c>
      <c r="X385" s="2">
        <v>1.3720000000000001</v>
      </c>
      <c r="Y385" s="6">
        <f t="shared" si="46"/>
        <v>3.662475641333654E-2</v>
      </c>
      <c r="AA385">
        <v>189480</v>
      </c>
      <c r="AB385">
        <v>17366</v>
      </c>
      <c r="AC385">
        <v>15579670</v>
      </c>
      <c r="AD385" t="s">
        <v>5</v>
      </c>
      <c r="AE385">
        <v>38</v>
      </c>
      <c r="AF385">
        <v>11</v>
      </c>
      <c r="AH385" t="s">
        <v>6538</v>
      </c>
      <c r="AI385" t="s">
        <v>6537</v>
      </c>
      <c r="AK385" t="s">
        <v>6536</v>
      </c>
      <c r="AL385">
        <v>1</v>
      </c>
      <c r="AM385" s="5">
        <f t="shared" si="50"/>
        <v>3.125E-2</v>
      </c>
      <c r="AN385" s="4">
        <f t="shared" si="47"/>
        <v>4.73305566073457E-5</v>
      </c>
      <c r="AO385" s="3"/>
      <c r="AP385">
        <v>0</v>
      </c>
      <c r="AR385" t="s">
        <v>0</v>
      </c>
      <c r="AT385" s="2" t="s">
        <v>126</v>
      </c>
      <c r="AU385" s="1">
        <f t="shared" si="51"/>
        <v>2.5651528656317781</v>
      </c>
      <c r="AV385" s="1">
        <f t="shared" si="52"/>
        <v>1.8336043484971944</v>
      </c>
      <c r="AW385" s="1">
        <f t="shared" si="53"/>
        <v>1.1020558313626103</v>
      </c>
    </row>
    <row r="386" spans="1:49" x14ac:dyDescent="0.2">
      <c r="A386">
        <v>384</v>
      </c>
      <c r="B386" t="s">
        <v>6535</v>
      </c>
      <c r="C386" t="s">
        <v>6534</v>
      </c>
      <c r="F386" t="s">
        <v>6533</v>
      </c>
      <c r="G386" t="s">
        <v>14</v>
      </c>
      <c r="H386" t="s">
        <v>13</v>
      </c>
      <c r="I386" t="s">
        <v>6532</v>
      </c>
      <c r="J386" t="s">
        <v>6531</v>
      </c>
      <c r="K386" t="s">
        <v>6530</v>
      </c>
      <c r="L386" t="s">
        <v>6529</v>
      </c>
      <c r="M386" t="s">
        <v>2635</v>
      </c>
      <c r="N386">
        <v>3</v>
      </c>
      <c r="O386" t="s">
        <v>6528</v>
      </c>
      <c r="P386" t="s">
        <v>6527</v>
      </c>
      <c r="Q386" t="s">
        <v>6526</v>
      </c>
      <c r="R386" s="7">
        <v>32874</v>
      </c>
      <c r="S386" s="8">
        <f t="shared" si="48"/>
        <v>1990</v>
      </c>
      <c r="T386" s="8">
        <v>1990</v>
      </c>
      <c r="U386" s="8">
        <f t="shared" si="49"/>
        <v>32</v>
      </c>
      <c r="V386" s="7">
        <v>33178</v>
      </c>
      <c r="W386" t="s">
        <v>2288</v>
      </c>
      <c r="X386" s="2">
        <v>0.111</v>
      </c>
      <c r="Y386" s="6">
        <f t="shared" ref="Y386:Y449" si="54">(X386-$Z$4)/($Z$3-$Z$4)</f>
        <v>2.9630816048690639E-3</v>
      </c>
      <c r="AA386">
        <v>87566621</v>
      </c>
      <c r="AB386">
        <v>24890</v>
      </c>
      <c r="AC386">
        <v>15206424</v>
      </c>
      <c r="AD386" t="s">
        <v>5</v>
      </c>
      <c r="AE386">
        <v>73</v>
      </c>
      <c r="AF386">
        <v>11</v>
      </c>
      <c r="AH386" t="s">
        <v>6525</v>
      </c>
      <c r="AI386" t="s">
        <v>6524</v>
      </c>
      <c r="AK386" t="s">
        <v>6523</v>
      </c>
      <c r="AL386">
        <v>5</v>
      </c>
      <c r="AM386" s="5">
        <f t="shared" si="50"/>
        <v>0.15625</v>
      </c>
      <c r="AN386" s="4">
        <f t="shared" ref="AN386:AN449" si="55">(AM386-$AO$4)/($AO$3-$AO$4)</f>
        <v>2.3665278303672851E-4</v>
      </c>
      <c r="AO386" s="3"/>
      <c r="AP386">
        <v>0</v>
      </c>
      <c r="AR386" t="s">
        <v>0</v>
      </c>
      <c r="AT386" s="2" t="s">
        <v>126</v>
      </c>
      <c r="AU386" s="1">
        <f t="shared" si="51"/>
        <v>0.21451529583193632</v>
      </c>
      <c r="AV386" s="1">
        <f t="shared" si="52"/>
        <v>0.15998671939528963</v>
      </c>
      <c r="AW386" s="1">
        <f t="shared" si="53"/>
        <v>0.10545814295864291</v>
      </c>
    </row>
    <row r="387" spans="1:49" x14ac:dyDescent="0.2">
      <c r="A387">
        <v>385</v>
      </c>
      <c r="B387" t="s">
        <v>6522</v>
      </c>
      <c r="C387" t="s">
        <v>6521</v>
      </c>
      <c r="F387" t="s">
        <v>6520</v>
      </c>
      <c r="G387" t="s">
        <v>14</v>
      </c>
      <c r="H387" t="s">
        <v>13</v>
      </c>
      <c r="I387" t="s">
        <v>6519</v>
      </c>
      <c r="J387">
        <v>60000745</v>
      </c>
      <c r="K387" t="s">
        <v>2214</v>
      </c>
      <c r="L387" t="s">
        <v>2213</v>
      </c>
      <c r="M387" t="s">
        <v>197</v>
      </c>
      <c r="N387">
        <v>2</v>
      </c>
      <c r="O387" t="s">
        <v>6518</v>
      </c>
      <c r="P387" t="s">
        <v>6517</v>
      </c>
      <c r="Q387" t="s">
        <v>3335</v>
      </c>
      <c r="R387" s="7">
        <v>32874</v>
      </c>
      <c r="S387" s="8">
        <f t="shared" si="48"/>
        <v>1990</v>
      </c>
      <c r="T387" s="8">
        <v>1990</v>
      </c>
      <c r="U387" s="8">
        <f t="shared" si="49"/>
        <v>32</v>
      </c>
      <c r="V387" s="7">
        <v>33178</v>
      </c>
      <c r="W387" t="s">
        <v>2249</v>
      </c>
      <c r="X387" s="2">
        <v>1.6519999999999999</v>
      </c>
      <c r="Y387" s="6">
        <f t="shared" si="54"/>
        <v>4.409919649769093E-2</v>
      </c>
      <c r="AA387" t="s">
        <v>2248</v>
      </c>
      <c r="AB387">
        <v>17337</v>
      </c>
      <c r="AC387">
        <v>15582221</v>
      </c>
      <c r="AD387" t="s">
        <v>5</v>
      </c>
      <c r="AE387">
        <v>38</v>
      </c>
      <c r="AF387">
        <v>11</v>
      </c>
      <c r="AH387" t="s">
        <v>6516</v>
      </c>
      <c r="AI387" t="s">
        <v>6515</v>
      </c>
      <c r="AK387" t="s">
        <v>6514</v>
      </c>
      <c r="AL387">
        <v>6</v>
      </c>
      <c r="AM387" s="5">
        <f t="shared" si="50"/>
        <v>0.1875</v>
      </c>
      <c r="AN387" s="4">
        <f t="shared" si="55"/>
        <v>2.8398333964407423E-4</v>
      </c>
      <c r="AO387" s="3"/>
      <c r="AP387">
        <v>0</v>
      </c>
      <c r="AR387" t="s">
        <v>0</v>
      </c>
      <c r="AT387" s="2" t="s">
        <v>126</v>
      </c>
      <c r="AU387" s="1">
        <f t="shared" si="51"/>
        <v>3.095463255027687</v>
      </c>
      <c r="AV387" s="1">
        <f t="shared" si="52"/>
        <v>2.2191589918667503</v>
      </c>
      <c r="AW387" s="1">
        <f t="shared" si="53"/>
        <v>1.342854728705813</v>
      </c>
    </row>
    <row r="388" spans="1:49" x14ac:dyDescent="0.2">
      <c r="A388">
        <v>386</v>
      </c>
      <c r="B388" t="s">
        <v>6513</v>
      </c>
      <c r="C388" t="s">
        <v>6512</v>
      </c>
      <c r="F388" t="s">
        <v>6511</v>
      </c>
      <c r="G388" t="s">
        <v>14</v>
      </c>
      <c r="H388" t="s">
        <v>13</v>
      </c>
      <c r="I388" t="s">
        <v>6510</v>
      </c>
      <c r="J388">
        <v>60005286</v>
      </c>
      <c r="K388" t="s">
        <v>6509</v>
      </c>
      <c r="L388" t="s">
        <v>640</v>
      </c>
      <c r="M388" t="s">
        <v>197</v>
      </c>
      <c r="N388">
        <v>2</v>
      </c>
      <c r="O388" t="s">
        <v>6508</v>
      </c>
      <c r="P388" t="s">
        <v>6507</v>
      </c>
      <c r="Q388" t="s">
        <v>6506</v>
      </c>
      <c r="R388" s="7">
        <v>32874</v>
      </c>
      <c r="S388" s="8">
        <f t="shared" si="48"/>
        <v>1990</v>
      </c>
      <c r="T388" s="8">
        <v>1990</v>
      </c>
      <c r="U388" s="8">
        <f t="shared" si="49"/>
        <v>32</v>
      </c>
      <c r="V388" s="7">
        <v>33178</v>
      </c>
      <c r="W388" t="s">
        <v>1222</v>
      </c>
      <c r="X388" s="2">
        <v>1.6379999999999999</v>
      </c>
      <c r="Y388" s="6">
        <f t="shared" si="54"/>
        <v>4.3725474493473214E-2</v>
      </c>
      <c r="AA388">
        <v>963518</v>
      </c>
      <c r="AB388">
        <v>31560</v>
      </c>
      <c r="AD388" t="s">
        <v>5</v>
      </c>
      <c r="AE388">
        <v>38</v>
      </c>
      <c r="AF388">
        <v>11</v>
      </c>
      <c r="AH388" t="s">
        <v>6505</v>
      </c>
      <c r="AI388" t="s">
        <v>6504</v>
      </c>
      <c r="AK388" t="s">
        <v>6503</v>
      </c>
      <c r="AL388">
        <v>52</v>
      </c>
      <c r="AM388" s="5">
        <f t="shared" si="50"/>
        <v>1.625</v>
      </c>
      <c r="AN388" s="4">
        <f t="shared" si="55"/>
        <v>2.4611889435819764E-3</v>
      </c>
      <c r="AO388" s="3"/>
      <c r="AP388">
        <v>0</v>
      </c>
      <c r="AR388" t="s">
        <v>0</v>
      </c>
      <c r="AT388" s="2" t="s">
        <v>126</v>
      </c>
      <c r="AU388" s="1">
        <f t="shared" si="51"/>
        <v>3.1346188828505843</v>
      </c>
      <c r="AV388" s="1">
        <f t="shared" si="52"/>
        <v>2.3093331718527597</v>
      </c>
      <c r="AW388" s="1">
        <f t="shared" si="53"/>
        <v>1.4840474608549348</v>
      </c>
    </row>
    <row r="389" spans="1:49" x14ac:dyDescent="0.2">
      <c r="A389">
        <v>387</v>
      </c>
      <c r="B389" t="s">
        <v>6502</v>
      </c>
      <c r="C389" t="s">
        <v>6501</v>
      </c>
      <c r="F389" t="s">
        <v>6500</v>
      </c>
      <c r="G389" t="s">
        <v>14</v>
      </c>
      <c r="H389" t="s">
        <v>13</v>
      </c>
      <c r="I389" t="s">
        <v>6499</v>
      </c>
      <c r="J389">
        <v>60029470</v>
      </c>
      <c r="K389" t="s">
        <v>6319</v>
      </c>
      <c r="L389" t="s">
        <v>6318</v>
      </c>
      <c r="M389" t="s">
        <v>1224</v>
      </c>
      <c r="N389">
        <v>1</v>
      </c>
      <c r="O389" t="s">
        <v>6498</v>
      </c>
      <c r="P389">
        <v>7003779898</v>
      </c>
      <c r="Q389">
        <v>60029470</v>
      </c>
      <c r="R389" s="7">
        <v>32874</v>
      </c>
      <c r="S389" s="8">
        <f t="shared" si="48"/>
        <v>1990</v>
      </c>
      <c r="T389" s="8">
        <v>1990</v>
      </c>
      <c r="U389" s="8">
        <f t="shared" si="49"/>
        <v>32</v>
      </c>
      <c r="V389" s="7">
        <v>33178</v>
      </c>
      <c r="W389" t="s">
        <v>1152</v>
      </c>
      <c r="X389" s="2">
        <v>0.30399999999999999</v>
      </c>
      <c r="Y389" s="6">
        <f t="shared" si="54"/>
        <v>8.115106377299057E-3</v>
      </c>
      <c r="AA389">
        <v>8952477</v>
      </c>
      <c r="AB389">
        <v>12250</v>
      </c>
      <c r="AC389">
        <v>10982760</v>
      </c>
      <c r="AD389" t="s">
        <v>5</v>
      </c>
      <c r="AE389">
        <v>3</v>
      </c>
      <c r="AF389">
        <v>11</v>
      </c>
      <c r="AH389" t="s">
        <v>6497</v>
      </c>
      <c r="AI389" t="s">
        <v>6496</v>
      </c>
      <c r="AJ389" t="s">
        <v>6495</v>
      </c>
      <c r="AK389" t="s">
        <v>6494</v>
      </c>
      <c r="AL389">
        <v>19</v>
      </c>
      <c r="AM389" s="5">
        <f t="shared" si="50"/>
        <v>0.59375</v>
      </c>
      <c r="AN389" s="4">
        <f t="shared" si="55"/>
        <v>8.9928057553956839E-4</v>
      </c>
      <c r="AO389" s="3"/>
      <c r="AP389">
        <v>0</v>
      </c>
      <c r="AR389" t="s">
        <v>0</v>
      </c>
      <c r="AT389" s="2" t="s">
        <v>126</v>
      </c>
      <c r="AU389" s="1">
        <f t="shared" si="51"/>
        <v>0.59503586367712102</v>
      </c>
      <c r="AV389" s="1">
        <f t="shared" si="52"/>
        <v>0.45071934764193122</v>
      </c>
      <c r="AW389" s="1">
        <f t="shared" si="53"/>
        <v>0.30640283160674153</v>
      </c>
    </row>
    <row r="390" spans="1:49" x14ac:dyDescent="0.2">
      <c r="A390">
        <v>388</v>
      </c>
      <c r="B390" t="s">
        <v>6493</v>
      </c>
      <c r="C390" t="s">
        <v>6492</v>
      </c>
      <c r="F390" t="s">
        <v>6491</v>
      </c>
      <c r="G390" t="s">
        <v>14</v>
      </c>
      <c r="H390" t="s">
        <v>13</v>
      </c>
      <c r="I390" t="s">
        <v>6490</v>
      </c>
      <c r="J390">
        <v>60005811</v>
      </c>
      <c r="K390" t="s">
        <v>6489</v>
      </c>
      <c r="L390" t="s">
        <v>594</v>
      </c>
      <c r="M390" t="s">
        <v>135</v>
      </c>
      <c r="N390">
        <v>3</v>
      </c>
      <c r="O390" t="s">
        <v>6488</v>
      </c>
      <c r="P390" t="s">
        <v>6487</v>
      </c>
      <c r="Q390" t="s">
        <v>6486</v>
      </c>
      <c r="R390" s="7">
        <v>32874</v>
      </c>
      <c r="S390" s="8">
        <f t="shared" si="48"/>
        <v>1990</v>
      </c>
      <c r="T390" s="8">
        <v>1990</v>
      </c>
      <c r="U390" s="8">
        <f t="shared" si="49"/>
        <v>32</v>
      </c>
      <c r="V390" s="7">
        <v>33178</v>
      </c>
      <c r="W390" t="s">
        <v>1524</v>
      </c>
      <c r="X390" s="2">
        <v>0.39600000000000002</v>
      </c>
      <c r="Y390" s="6">
        <f t="shared" si="54"/>
        <v>1.0570993833586931E-2</v>
      </c>
      <c r="AA390">
        <v>8858985</v>
      </c>
      <c r="AB390">
        <v>25993</v>
      </c>
      <c r="AD390" t="s">
        <v>5</v>
      </c>
      <c r="AE390">
        <v>5</v>
      </c>
      <c r="AF390">
        <v>11</v>
      </c>
      <c r="AH390" t="s">
        <v>6485</v>
      </c>
      <c r="AI390" t="s">
        <v>6484</v>
      </c>
      <c r="AK390" t="s">
        <v>6483</v>
      </c>
      <c r="AL390">
        <v>10</v>
      </c>
      <c r="AM390" s="5">
        <f t="shared" si="50"/>
        <v>0.3125</v>
      </c>
      <c r="AN390" s="4">
        <f t="shared" si="55"/>
        <v>4.7330556607345703E-4</v>
      </c>
      <c r="AO390" s="3"/>
      <c r="AP390">
        <v>0</v>
      </c>
      <c r="AR390" t="s">
        <v>0</v>
      </c>
      <c r="AT390" s="2" t="s">
        <v>126</v>
      </c>
      <c r="AU390" s="1">
        <f t="shared" si="51"/>
        <v>0.75416873533328888</v>
      </c>
      <c r="AV390" s="1">
        <f t="shared" si="52"/>
        <v>0.55221496998301944</v>
      </c>
      <c r="AW390" s="1">
        <f t="shared" si="53"/>
        <v>0.3502612046327499</v>
      </c>
    </row>
    <row r="391" spans="1:49" x14ac:dyDescent="0.2">
      <c r="A391">
        <v>389</v>
      </c>
      <c r="B391" t="s">
        <v>6482</v>
      </c>
      <c r="C391" t="s">
        <v>6481</v>
      </c>
      <c r="F391" t="s">
        <v>6480</v>
      </c>
      <c r="G391" t="s">
        <v>14</v>
      </c>
      <c r="H391" t="s">
        <v>13</v>
      </c>
      <c r="I391" t="s">
        <v>2281</v>
      </c>
      <c r="J391">
        <v>60027271</v>
      </c>
      <c r="K391" t="s">
        <v>2280</v>
      </c>
      <c r="L391" t="s">
        <v>2279</v>
      </c>
      <c r="M391" t="s">
        <v>197</v>
      </c>
      <c r="N391">
        <v>1</v>
      </c>
      <c r="O391" t="s">
        <v>2278</v>
      </c>
      <c r="P391">
        <v>35607620700</v>
      </c>
      <c r="Q391">
        <v>60027271</v>
      </c>
      <c r="R391" s="7">
        <v>32874</v>
      </c>
      <c r="S391" s="8">
        <f t="shared" si="48"/>
        <v>1990</v>
      </c>
      <c r="T391" s="8">
        <v>1990</v>
      </c>
      <c r="U391" s="8">
        <f t="shared" si="49"/>
        <v>32</v>
      </c>
      <c r="V391" s="7">
        <v>33178</v>
      </c>
      <c r="W391" t="s">
        <v>720</v>
      </c>
      <c r="X391" s="2">
        <v>1.137</v>
      </c>
      <c r="Y391" s="6">
        <f t="shared" si="54"/>
        <v>3.0351565628253384E-2</v>
      </c>
      <c r="AA391">
        <v>189251</v>
      </c>
      <c r="AB391">
        <v>17336</v>
      </c>
      <c r="AD391" t="s">
        <v>5</v>
      </c>
      <c r="AE391">
        <v>26</v>
      </c>
      <c r="AF391">
        <v>6</v>
      </c>
      <c r="AH391" t="s">
        <v>6479</v>
      </c>
      <c r="AI391" t="s">
        <v>6478</v>
      </c>
      <c r="AK391" t="s">
        <v>6477</v>
      </c>
      <c r="AL391">
        <v>1</v>
      </c>
      <c r="AM391" s="5">
        <f t="shared" si="50"/>
        <v>3.125E-2</v>
      </c>
      <c r="AN391" s="4">
        <f t="shared" si="55"/>
        <v>4.73305566073457E-5</v>
      </c>
      <c r="AO391" s="3"/>
      <c r="AP391">
        <v>0</v>
      </c>
      <c r="AR391" t="s">
        <v>0</v>
      </c>
      <c r="AT391" s="2" t="s">
        <v>126</v>
      </c>
      <c r="AU391" s="1">
        <f t="shared" si="51"/>
        <v>2.126029510675957</v>
      </c>
      <c r="AV391" s="1">
        <f t="shared" si="52"/>
        <v>1.5199448092430365</v>
      </c>
      <c r="AW391" s="1">
        <f t="shared" si="53"/>
        <v>0.91386010781011573</v>
      </c>
    </row>
    <row r="392" spans="1:49" x14ac:dyDescent="0.2">
      <c r="A392">
        <v>390</v>
      </c>
      <c r="B392" t="s">
        <v>6476</v>
      </c>
      <c r="C392" t="s">
        <v>6475</v>
      </c>
      <c r="F392" t="s">
        <v>6474</v>
      </c>
      <c r="G392" t="s">
        <v>14</v>
      </c>
      <c r="H392" t="s">
        <v>13</v>
      </c>
      <c r="I392" t="s">
        <v>6473</v>
      </c>
      <c r="J392">
        <v>60031828</v>
      </c>
      <c r="K392" t="s">
        <v>6383</v>
      </c>
      <c r="L392" t="s">
        <v>6382</v>
      </c>
      <c r="M392" t="s">
        <v>1937</v>
      </c>
      <c r="N392">
        <v>4</v>
      </c>
      <c r="O392" t="s">
        <v>6472</v>
      </c>
      <c r="P392" t="s">
        <v>6471</v>
      </c>
      <c r="Q392" t="s">
        <v>6379</v>
      </c>
      <c r="R392" s="7">
        <v>32874</v>
      </c>
      <c r="S392" s="8">
        <f t="shared" si="48"/>
        <v>1990</v>
      </c>
      <c r="T392" s="8">
        <v>1990</v>
      </c>
      <c r="U392" s="8">
        <f t="shared" si="49"/>
        <v>32</v>
      </c>
      <c r="V392" s="7">
        <v>33178</v>
      </c>
      <c r="W392" t="s">
        <v>1152</v>
      </c>
      <c r="X392" s="2">
        <v>0.30399999999999999</v>
      </c>
      <c r="Y392" s="6">
        <f t="shared" si="54"/>
        <v>8.115106377299057E-3</v>
      </c>
      <c r="AA392">
        <v>8952477</v>
      </c>
      <c r="AB392">
        <v>12250</v>
      </c>
      <c r="AC392">
        <v>10982760</v>
      </c>
      <c r="AD392" t="s">
        <v>5</v>
      </c>
      <c r="AE392">
        <v>3</v>
      </c>
      <c r="AF392">
        <v>11</v>
      </c>
      <c r="AH392" t="s">
        <v>6470</v>
      </c>
      <c r="AI392" t="s">
        <v>6469</v>
      </c>
      <c r="AJ392" t="s">
        <v>6468</v>
      </c>
      <c r="AK392" t="s">
        <v>6467</v>
      </c>
      <c r="AL392">
        <v>2</v>
      </c>
      <c r="AM392" s="5">
        <f t="shared" si="50"/>
        <v>6.25E-2</v>
      </c>
      <c r="AN392" s="4">
        <f t="shared" si="55"/>
        <v>9.46611132146914E-5</v>
      </c>
      <c r="AO392" s="3"/>
      <c r="AP392">
        <v>0</v>
      </c>
      <c r="AR392" t="s">
        <v>0</v>
      </c>
      <c r="AT392" s="2" t="s">
        <v>126</v>
      </c>
      <c r="AU392" s="1">
        <f t="shared" si="51"/>
        <v>0.5708972798073747</v>
      </c>
      <c r="AV392" s="1">
        <f t="shared" si="52"/>
        <v>0.41048837452568748</v>
      </c>
      <c r="AW392" s="1">
        <f t="shared" si="53"/>
        <v>0.25007946924400015</v>
      </c>
    </row>
    <row r="393" spans="1:49" x14ac:dyDescent="0.2">
      <c r="A393">
        <v>391</v>
      </c>
      <c r="B393" t="s">
        <v>6466</v>
      </c>
      <c r="C393" t="s">
        <v>6465</v>
      </c>
      <c r="F393" t="s">
        <v>6464</v>
      </c>
      <c r="G393" t="s">
        <v>14</v>
      </c>
      <c r="H393" t="s">
        <v>13</v>
      </c>
      <c r="I393" t="s">
        <v>6463</v>
      </c>
      <c r="J393" t="s">
        <v>6462</v>
      </c>
      <c r="K393" t="s">
        <v>6461</v>
      </c>
      <c r="L393" t="s">
        <v>6460</v>
      </c>
      <c r="M393" t="s">
        <v>84</v>
      </c>
      <c r="N393">
        <v>2</v>
      </c>
      <c r="O393" t="s">
        <v>6459</v>
      </c>
      <c r="P393" t="s">
        <v>6458</v>
      </c>
      <c r="Q393" t="s">
        <v>6457</v>
      </c>
      <c r="R393" s="7">
        <v>32874</v>
      </c>
      <c r="S393" s="8">
        <f t="shared" si="48"/>
        <v>1990</v>
      </c>
      <c r="T393" s="8">
        <v>1990</v>
      </c>
      <c r="U393" s="8">
        <f t="shared" si="49"/>
        <v>32</v>
      </c>
      <c r="V393" s="7">
        <v>33178</v>
      </c>
      <c r="W393" t="s">
        <v>2249</v>
      </c>
      <c r="X393" s="2">
        <v>1.6519999999999999</v>
      </c>
      <c r="Y393" s="6">
        <f t="shared" si="54"/>
        <v>4.409919649769093E-2</v>
      </c>
      <c r="AA393" t="s">
        <v>2248</v>
      </c>
      <c r="AB393">
        <v>17337</v>
      </c>
      <c r="AC393">
        <v>15582221</v>
      </c>
      <c r="AD393" t="s">
        <v>5</v>
      </c>
      <c r="AE393">
        <v>38</v>
      </c>
      <c r="AF393">
        <v>11</v>
      </c>
      <c r="AH393" t="s">
        <v>6456</v>
      </c>
      <c r="AI393" t="s">
        <v>6455</v>
      </c>
      <c r="AK393" t="s">
        <v>6454</v>
      </c>
      <c r="AL393">
        <v>40</v>
      </c>
      <c r="AM393" s="5">
        <f t="shared" si="50"/>
        <v>1.25</v>
      </c>
      <c r="AN393" s="4">
        <f t="shared" si="55"/>
        <v>1.8932222642938281E-3</v>
      </c>
      <c r="AO393" s="3"/>
      <c r="AP393">
        <v>0</v>
      </c>
      <c r="AR393" t="s">
        <v>0</v>
      </c>
      <c r="AT393" s="2" t="s">
        <v>126</v>
      </c>
      <c r="AU393" s="1">
        <f t="shared" si="51"/>
        <v>3.1437404227671801</v>
      </c>
      <c r="AV393" s="1">
        <f t="shared" si="52"/>
        <v>2.2996209380992378</v>
      </c>
      <c r="AW393" s="1">
        <f t="shared" si="53"/>
        <v>1.4555014534312958</v>
      </c>
    </row>
    <row r="394" spans="1:49" x14ac:dyDescent="0.2">
      <c r="A394">
        <v>392</v>
      </c>
      <c r="B394" t="s">
        <v>6453</v>
      </c>
      <c r="C394" t="s">
        <v>6452</v>
      </c>
      <c r="F394" t="s">
        <v>6451</v>
      </c>
      <c r="G394" t="s">
        <v>14</v>
      </c>
      <c r="H394" t="s">
        <v>13</v>
      </c>
      <c r="I394" t="s">
        <v>6450</v>
      </c>
      <c r="J394" t="s">
        <v>6449</v>
      </c>
      <c r="K394" t="s">
        <v>6448</v>
      </c>
      <c r="L394" t="s">
        <v>6447</v>
      </c>
      <c r="M394" t="s">
        <v>4429</v>
      </c>
      <c r="N394">
        <v>4</v>
      </c>
      <c r="O394" t="s">
        <v>6446</v>
      </c>
      <c r="P394" t="s">
        <v>6445</v>
      </c>
      <c r="Q394" t="s">
        <v>6444</v>
      </c>
      <c r="R394" s="7">
        <v>32874</v>
      </c>
      <c r="S394" s="8">
        <f t="shared" si="48"/>
        <v>1990</v>
      </c>
      <c r="T394" s="8">
        <v>1990</v>
      </c>
      <c r="U394" s="8">
        <f t="shared" si="49"/>
        <v>32</v>
      </c>
      <c r="V394" s="7">
        <v>33178</v>
      </c>
      <c r="W394" t="s">
        <v>2249</v>
      </c>
      <c r="X394" s="2">
        <v>1.6519999999999999</v>
      </c>
      <c r="Y394" s="6">
        <f t="shared" si="54"/>
        <v>4.409919649769093E-2</v>
      </c>
      <c r="AA394" t="s">
        <v>2248</v>
      </c>
      <c r="AB394">
        <v>17337</v>
      </c>
      <c r="AC394">
        <v>15582221</v>
      </c>
      <c r="AD394" t="s">
        <v>5</v>
      </c>
      <c r="AE394">
        <v>38</v>
      </c>
      <c r="AF394">
        <v>11</v>
      </c>
      <c r="AH394" t="s">
        <v>6443</v>
      </c>
      <c r="AI394" t="s">
        <v>6442</v>
      </c>
      <c r="AK394" t="s">
        <v>6441</v>
      </c>
      <c r="AL394">
        <v>72</v>
      </c>
      <c r="AM394" s="5">
        <f t="shared" si="50"/>
        <v>2.25</v>
      </c>
      <c r="AN394" s="4">
        <f t="shared" si="55"/>
        <v>3.4078000757288905E-3</v>
      </c>
      <c r="AO394" s="3"/>
      <c r="AP394">
        <v>0</v>
      </c>
      <c r="AR394" t="s">
        <v>0</v>
      </c>
      <c r="AT394" s="2" t="s">
        <v>126</v>
      </c>
      <c r="AU394" s="1">
        <f t="shared" si="51"/>
        <v>3.1891777571102313</v>
      </c>
      <c r="AV394" s="1">
        <f t="shared" si="52"/>
        <v>2.3753498286709909</v>
      </c>
      <c r="AW394" s="1">
        <f t="shared" si="53"/>
        <v>1.5615219002317502</v>
      </c>
    </row>
    <row r="395" spans="1:49" x14ac:dyDescent="0.2">
      <c r="A395">
        <v>393</v>
      </c>
      <c r="B395" t="s">
        <v>6440</v>
      </c>
      <c r="C395" t="s">
        <v>6439</v>
      </c>
      <c r="F395" t="s">
        <v>6438</v>
      </c>
      <c r="G395" t="s">
        <v>14</v>
      </c>
      <c r="H395" t="s">
        <v>13</v>
      </c>
      <c r="I395" t="s">
        <v>1287</v>
      </c>
      <c r="J395">
        <v>60025778</v>
      </c>
      <c r="K395" t="s">
        <v>436</v>
      </c>
      <c r="L395" t="s">
        <v>435</v>
      </c>
      <c r="M395" t="s">
        <v>197</v>
      </c>
      <c r="N395">
        <v>2</v>
      </c>
      <c r="O395" t="s">
        <v>6437</v>
      </c>
      <c r="P395" t="s">
        <v>6436</v>
      </c>
      <c r="Q395" t="s">
        <v>432</v>
      </c>
      <c r="R395" s="7">
        <v>32874</v>
      </c>
      <c r="S395" s="8">
        <f t="shared" si="48"/>
        <v>1990</v>
      </c>
      <c r="T395" s="8">
        <v>1990</v>
      </c>
      <c r="U395" s="8">
        <f t="shared" si="49"/>
        <v>32</v>
      </c>
      <c r="V395" s="7">
        <v>33178</v>
      </c>
      <c r="W395" t="s">
        <v>1283</v>
      </c>
      <c r="X395" s="2">
        <v>2.141</v>
      </c>
      <c r="Y395" s="6">
        <f t="shared" si="54"/>
        <v>5.7152772216438434E-2</v>
      </c>
      <c r="AA395">
        <v>1962892</v>
      </c>
      <c r="AB395">
        <v>17360</v>
      </c>
      <c r="AC395">
        <v>15580644</v>
      </c>
      <c r="AD395" t="s">
        <v>5</v>
      </c>
      <c r="AE395">
        <v>28</v>
      </c>
      <c r="AF395">
        <v>6</v>
      </c>
      <c r="AH395" t="s">
        <v>6435</v>
      </c>
      <c r="AI395" t="s">
        <v>6434</v>
      </c>
      <c r="AK395" t="s">
        <v>6433</v>
      </c>
      <c r="AL395">
        <v>72</v>
      </c>
      <c r="AM395" s="5">
        <f t="shared" si="50"/>
        <v>2.25</v>
      </c>
      <c r="AN395" s="4">
        <f t="shared" si="55"/>
        <v>3.4078000757288905E-3</v>
      </c>
      <c r="AO395" s="3"/>
      <c r="AP395">
        <v>0</v>
      </c>
      <c r="AQ395" t="s">
        <v>6432</v>
      </c>
      <c r="AR395" t="s">
        <v>0</v>
      </c>
      <c r="AS395" t="s">
        <v>652</v>
      </c>
      <c r="AT395" s="2" t="s">
        <v>126</v>
      </c>
      <c r="AU395" s="1">
        <f t="shared" si="51"/>
        <v>4.1029280574225568</v>
      </c>
      <c r="AV395" s="1">
        <f t="shared" si="52"/>
        <v>3.0280286146083664</v>
      </c>
      <c r="AW395" s="1">
        <f t="shared" si="53"/>
        <v>1.9531291717941754</v>
      </c>
    </row>
    <row r="396" spans="1:49" x14ac:dyDescent="0.2">
      <c r="A396">
        <v>394</v>
      </c>
      <c r="B396" t="s">
        <v>6431</v>
      </c>
      <c r="C396" t="s">
        <v>6430</v>
      </c>
      <c r="F396" t="s">
        <v>6429</v>
      </c>
      <c r="G396" t="s">
        <v>14</v>
      </c>
      <c r="H396" t="s">
        <v>13</v>
      </c>
      <c r="I396" t="s">
        <v>6428</v>
      </c>
      <c r="J396">
        <v>60030821</v>
      </c>
      <c r="K396" t="s">
        <v>6427</v>
      </c>
      <c r="L396" t="s">
        <v>490</v>
      </c>
      <c r="M396" t="s">
        <v>197</v>
      </c>
      <c r="N396">
        <v>1</v>
      </c>
      <c r="O396" t="s">
        <v>6426</v>
      </c>
      <c r="P396">
        <v>7003625883</v>
      </c>
      <c r="Q396">
        <v>60030821</v>
      </c>
      <c r="R396" s="7">
        <v>32874</v>
      </c>
      <c r="S396" s="8">
        <f t="shared" si="48"/>
        <v>1990</v>
      </c>
      <c r="T396" s="8">
        <v>1990</v>
      </c>
      <c r="U396" s="8">
        <f t="shared" si="49"/>
        <v>32</v>
      </c>
      <c r="V396" s="7">
        <v>33178</v>
      </c>
      <c r="W396" t="s">
        <v>2249</v>
      </c>
      <c r="X396" s="2">
        <v>1.6519999999999999</v>
      </c>
      <c r="Y396" s="6">
        <f t="shared" si="54"/>
        <v>4.409919649769093E-2</v>
      </c>
      <c r="AA396" t="s">
        <v>2248</v>
      </c>
      <c r="AB396">
        <v>17337</v>
      </c>
      <c r="AC396">
        <v>15582221</v>
      </c>
      <c r="AD396" t="s">
        <v>5</v>
      </c>
      <c r="AE396">
        <v>38</v>
      </c>
      <c r="AF396">
        <v>11</v>
      </c>
      <c r="AH396" t="s">
        <v>6425</v>
      </c>
      <c r="AI396" t="s">
        <v>6424</v>
      </c>
      <c r="AK396" t="s">
        <v>6423</v>
      </c>
      <c r="AL396">
        <v>1</v>
      </c>
      <c r="AM396" s="5">
        <f t="shared" si="50"/>
        <v>3.125E-2</v>
      </c>
      <c r="AN396" s="4">
        <f t="shared" si="55"/>
        <v>4.73305566073457E-5</v>
      </c>
      <c r="AO396" s="3"/>
      <c r="AP396">
        <v>0</v>
      </c>
      <c r="AR396" t="s">
        <v>0</v>
      </c>
      <c r="AT396" s="2" t="s">
        <v>126</v>
      </c>
      <c r="AU396" s="1">
        <f t="shared" si="51"/>
        <v>3.0883636715365856</v>
      </c>
      <c r="AV396" s="1">
        <f t="shared" si="52"/>
        <v>2.2073263527149138</v>
      </c>
      <c r="AW396" s="1">
        <f t="shared" si="53"/>
        <v>1.326289033893242</v>
      </c>
    </row>
    <row r="397" spans="1:49" x14ac:dyDescent="0.2">
      <c r="A397">
        <v>395</v>
      </c>
      <c r="B397" t="s">
        <v>6422</v>
      </c>
      <c r="C397" t="s">
        <v>6421</v>
      </c>
      <c r="F397" t="s">
        <v>6420</v>
      </c>
      <c r="G397" t="s">
        <v>14</v>
      </c>
      <c r="H397" t="s">
        <v>13</v>
      </c>
      <c r="I397" t="s">
        <v>6419</v>
      </c>
      <c r="J397" t="s">
        <v>6418</v>
      </c>
      <c r="K397" t="s">
        <v>6417</v>
      </c>
      <c r="L397" t="s">
        <v>6416</v>
      </c>
      <c r="M397" t="s">
        <v>84</v>
      </c>
      <c r="N397">
        <v>2</v>
      </c>
      <c r="O397" t="s">
        <v>6415</v>
      </c>
      <c r="P397" t="s">
        <v>6414</v>
      </c>
      <c r="Q397" t="s">
        <v>6413</v>
      </c>
      <c r="R397" s="7">
        <v>32874</v>
      </c>
      <c r="S397" s="8">
        <f t="shared" si="48"/>
        <v>1990</v>
      </c>
      <c r="T397" s="8">
        <v>1990</v>
      </c>
      <c r="U397" s="8">
        <f t="shared" si="49"/>
        <v>32</v>
      </c>
      <c r="V397" s="7">
        <v>33178</v>
      </c>
      <c r="W397" t="s">
        <v>1883</v>
      </c>
      <c r="X397" s="2">
        <v>1.365</v>
      </c>
      <c r="Y397" s="6">
        <f t="shared" si="54"/>
        <v>3.6437895411227675E-2</v>
      </c>
      <c r="AA397">
        <v>189545</v>
      </c>
      <c r="AB397">
        <v>17393</v>
      </c>
      <c r="AC397">
        <v>19399359</v>
      </c>
      <c r="AD397" t="s">
        <v>5</v>
      </c>
      <c r="AE397">
        <v>39</v>
      </c>
      <c r="AF397">
        <v>4</v>
      </c>
      <c r="AH397" t="s">
        <v>6412</v>
      </c>
      <c r="AI397" t="s">
        <v>6411</v>
      </c>
      <c r="AK397" t="s">
        <v>6410</v>
      </c>
      <c r="AL397">
        <v>24</v>
      </c>
      <c r="AM397" s="5">
        <f t="shared" si="50"/>
        <v>0.75</v>
      </c>
      <c r="AN397" s="4">
        <f t="shared" si="55"/>
        <v>1.1359333585762969E-3</v>
      </c>
      <c r="AO397" s="3"/>
      <c r="AP397">
        <v>0</v>
      </c>
      <c r="AR397" t="s">
        <v>6409</v>
      </c>
      <c r="AT397" s="2" t="s">
        <v>126</v>
      </c>
      <c r="AU397" s="1">
        <f t="shared" si="51"/>
        <v>2.5847306795432257</v>
      </c>
      <c r="AV397" s="1">
        <f t="shared" si="52"/>
        <v>1.8786914384901987</v>
      </c>
      <c r="AW397" s="1">
        <f t="shared" si="53"/>
        <v>1.1726521974371711</v>
      </c>
    </row>
    <row r="398" spans="1:49" x14ac:dyDescent="0.2">
      <c r="A398">
        <v>396</v>
      </c>
      <c r="B398" t="s">
        <v>6408</v>
      </c>
      <c r="C398" t="s">
        <v>6407</v>
      </c>
      <c r="F398" t="s">
        <v>6406</v>
      </c>
      <c r="G398" t="s">
        <v>14</v>
      </c>
      <c r="H398" t="s">
        <v>13</v>
      </c>
      <c r="I398" t="s">
        <v>6405</v>
      </c>
      <c r="J398">
        <v>100340532</v>
      </c>
      <c r="K398" t="s">
        <v>6404</v>
      </c>
      <c r="L398" t="s">
        <v>3878</v>
      </c>
      <c r="M398" t="s">
        <v>267</v>
      </c>
      <c r="N398">
        <v>3</v>
      </c>
      <c r="O398" t="s">
        <v>6403</v>
      </c>
      <c r="P398" t="s">
        <v>6402</v>
      </c>
      <c r="Q398" t="s">
        <v>6401</v>
      </c>
      <c r="R398" s="7">
        <v>32874</v>
      </c>
      <c r="S398" s="8">
        <f t="shared" si="48"/>
        <v>1990</v>
      </c>
      <c r="T398" s="8">
        <v>1990</v>
      </c>
      <c r="U398" s="8">
        <f t="shared" si="49"/>
        <v>32</v>
      </c>
      <c r="V398" s="7">
        <v>33178</v>
      </c>
      <c r="W398" t="s">
        <v>2288</v>
      </c>
      <c r="X398" s="2">
        <v>0.111</v>
      </c>
      <c r="Y398" s="6">
        <f t="shared" si="54"/>
        <v>2.9630816048690639E-3</v>
      </c>
      <c r="AA398">
        <v>87566621</v>
      </c>
      <c r="AB398">
        <v>24890</v>
      </c>
      <c r="AC398">
        <v>15206424</v>
      </c>
      <c r="AD398" t="s">
        <v>5</v>
      </c>
      <c r="AE398">
        <v>73</v>
      </c>
      <c r="AF398">
        <v>11</v>
      </c>
      <c r="AH398" t="s">
        <v>6400</v>
      </c>
      <c r="AI398" t="s">
        <v>6399</v>
      </c>
      <c r="AK398" t="s">
        <v>6398</v>
      </c>
      <c r="AL398">
        <v>0</v>
      </c>
      <c r="AM398" s="5">
        <f t="shared" si="50"/>
        <v>0</v>
      </c>
      <c r="AN398" s="4">
        <f t="shared" si="55"/>
        <v>0</v>
      </c>
      <c r="AO398" s="3"/>
      <c r="AP398">
        <v>0</v>
      </c>
      <c r="AR398" t="s">
        <v>0</v>
      </c>
      <c r="AT398" s="2" t="s">
        <v>126</v>
      </c>
      <c r="AU398" s="1">
        <f t="shared" si="51"/>
        <v>0.20741571234083445</v>
      </c>
      <c r="AV398" s="1">
        <f t="shared" si="52"/>
        <v>0.1481540802434532</v>
      </c>
      <c r="AW398" s="1">
        <f t="shared" si="53"/>
        <v>8.8892448146071903E-2</v>
      </c>
    </row>
    <row r="399" spans="1:49" x14ac:dyDescent="0.2">
      <c r="A399">
        <v>397</v>
      </c>
      <c r="B399" t="s">
        <v>6397</v>
      </c>
      <c r="C399" t="s">
        <v>6396</v>
      </c>
      <c r="F399" t="s">
        <v>6395</v>
      </c>
      <c r="G399" t="s">
        <v>14</v>
      </c>
      <c r="H399" t="s">
        <v>13</v>
      </c>
      <c r="I399" t="s">
        <v>6394</v>
      </c>
      <c r="J399">
        <v>60021902</v>
      </c>
      <c r="K399" t="s">
        <v>11</v>
      </c>
      <c r="L399" t="s">
        <v>10</v>
      </c>
      <c r="M399" t="s">
        <v>9</v>
      </c>
      <c r="N399">
        <v>2</v>
      </c>
      <c r="O399" t="s">
        <v>6393</v>
      </c>
      <c r="P399" t="s">
        <v>6392</v>
      </c>
      <c r="Q399" t="s">
        <v>2301</v>
      </c>
      <c r="R399" s="7">
        <v>32874</v>
      </c>
      <c r="S399" s="8">
        <f t="shared" si="48"/>
        <v>1990</v>
      </c>
      <c r="T399" s="8">
        <v>1990</v>
      </c>
      <c r="U399" s="8">
        <f t="shared" si="49"/>
        <v>32</v>
      </c>
      <c r="V399" s="7">
        <v>33178</v>
      </c>
      <c r="W399" t="s">
        <v>1152</v>
      </c>
      <c r="X399" s="2">
        <v>0.30399999999999999</v>
      </c>
      <c r="Y399" s="6">
        <f t="shared" si="54"/>
        <v>8.115106377299057E-3</v>
      </c>
      <c r="AA399">
        <v>8952477</v>
      </c>
      <c r="AB399">
        <v>12250</v>
      </c>
      <c r="AC399">
        <v>10982760</v>
      </c>
      <c r="AD399" t="s">
        <v>5</v>
      </c>
      <c r="AE399">
        <v>3</v>
      </c>
      <c r="AF399">
        <v>11</v>
      </c>
      <c r="AH399" t="s">
        <v>6391</v>
      </c>
      <c r="AI399" t="s">
        <v>6390</v>
      </c>
      <c r="AJ399" t="s">
        <v>6389</v>
      </c>
      <c r="AK399" t="s">
        <v>6388</v>
      </c>
      <c r="AL399">
        <v>7</v>
      </c>
      <c r="AM399" s="5">
        <f t="shared" si="50"/>
        <v>0.21875</v>
      </c>
      <c r="AN399" s="4">
        <f t="shared" si="55"/>
        <v>3.3131389625141994E-4</v>
      </c>
      <c r="AO399" s="3"/>
      <c r="AP399">
        <v>0</v>
      </c>
      <c r="AR399" t="s">
        <v>0</v>
      </c>
      <c r="AT399" s="2" t="s">
        <v>126</v>
      </c>
      <c r="AU399" s="1">
        <f t="shared" si="51"/>
        <v>0.57799686329847655</v>
      </c>
      <c r="AV399" s="1">
        <f t="shared" si="52"/>
        <v>0.42232101367752384</v>
      </c>
      <c r="AW399" s="1">
        <f t="shared" si="53"/>
        <v>0.26664516405657107</v>
      </c>
    </row>
    <row r="400" spans="1:49" x14ac:dyDescent="0.2">
      <c r="A400">
        <v>398</v>
      </c>
      <c r="B400" t="s">
        <v>6387</v>
      </c>
      <c r="C400" t="s">
        <v>6386</v>
      </c>
      <c r="F400" t="s">
        <v>6385</v>
      </c>
      <c r="G400" t="s">
        <v>14</v>
      </c>
      <c r="H400" t="s">
        <v>13</v>
      </c>
      <c r="I400" t="s">
        <v>6384</v>
      </c>
      <c r="J400">
        <v>60031828</v>
      </c>
      <c r="K400" t="s">
        <v>6383</v>
      </c>
      <c r="L400" t="s">
        <v>6382</v>
      </c>
      <c r="M400" t="s">
        <v>1937</v>
      </c>
      <c r="N400">
        <v>4</v>
      </c>
      <c r="O400" t="s">
        <v>6381</v>
      </c>
      <c r="P400" t="s">
        <v>6380</v>
      </c>
      <c r="Q400" t="s">
        <v>6379</v>
      </c>
      <c r="R400" s="7">
        <v>32874</v>
      </c>
      <c r="S400" s="8">
        <f t="shared" si="48"/>
        <v>1990</v>
      </c>
      <c r="T400" s="8">
        <v>1990</v>
      </c>
      <c r="U400" s="8">
        <f t="shared" si="49"/>
        <v>32</v>
      </c>
      <c r="V400" s="7">
        <v>33178</v>
      </c>
      <c r="W400" t="s">
        <v>1222</v>
      </c>
      <c r="X400" s="2">
        <v>1.6379999999999999</v>
      </c>
      <c r="Y400" s="6">
        <f t="shared" si="54"/>
        <v>4.3725474493473214E-2</v>
      </c>
      <c r="AA400">
        <v>963518</v>
      </c>
      <c r="AB400">
        <v>31560</v>
      </c>
      <c r="AD400" t="s">
        <v>5</v>
      </c>
      <c r="AE400">
        <v>38</v>
      </c>
      <c r="AF400">
        <v>11</v>
      </c>
      <c r="AH400" t="s">
        <v>6378</v>
      </c>
      <c r="AI400" t="s">
        <v>6377</v>
      </c>
      <c r="AK400" t="s">
        <v>6376</v>
      </c>
      <c r="AL400">
        <v>130</v>
      </c>
      <c r="AM400" s="5">
        <f t="shared" si="50"/>
        <v>4.0625</v>
      </c>
      <c r="AN400" s="4">
        <f t="shared" si="55"/>
        <v>6.1529723589549409E-3</v>
      </c>
      <c r="AO400" s="3"/>
      <c r="AP400">
        <v>0</v>
      </c>
      <c r="AR400" t="s">
        <v>0</v>
      </c>
      <c r="AT400" s="2" t="s">
        <v>126</v>
      </c>
      <c r="AU400" s="1">
        <f t="shared" si="51"/>
        <v>3.2453723853117733</v>
      </c>
      <c r="AV400" s="1">
        <f t="shared" si="52"/>
        <v>2.4939223426214077</v>
      </c>
      <c r="AW400" s="1">
        <f t="shared" si="53"/>
        <v>1.7424722999310422</v>
      </c>
    </row>
    <row r="401" spans="1:49" x14ac:dyDescent="0.2">
      <c r="A401">
        <v>399</v>
      </c>
      <c r="B401" t="s">
        <v>6375</v>
      </c>
      <c r="C401" t="s">
        <v>6374</v>
      </c>
      <c r="F401" t="s">
        <v>6373</v>
      </c>
      <c r="G401" t="s">
        <v>14</v>
      </c>
      <c r="H401" t="s">
        <v>13</v>
      </c>
      <c r="I401" t="s">
        <v>6372</v>
      </c>
      <c r="J401">
        <v>60028442</v>
      </c>
      <c r="K401" t="s">
        <v>5454</v>
      </c>
      <c r="L401" t="s">
        <v>522</v>
      </c>
      <c r="M401" t="s">
        <v>521</v>
      </c>
      <c r="N401">
        <v>3</v>
      </c>
      <c r="O401" t="s">
        <v>6371</v>
      </c>
      <c r="P401" t="s">
        <v>6370</v>
      </c>
      <c r="Q401" t="s">
        <v>6369</v>
      </c>
      <c r="R401" s="7">
        <v>32874</v>
      </c>
      <c r="S401" s="8">
        <f t="shared" si="48"/>
        <v>1990</v>
      </c>
      <c r="T401" s="8">
        <v>1990</v>
      </c>
      <c r="U401" s="8">
        <f t="shared" si="49"/>
        <v>32</v>
      </c>
      <c r="V401" s="7">
        <v>33178</v>
      </c>
      <c r="W401" t="s">
        <v>2249</v>
      </c>
      <c r="X401" s="2">
        <v>1.6519999999999999</v>
      </c>
      <c r="Y401" s="6">
        <f t="shared" si="54"/>
        <v>4.409919649769093E-2</v>
      </c>
      <c r="AA401" t="s">
        <v>2248</v>
      </c>
      <c r="AB401">
        <v>17337</v>
      </c>
      <c r="AC401">
        <v>15582221</v>
      </c>
      <c r="AD401" t="s">
        <v>5</v>
      </c>
      <c r="AE401">
        <v>38</v>
      </c>
      <c r="AF401">
        <v>11</v>
      </c>
      <c r="AH401" t="s">
        <v>6368</v>
      </c>
      <c r="AI401" t="s">
        <v>6367</v>
      </c>
      <c r="AK401" t="s">
        <v>6366</v>
      </c>
      <c r="AL401">
        <v>5</v>
      </c>
      <c r="AM401" s="5">
        <f t="shared" si="50"/>
        <v>0.15625</v>
      </c>
      <c r="AN401" s="4">
        <f t="shared" si="55"/>
        <v>2.3665278303672851E-4</v>
      </c>
      <c r="AO401" s="3"/>
      <c r="AP401">
        <v>0</v>
      </c>
      <c r="AR401" t="s">
        <v>0</v>
      </c>
      <c r="AT401" s="2" t="s">
        <v>126</v>
      </c>
      <c r="AU401" s="1">
        <f t="shared" si="51"/>
        <v>3.0940433383294672</v>
      </c>
      <c r="AV401" s="1">
        <f t="shared" si="52"/>
        <v>2.216792464036383</v>
      </c>
      <c r="AW401" s="1">
        <f t="shared" si="53"/>
        <v>1.3395415897432987</v>
      </c>
    </row>
    <row r="402" spans="1:49" x14ac:dyDescent="0.2">
      <c r="A402">
        <v>400</v>
      </c>
      <c r="B402" t="s">
        <v>6365</v>
      </c>
      <c r="C402" t="s">
        <v>6364</v>
      </c>
      <c r="F402" t="s">
        <v>6363</v>
      </c>
      <c r="G402" t="s">
        <v>14</v>
      </c>
      <c r="H402" t="s">
        <v>13</v>
      </c>
      <c r="I402" t="s">
        <v>6362</v>
      </c>
      <c r="J402">
        <v>60005720</v>
      </c>
      <c r="K402" t="s">
        <v>6361</v>
      </c>
      <c r="L402" t="s">
        <v>6360</v>
      </c>
      <c r="M402" t="s">
        <v>357</v>
      </c>
      <c r="N402">
        <v>3</v>
      </c>
      <c r="O402" t="s">
        <v>6359</v>
      </c>
      <c r="P402" t="s">
        <v>6358</v>
      </c>
      <c r="Q402" t="s">
        <v>6357</v>
      </c>
      <c r="R402" s="7">
        <v>32874</v>
      </c>
      <c r="S402" s="8">
        <f t="shared" si="48"/>
        <v>1990</v>
      </c>
      <c r="T402" s="8">
        <v>1990</v>
      </c>
      <c r="U402" s="8">
        <f t="shared" si="49"/>
        <v>32</v>
      </c>
      <c r="V402" s="7">
        <v>33178</v>
      </c>
      <c r="W402" t="s">
        <v>1283</v>
      </c>
      <c r="X402" s="2">
        <v>2.141</v>
      </c>
      <c r="Y402" s="6">
        <f t="shared" si="54"/>
        <v>5.7152772216438434E-2</v>
      </c>
      <c r="AA402">
        <v>1962892</v>
      </c>
      <c r="AB402">
        <v>17360</v>
      </c>
      <c r="AC402">
        <v>15580644</v>
      </c>
      <c r="AD402" t="s">
        <v>5</v>
      </c>
      <c r="AE402">
        <v>28</v>
      </c>
      <c r="AF402">
        <v>6</v>
      </c>
      <c r="AH402" t="s">
        <v>6356</v>
      </c>
      <c r="AI402" t="s">
        <v>6355</v>
      </c>
      <c r="AK402" t="s">
        <v>6354</v>
      </c>
      <c r="AL402">
        <v>0</v>
      </c>
      <c r="AM402" s="5">
        <f t="shared" si="50"/>
        <v>0</v>
      </c>
      <c r="AN402" s="4">
        <f t="shared" si="55"/>
        <v>0</v>
      </c>
      <c r="AO402" s="3"/>
      <c r="AP402">
        <v>0</v>
      </c>
      <c r="AR402" t="s">
        <v>0</v>
      </c>
      <c r="AT402" s="2" t="s">
        <v>126</v>
      </c>
      <c r="AU402" s="1">
        <f t="shared" si="51"/>
        <v>4.0006940551506904</v>
      </c>
      <c r="AV402" s="1">
        <f t="shared" si="52"/>
        <v>2.8576386108219216</v>
      </c>
      <c r="AW402" s="1">
        <f t="shared" si="53"/>
        <v>1.714583166493153</v>
      </c>
    </row>
    <row r="403" spans="1:49" x14ac:dyDescent="0.2">
      <c r="A403">
        <v>401</v>
      </c>
      <c r="B403" t="s">
        <v>6353</v>
      </c>
      <c r="C403" t="s">
        <v>6352</v>
      </c>
      <c r="F403" t="s">
        <v>6351</v>
      </c>
      <c r="G403" t="s">
        <v>14</v>
      </c>
      <c r="H403" t="s">
        <v>13</v>
      </c>
      <c r="I403" t="s">
        <v>6350</v>
      </c>
      <c r="J403">
        <v>60017366</v>
      </c>
      <c r="K403" t="s">
        <v>425</v>
      </c>
      <c r="L403" t="s">
        <v>424</v>
      </c>
      <c r="M403" t="s">
        <v>197</v>
      </c>
      <c r="N403">
        <v>1</v>
      </c>
      <c r="O403" t="s">
        <v>423</v>
      </c>
      <c r="P403">
        <v>7005862569</v>
      </c>
      <c r="Q403">
        <v>60017366</v>
      </c>
      <c r="R403" s="7">
        <v>32874</v>
      </c>
      <c r="S403" s="8">
        <f t="shared" si="48"/>
        <v>1990</v>
      </c>
      <c r="T403" s="8">
        <v>1990</v>
      </c>
      <c r="U403" s="8">
        <f t="shared" si="49"/>
        <v>32</v>
      </c>
      <c r="V403" s="7">
        <v>33178</v>
      </c>
      <c r="W403" t="s">
        <v>2156</v>
      </c>
      <c r="X403" s="2">
        <v>0.65500000000000003</v>
      </c>
      <c r="Y403" s="6">
        <f t="shared" si="54"/>
        <v>1.7484850911614749E-2</v>
      </c>
      <c r="AA403">
        <v>189375</v>
      </c>
      <c r="AB403">
        <v>26051</v>
      </c>
      <c r="AC403" t="s">
        <v>2155</v>
      </c>
      <c r="AD403" t="s">
        <v>5</v>
      </c>
      <c r="AE403">
        <v>32</v>
      </c>
      <c r="AF403">
        <v>4</v>
      </c>
      <c r="AH403" t="s">
        <v>6349</v>
      </c>
      <c r="AI403" t="s">
        <v>6348</v>
      </c>
      <c r="AK403" t="s">
        <v>6347</v>
      </c>
      <c r="AL403">
        <v>5</v>
      </c>
      <c r="AM403" s="5">
        <f t="shared" si="50"/>
        <v>0.15625</v>
      </c>
      <c r="AN403" s="4">
        <f t="shared" si="55"/>
        <v>2.3665278303672851E-4</v>
      </c>
      <c r="AO403" s="3"/>
      <c r="AP403">
        <v>0</v>
      </c>
      <c r="AR403" t="s">
        <v>0</v>
      </c>
      <c r="AT403" s="2" t="s">
        <v>126</v>
      </c>
      <c r="AU403" s="1">
        <f t="shared" si="51"/>
        <v>1.231039147304134</v>
      </c>
      <c r="AV403" s="1">
        <f t="shared" si="52"/>
        <v>0.88607518473257396</v>
      </c>
      <c r="AW403" s="1">
        <f t="shared" si="53"/>
        <v>0.54111122216101348</v>
      </c>
    </row>
    <row r="404" spans="1:49" x14ac:dyDescent="0.2">
      <c r="A404">
        <v>402</v>
      </c>
      <c r="B404" t="s">
        <v>6346</v>
      </c>
      <c r="C404" t="s">
        <v>6345</v>
      </c>
      <c r="F404" t="s">
        <v>6344</v>
      </c>
      <c r="G404" t="s">
        <v>14</v>
      </c>
      <c r="H404" t="s">
        <v>13</v>
      </c>
      <c r="I404" t="s">
        <v>6343</v>
      </c>
      <c r="J404">
        <v>60028263</v>
      </c>
      <c r="K404" t="s">
        <v>6342</v>
      </c>
      <c r="L404" t="s">
        <v>6341</v>
      </c>
      <c r="M404" t="s">
        <v>267</v>
      </c>
      <c r="N404">
        <v>4</v>
      </c>
      <c r="O404" t="s">
        <v>6340</v>
      </c>
      <c r="P404" t="s">
        <v>6339</v>
      </c>
      <c r="Q404" t="s">
        <v>6338</v>
      </c>
      <c r="R404" s="7">
        <v>32874</v>
      </c>
      <c r="S404" s="8">
        <f t="shared" si="48"/>
        <v>1990</v>
      </c>
      <c r="T404" s="8">
        <v>1990</v>
      </c>
      <c r="U404" s="8">
        <f t="shared" si="49"/>
        <v>32</v>
      </c>
      <c r="V404" s="7">
        <v>33178</v>
      </c>
      <c r="W404" t="s">
        <v>2288</v>
      </c>
      <c r="X404" s="2">
        <v>0.111</v>
      </c>
      <c r="Y404" s="6">
        <f t="shared" si="54"/>
        <v>2.9630816048690639E-3</v>
      </c>
      <c r="AA404">
        <v>87566621</v>
      </c>
      <c r="AB404">
        <v>24890</v>
      </c>
      <c r="AC404">
        <v>15206424</v>
      </c>
      <c r="AD404" t="s">
        <v>5</v>
      </c>
      <c r="AE404">
        <v>73</v>
      </c>
      <c r="AF404">
        <v>11</v>
      </c>
      <c r="AH404" t="s">
        <v>6337</v>
      </c>
      <c r="AI404" t="s">
        <v>6336</v>
      </c>
      <c r="AK404" t="s">
        <v>6335</v>
      </c>
      <c r="AL404">
        <v>2</v>
      </c>
      <c r="AM404" s="5">
        <f t="shared" si="50"/>
        <v>6.25E-2</v>
      </c>
      <c r="AN404" s="4">
        <f t="shared" si="55"/>
        <v>9.46611132146914E-5</v>
      </c>
      <c r="AO404" s="3"/>
      <c r="AP404">
        <v>0</v>
      </c>
      <c r="AR404" t="s">
        <v>0</v>
      </c>
      <c r="AT404" s="2" t="s">
        <v>126</v>
      </c>
      <c r="AU404" s="1">
        <f t="shared" si="51"/>
        <v>0.2102555457372752</v>
      </c>
      <c r="AV404" s="1">
        <f t="shared" si="52"/>
        <v>0.15288713590418776</v>
      </c>
      <c r="AW404" s="1">
        <f t="shared" si="53"/>
        <v>9.5518726071100304E-2</v>
      </c>
    </row>
    <row r="405" spans="1:49" x14ac:dyDescent="0.2">
      <c r="A405">
        <v>403</v>
      </c>
      <c r="B405" t="s">
        <v>6334</v>
      </c>
      <c r="C405" t="s">
        <v>6333</v>
      </c>
      <c r="F405" t="s">
        <v>6332</v>
      </c>
      <c r="G405" t="s">
        <v>14</v>
      </c>
      <c r="H405" t="s">
        <v>13</v>
      </c>
      <c r="I405" t="s">
        <v>6331</v>
      </c>
      <c r="J405">
        <v>60001247</v>
      </c>
      <c r="K405" t="s">
        <v>6330</v>
      </c>
      <c r="M405" t="s">
        <v>197</v>
      </c>
      <c r="N405">
        <v>3</v>
      </c>
      <c r="O405" t="s">
        <v>6329</v>
      </c>
      <c r="P405" t="s">
        <v>6328</v>
      </c>
      <c r="Q405" t="s">
        <v>6327</v>
      </c>
      <c r="R405" s="7">
        <v>32874</v>
      </c>
      <c r="S405" s="8">
        <f t="shared" si="48"/>
        <v>1990</v>
      </c>
      <c r="T405" s="8">
        <v>1990</v>
      </c>
      <c r="U405" s="8">
        <f t="shared" si="49"/>
        <v>32</v>
      </c>
      <c r="V405" s="7">
        <v>33178</v>
      </c>
      <c r="W405" t="s">
        <v>2249</v>
      </c>
      <c r="X405" s="2">
        <v>1.6519999999999999</v>
      </c>
      <c r="Y405" s="6">
        <f t="shared" si="54"/>
        <v>4.409919649769093E-2</v>
      </c>
      <c r="AA405" t="s">
        <v>2248</v>
      </c>
      <c r="AB405">
        <v>17337</v>
      </c>
      <c r="AC405">
        <v>15582221</v>
      </c>
      <c r="AD405" t="s">
        <v>5</v>
      </c>
      <c r="AE405">
        <v>38</v>
      </c>
      <c r="AF405">
        <v>11</v>
      </c>
      <c r="AH405" t="s">
        <v>6326</v>
      </c>
      <c r="AI405" t="s">
        <v>6325</v>
      </c>
      <c r="AK405" t="s">
        <v>6324</v>
      </c>
      <c r="AL405">
        <v>0</v>
      </c>
      <c r="AM405" s="5">
        <f t="shared" si="50"/>
        <v>0</v>
      </c>
      <c r="AN405" s="4">
        <f t="shared" si="55"/>
        <v>0</v>
      </c>
      <c r="AO405" s="3"/>
      <c r="AP405">
        <v>0</v>
      </c>
      <c r="AR405" t="s">
        <v>0</v>
      </c>
      <c r="AT405" s="2" t="s">
        <v>126</v>
      </c>
      <c r="AU405" s="1">
        <f t="shared" si="51"/>
        <v>3.0869437548383649</v>
      </c>
      <c r="AV405" s="1">
        <f t="shared" si="52"/>
        <v>2.2049598248845466</v>
      </c>
      <c r="AW405" s="1">
        <f t="shared" si="53"/>
        <v>1.3229758949307278</v>
      </c>
    </row>
    <row r="406" spans="1:49" x14ac:dyDescent="0.2">
      <c r="A406">
        <v>404</v>
      </c>
      <c r="B406" t="s">
        <v>6323</v>
      </c>
      <c r="C406" t="s">
        <v>6322</v>
      </c>
      <c r="F406" t="s">
        <v>6321</v>
      </c>
      <c r="G406" t="s">
        <v>14</v>
      </c>
      <c r="H406" t="s">
        <v>13</v>
      </c>
      <c r="I406" t="s">
        <v>6320</v>
      </c>
      <c r="J406">
        <v>60029470</v>
      </c>
      <c r="K406" t="s">
        <v>6319</v>
      </c>
      <c r="L406" t="s">
        <v>6318</v>
      </c>
      <c r="M406" t="s">
        <v>1224</v>
      </c>
      <c r="N406">
        <v>3</v>
      </c>
      <c r="O406" t="s">
        <v>6317</v>
      </c>
      <c r="P406" t="s">
        <v>6316</v>
      </c>
      <c r="Q406" t="s">
        <v>6315</v>
      </c>
      <c r="R406" s="7">
        <v>32874</v>
      </c>
      <c r="S406" s="8">
        <f t="shared" si="48"/>
        <v>1990</v>
      </c>
      <c r="T406" s="8">
        <v>1990</v>
      </c>
      <c r="U406" s="8">
        <f t="shared" si="49"/>
        <v>32</v>
      </c>
      <c r="V406" s="7">
        <v>33178</v>
      </c>
      <c r="W406" t="s">
        <v>2249</v>
      </c>
      <c r="X406" s="2">
        <v>1.6519999999999999</v>
      </c>
      <c r="Y406" s="6">
        <f t="shared" si="54"/>
        <v>4.409919649769093E-2</v>
      </c>
      <c r="AA406" t="s">
        <v>2248</v>
      </c>
      <c r="AB406">
        <v>17337</v>
      </c>
      <c r="AC406">
        <v>15582221</v>
      </c>
      <c r="AD406" t="s">
        <v>5</v>
      </c>
      <c r="AE406">
        <v>38</v>
      </c>
      <c r="AF406">
        <v>11</v>
      </c>
      <c r="AH406" t="s">
        <v>6314</v>
      </c>
      <c r="AI406" t="s">
        <v>6313</v>
      </c>
      <c r="AK406" t="s">
        <v>6312</v>
      </c>
      <c r="AL406">
        <v>10</v>
      </c>
      <c r="AM406" s="5">
        <f t="shared" si="50"/>
        <v>0.3125</v>
      </c>
      <c r="AN406" s="4">
        <f t="shared" si="55"/>
        <v>4.7330556607345703E-4</v>
      </c>
      <c r="AO406" s="3"/>
      <c r="AP406">
        <v>0</v>
      </c>
      <c r="AR406" t="s">
        <v>0</v>
      </c>
      <c r="AT406" s="2" t="s">
        <v>126</v>
      </c>
      <c r="AU406" s="1">
        <f t="shared" si="51"/>
        <v>3.1011429218205686</v>
      </c>
      <c r="AV406" s="1">
        <f t="shared" si="52"/>
        <v>2.2286251031882194</v>
      </c>
      <c r="AW406" s="1">
        <f t="shared" si="53"/>
        <v>1.3561072845558697</v>
      </c>
    </row>
    <row r="407" spans="1:49" x14ac:dyDescent="0.2">
      <c r="A407">
        <v>405</v>
      </c>
      <c r="B407" t="s">
        <v>6311</v>
      </c>
      <c r="C407" t="s">
        <v>6310</v>
      </c>
      <c r="F407" t="s">
        <v>6309</v>
      </c>
      <c r="G407" t="s">
        <v>14</v>
      </c>
      <c r="H407" t="s">
        <v>13</v>
      </c>
      <c r="I407" t="s">
        <v>6308</v>
      </c>
      <c r="J407">
        <v>60002798</v>
      </c>
      <c r="K407" t="s">
        <v>6307</v>
      </c>
      <c r="L407" t="s">
        <v>5365</v>
      </c>
      <c r="M407" t="s">
        <v>5365</v>
      </c>
      <c r="N407">
        <v>2</v>
      </c>
      <c r="O407" t="s">
        <v>6306</v>
      </c>
      <c r="P407" t="s">
        <v>6305</v>
      </c>
      <c r="Q407" t="s">
        <v>6304</v>
      </c>
      <c r="R407" s="7">
        <v>32874</v>
      </c>
      <c r="S407" s="8">
        <f t="shared" si="48"/>
        <v>1990</v>
      </c>
      <c r="T407" s="8">
        <v>1990</v>
      </c>
      <c r="U407" s="8">
        <f t="shared" si="49"/>
        <v>32</v>
      </c>
      <c r="V407" s="7">
        <v>33178</v>
      </c>
      <c r="W407" t="s">
        <v>1152</v>
      </c>
      <c r="X407" s="2">
        <v>0.30399999999999999</v>
      </c>
      <c r="Y407" s="6">
        <f t="shared" si="54"/>
        <v>8.115106377299057E-3</v>
      </c>
      <c r="AA407">
        <v>8952477</v>
      </c>
      <c r="AB407">
        <v>12250</v>
      </c>
      <c r="AC407">
        <v>10982760</v>
      </c>
      <c r="AD407" t="s">
        <v>5</v>
      </c>
      <c r="AE407">
        <v>3</v>
      </c>
      <c r="AF407">
        <v>11</v>
      </c>
      <c r="AH407" t="s">
        <v>6303</v>
      </c>
      <c r="AI407" t="s">
        <v>6302</v>
      </c>
      <c r="AJ407" t="s">
        <v>6301</v>
      </c>
      <c r="AK407" t="s">
        <v>6300</v>
      </c>
      <c r="AL407">
        <v>4</v>
      </c>
      <c r="AM407" s="5">
        <f t="shared" si="50"/>
        <v>0.125</v>
      </c>
      <c r="AN407" s="4">
        <f t="shared" si="55"/>
        <v>1.893222264293828E-4</v>
      </c>
      <c r="AO407" s="3"/>
      <c r="AP407">
        <v>0</v>
      </c>
      <c r="AR407" t="s">
        <v>0</v>
      </c>
      <c r="AT407" s="2" t="s">
        <v>126</v>
      </c>
      <c r="AU407" s="1">
        <f t="shared" si="51"/>
        <v>0.57373711320381549</v>
      </c>
      <c r="AV407" s="1">
        <f t="shared" si="52"/>
        <v>0.41522143018642199</v>
      </c>
      <c r="AW407" s="1">
        <f t="shared" si="53"/>
        <v>0.2567057471690285</v>
      </c>
    </row>
    <row r="408" spans="1:49" x14ac:dyDescent="0.2">
      <c r="A408">
        <v>406</v>
      </c>
      <c r="B408" t="s">
        <v>6299</v>
      </c>
      <c r="C408" t="s">
        <v>6298</v>
      </c>
      <c r="F408" t="s">
        <v>6297</v>
      </c>
      <c r="G408" t="s">
        <v>14</v>
      </c>
      <c r="H408" t="s">
        <v>13</v>
      </c>
      <c r="I408" t="s">
        <v>6296</v>
      </c>
      <c r="J408">
        <v>60027271</v>
      </c>
      <c r="K408" t="s">
        <v>2280</v>
      </c>
      <c r="L408" t="s">
        <v>2279</v>
      </c>
      <c r="M408" t="s">
        <v>197</v>
      </c>
      <c r="N408">
        <v>2</v>
      </c>
      <c r="O408" t="s">
        <v>6295</v>
      </c>
      <c r="P408" t="s">
        <v>6294</v>
      </c>
      <c r="Q408" t="s">
        <v>6293</v>
      </c>
      <c r="R408" s="7">
        <v>32874</v>
      </c>
      <c r="S408" s="8">
        <f t="shared" si="48"/>
        <v>1990</v>
      </c>
      <c r="T408" s="8">
        <v>1990</v>
      </c>
      <c r="U408" s="8">
        <f t="shared" si="49"/>
        <v>32</v>
      </c>
      <c r="V408" s="7">
        <v>33178</v>
      </c>
      <c r="W408" t="s">
        <v>1524</v>
      </c>
      <c r="X408" s="2">
        <v>0.39600000000000002</v>
      </c>
      <c r="Y408" s="6">
        <f t="shared" si="54"/>
        <v>1.0570993833586931E-2</v>
      </c>
      <c r="AA408">
        <v>8858985</v>
      </c>
      <c r="AB408">
        <v>25993</v>
      </c>
      <c r="AD408" t="s">
        <v>5</v>
      </c>
      <c r="AE408">
        <v>5</v>
      </c>
      <c r="AF408">
        <v>11</v>
      </c>
      <c r="AH408" t="s">
        <v>6292</v>
      </c>
      <c r="AI408" t="s">
        <v>6291</v>
      </c>
      <c r="AK408" t="s">
        <v>6290</v>
      </c>
      <c r="AL408">
        <v>4</v>
      </c>
      <c r="AM408" s="5">
        <f t="shared" si="50"/>
        <v>0.125</v>
      </c>
      <c r="AN408" s="4">
        <f t="shared" si="55"/>
        <v>1.893222264293828E-4</v>
      </c>
      <c r="AO408" s="3"/>
      <c r="AP408">
        <v>0</v>
      </c>
      <c r="AR408" t="s">
        <v>0</v>
      </c>
      <c r="AT408" s="2" t="s">
        <v>126</v>
      </c>
      <c r="AU408" s="1">
        <f t="shared" si="51"/>
        <v>0.74564923514396664</v>
      </c>
      <c r="AV408" s="1">
        <f t="shared" si="52"/>
        <v>0.53801580300081564</v>
      </c>
      <c r="AW408" s="1">
        <f t="shared" si="53"/>
        <v>0.3303823708576647</v>
      </c>
    </row>
    <row r="409" spans="1:49" x14ac:dyDescent="0.2">
      <c r="A409">
        <v>407</v>
      </c>
      <c r="B409" t="s">
        <v>6289</v>
      </c>
      <c r="C409" t="s">
        <v>6288</v>
      </c>
      <c r="F409" t="s">
        <v>6287</v>
      </c>
      <c r="G409" t="s">
        <v>14</v>
      </c>
      <c r="H409" t="s">
        <v>13</v>
      </c>
      <c r="I409" t="s">
        <v>6286</v>
      </c>
      <c r="J409">
        <v>60110693</v>
      </c>
      <c r="K409" t="s">
        <v>4291</v>
      </c>
      <c r="L409" t="s">
        <v>4290</v>
      </c>
      <c r="M409" t="s">
        <v>1637</v>
      </c>
      <c r="N409">
        <v>3</v>
      </c>
      <c r="O409" t="s">
        <v>6285</v>
      </c>
      <c r="P409" t="s">
        <v>6284</v>
      </c>
      <c r="Q409" t="s">
        <v>4287</v>
      </c>
      <c r="R409" s="7">
        <v>32874</v>
      </c>
      <c r="S409" s="8">
        <f t="shared" si="48"/>
        <v>1990</v>
      </c>
      <c r="T409" s="8">
        <v>1990</v>
      </c>
      <c r="U409" s="8">
        <f t="shared" si="49"/>
        <v>32</v>
      </c>
      <c r="V409" s="7">
        <v>33178</v>
      </c>
      <c r="W409" t="s">
        <v>2249</v>
      </c>
      <c r="X409" s="2">
        <v>1.6519999999999999</v>
      </c>
      <c r="Y409" s="6">
        <f t="shared" si="54"/>
        <v>4.409919649769093E-2</v>
      </c>
      <c r="AA409" t="s">
        <v>2248</v>
      </c>
      <c r="AB409">
        <v>17337</v>
      </c>
      <c r="AC409">
        <v>15582221</v>
      </c>
      <c r="AD409" t="s">
        <v>5</v>
      </c>
      <c r="AE409">
        <v>38</v>
      </c>
      <c r="AF409">
        <v>11</v>
      </c>
      <c r="AH409" t="s">
        <v>6283</v>
      </c>
      <c r="AI409" t="s">
        <v>6282</v>
      </c>
      <c r="AK409" t="s">
        <v>6281</v>
      </c>
      <c r="AL409">
        <v>110</v>
      </c>
      <c r="AM409" s="5">
        <f t="shared" si="50"/>
        <v>3.4375</v>
      </c>
      <c r="AN409" s="4">
        <f t="shared" si="55"/>
        <v>5.2063612268080268E-3</v>
      </c>
      <c r="AO409" s="3"/>
      <c r="AP409">
        <v>0</v>
      </c>
      <c r="AR409" t="s">
        <v>0</v>
      </c>
      <c r="AT409" s="2" t="s">
        <v>126</v>
      </c>
      <c r="AU409" s="1">
        <f t="shared" si="51"/>
        <v>3.243134591642606</v>
      </c>
      <c r="AV409" s="1">
        <f t="shared" si="52"/>
        <v>2.465277886224948</v>
      </c>
      <c r="AW409" s="1">
        <f t="shared" si="53"/>
        <v>1.6874211808072896</v>
      </c>
    </row>
    <row r="410" spans="1:49" x14ac:dyDescent="0.2">
      <c r="A410">
        <v>408</v>
      </c>
      <c r="B410" t="s">
        <v>6280</v>
      </c>
      <c r="C410" t="s">
        <v>6279</v>
      </c>
      <c r="F410" t="s">
        <v>6278</v>
      </c>
      <c r="G410" t="s">
        <v>14</v>
      </c>
      <c r="H410" t="s">
        <v>13</v>
      </c>
      <c r="I410" t="s">
        <v>3899</v>
      </c>
      <c r="J410">
        <v>60009697</v>
      </c>
      <c r="K410" t="s">
        <v>1939</v>
      </c>
      <c r="L410" t="s">
        <v>1938</v>
      </c>
      <c r="M410" t="s">
        <v>1937</v>
      </c>
      <c r="N410">
        <v>2</v>
      </c>
      <c r="O410" t="s">
        <v>6277</v>
      </c>
      <c r="P410" t="s">
        <v>6276</v>
      </c>
      <c r="Q410" t="s">
        <v>1934</v>
      </c>
      <c r="R410" s="7">
        <v>32874</v>
      </c>
      <c r="S410" s="8">
        <f t="shared" si="48"/>
        <v>1990</v>
      </c>
      <c r="T410" s="8">
        <v>1990</v>
      </c>
      <c r="U410" s="8">
        <f t="shared" si="49"/>
        <v>32</v>
      </c>
      <c r="V410" s="7">
        <v>33178</v>
      </c>
      <c r="W410" t="s">
        <v>2249</v>
      </c>
      <c r="X410" s="2">
        <v>1.6519999999999999</v>
      </c>
      <c r="Y410" s="6">
        <f t="shared" si="54"/>
        <v>4.409919649769093E-2</v>
      </c>
      <c r="AA410" t="s">
        <v>2248</v>
      </c>
      <c r="AB410">
        <v>17337</v>
      </c>
      <c r="AC410">
        <v>15582221</v>
      </c>
      <c r="AD410" t="s">
        <v>5</v>
      </c>
      <c r="AE410">
        <v>38</v>
      </c>
      <c r="AF410">
        <v>11</v>
      </c>
      <c r="AH410" t="s">
        <v>6275</v>
      </c>
      <c r="AI410" t="s">
        <v>6274</v>
      </c>
      <c r="AK410" t="s">
        <v>6273</v>
      </c>
      <c r="AL410">
        <v>12</v>
      </c>
      <c r="AM410" s="5">
        <f t="shared" si="50"/>
        <v>0.375</v>
      </c>
      <c r="AN410" s="4">
        <f t="shared" si="55"/>
        <v>5.6796667928814845E-4</v>
      </c>
      <c r="AO410" s="3"/>
      <c r="AP410">
        <v>0</v>
      </c>
      <c r="AR410" t="s">
        <v>0</v>
      </c>
      <c r="AT410" s="2" t="s">
        <v>126</v>
      </c>
      <c r="AU410" s="1">
        <f t="shared" si="51"/>
        <v>3.1039827552170092</v>
      </c>
      <c r="AV410" s="1">
        <f t="shared" si="52"/>
        <v>2.2333581588489539</v>
      </c>
      <c r="AW410" s="1">
        <f t="shared" si="53"/>
        <v>1.3627335624808981</v>
      </c>
    </row>
    <row r="411" spans="1:49" x14ac:dyDescent="0.2">
      <c r="A411">
        <v>409</v>
      </c>
      <c r="B411" t="s">
        <v>6272</v>
      </c>
      <c r="C411" t="s">
        <v>6271</v>
      </c>
      <c r="F411" t="s">
        <v>6270</v>
      </c>
      <c r="G411" t="s">
        <v>14</v>
      </c>
      <c r="H411" t="s">
        <v>13</v>
      </c>
      <c r="I411" t="s">
        <v>6269</v>
      </c>
      <c r="J411" t="s">
        <v>6264</v>
      </c>
      <c r="K411" t="s">
        <v>6268</v>
      </c>
      <c r="L411" t="s">
        <v>6267</v>
      </c>
      <c r="M411" t="s">
        <v>1820</v>
      </c>
      <c r="N411">
        <v>2</v>
      </c>
      <c r="O411" t="s">
        <v>6266</v>
      </c>
      <c r="P411" t="s">
        <v>6265</v>
      </c>
      <c r="Q411" t="s">
        <v>6264</v>
      </c>
      <c r="R411" s="7">
        <v>32874</v>
      </c>
      <c r="S411" s="8">
        <f t="shared" si="48"/>
        <v>1990</v>
      </c>
      <c r="T411" s="8">
        <v>1990</v>
      </c>
      <c r="U411" s="8">
        <f t="shared" si="49"/>
        <v>32</v>
      </c>
      <c r="V411" s="7">
        <v>33178</v>
      </c>
      <c r="W411" t="s">
        <v>2249</v>
      </c>
      <c r="X411" s="2">
        <v>1.6519999999999999</v>
      </c>
      <c r="Y411" s="6">
        <f t="shared" si="54"/>
        <v>4.409919649769093E-2</v>
      </c>
      <c r="AA411" t="s">
        <v>2248</v>
      </c>
      <c r="AB411">
        <v>17337</v>
      </c>
      <c r="AC411">
        <v>15582221</v>
      </c>
      <c r="AD411" t="s">
        <v>5</v>
      </c>
      <c r="AE411">
        <v>38</v>
      </c>
      <c r="AF411">
        <v>11</v>
      </c>
      <c r="AH411" t="s">
        <v>6263</v>
      </c>
      <c r="AI411" t="s">
        <v>6262</v>
      </c>
      <c r="AK411" t="s">
        <v>6261</v>
      </c>
      <c r="AL411">
        <v>1</v>
      </c>
      <c r="AM411" s="5">
        <f t="shared" si="50"/>
        <v>3.125E-2</v>
      </c>
      <c r="AN411" s="4">
        <f t="shared" si="55"/>
        <v>4.73305566073457E-5</v>
      </c>
      <c r="AO411" s="3"/>
      <c r="AP411">
        <v>0</v>
      </c>
      <c r="AR411" t="s">
        <v>0</v>
      </c>
      <c r="AT411" s="2" t="s">
        <v>126</v>
      </c>
      <c r="AU411" s="1">
        <f t="shared" si="51"/>
        <v>3.0883636715365856</v>
      </c>
      <c r="AV411" s="1">
        <f t="shared" si="52"/>
        <v>2.2073263527149138</v>
      </c>
      <c r="AW411" s="1">
        <f t="shared" si="53"/>
        <v>1.326289033893242</v>
      </c>
    </row>
    <row r="412" spans="1:49" x14ac:dyDescent="0.2">
      <c r="A412">
        <v>410</v>
      </c>
      <c r="B412" t="s">
        <v>6260</v>
      </c>
      <c r="C412" t="s">
        <v>6259</v>
      </c>
      <c r="F412" t="s">
        <v>6258</v>
      </c>
      <c r="G412" t="s">
        <v>14</v>
      </c>
      <c r="H412" t="s">
        <v>13</v>
      </c>
      <c r="I412" t="s">
        <v>6257</v>
      </c>
      <c r="N412">
        <v>3</v>
      </c>
      <c r="O412" t="s">
        <v>6256</v>
      </c>
      <c r="P412" t="s">
        <v>6255</v>
      </c>
      <c r="Q412" t="s">
        <v>391</v>
      </c>
      <c r="R412" s="7">
        <v>32874</v>
      </c>
      <c r="S412" s="8">
        <f t="shared" si="48"/>
        <v>1990</v>
      </c>
      <c r="T412" s="8">
        <v>1990</v>
      </c>
      <c r="U412" s="8">
        <f t="shared" si="49"/>
        <v>32</v>
      </c>
      <c r="V412" s="7">
        <v>33178</v>
      </c>
      <c r="W412" t="s">
        <v>2249</v>
      </c>
      <c r="X412" s="2">
        <v>1.6519999999999999</v>
      </c>
      <c r="Y412" s="6">
        <f t="shared" si="54"/>
        <v>4.409919649769093E-2</v>
      </c>
      <c r="AA412" t="s">
        <v>2248</v>
      </c>
      <c r="AB412">
        <v>17337</v>
      </c>
      <c r="AC412">
        <v>15582221</v>
      </c>
      <c r="AD412" t="s">
        <v>5</v>
      </c>
      <c r="AE412">
        <v>38</v>
      </c>
      <c r="AF412">
        <v>11</v>
      </c>
      <c r="AH412" t="s">
        <v>6254</v>
      </c>
      <c r="AI412" t="s">
        <v>6253</v>
      </c>
      <c r="AK412" t="s">
        <v>6252</v>
      </c>
      <c r="AL412">
        <v>54</v>
      </c>
      <c r="AM412" s="5">
        <f t="shared" si="50"/>
        <v>1.6875</v>
      </c>
      <c r="AN412" s="4">
        <f t="shared" si="55"/>
        <v>2.5558500567966678E-3</v>
      </c>
      <c r="AO412" s="3"/>
      <c r="AP412">
        <v>0</v>
      </c>
      <c r="AR412" t="s">
        <v>0</v>
      </c>
      <c r="AT412" s="2" t="s">
        <v>126</v>
      </c>
      <c r="AU412" s="1">
        <f t="shared" si="51"/>
        <v>3.1636192565422654</v>
      </c>
      <c r="AV412" s="1">
        <f t="shared" si="52"/>
        <v>2.3327523277243802</v>
      </c>
      <c r="AW412" s="1">
        <f t="shared" si="53"/>
        <v>1.5018853989064944</v>
      </c>
    </row>
    <row r="413" spans="1:49" x14ac:dyDescent="0.2">
      <c r="A413">
        <v>411</v>
      </c>
      <c r="B413" t="s">
        <v>6251</v>
      </c>
      <c r="C413" t="s">
        <v>6250</v>
      </c>
      <c r="F413" t="s">
        <v>6249</v>
      </c>
      <c r="G413" t="s">
        <v>14</v>
      </c>
      <c r="H413" t="s">
        <v>13</v>
      </c>
      <c r="I413" t="s">
        <v>6248</v>
      </c>
      <c r="J413">
        <v>60026415</v>
      </c>
      <c r="K413" t="s">
        <v>308</v>
      </c>
      <c r="L413" t="s">
        <v>307</v>
      </c>
      <c r="M413" t="s">
        <v>197</v>
      </c>
      <c r="N413">
        <v>2</v>
      </c>
      <c r="O413" t="s">
        <v>3457</v>
      </c>
      <c r="P413" t="s">
        <v>3456</v>
      </c>
      <c r="Q413" t="s">
        <v>304</v>
      </c>
      <c r="R413" s="7">
        <v>32874</v>
      </c>
      <c r="S413" s="8">
        <f t="shared" si="48"/>
        <v>1990</v>
      </c>
      <c r="T413" s="8">
        <v>1990</v>
      </c>
      <c r="U413" s="8">
        <f t="shared" si="49"/>
        <v>32</v>
      </c>
      <c r="V413" s="7">
        <v>33178</v>
      </c>
      <c r="W413" t="s">
        <v>2249</v>
      </c>
      <c r="X413" s="2">
        <v>1.6519999999999999</v>
      </c>
      <c r="Y413" s="6">
        <f t="shared" si="54"/>
        <v>4.409919649769093E-2</v>
      </c>
      <c r="AA413" t="s">
        <v>2248</v>
      </c>
      <c r="AB413">
        <v>17337</v>
      </c>
      <c r="AC413">
        <v>15582221</v>
      </c>
      <c r="AD413" t="s">
        <v>5</v>
      </c>
      <c r="AE413">
        <v>38</v>
      </c>
      <c r="AF413">
        <v>11</v>
      </c>
      <c r="AH413" t="s">
        <v>6247</v>
      </c>
      <c r="AI413" t="s">
        <v>6246</v>
      </c>
      <c r="AK413" t="s">
        <v>6245</v>
      </c>
      <c r="AL413">
        <v>0</v>
      </c>
      <c r="AM413" s="5">
        <f t="shared" si="50"/>
        <v>0</v>
      </c>
      <c r="AN413" s="4">
        <f t="shared" si="55"/>
        <v>0</v>
      </c>
      <c r="AO413" s="3"/>
      <c r="AP413">
        <v>0</v>
      </c>
      <c r="AR413" t="s">
        <v>0</v>
      </c>
      <c r="AT413" s="2" t="s">
        <v>126</v>
      </c>
      <c r="AU413" s="1">
        <f t="shared" si="51"/>
        <v>3.0869437548383649</v>
      </c>
      <c r="AV413" s="1">
        <f t="shared" si="52"/>
        <v>2.2049598248845466</v>
      </c>
      <c r="AW413" s="1">
        <f t="shared" si="53"/>
        <v>1.3229758949307278</v>
      </c>
    </row>
    <row r="414" spans="1:49" x14ac:dyDescent="0.2">
      <c r="A414">
        <v>412</v>
      </c>
      <c r="B414" t="s">
        <v>6244</v>
      </c>
      <c r="C414" t="s">
        <v>6243</v>
      </c>
      <c r="F414" t="s">
        <v>6242</v>
      </c>
      <c r="G414" t="s">
        <v>14</v>
      </c>
      <c r="H414" t="s">
        <v>13</v>
      </c>
      <c r="I414" t="s">
        <v>6241</v>
      </c>
      <c r="J414" t="s">
        <v>6235</v>
      </c>
      <c r="K414" t="s">
        <v>6240</v>
      </c>
      <c r="L414" t="s">
        <v>6239</v>
      </c>
      <c r="M414" t="s">
        <v>6238</v>
      </c>
      <c r="N414">
        <v>2</v>
      </c>
      <c r="O414" t="s">
        <v>6237</v>
      </c>
      <c r="P414" t="s">
        <v>6236</v>
      </c>
      <c r="Q414" t="s">
        <v>6235</v>
      </c>
      <c r="R414" s="7">
        <v>32874</v>
      </c>
      <c r="S414" s="8">
        <f t="shared" si="48"/>
        <v>1990</v>
      </c>
      <c r="T414" s="8">
        <v>1990</v>
      </c>
      <c r="U414" s="8">
        <f t="shared" si="49"/>
        <v>32</v>
      </c>
      <c r="V414" s="7">
        <v>33178</v>
      </c>
      <c r="W414" t="s">
        <v>2249</v>
      </c>
      <c r="X414" s="2">
        <v>1.6519999999999999</v>
      </c>
      <c r="Y414" s="6">
        <f t="shared" si="54"/>
        <v>4.409919649769093E-2</v>
      </c>
      <c r="AA414" t="s">
        <v>2248</v>
      </c>
      <c r="AB414">
        <v>17337</v>
      </c>
      <c r="AC414">
        <v>15582221</v>
      </c>
      <c r="AD414" t="s">
        <v>5</v>
      </c>
      <c r="AE414">
        <v>38</v>
      </c>
      <c r="AF414">
        <v>11</v>
      </c>
      <c r="AH414" t="s">
        <v>6234</v>
      </c>
      <c r="AI414" t="s">
        <v>6233</v>
      </c>
      <c r="AK414" t="s">
        <v>6232</v>
      </c>
      <c r="AL414">
        <v>16</v>
      </c>
      <c r="AM414" s="5">
        <f t="shared" si="50"/>
        <v>0.5</v>
      </c>
      <c r="AN414" s="4">
        <f t="shared" si="55"/>
        <v>7.572889057175312E-4</v>
      </c>
      <c r="AO414" s="3"/>
      <c r="AP414">
        <v>0</v>
      </c>
      <c r="AR414" t="s">
        <v>0</v>
      </c>
      <c r="AT414" s="2" t="s">
        <v>126</v>
      </c>
      <c r="AU414" s="1">
        <f t="shared" si="51"/>
        <v>3.1096624220098912</v>
      </c>
      <c r="AV414" s="1">
        <f t="shared" si="52"/>
        <v>2.2428242701704231</v>
      </c>
      <c r="AW414" s="1">
        <f t="shared" si="53"/>
        <v>1.375986118330955</v>
      </c>
    </row>
    <row r="415" spans="1:49" x14ac:dyDescent="0.2">
      <c r="A415">
        <v>413</v>
      </c>
      <c r="B415" t="s">
        <v>6231</v>
      </c>
      <c r="C415" t="s">
        <v>6230</v>
      </c>
      <c r="F415" t="s">
        <v>6229</v>
      </c>
      <c r="G415" t="s">
        <v>14</v>
      </c>
      <c r="H415" t="s">
        <v>13</v>
      </c>
      <c r="I415" t="s">
        <v>4980</v>
      </c>
      <c r="J415" t="s">
        <v>6228</v>
      </c>
      <c r="K415" t="s">
        <v>6227</v>
      </c>
      <c r="L415" t="s">
        <v>6226</v>
      </c>
      <c r="M415" t="s">
        <v>84</v>
      </c>
      <c r="N415">
        <v>3</v>
      </c>
      <c r="O415" t="s">
        <v>6225</v>
      </c>
      <c r="P415" t="s">
        <v>6224</v>
      </c>
      <c r="Q415" t="s">
        <v>6223</v>
      </c>
      <c r="R415" s="7">
        <v>32874</v>
      </c>
      <c r="S415" s="8">
        <f t="shared" si="48"/>
        <v>1990</v>
      </c>
      <c r="T415" s="8">
        <v>1990</v>
      </c>
      <c r="U415" s="8">
        <f t="shared" si="49"/>
        <v>32</v>
      </c>
      <c r="V415" s="7">
        <v>33178</v>
      </c>
      <c r="W415" t="s">
        <v>2249</v>
      </c>
      <c r="X415" s="2">
        <v>1.6519999999999999</v>
      </c>
      <c r="Y415" s="6">
        <f t="shared" si="54"/>
        <v>4.409919649769093E-2</v>
      </c>
      <c r="AA415" t="s">
        <v>2248</v>
      </c>
      <c r="AB415">
        <v>17337</v>
      </c>
      <c r="AC415">
        <v>15582221</v>
      </c>
      <c r="AD415" t="s">
        <v>5</v>
      </c>
      <c r="AE415">
        <v>38</v>
      </c>
      <c r="AF415">
        <v>11</v>
      </c>
      <c r="AH415" t="s">
        <v>6222</v>
      </c>
      <c r="AI415" t="s">
        <v>6221</v>
      </c>
      <c r="AK415" t="s">
        <v>6220</v>
      </c>
      <c r="AL415">
        <v>15</v>
      </c>
      <c r="AM415" s="5">
        <f t="shared" si="50"/>
        <v>0.46875</v>
      </c>
      <c r="AN415" s="4">
        <f t="shared" si="55"/>
        <v>7.0995834911018554E-4</v>
      </c>
      <c r="AO415" s="3"/>
      <c r="AP415">
        <v>0</v>
      </c>
      <c r="AR415" t="s">
        <v>0</v>
      </c>
      <c r="AT415" s="2" t="s">
        <v>126</v>
      </c>
      <c r="AU415" s="1">
        <f t="shared" si="51"/>
        <v>3.1082425053116705</v>
      </c>
      <c r="AV415" s="1">
        <f t="shared" si="52"/>
        <v>2.2404577423400558</v>
      </c>
      <c r="AW415" s="1">
        <f t="shared" si="53"/>
        <v>1.3726729793684409</v>
      </c>
    </row>
    <row r="416" spans="1:49" x14ac:dyDescent="0.2">
      <c r="A416">
        <v>414</v>
      </c>
      <c r="B416" t="s">
        <v>6219</v>
      </c>
      <c r="C416" t="s">
        <v>6218</v>
      </c>
      <c r="F416" t="s">
        <v>6217</v>
      </c>
      <c r="G416" t="s">
        <v>14</v>
      </c>
      <c r="H416" t="s">
        <v>13</v>
      </c>
      <c r="I416" t="s">
        <v>6216</v>
      </c>
      <c r="J416" t="s">
        <v>6210</v>
      </c>
      <c r="K416" t="s">
        <v>6215</v>
      </c>
      <c r="L416" t="s">
        <v>6214</v>
      </c>
      <c r="M416" t="s">
        <v>6213</v>
      </c>
      <c r="N416">
        <v>2</v>
      </c>
      <c r="O416" t="s">
        <v>6212</v>
      </c>
      <c r="P416" t="s">
        <v>6211</v>
      </c>
      <c r="Q416" t="s">
        <v>6210</v>
      </c>
      <c r="R416" s="7">
        <v>32874</v>
      </c>
      <c r="S416" s="8">
        <f t="shared" si="48"/>
        <v>1990</v>
      </c>
      <c r="T416" s="8">
        <v>1990</v>
      </c>
      <c r="U416" s="8">
        <f t="shared" si="49"/>
        <v>32</v>
      </c>
      <c r="V416" s="7">
        <v>33178</v>
      </c>
      <c r="W416" t="s">
        <v>2249</v>
      </c>
      <c r="X416" s="2">
        <v>1.6519999999999999</v>
      </c>
      <c r="Y416" s="6">
        <f t="shared" si="54"/>
        <v>4.409919649769093E-2</v>
      </c>
      <c r="AA416" t="s">
        <v>2248</v>
      </c>
      <c r="AB416">
        <v>17337</v>
      </c>
      <c r="AC416">
        <v>15582221</v>
      </c>
      <c r="AD416" t="s">
        <v>5</v>
      </c>
      <c r="AE416">
        <v>38</v>
      </c>
      <c r="AF416">
        <v>11</v>
      </c>
      <c r="AH416" t="s">
        <v>6209</v>
      </c>
      <c r="AI416" t="s">
        <v>6208</v>
      </c>
      <c r="AK416" t="s">
        <v>6207</v>
      </c>
      <c r="AL416">
        <v>7</v>
      </c>
      <c r="AM416" s="5">
        <f t="shared" si="50"/>
        <v>0.21875</v>
      </c>
      <c r="AN416" s="4">
        <f t="shared" si="55"/>
        <v>3.3131389625141994E-4</v>
      </c>
      <c r="AO416" s="3"/>
      <c r="AP416">
        <v>0</v>
      </c>
      <c r="AR416" t="s">
        <v>0</v>
      </c>
      <c r="AT416" s="2" t="s">
        <v>126</v>
      </c>
      <c r="AU416" s="1">
        <f t="shared" si="51"/>
        <v>3.0968831717259078</v>
      </c>
      <c r="AV416" s="1">
        <f t="shared" si="52"/>
        <v>2.2215255196971175</v>
      </c>
      <c r="AW416" s="1">
        <f t="shared" si="53"/>
        <v>1.3461678676683271</v>
      </c>
    </row>
    <row r="417" spans="1:49" x14ac:dyDescent="0.2">
      <c r="A417">
        <v>415</v>
      </c>
      <c r="B417" t="s">
        <v>6206</v>
      </c>
      <c r="C417" t="s">
        <v>6205</v>
      </c>
      <c r="F417" t="s">
        <v>6204</v>
      </c>
      <c r="G417" t="s">
        <v>14</v>
      </c>
      <c r="H417" t="s">
        <v>13</v>
      </c>
      <c r="I417" t="s">
        <v>6203</v>
      </c>
      <c r="N417">
        <v>5</v>
      </c>
      <c r="O417" t="s">
        <v>6202</v>
      </c>
      <c r="P417" t="s">
        <v>6201</v>
      </c>
      <c r="Q417" t="s">
        <v>6122</v>
      </c>
      <c r="R417" s="7">
        <v>32874</v>
      </c>
      <c r="S417" s="8">
        <f t="shared" si="48"/>
        <v>1990</v>
      </c>
      <c r="T417" s="8">
        <v>1990</v>
      </c>
      <c r="U417" s="8">
        <f t="shared" si="49"/>
        <v>32</v>
      </c>
      <c r="V417" s="7" t="s">
        <v>6078</v>
      </c>
      <c r="W417" t="s">
        <v>110</v>
      </c>
      <c r="X417" s="2">
        <v>0.371</v>
      </c>
      <c r="Y417" s="6">
        <f t="shared" si="54"/>
        <v>9.9036331117695747E-3</v>
      </c>
      <c r="AA417">
        <v>486604</v>
      </c>
      <c r="AB417">
        <v>28580</v>
      </c>
      <c r="AC417" t="s">
        <v>109</v>
      </c>
      <c r="AD417" t="s">
        <v>5</v>
      </c>
      <c r="AE417">
        <v>25</v>
      </c>
      <c r="AF417">
        <v>6</v>
      </c>
      <c r="AH417" t="s">
        <v>6200</v>
      </c>
      <c r="AI417" t="s">
        <v>6199</v>
      </c>
      <c r="AK417" t="s">
        <v>6198</v>
      </c>
      <c r="AL417">
        <v>8</v>
      </c>
      <c r="AM417" s="5">
        <f t="shared" si="50"/>
        <v>0.25</v>
      </c>
      <c r="AN417" s="4">
        <f t="shared" si="55"/>
        <v>3.786444528587656E-4</v>
      </c>
      <c r="AO417" s="3"/>
      <c r="AP417">
        <v>0</v>
      </c>
      <c r="AR417" t="s">
        <v>0</v>
      </c>
      <c r="AT417" s="2">
        <v>1.431</v>
      </c>
      <c r="AU417" s="1">
        <f t="shared" si="51"/>
        <v>0.70461365140963317</v>
      </c>
      <c r="AV417" s="1">
        <f t="shared" si="52"/>
        <v>0.51411387823141697</v>
      </c>
      <c r="AW417" s="1">
        <f t="shared" si="53"/>
        <v>0.32361410505320082</v>
      </c>
    </row>
    <row r="418" spans="1:49" x14ac:dyDescent="0.2">
      <c r="A418">
        <v>416</v>
      </c>
      <c r="B418" t="s">
        <v>6197</v>
      </c>
      <c r="C418" t="s">
        <v>6196</v>
      </c>
      <c r="F418" t="s">
        <v>6195</v>
      </c>
      <c r="G418" t="s">
        <v>14</v>
      </c>
      <c r="H418" t="s">
        <v>13</v>
      </c>
      <c r="I418" t="s">
        <v>6194</v>
      </c>
      <c r="N418">
        <v>4</v>
      </c>
      <c r="O418" t="s">
        <v>6193</v>
      </c>
      <c r="P418" t="s">
        <v>6192</v>
      </c>
      <c r="Q418" t="s">
        <v>329</v>
      </c>
      <c r="R418" s="7">
        <v>32874</v>
      </c>
      <c r="S418" s="8">
        <f t="shared" si="48"/>
        <v>1990</v>
      </c>
      <c r="T418" s="8">
        <v>1990</v>
      </c>
      <c r="U418" s="8">
        <f t="shared" si="49"/>
        <v>32</v>
      </c>
      <c r="V418" s="7" t="s">
        <v>6078</v>
      </c>
      <c r="W418" t="s">
        <v>110</v>
      </c>
      <c r="X418" s="2">
        <v>0.371</v>
      </c>
      <c r="Y418" s="6">
        <f t="shared" si="54"/>
        <v>9.9036331117695747E-3</v>
      </c>
      <c r="AA418">
        <v>486604</v>
      </c>
      <c r="AB418">
        <v>28580</v>
      </c>
      <c r="AC418" t="s">
        <v>109</v>
      </c>
      <c r="AD418" t="s">
        <v>5</v>
      </c>
      <c r="AE418">
        <v>25</v>
      </c>
      <c r="AF418">
        <v>6</v>
      </c>
      <c r="AH418" t="s">
        <v>6191</v>
      </c>
      <c r="AI418" t="s">
        <v>6190</v>
      </c>
      <c r="AK418" t="s">
        <v>6189</v>
      </c>
      <c r="AL418">
        <v>70</v>
      </c>
      <c r="AM418" s="5">
        <f t="shared" si="50"/>
        <v>2.1875</v>
      </c>
      <c r="AN418" s="4">
        <f t="shared" si="55"/>
        <v>3.3131389625141992E-3</v>
      </c>
      <c r="AO418" s="3"/>
      <c r="AP418">
        <v>0</v>
      </c>
      <c r="AR418" t="s">
        <v>0</v>
      </c>
      <c r="AT418" s="2">
        <v>1.431</v>
      </c>
      <c r="AU418" s="1">
        <f t="shared" si="51"/>
        <v>0.79264848669929611</v>
      </c>
      <c r="AV418" s="1">
        <f t="shared" si="52"/>
        <v>0.66083860371418868</v>
      </c>
      <c r="AW418" s="1">
        <f t="shared" si="53"/>
        <v>0.52902872072908125</v>
      </c>
    </row>
    <row r="419" spans="1:49" x14ac:dyDescent="0.2">
      <c r="A419">
        <v>417</v>
      </c>
      <c r="B419" t="s">
        <v>6188</v>
      </c>
      <c r="C419" t="s">
        <v>6187</v>
      </c>
      <c r="F419" t="s">
        <v>6186</v>
      </c>
      <c r="G419" t="s">
        <v>14</v>
      </c>
      <c r="H419" t="s">
        <v>13</v>
      </c>
      <c r="I419" t="s">
        <v>6185</v>
      </c>
      <c r="J419" t="s">
        <v>6184</v>
      </c>
      <c r="K419" t="s">
        <v>6183</v>
      </c>
      <c r="L419" t="s">
        <v>6182</v>
      </c>
      <c r="M419" t="s">
        <v>1820</v>
      </c>
      <c r="N419">
        <v>2</v>
      </c>
      <c r="O419" t="s">
        <v>6181</v>
      </c>
      <c r="P419" t="s">
        <v>6180</v>
      </c>
      <c r="Q419" t="s">
        <v>6179</v>
      </c>
      <c r="R419" s="7">
        <v>32874</v>
      </c>
      <c r="S419" s="8">
        <f t="shared" si="48"/>
        <v>1990</v>
      </c>
      <c r="T419" s="8">
        <v>1990</v>
      </c>
      <c r="U419" s="8">
        <f t="shared" si="49"/>
        <v>32</v>
      </c>
      <c r="V419" s="7">
        <v>33178</v>
      </c>
      <c r="W419" t="s">
        <v>5186</v>
      </c>
      <c r="X419" s="2">
        <v>0.76700000000000002</v>
      </c>
      <c r="Y419" s="6">
        <f t="shared" si="54"/>
        <v>2.0474626945356504E-2</v>
      </c>
      <c r="AA419">
        <v>983063</v>
      </c>
      <c r="AB419">
        <v>26048</v>
      </c>
      <c r="AD419" t="s">
        <v>5</v>
      </c>
      <c r="AE419">
        <v>36</v>
      </c>
      <c r="AF419">
        <v>4</v>
      </c>
      <c r="AH419" t="s">
        <v>6178</v>
      </c>
      <c r="AI419" t="s">
        <v>6177</v>
      </c>
      <c r="AK419" t="s">
        <v>6176</v>
      </c>
      <c r="AL419">
        <v>9</v>
      </c>
      <c r="AM419" s="5">
        <f t="shared" si="50"/>
        <v>0.28125</v>
      </c>
      <c r="AN419" s="4">
        <f t="shared" si="55"/>
        <v>4.2597500946611131E-4</v>
      </c>
      <c r="AO419" s="3"/>
      <c r="AP419">
        <v>0</v>
      </c>
      <c r="AR419" t="s">
        <v>0</v>
      </c>
      <c r="AT419" s="2" t="s">
        <v>126</v>
      </c>
      <c r="AU419" s="1">
        <f t="shared" si="51"/>
        <v>1.4460031364589387</v>
      </c>
      <c r="AV419" s="1">
        <f t="shared" si="52"/>
        <v>1.0450300977411306</v>
      </c>
      <c r="AW419" s="1">
        <f t="shared" si="53"/>
        <v>0.64405705902332278</v>
      </c>
    </row>
    <row r="420" spans="1:49" x14ac:dyDescent="0.2">
      <c r="A420">
        <v>418</v>
      </c>
      <c r="B420" t="s">
        <v>6175</v>
      </c>
      <c r="C420" t="s">
        <v>6174</v>
      </c>
      <c r="F420" t="s">
        <v>6173</v>
      </c>
      <c r="G420" t="s">
        <v>14</v>
      </c>
      <c r="H420" t="s">
        <v>13</v>
      </c>
      <c r="I420" t="s">
        <v>6172</v>
      </c>
      <c r="N420">
        <v>1</v>
      </c>
      <c r="O420" t="s">
        <v>6171</v>
      </c>
      <c r="P420">
        <v>7202957110</v>
      </c>
      <c r="R420" s="7">
        <v>32874</v>
      </c>
      <c r="S420" s="8">
        <f t="shared" si="48"/>
        <v>1990</v>
      </c>
      <c r="T420" s="8">
        <v>1990</v>
      </c>
      <c r="U420" s="8">
        <f t="shared" si="49"/>
        <v>32</v>
      </c>
      <c r="V420" s="7" t="s">
        <v>6078</v>
      </c>
      <c r="W420" t="s">
        <v>110</v>
      </c>
      <c r="X420" s="2">
        <v>0.371</v>
      </c>
      <c r="Y420" s="6">
        <f t="shared" si="54"/>
        <v>9.9036331117695747E-3</v>
      </c>
      <c r="AA420">
        <v>486604</v>
      </c>
      <c r="AB420">
        <v>28580</v>
      </c>
      <c r="AC420" t="s">
        <v>109</v>
      </c>
      <c r="AD420" t="s">
        <v>5</v>
      </c>
      <c r="AE420">
        <v>25</v>
      </c>
      <c r="AF420">
        <v>6</v>
      </c>
      <c r="AH420" t="s">
        <v>6170</v>
      </c>
      <c r="AI420" t="s">
        <v>6169</v>
      </c>
      <c r="AK420" t="s">
        <v>6168</v>
      </c>
      <c r="AL420">
        <v>12</v>
      </c>
      <c r="AM420" s="5">
        <f t="shared" si="50"/>
        <v>0.375</v>
      </c>
      <c r="AN420" s="4">
        <f t="shared" si="55"/>
        <v>5.6796667928814845E-4</v>
      </c>
      <c r="AO420" s="3"/>
      <c r="AP420">
        <v>0</v>
      </c>
      <c r="AR420" t="s">
        <v>0</v>
      </c>
      <c r="AT420" s="2">
        <v>1.431</v>
      </c>
      <c r="AU420" s="1">
        <f t="shared" si="51"/>
        <v>0.71029331820251462</v>
      </c>
      <c r="AV420" s="1">
        <f t="shared" si="52"/>
        <v>0.52357998955288609</v>
      </c>
      <c r="AW420" s="1">
        <f t="shared" si="53"/>
        <v>0.33686666090325762</v>
      </c>
    </row>
    <row r="421" spans="1:49" x14ac:dyDescent="0.2">
      <c r="A421">
        <v>419</v>
      </c>
      <c r="B421" t="s">
        <v>6167</v>
      </c>
      <c r="C421" t="s">
        <v>6166</v>
      </c>
      <c r="F421" t="s">
        <v>6165</v>
      </c>
      <c r="G421" t="s">
        <v>14</v>
      </c>
      <c r="H421" t="s">
        <v>13</v>
      </c>
      <c r="I421" t="s">
        <v>6164</v>
      </c>
      <c r="N421">
        <v>4</v>
      </c>
      <c r="O421" t="s">
        <v>6163</v>
      </c>
      <c r="P421" t="s">
        <v>6162</v>
      </c>
      <c r="Q421" t="s">
        <v>329</v>
      </c>
      <c r="R421" s="7">
        <v>32874</v>
      </c>
      <c r="S421" s="8">
        <f t="shared" si="48"/>
        <v>1990</v>
      </c>
      <c r="T421" s="8">
        <v>1990</v>
      </c>
      <c r="U421" s="8">
        <f t="shared" si="49"/>
        <v>32</v>
      </c>
      <c r="V421" s="7" t="s">
        <v>6078</v>
      </c>
      <c r="W421" t="s">
        <v>110</v>
      </c>
      <c r="X421" s="2">
        <v>0.371</v>
      </c>
      <c r="Y421" s="6">
        <f t="shared" si="54"/>
        <v>9.9036331117695747E-3</v>
      </c>
      <c r="AA421">
        <v>486604</v>
      </c>
      <c r="AB421">
        <v>28580</v>
      </c>
      <c r="AC421" t="s">
        <v>109</v>
      </c>
      <c r="AD421" t="s">
        <v>5</v>
      </c>
      <c r="AE421">
        <v>25</v>
      </c>
      <c r="AF421">
        <v>6</v>
      </c>
      <c r="AH421" t="s">
        <v>6161</v>
      </c>
      <c r="AI421" t="s">
        <v>6160</v>
      </c>
      <c r="AK421" t="s">
        <v>6159</v>
      </c>
      <c r="AL421">
        <v>3</v>
      </c>
      <c r="AM421" s="5">
        <f t="shared" si="50"/>
        <v>9.375E-2</v>
      </c>
      <c r="AN421" s="4">
        <f t="shared" si="55"/>
        <v>1.4199166982203711E-4</v>
      </c>
      <c r="AO421" s="3"/>
      <c r="AP421">
        <v>0</v>
      </c>
      <c r="AR421" t="s">
        <v>0</v>
      </c>
      <c r="AT421" s="2">
        <v>1.431</v>
      </c>
      <c r="AU421" s="1">
        <f t="shared" si="51"/>
        <v>0.69751406791853121</v>
      </c>
      <c r="AV421" s="1">
        <f t="shared" si="52"/>
        <v>0.50228123907958055</v>
      </c>
      <c r="AW421" s="1">
        <f t="shared" si="53"/>
        <v>0.30704841024062984</v>
      </c>
    </row>
    <row r="422" spans="1:49" x14ac:dyDescent="0.2">
      <c r="A422">
        <v>420</v>
      </c>
      <c r="B422" t="s">
        <v>6158</v>
      </c>
      <c r="C422" t="s">
        <v>6157</v>
      </c>
      <c r="F422" t="s">
        <v>6156</v>
      </c>
      <c r="G422" t="s">
        <v>14</v>
      </c>
      <c r="H422" t="s">
        <v>13</v>
      </c>
      <c r="I422" t="s">
        <v>6155</v>
      </c>
      <c r="N422">
        <v>5</v>
      </c>
      <c r="O422" t="s">
        <v>6154</v>
      </c>
      <c r="P422" t="s">
        <v>6153</v>
      </c>
      <c r="Q422" t="s">
        <v>6122</v>
      </c>
      <c r="R422" s="7">
        <v>32874</v>
      </c>
      <c r="S422" s="8">
        <f t="shared" si="48"/>
        <v>1990</v>
      </c>
      <c r="T422" s="8">
        <v>1990</v>
      </c>
      <c r="U422" s="8">
        <f t="shared" si="49"/>
        <v>32</v>
      </c>
      <c r="V422" s="7" t="s">
        <v>6078</v>
      </c>
      <c r="W422" t="s">
        <v>110</v>
      </c>
      <c r="X422" s="2">
        <v>0.371</v>
      </c>
      <c r="Y422" s="6">
        <f t="shared" si="54"/>
        <v>9.9036331117695747E-3</v>
      </c>
      <c r="AA422">
        <v>486604</v>
      </c>
      <c r="AB422">
        <v>28580</v>
      </c>
      <c r="AC422" t="s">
        <v>109</v>
      </c>
      <c r="AD422" t="s">
        <v>5</v>
      </c>
      <c r="AE422">
        <v>25</v>
      </c>
      <c r="AF422">
        <v>6</v>
      </c>
      <c r="AH422" t="s">
        <v>6152</v>
      </c>
      <c r="AI422" t="s">
        <v>6151</v>
      </c>
      <c r="AK422" t="s">
        <v>6150</v>
      </c>
      <c r="AL422">
        <v>44</v>
      </c>
      <c r="AM422" s="5">
        <f t="shared" si="50"/>
        <v>1.375</v>
      </c>
      <c r="AN422" s="4">
        <f t="shared" si="55"/>
        <v>2.0825444907232107E-3</v>
      </c>
      <c r="AO422" s="3"/>
      <c r="AP422">
        <v>0</v>
      </c>
      <c r="AR422" t="s">
        <v>0</v>
      </c>
      <c r="AT422" s="2">
        <v>1.431</v>
      </c>
      <c r="AU422" s="1">
        <f t="shared" si="51"/>
        <v>0.75573065254556648</v>
      </c>
      <c r="AV422" s="1">
        <f t="shared" si="52"/>
        <v>0.59930888012463923</v>
      </c>
      <c r="AW422" s="1">
        <f t="shared" si="53"/>
        <v>0.44288710770371198</v>
      </c>
    </row>
    <row r="423" spans="1:49" x14ac:dyDescent="0.2">
      <c r="A423">
        <v>421</v>
      </c>
      <c r="B423" t="s">
        <v>6149</v>
      </c>
      <c r="C423" t="s">
        <v>6148</v>
      </c>
      <c r="F423" t="s">
        <v>6147</v>
      </c>
      <c r="G423" t="s">
        <v>14</v>
      </c>
      <c r="H423" t="s">
        <v>13</v>
      </c>
      <c r="I423" t="s">
        <v>6146</v>
      </c>
      <c r="N423">
        <v>3</v>
      </c>
      <c r="O423" t="s">
        <v>6145</v>
      </c>
      <c r="P423" t="s">
        <v>6144</v>
      </c>
      <c r="Q423" t="s">
        <v>391</v>
      </c>
      <c r="R423" s="7">
        <v>32874</v>
      </c>
      <c r="S423" s="8">
        <f t="shared" si="48"/>
        <v>1990</v>
      </c>
      <c r="T423" s="8">
        <v>1990</v>
      </c>
      <c r="U423" s="8">
        <f t="shared" si="49"/>
        <v>32</v>
      </c>
      <c r="V423" s="7" t="s">
        <v>6078</v>
      </c>
      <c r="W423" t="s">
        <v>110</v>
      </c>
      <c r="X423" s="2">
        <v>0.371</v>
      </c>
      <c r="Y423" s="6">
        <f t="shared" si="54"/>
        <v>9.9036331117695747E-3</v>
      </c>
      <c r="AA423">
        <v>486604</v>
      </c>
      <c r="AB423">
        <v>28580</v>
      </c>
      <c r="AC423" t="s">
        <v>109</v>
      </c>
      <c r="AD423" t="s">
        <v>5</v>
      </c>
      <c r="AE423">
        <v>25</v>
      </c>
      <c r="AF423">
        <v>6</v>
      </c>
      <c r="AH423" t="s">
        <v>6143</v>
      </c>
      <c r="AI423" t="s">
        <v>6142</v>
      </c>
      <c r="AK423" t="s">
        <v>6141</v>
      </c>
      <c r="AL423">
        <v>3</v>
      </c>
      <c r="AM423" s="5">
        <f t="shared" si="50"/>
        <v>9.375E-2</v>
      </c>
      <c r="AN423" s="4">
        <f t="shared" si="55"/>
        <v>1.4199166982203711E-4</v>
      </c>
      <c r="AO423" s="3"/>
      <c r="AP423">
        <v>0</v>
      </c>
      <c r="AR423" t="s">
        <v>0</v>
      </c>
      <c r="AT423" s="2">
        <v>1.431</v>
      </c>
      <c r="AU423" s="1">
        <f t="shared" si="51"/>
        <v>0.69751406791853121</v>
      </c>
      <c r="AV423" s="1">
        <f t="shared" si="52"/>
        <v>0.50228123907958055</v>
      </c>
      <c r="AW423" s="1">
        <f t="shared" si="53"/>
        <v>0.30704841024062984</v>
      </c>
    </row>
    <row r="424" spans="1:49" x14ac:dyDescent="0.2">
      <c r="A424">
        <v>422</v>
      </c>
      <c r="B424" t="s">
        <v>6140</v>
      </c>
      <c r="C424" t="s">
        <v>6139</v>
      </c>
      <c r="F424" t="s">
        <v>6138</v>
      </c>
      <c r="G424" t="s">
        <v>14</v>
      </c>
      <c r="H424" t="s">
        <v>13</v>
      </c>
      <c r="I424" t="s">
        <v>6137</v>
      </c>
      <c r="J424">
        <v>60011313</v>
      </c>
      <c r="K424" t="s">
        <v>6136</v>
      </c>
      <c r="L424" t="s">
        <v>6135</v>
      </c>
      <c r="M424" t="s">
        <v>5273</v>
      </c>
      <c r="N424">
        <v>11</v>
      </c>
      <c r="O424" t="s">
        <v>6134</v>
      </c>
      <c r="P424" t="s">
        <v>6133</v>
      </c>
      <c r="Q424" t="s">
        <v>6132</v>
      </c>
      <c r="R424" s="7">
        <v>32874</v>
      </c>
      <c r="S424" s="8">
        <f t="shared" si="48"/>
        <v>1990</v>
      </c>
      <c r="T424" s="8">
        <v>1990</v>
      </c>
      <c r="U424" s="8">
        <f t="shared" si="49"/>
        <v>32</v>
      </c>
      <c r="V424" s="7">
        <v>33178</v>
      </c>
      <c r="W424" t="s">
        <v>1844</v>
      </c>
      <c r="X424" s="2">
        <v>1.774</v>
      </c>
      <c r="Y424" s="6">
        <f t="shared" si="54"/>
        <v>4.7355916820159633E-2</v>
      </c>
      <c r="AA424">
        <v>295515</v>
      </c>
      <c r="AB424">
        <v>29066</v>
      </c>
      <c r="AC424">
        <v>17414326</v>
      </c>
      <c r="AD424" t="s">
        <v>5</v>
      </c>
      <c r="AE424">
        <v>30</v>
      </c>
      <c r="AF424">
        <v>11</v>
      </c>
      <c r="AH424" t="s">
        <v>6131</v>
      </c>
      <c r="AI424" t="s">
        <v>6130</v>
      </c>
      <c r="AK424" t="s">
        <v>6129</v>
      </c>
      <c r="AL424">
        <v>4</v>
      </c>
      <c r="AM424" s="5">
        <f t="shared" si="50"/>
        <v>0.125</v>
      </c>
      <c r="AN424" s="4">
        <f t="shared" si="55"/>
        <v>1.893222264293828E-4</v>
      </c>
      <c r="AO424" s="3"/>
      <c r="AP424">
        <v>0</v>
      </c>
      <c r="AR424" t="s">
        <v>0</v>
      </c>
      <c r="AT424" s="2">
        <v>3.1789999999999998</v>
      </c>
      <c r="AU424" s="1">
        <f t="shared" si="51"/>
        <v>3.3205938442040552</v>
      </c>
      <c r="AV424" s="1">
        <f t="shared" si="52"/>
        <v>2.3772619523294507</v>
      </c>
      <c r="AW424" s="1">
        <f t="shared" si="53"/>
        <v>1.4339300604548457</v>
      </c>
    </row>
    <row r="425" spans="1:49" x14ac:dyDescent="0.2">
      <c r="A425">
        <v>423</v>
      </c>
      <c r="B425" t="s">
        <v>6128</v>
      </c>
      <c r="C425" t="s">
        <v>6127</v>
      </c>
      <c r="F425" t="s">
        <v>6126</v>
      </c>
      <c r="G425" t="s">
        <v>14</v>
      </c>
      <c r="H425" t="s">
        <v>13</v>
      </c>
      <c r="I425" t="s">
        <v>6125</v>
      </c>
      <c r="N425">
        <v>5</v>
      </c>
      <c r="O425" t="s">
        <v>6124</v>
      </c>
      <c r="P425" t="s">
        <v>6123</v>
      </c>
      <c r="Q425" t="s">
        <v>6122</v>
      </c>
      <c r="R425" s="7">
        <v>32874</v>
      </c>
      <c r="S425" s="8">
        <f t="shared" si="48"/>
        <v>1990</v>
      </c>
      <c r="T425" s="8">
        <v>1990</v>
      </c>
      <c r="U425" s="8">
        <f t="shared" si="49"/>
        <v>32</v>
      </c>
      <c r="V425" s="7" t="s">
        <v>6078</v>
      </c>
      <c r="W425" t="s">
        <v>110</v>
      </c>
      <c r="X425" s="2">
        <v>0.371</v>
      </c>
      <c r="Y425" s="6">
        <f t="shared" si="54"/>
        <v>9.9036331117695747E-3</v>
      </c>
      <c r="AA425">
        <v>486604</v>
      </c>
      <c r="AB425">
        <v>28580</v>
      </c>
      <c r="AC425" t="s">
        <v>109</v>
      </c>
      <c r="AD425" t="s">
        <v>5</v>
      </c>
      <c r="AE425">
        <v>25</v>
      </c>
      <c r="AF425">
        <v>6</v>
      </c>
      <c r="AH425" t="s">
        <v>6121</v>
      </c>
      <c r="AI425" t="s">
        <v>6120</v>
      </c>
      <c r="AK425" t="s">
        <v>6119</v>
      </c>
      <c r="AL425">
        <v>9</v>
      </c>
      <c r="AM425" s="5">
        <f t="shared" si="50"/>
        <v>0.28125</v>
      </c>
      <c r="AN425" s="4">
        <f t="shared" si="55"/>
        <v>4.2597500946611131E-4</v>
      </c>
      <c r="AO425" s="3"/>
      <c r="AP425">
        <v>0</v>
      </c>
      <c r="AR425" t="s">
        <v>0</v>
      </c>
      <c r="AT425" s="2">
        <v>1.431</v>
      </c>
      <c r="AU425" s="1">
        <f t="shared" si="51"/>
        <v>0.70603356810785345</v>
      </c>
      <c r="AV425" s="1">
        <f t="shared" si="52"/>
        <v>0.51648040606178425</v>
      </c>
      <c r="AW425" s="1">
        <f t="shared" si="53"/>
        <v>0.32692724401571505</v>
      </c>
    </row>
    <row r="426" spans="1:49" x14ac:dyDescent="0.2">
      <c r="A426">
        <v>424</v>
      </c>
      <c r="B426" t="s">
        <v>6118</v>
      </c>
      <c r="C426" t="s">
        <v>6117</v>
      </c>
      <c r="F426" t="s">
        <v>6116</v>
      </c>
      <c r="G426" t="s">
        <v>14</v>
      </c>
      <c r="H426" t="s">
        <v>13</v>
      </c>
      <c r="I426" t="s">
        <v>6115</v>
      </c>
      <c r="J426">
        <v>60016296</v>
      </c>
      <c r="K426" t="s">
        <v>1278</v>
      </c>
      <c r="L426" t="s">
        <v>2279</v>
      </c>
      <c r="M426" t="s">
        <v>197</v>
      </c>
      <c r="N426">
        <v>2</v>
      </c>
      <c r="O426" t="s">
        <v>6114</v>
      </c>
      <c r="P426" t="s">
        <v>6113</v>
      </c>
      <c r="Q426" t="s">
        <v>6112</v>
      </c>
      <c r="R426" s="7">
        <v>32874</v>
      </c>
      <c r="S426" s="8">
        <f t="shared" si="48"/>
        <v>1990</v>
      </c>
      <c r="T426" s="8">
        <v>1990</v>
      </c>
      <c r="U426" s="8">
        <f t="shared" si="49"/>
        <v>32</v>
      </c>
      <c r="V426" s="7">
        <v>32874</v>
      </c>
      <c r="W426" t="s">
        <v>1380</v>
      </c>
      <c r="X426" s="2">
        <v>0.375</v>
      </c>
      <c r="Y426" s="6">
        <f t="shared" si="54"/>
        <v>1.0010410827260351E-2</v>
      </c>
      <c r="AA426">
        <v>135194</v>
      </c>
      <c r="AB426">
        <v>24918</v>
      </c>
      <c r="AD426" t="s">
        <v>5</v>
      </c>
      <c r="AE426">
        <v>26</v>
      </c>
      <c r="AF426">
        <v>24</v>
      </c>
      <c r="AH426" t="s">
        <v>6111</v>
      </c>
      <c r="AI426" t="s">
        <v>6110</v>
      </c>
      <c r="AJ426" t="s">
        <v>3370</v>
      </c>
      <c r="AK426" t="s">
        <v>6109</v>
      </c>
      <c r="AL426">
        <v>4</v>
      </c>
      <c r="AM426" s="5">
        <f t="shared" si="50"/>
        <v>0.125</v>
      </c>
      <c r="AN426" s="4">
        <f t="shared" si="55"/>
        <v>1.893222264293828E-4</v>
      </c>
      <c r="AO426" s="3"/>
      <c r="AP426">
        <v>0</v>
      </c>
      <c r="AR426" t="s">
        <v>0</v>
      </c>
      <c r="AT426" s="2">
        <v>1.3140000000000001</v>
      </c>
      <c r="AU426" s="1">
        <f t="shared" si="51"/>
        <v>0.7064084247011061</v>
      </c>
      <c r="AV426" s="1">
        <f t="shared" si="52"/>
        <v>0.50998665268448673</v>
      </c>
      <c r="AW426" s="1">
        <f t="shared" si="53"/>
        <v>0.31356488066786731</v>
      </c>
    </row>
    <row r="427" spans="1:49" x14ac:dyDescent="0.2">
      <c r="A427">
        <v>425</v>
      </c>
      <c r="B427" t="s">
        <v>6108</v>
      </c>
      <c r="C427" t="s">
        <v>6107</v>
      </c>
      <c r="F427" t="s">
        <v>6106</v>
      </c>
      <c r="G427" t="s">
        <v>14</v>
      </c>
      <c r="H427" t="s">
        <v>13</v>
      </c>
      <c r="I427" t="s">
        <v>6105</v>
      </c>
      <c r="J427" t="s">
        <v>6104</v>
      </c>
      <c r="K427" t="s">
        <v>6103</v>
      </c>
      <c r="L427" t="s">
        <v>6102</v>
      </c>
      <c r="M427" t="s">
        <v>6101</v>
      </c>
      <c r="N427">
        <v>5</v>
      </c>
      <c r="O427" t="s">
        <v>6100</v>
      </c>
      <c r="P427" t="s">
        <v>6099</v>
      </c>
      <c r="Q427" t="s">
        <v>6098</v>
      </c>
      <c r="R427" s="7">
        <v>32874</v>
      </c>
      <c r="S427" s="8">
        <f t="shared" si="48"/>
        <v>1990</v>
      </c>
      <c r="T427" s="8">
        <v>1990</v>
      </c>
      <c r="U427" s="8">
        <f t="shared" si="49"/>
        <v>32</v>
      </c>
      <c r="V427" s="7">
        <v>32874</v>
      </c>
      <c r="W427" t="s">
        <v>1380</v>
      </c>
      <c r="X427" s="2">
        <v>0.375</v>
      </c>
      <c r="Y427" s="6">
        <f t="shared" si="54"/>
        <v>1.0010410827260351E-2</v>
      </c>
      <c r="AA427">
        <v>135194</v>
      </c>
      <c r="AB427">
        <v>24918</v>
      </c>
      <c r="AD427" t="s">
        <v>5</v>
      </c>
      <c r="AE427">
        <v>26</v>
      </c>
      <c r="AF427">
        <v>24</v>
      </c>
      <c r="AH427" t="s">
        <v>6097</v>
      </c>
      <c r="AI427" t="s">
        <v>6096</v>
      </c>
      <c r="AJ427" t="s">
        <v>6095</v>
      </c>
      <c r="AK427" t="s">
        <v>6094</v>
      </c>
      <c r="AL427">
        <v>131</v>
      </c>
      <c r="AM427" s="5">
        <f t="shared" si="50"/>
        <v>4.09375</v>
      </c>
      <c r="AN427" s="4">
        <f t="shared" si="55"/>
        <v>6.200302915562287E-3</v>
      </c>
      <c r="AO427" s="3"/>
      <c r="AP427">
        <v>0</v>
      </c>
      <c r="AR427" t="s">
        <v>0</v>
      </c>
      <c r="AT427" s="2">
        <v>1.3140000000000001</v>
      </c>
      <c r="AU427" s="1">
        <f t="shared" si="51"/>
        <v>0.88673784537509315</v>
      </c>
      <c r="AV427" s="1">
        <f t="shared" si="52"/>
        <v>0.81053568714113189</v>
      </c>
      <c r="AW427" s="1">
        <f t="shared" si="53"/>
        <v>0.73433352890717052</v>
      </c>
    </row>
    <row r="428" spans="1:49" x14ac:dyDescent="0.2">
      <c r="A428">
        <v>426</v>
      </c>
      <c r="B428" t="s">
        <v>6093</v>
      </c>
      <c r="C428" t="s">
        <v>6092</v>
      </c>
      <c r="F428" t="s">
        <v>6091</v>
      </c>
      <c r="G428" t="s">
        <v>14</v>
      </c>
      <c r="H428" t="s">
        <v>13</v>
      </c>
      <c r="I428" t="s">
        <v>6090</v>
      </c>
      <c r="N428">
        <v>11</v>
      </c>
      <c r="O428" t="s">
        <v>6089</v>
      </c>
      <c r="P428" t="s">
        <v>6088</v>
      </c>
      <c r="Q428" t="s">
        <v>171</v>
      </c>
      <c r="R428" s="7">
        <v>32874</v>
      </c>
      <c r="S428" s="8">
        <f t="shared" si="48"/>
        <v>1990</v>
      </c>
      <c r="T428" s="8">
        <v>1990</v>
      </c>
      <c r="U428" s="8">
        <f t="shared" si="49"/>
        <v>32</v>
      </c>
      <c r="V428" s="7" t="s">
        <v>6078</v>
      </c>
      <c r="W428" t="s">
        <v>110</v>
      </c>
      <c r="X428" s="2">
        <v>0.371</v>
      </c>
      <c r="Y428" s="6">
        <f t="shared" si="54"/>
        <v>9.9036331117695747E-3</v>
      </c>
      <c r="AA428">
        <v>486604</v>
      </c>
      <c r="AB428">
        <v>28580</v>
      </c>
      <c r="AC428" t="s">
        <v>109</v>
      </c>
      <c r="AD428" t="s">
        <v>5</v>
      </c>
      <c r="AE428">
        <v>25</v>
      </c>
      <c r="AF428">
        <v>6</v>
      </c>
      <c r="AH428" t="s">
        <v>6087</v>
      </c>
      <c r="AI428" t="s">
        <v>6086</v>
      </c>
      <c r="AK428" t="s">
        <v>6085</v>
      </c>
      <c r="AL428">
        <v>35</v>
      </c>
      <c r="AM428" s="5">
        <f t="shared" si="50"/>
        <v>1.09375</v>
      </c>
      <c r="AN428" s="4">
        <f t="shared" si="55"/>
        <v>1.6565694812570996E-3</v>
      </c>
      <c r="AO428" s="3"/>
      <c r="AP428">
        <v>0</v>
      </c>
      <c r="AR428" t="s">
        <v>0</v>
      </c>
      <c r="AT428" s="2">
        <v>1.431</v>
      </c>
      <c r="AU428" s="1">
        <f t="shared" si="51"/>
        <v>0.74295140226158318</v>
      </c>
      <c r="AV428" s="1">
        <f t="shared" si="52"/>
        <v>0.5780101296513338</v>
      </c>
      <c r="AW428" s="1">
        <f t="shared" si="53"/>
        <v>0.4130688570410842</v>
      </c>
    </row>
    <row r="429" spans="1:49" x14ac:dyDescent="0.2">
      <c r="A429">
        <v>427</v>
      </c>
      <c r="B429" t="s">
        <v>6084</v>
      </c>
      <c r="C429" t="s">
        <v>6083</v>
      </c>
      <c r="F429" t="s">
        <v>6082</v>
      </c>
      <c r="G429" t="s">
        <v>14</v>
      </c>
      <c r="H429" t="s">
        <v>13</v>
      </c>
      <c r="I429" t="s">
        <v>6081</v>
      </c>
      <c r="N429">
        <v>3</v>
      </c>
      <c r="O429" t="s">
        <v>6080</v>
      </c>
      <c r="P429" t="s">
        <v>6079</v>
      </c>
      <c r="Q429" t="s">
        <v>391</v>
      </c>
      <c r="R429" s="7">
        <v>32874</v>
      </c>
      <c r="S429" s="8">
        <f t="shared" si="48"/>
        <v>1990</v>
      </c>
      <c r="T429" s="8">
        <v>1990</v>
      </c>
      <c r="U429" s="8">
        <f t="shared" si="49"/>
        <v>32</v>
      </c>
      <c r="V429" s="7" t="s">
        <v>6078</v>
      </c>
      <c r="W429" t="s">
        <v>110</v>
      </c>
      <c r="X429" s="2">
        <v>0.371</v>
      </c>
      <c r="Y429" s="6">
        <f t="shared" si="54"/>
        <v>9.9036331117695747E-3</v>
      </c>
      <c r="AA429">
        <v>486604</v>
      </c>
      <c r="AB429">
        <v>28580</v>
      </c>
      <c r="AC429" t="s">
        <v>109</v>
      </c>
      <c r="AD429" t="s">
        <v>5</v>
      </c>
      <c r="AE429">
        <v>25</v>
      </c>
      <c r="AF429">
        <v>6</v>
      </c>
      <c r="AH429" t="s">
        <v>6077</v>
      </c>
      <c r="AI429" t="s">
        <v>6076</v>
      </c>
      <c r="AK429" t="s">
        <v>6075</v>
      </c>
      <c r="AL429">
        <v>3</v>
      </c>
      <c r="AM429" s="5">
        <f t="shared" si="50"/>
        <v>9.375E-2</v>
      </c>
      <c r="AN429" s="4">
        <f t="shared" si="55"/>
        <v>1.4199166982203711E-4</v>
      </c>
      <c r="AO429" s="3"/>
      <c r="AP429">
        <v>0</v>
      </c>
      <c r="AR429" t="s">
        <v>0</v>
      </c>
      <c r="AT429" s="2">
        <v>1.431</v>
      </c>
      <c r="AU429" s="1">
        <f t="shared" si="51"/>
        <v>0.69751406791853121</v>
      </c>
      <c r="AV429" s="1">
        <f t="shared" si="52"/>
        <v>0.50228123907958055</v>
      </c>
      <c r="AW429" s="1">
        <f t="shared" si="53"/>
        <v>0.30704841024062984</v>
      </c>
    </row>
    <row r="430" spans="1:49" x14ac:dyDescent="0.2">
      <c r="A430">
        <v>428</v>
      </c>
      <c r="B430" t="s">
        <v>6074</v>
      </c>
      <c r="C430" t="s">
        <v>6073</v>
      </c>
      <c r="F430" t="s">
        <v>6072</v>
      </c>
      <c r="G430" t="s">
        <v>14</v>
      </c>
      <c r="H430" t="s">
        <v>13</v>
      </c>
      <c r="I430" t="s">
        <v>5468</v>
      </c>
      <c r="J430">
        <v>60013141</v>
      </c>
      <c r="K430" t="s">
        <v>5467</v>
      </c>
      <c r="L430" t="s">
        <v>5466</v>
      </c>
      <c r="M430" t="s">
        <v>5465</v>
      </c>
      <c r="N430">
        <v>1</v>
      </c>
      <c r="O430" t="s">
        <v>5545</v>
      </c>
      <c r="P430">
        <v>7101988263</v>
      </c>
      <c r="Q430">
        <v>60013141</v>
      </c>
      <c r="R430" s="7">
        <v>32874</v>
      </c>
      <c r="S430" s="8">
        <f t="shared" si="48"/>
        <v>1990</v>
      </c>
      <c r="T430" s="8">
        <v>1990</v>
      </c>
      <c r="U430" s="8">
        <f t="shared" si="49"/>
        <v>32</v>
      </c>
      <c r="V430" s="7">
        <v>33147</v>
      </c>
      <c r="W430" t="s">
        <v>2249</v>
      </c>
      <c r="X430" s="2">
        <v>1.6519999999999999</v>
      </c>
      <c r="Y430" s="6">
        <f t="shared" si="54"/>
        <v>4.409919649769093E-2</v>
      </c>
      <c r="AA430" t="s">
        <v>2248</v>
      </c>
      <c r="AB430">
        <v>17337</v>
      </c>
      <c r="AC430">
        <v>15582221</v>
      </c>
      <c r="AD430" t="s">
        <v>5</v>
      </c>
      <c r="AE430">
        <v>38</v>
      </c>
      <c r="AF430">
        <v>10</v>
      </c>
      <c r="AH430" t="s">
        <v>6071</v>
      </c>
      <c r="AI430" t="s">
        <v>6070</v>
      </c>
      <c r="AK430" t="s">
        <v>6069</v>
      </c>
      <c r="AL430">
        <v>494</v>
      </c>
      <c r="AM430" s="5">
        <f t="shared" si="50"/>
        <v>15.4375</v>
      </c>
      <c r="AN430" s="4">
        <f t="shared" si="55"/>
        <v>2.3381294964028777E-2</v>
      </c>
      <c r="AO430" s="3"/>
      <c r="AP430">
        <v>0</v>
      </c>
      <c r="AR430" t="s">
        <v>0</v>
      </c>
      <c r="AT430" s="2" t="s">
        <v>126</v>
      </c>
      <c r="AU430" s="1">
        <f t="shared" si="51"/>
        <v>3.7883826037592288</v>
      </c>
      <c r="AV430" s="1">
        <f t="shared" si="52"/>
        <v>3.3740245730859852</v>
      </c>
      <c r="AW430" s="1">
        <f t="shared" si="53"/>
        <v>2.9596665424127422</v>
      </c>
    </row>
    <row r="431" spans="1:49" x14ac:dyDescent="0.2">
      <c r="A431">
        <v>429</v>
      </c>
      <c r="B431" t="s">
        <v>6068</v>
      </c>
      <c r="C431" t="s">
        <v>6067</v>
      </c>
      <c r="F431" t="s">
        <v>6066</v>
      </c>
      <c r="G431" t="s">
        <v>14</v>
      </c>
      <c r="H431" t="s">
        <v>13</v>
      </c>
      <c r="I431" t="s">
        <v>6065</v>
      </c>
      <c r="J431">
        <v>60031126</v>
      </c>
      <c r="K431" t="s">
        <v>6064</v>
      </c>
      <c r="L431" t="s">
        <v>466</v>
      </c>
      <c r="M431" t="s">
        <v>267</v>
      </c>
      <c r="N431">
        <v>3</v>
      </c>
      <c r="O431" t="s">
        <v>6063</v>
      </c>
      <c r="P431" t="s">
        <v>6062</v>
      </c>
      <c r="Q431" t="s">
        <v>6061</v>
      </c>
      <c r="R431" s="7">
        <v>32874</v>
      </c>
      <c r="S431" s="8">
        <f t="shared" si="48"/>
        <v>1990</v>
      </c>
      <c r="T431" s="8">
        <v>1990</v>
      </c>
      <c r="U431" s="8">
        <f t="shared" si="49"/>
        <v>32</v>
      </c>
      <c r="V431" s="7" t="s">
        <v>5756</v>
      </c>
      <c r="W431" s="11" t="s">
        <v>1933</v>
      </c>
      <c r="X431" s="2">
        <v>2.383</v>
      </c>
      <c r="Y431" s="6">
        <f t="shared" si="54"/>
        <v>6.3612824003630442E-2</v>
      </c>
      <c r="AA431" t="s">
        <v>1932</v>
      </c>
      <c r="AB431">
        <v>101151</v>
      </c>
      <c r="AD431" t="s">
        <v>5</v>
      </c>
      <c r="AE431">
        <v>137</v>
      </c>
      <c r="AF431">
        <v>5</v>
      </c>
      <c r="AH431" t="s">
        <v>6060</v>
      </c>
      <c r="AI431" t="s">
        <v>6059</v>
      </c>
      <c r="AK431" t="s">
        <v>6058</v>
      </c>
      <c r="AL431">
        <v>69</v>
      </c>
      <c r="AM431" s="5">
        <f t="shared" si="50"/>
        <v>2.15625</v>
      </c>
      <c r="AN431" s="4">
        <f t="shared" si="55"/>
        <v>3.2658084059068535E-3</v>
      </c>
      <c r="AO431" s="3"/>
      <c r="AP431">
        <v>0</v>
      </c>
      <c r="AR431" t="s">
        <v>0</v>
      </c>
      <c r="AT431" s="2" t="s">
        <v>126</v>
      </c>
      <c r="AU431" s="1">
        <f t="shared" si="51"/>
        <v>4.5508719324313365</v>
      </c>
      <c r="AV431" s="1">
        <f t="shared" si="52"/>
        <v>3.343931620476865</v>
      </c>
      <c r="AW431" s="1">
        <f t="shared" si="53"/>
        <v>2.1369913085223931</v>
      </c>
    </row>
    <row r="432" spans="1:49" x14ac:dyDescent="0.2">
      <c r="A432">
        <v>430</v>
      </c>
      <c r="B432" t="s">
        <v>6057</v>
      </c>
      <c r="C432" t="s">
        <v>6056</v>
      </c>
      <c r="F432" t="s">
        <v>6055</v>
      </c>
      <c r="G432" t="s">
        <v>14</v>
      </c>
      <c r="H432" t="s">
        <v>13</v>
      </c>
      <c r="I432" t="s">
        <v>6054</v>
      </c>
      <c r="J432">
        <v>60027090</v>
      </c>
      <c r="K432" t="s">
        <v>2332</v>
      </c>
      <c r="L432" t="s">
        <v>2331</v>
      </c>
      <c r="M432" t="s">
        <v>197</v>
      </c>
      <c r="N432">
        <v>2</v>
      </c>
      <c r="O432" t="s">
        <v>6053</v>
      </c>
      <c r="P432" t="s">
        <v>6052</v>
      </c>
      <c r="Q432" t="s">
        <v>2328</v>
      </c>
      <c r="R432" s="7">
        <v>32874</v>
      </c>
      <c r="S432" s="8">
        <f t="shared" si="48"/>
        <v>1990</v>
      </c>
      <c r="T432" s="8">
        <v>1990</v>
      </c>
      <c r="U432" s="8">
        <f t="shared" si="49"/>
        <v>32</v>
      </c>
      <c r="V432" s="7">
        <v>32874</v>
      </c>
      <c r="W432" t="s">
        <v>1380</v>
      </c>
      <c r="X432" s="2">
        <v>0.375</v>
      </c>
      <c r="Y432" s="6">
        <f t="shared" si="54"/>
        <v>1.0010410827260351E-2</v>
      </c>
      <c r="AA432">
        <v>135194</v>
      </c>
      <c r="AB432">
        <v>24918</v>
      </c>
      <c r="AD432" t="s">
        <v>5</v>
      </c>
      <c r="AE432">
        <v>26</v>
      </c>
      <c r="AF432">
        <v>21</v>
      </c>
      <c r="AH432" t="s">
        <v>6051</v>
      </c>
      <c r="AI432" t="s">
        <v>6050</v>
      </c>
      <c r="AJ432" t="s">
        <v>6049</v>
      </c>
      <c r="AK432" t="s">
        <v>6048</v>
      </c>
      <c r="AL432">
        <v>34</v>
      </c>
      <c r="AM432" s="5">
        <f t="shared" si="50"/>
        <v>1.0625</v>
      </c>
      <c r="AN432" s="4">
        <f t="shared" si="55"/>
        <v>1.6092389246497539E-3</v>
      </c>
      <c r="AO432" s="3"/>
      <c r="AP432">
        <v>0</v>
      </c>
      <c r="AR432" t="s">
        <v>0</v>
      </c>
      <c r="AT432" s="2">
        <v>1.3140000000000001</v>
      </c>
      <c r="AU432" s="1">
        <f t="shared" si="51"/>
        <v>0.74900592564771717</v>
      </c>
      <c r="AV432" s="1">
        <f t="shared" si="52"/>
        <v>0.58098248759550519</v>
      </c>
      <c r="AW432" s="1">
        <f t="shared" si="53"/>
        <v>0.41295904954329332</v>
      </c>
    </row>
    <row r="433" spans="1:49" x14ac:dyDescent="0.2">
      <c r="A433">
        <v>431</v>
      </c>
      <c r="B433" t="s">
        <v>6047</v>
      </c>
      <c r="C433" t="s">
        <v>6046</v>
      </c>
      <c r="F433" t="s">
        <v>6045</v>
      </c>
      <c r="G433" t="s">
        <v>14</v>
      </c>
      <c r="H433" t="s">
        <v>13</v>
      </c>
      <c r="I433" t="s">
        <v>5202</v>
      </c>
      <c r="J433">
        <v>60017161</v>
      </c>
      <c r="K433" t="s">
        <v>6044</v>
      </c>
      <c r="L433" t="s">
        <v>1566</v>
      </c>
      <c r="M433" t="s">
        <v>1565</v>
      </c>
      <c r="N433">
        <v>1</v>
      </c>
      <c r="O433" t="s">
        <v>6043</v>
      </c>
      <c r="P433">
        <v>7202596473</v>
      </c>
      <c r="Q433">
        <v>60017161</v>
      </c>
      <c r="R433" s="7">
        <v>32874</v>
      </c>
      <c r="S433" s="8">
        <f t="shared" si="48"/>
        <v>1990</v>
      </c>
      <c r="T433" s="8">
        <v>1990</v>
      </c>
      <c r="U433" s="8">
        <f t="shared" si="49"/>
        <v>32</v>
      </c>
      <c r="V433" s="7" t="s">
        <v>5756</v>
      </c>
      <c r="W433" s="11" t="s">
        <v>1792</v>
      </c>
      <c r="X433" s="2">
        <v>2.383</v>
      </c>
      <c r="Y433" s="6">
        <f t="shared" si="54"/>
        <v>6.3612824003630442E-2</v>
      </c>
      <c r="AA433">
        <v>1437070</v>
      </c>
      <c r="AB433">
        <v>39742</v>
      </c>
      <c r="AD433" t="s">
        <v>5</v>
      </c>
      <c r="AE433">
        <v>137</v>
      </c>
      <c r="AF433">
        <v>5</v>
      </c>
      <c r="AH433" t="s">
        <v>6042</v>
      </c>
      <c r="AI433" t="s">
        <v>6041</v>
      </c>
      <c r="AK433" t="s">
        <v>6040</v>
      </c>
      <c r="AL433">
        <v>7</v>
      </c>
      <c r="AM433" s="5">
        <f t="shared" si="50"/>
        <v>0.21875</v>
      </c>
      <c r="AN433" s="4">
        <f t="shared" si="55"/>
        <v>3.3131389625141994E-4</v>
      </c>
      <c r="AO433" s="3"/>
      <c r="AP433">
        <v>0</v>
      </c>
      <c r="AR433" t="s">
        <v>0</v>
      </c>
      <c r="AT433" s="2" t="s">
        <v>126</v>
      </c>
      <c r="AU433" s="1">
        <f t="shared" si="51"/>
        <v>4.4628370971416729</v>
      </c>
      <c r="AV433" s="1">
        <f t="shared" si="52"/>
        <v>3.1972068949940931</v>
      </c>
      <c r="AW433" s="1">
        <f t="shared" si="53"/>
        <v>1.9315766928465126</v>
      </c>
    </row>
    <row r="434" spans="1:49" x14ac:dyDescent="0.2">
      <c r="A434">
        <v>432</v>
      </c>
      <c r="B434" t="s">
        <v>6039</v>
      </c>
      <c r="C434" t="s">
        <v>6038</v>
      </c>
      <c r="F434" t="s">
        <v>6037</v>
      </c>
      <c r="G434" t="s">
        <v>14</v>
      </c>
      <c r="H434" t="s">
        <v>13</v>
      </c>
      <c r="I434" t="s">
        <v>6036</v>
      </c>
      <c r="J434">
        <v>60009658</v>
      </c>
      <c r="K434" t="s">
        <v>1861</v>
      </c>
      <c r="L434" t="s">
        <v>1860</v>
      </c>
      <c r="M434" t="s">
        <v>253</v>
      </c>
      <c r="N434">
        <v>2</v>
      </c>
      <c r="O434" t="s">
        <v>6035</v>
      </c>
      <c r="P434" t="s">
        <v>6034</v>
      </c>
      <c r="Q434" t="s">
        <v>6033</v>
      </c>
      <c r="R434" s="7">
        <v>32874</v>
      </c>
      <c r="S434" s="8">
        <f t="shared" si="48"/>
        <v>1990</v>
      </c>
      <c r="T434" s="8">
        <v>1990</v>
      </c>
      <c r="U434" s="8">
        <f t="shared" si="49"/>
        <v>32</v>
      </c>
      <c r="V434" s="7" t="s">
        <v>5756</v>
      </c>
      <c r="W434" s="11" t="s">
        <v>1933</v>
      </c>
      <c r="X434" s="2">
        <v>2.383</v>
      </c>
      <c r="Y434" s="6">
        <f t="shared" si="54"/>
        <v>6.3612824003630442E-2</v>
      </c>
      <c r="AA434" t="s">
        <v>1932</v>
      </c>
      <c r="AB434">
        <v>101151</v>
      </c>
      <c r="AD434" t="s">
        <v>5</v>
      </c>
      <c r="AE434">
        <v>137</v>
      </c>
      <c r="AF434">
        <v>5</v>
      </c>
      <c r="AH434" t="s">
        <v>6032</v>
      </c>
      <c r="AI434" t="s">
        <v>6031</v>
      </c>
      <c r="AK434" t="s">
        <v>6030</v>
      </c>
      <c r="AL434">
        <v>112</v>
      </c>
      <c r="AM434" s="5">
        <f t="shared" si="50"/>
        <v>3.5</v>
      </c>
      <c r="AN434" s="4">
        <f t="shared" si="55"/>
        <v>5.301022340022719E-3</v>
      </c>
      <c r="AO434" s="3"/>
      <c r="AP434">
        <v>0</v>
      </c>
      <c r="AR434" t="s">
        <v>0</v>
      </c>
      <c r="AT434" s="2" t="s">
        <v>126</v>
      </c>
      <c r="AU434" s="1">
        <f t="shared" si="51"/>
        <v>4.6119283504548125</v>
      </c>
      <c r="AV434" s="1">
        <f t="shared" si="52"/>
        <v>3.4456923171826581</v>
      </c>
      <c r="AW434" s="1">
        <f t="shared" si="53"/>
        <v>2.2794562839105037</v>
      </c>
    </row>
    <row r="435" spans="1:49" x14ac:dyDescent="0.2">
      <c r="A435">
        <v>433</v>
      </c>
      <c r="B435" t="s">
        <v>6029</v>
      </c>
      <c r="C435" t="s">
        <v>6028</v>
      </c>
      <c r="F435" t="s">
        <v>6027</v>
      </c>
      <c r="G435" t="s">
        <v>14</v>
      </c>
      <c r="H435" t="s">
        <v>13</v>
      </c>
      <c r="I435" t="s">
        <v>6026</v>
      </c>
      <c r="J435">
        <v>60020650</v>
      </c>
      <c r="K435" t="s">
        <v>2099</v>
      </c>
      <c r="L435" t="s">
        <v>2098</v>
      </c>
      <c r="M435" t="s">
        <v>253</v>
      </c>
      <c r="N435">
        <v>2</v>
      </c>
      <c r="O435" t="s">
        <v>6025</v>
      </c>
      <c r="P435" t="s">
        <v>6024</v>
      </c>
      <c r="Q435" t="s">
        <v>6023</v>
      </c>
      <c r="R435" s="7">
        <v>32874</v>
      </c>
      <c r="S435" s="8">
        <f t="shared" si="48"/>
        <v>1990</v>
      </c>
      <c r="T435" s="8">
        <v>1990</v>
      </c>
      <c r="U435" s="8">
        <f t="shared" si="49"/>
        <v>32</v>
      </c>
      <c r="V435" s="7">
        <v>32874</v>
      </c>
      <c r="W435" t="s">
        <v>1380</v>
      </c>
      <c r="X435" s="2">
        <v>0.375</v>
      </c>
      <c r="Y435" s="6">
        <f t="shared" si="54"/>
        <v>1.0010410827260351E-2</v>
      </c>
      <c r="AA435">
        <v>135194</v>
      </c>
      <c r="AB435">
        <v>24918</v>
      </c>
      <c r="AD435" t="s">
        <v>5</v>
      </c>
      <c r="AE435">
        <v>26</v>
      </c>
      <c r="AF435">
        <v>22</v>
      </c>
      <c r="AH435" t="s">
        <v>6022</v>
      </c>
      <c r="AI435" t="s">
        <v>6021</v>
      </c>
      <c r="AJ435" t="s">
        <v>6020</v>
      </c>
      <c r="AK435" t="s">
        <v>6019</v>
      </c>
      <c r="AL435">
        <v>3</v>
      </c>
      <c r="AM435" s="5">
        <f t="shared" si="50"/>
        <v>9.375E-2</v>
      </c>
      <c r="AN435" s="4">
        <f t="shared" si="55"/>
        <v>1.4199166982203711E-4</v>
      </c>
      <c r="AO435" s="3"/>
      <c r="AP435">
        <v>0</v>
      </c>
      <c r="AR435" t="s">
        <v>0</v>
      </c>
      <c r="AT435" s="2">
        <v>1.3140000000000001</v>
      </c>
      <c r="AU435" s="1">
        <f t="shared" si="51"/>
        <v>0.70498850800288559</v>
      </c>
      <c r="AV435" s="1">
        <f t="shared" si="52"/>
        <v>0.50762012485411945</v>
      </c>
      <c r="AW435" s="1">
        <f t="shared" si="53"/>
        <v>0.31025174170535308</v>
      </c>
    </row>
    <row r="436" spans="1:49" x14ac:dyDescent="0.2">
      <c r="A436">
        <v>434</v>
      </c>
      <c r="B436" t="s">
        <v>6018</v>
      </c>
      <c r="C436" t="s">
        <v>6017</v>
      </c>
      <c r="F436" t="s">
        <v>6016</v>
      </c>
      <c r="G436" t="s">
        <v>14</v>
      </c>
      <c r="H436" t="s">
        <v>13</v>
      </c>
      <c r="I436" t="s">
        <v>282</v>
      </c>
      <c r="J436">
        <v>60014313</v>
      </c>
      <c r="K436" t="s">
        <v>607</v>
      </c>
      <c r="L436" t="s">
        <v>606</v>
      </c>
      <c r="M436" t="s">
        <v>197</v>
      </c>
      <c r="N436">
        <v>2</v>
      </c>
      <c r="O436" t="s">
        <v>6015</v>
      </c>
      <c r="P436" t="s">
        <v>6014</v>
      </c>
      <c r="Q436" t="s">
        <v>2878</v>
      </c>
      <c r="R436" s="7">
        <v>32874</v>
      </c>
      <c r="S436" s="8">
        <f t="shared" si="48"/>
        <v>1990</v>
      </c>
      <c r="T436" s="8">
        <v>1990</v>
      </c>
      <c r="U436" s="8">
        <f t="shared" si="49"/>
        <v>32</v>
      </c>
      <c r="V436" s="7">
        <v>33147</v>
      </c>
      <c r="W436" t="s">
        <v>2249</v>
      </c>
      <c r="X436" s="2">
        <v>1.6519999999999999</v>
      </c>
      <c r="Y436" s="6">
        <f t="shared" si="54"/>
        <v>4.409919649769093E-2</v>
      </c>
      <c r="AA436" t="s">
        <v>2248</v>
      </c>
      <c r="AB436">
        <v>17337</v>
      </c>
      <c r="AC436">
        <v>15582221</v>
      </c>
      <c r="AD436" t="s">
        <v>5</v>
      </c>
      <c r="AE436">
        <v>38</v>
      </c>
      <c r="AF436">
        <v>10</v>
      </c>
      <c r="AH436" t="s">
        <v>6013</v>
      </c>
      <c r="AI436" t="s">
        <v>6012</v>
      </c>
      <c r="AK436" t="s">
        <v>6011</v>
      </c>
      <c r="AL436">
        <v>27</v>
      </c>
      <c r="AM436" s="5">
        <f t="shared" si="50"/>
        <v>0.84375</v>
      </c>
      <c r="AN436" s="4">
        <f t="shared" si="55"/>
        <v>1.2779250283983339E-3</v>
      </c>
      <c r="AO436" s="3"/>
      <c r="AP436">
        <v>0</v>
      </c>
      <c r="AR436" t="s">
        <v>0</v>
      </c>
      <c r="AT436" s="2" t="s">
        <v>126</v>
      </c>
      <c r="AU436" s="1">
        <f t="shared" si="51"/>
        <v>3.1252815056903152</v>
      </c>
      <c r="AV436" s="1">
        <f t="shared" si="52"/>
        <v>2.2688560763044632</v>
      </c>
      <c r="AW436" s="1">
        <f t="shared" si="53"/>
        <v>1.4124306469186112</v>
      </c>
    </row>
    <row r="437" spans="1:49" x14ac:dyDescent="0.2">
      <c r="A437">
        <v>435</v>
      </c>
      <c r="B437" t="s">
        <v>6010</v>
      </c>
      <c r="C437" t="s">
        <v>6009</v>
      </c>
      <c r="F437" t="s">
        <v>6008</v>
      </c>
      <c r="G437" t="s">
        <v>14</v>
      </c>
      <c r="H437" t="s">
        <v>13</v>
      </c>
      <c r="I437" t="s">
        <v>6007</v>
      </c>
      <c r="J437">
        <v>60010818</v>
      </c>
      <c r="K437" t="s">
        <v>6006</v>
      </c>
      <c r="L437" t="s">
        <v>6005</v>
      </c>
      <c r="M437" t="s">
        <v>253</v>
      </c>
      <c r="N437">
        <v>4</v>
      </c>
      <c r="O437" t="s">
        <v>6004</v>
      </c>
      <c r="P437" t="s">
        <v>6003</v>
      </c>
      <c r="Q437" t="s">
        <v>6002</v>
      </c>
      <c r="R437" s="7">
        <v>32874</v>
      </c>
      <c r="S437" s="8">
        <f t="shared" si="48"/>
        <v>1990</v>
      </c>
      <c r="T437" s="8">
        <v>1990</v>
      </c>
      <c r="U437" s="8">
        <f t="shared" si="49"/>
        <v>32</v>
      </c>
      <c r="V437" s="7" t="s">
        <v>5756</v>
      </c>
      <c r="W437" s="11" t="s">
        <v>1933</v>
      </c>
      <c r="X437" s="2">
        <v>2.383</v>
      </c>
      <c r="Y437" s="6">
        <f t="shared" si="54"/>
        <v>6.3612824003630442E-2</v>
      </c>
      <c r="AA437" t="s">
        <v>1932</v>
      </c>
      <c r="AB437">
        <v>101151</v>
      </c>
      <c r="AD437" t="s">
        <v>5</v>
      </c>
      <c r="AE437">
        <v>137</v>
      </c>
      <c r="AF437">
        <v>5</v>
      </c>
      <c r="AH437" t="s">
        <v>4766</v>
      </c>
      <c r="AI437" t="s">
        <v>6001</v>
      </c>
      <c r="AK437" t="s">
        <v>6000</v>
      </c>
      <c r="AL437">
        <v>6</v>
      </c>
      <c r="AM437" s="5">
        <f t="shared" si="50"/>
        <v>0.1875</v>
      </c>
      <c r="AN437" s="4">
        <f t="shared" si="55"/>
        <v>2.8398333964407423E-4</v>
      </c>
      <c r="AO437" s="3"/>
      <c r="AP437">
        <v>0</v>
      </c>
      <c r="AR437" t="s">
        <v>0</v>
      </c>
      <c r="AT437" s="2" t="s">
        <v>126</v>
      </c>
      <c r="AU437" s="1">
        <f t="shared" si="51"/>
        <v>4.461417180443453</v>
      </c>
      <c r="AV437" s="1">
        <f t="shared" si="52"/>
        <v>3.1948403671637262</v>
      </c>
      <c r="AW437" s="1">
        <f t="shared" si="53"/>
        <v>1.9282635538839985</v>
      </c>
    </row>
    <row r="438" spans="1:49" x14ac:dyDescent="0.2">
      <c r="A438">
        <v>436</v>
      </c>
      <c r="B438" t="s">
        <v>5999</v>
      </c>
      <c r="C438" t="s">
        <v>5998</v>
      </c>
      <c r="F438" t="s">
        <v>5997</v>
      </c>
      <c r="G438" t="s">
        <v>14</v>
      </c>
      <c r="H438" t="s">
        <v>13</v>
      </c>
      <c r="I438" t="s">
        <v>5996</v>
      </c>
      <c r="J438">
        <v>60012708</v>
      </c>
      <c r="K438" t="s">
        <v>5995</v>
      </c>
      <c r="L438" t="s">
        <v>5994</v>
      </c>
      <c r="M438" t="s">
        <v>197</v>
      </c>
      <c r="N438">
        <v>1</v>
      </c>
      <c r="O438" t="s">
        <v>4669</v>
      </c>
      <c r="P438">
        <v>7003446625</v>
      </c>
      <c r="Q438">
        <v>60012708</v>
      </c>
      <c r="R438" s="7">
        <v>32874</v>
      </c>
      <c r="S438" s="8">
        <f t="shared" si="48"/>
        <v>1990</v>
      </c>
      <c r="T438" s="8">
        <v>1990</v>
      </c>
      <c r="U438" s="8">
        <f t="shared" si="49"/>
        <v>32</v>
      </c>
      <c r="V438" s="7">
        <v>33147</v>
      </c>
      <c r="W438" t="s">
        <v>2249</v>
      </c>
      <c r="X438" s="2">
        <v>1.6519999999999999</v>
      </c>
      <c r="Y438" s="6">
        <f t="shared" si="54"/>
        <v>4.409919649769093E-2</v>
      </c>
      <c r="AA438" t="s">
        <v>2248</v>
      </c>
      <c r="AB438">
        <v>17337</v>
      </c>
      <c r="AC438">
        <v>15582221</v>
      </c>
      <c r="AD438" t="s">
        <v>5</v>
      </c>
      <c r="AE438">
        <v>38</v>
      </c>
      <c r="AF438">
        <v>10</v>
      </c>
      <c r="AH438" t="s">
        <v>5993</v>
      </c>
      <c r="AI438" t="s">
        <v>5992</v>
      </c>
      <c r="AK438" t="s">
        <v>5991</v>
      </c>
      <c r="AL438">
        <v>40</v>
      </c>
      <c r="AM438" s="5">
        <f t="shared" si="50"/>
        <v>1.25</v>
      </c>
      <c r="AN438" s="4">
        <f t="shared" si="55"/>
        <v>1.8932222642938281E-3</v>
      </c>
      <c r="AO438" s="3"/>
      <c r="AP438">
        <v>0</v>
      </c>
      <c r="AR438" t="s">
        <v>0</v>
      </c>
      <c r="AT438" s="2" t="s">
        <v>126</v>
      </c>
      <c r="AU438" s="1">
        <f t="shared" si="51"/>
        <v>3.1437404227671801</v>
      </c>
      <c r="AV438" s="1">
        <f t="shared" si="52"/>
        <v>2.2996209380992378</v>
      </c>
      <c r="AW438" s="1">
        <f t="shared" si="53"/>
        <v>1.4555014534312958</v>
      </c>
    </row>
    <row r="439" spans="1:49" x14ac:dyDescent="0.2">
      <c r="A439">
        <v>437</v>
      </c>
      <c r="B439" t="s">
        <v>5990</v>
      </c>
      <c r="C439" t="s">
        <v>5989</v>
      </c>
      <c r="F439" t="s">
        <v>5988</v>
      </c>
      <c r="G439" t="s">
        <v>14</v>
      </c>
      <c r="H439" t="s">
        <v>13</v>
      </c>
      <c r="I439" t="s">
        <v>5987</v>
      </c>
      <c r="J439">
        <v>60071276</v>
      </c>
      <c r="K439" t="s">
        <v>4049</v>
      </c>
      <c r="L439" t="s">
        <v>4048</v>
      </c>
      <c r="M439" t="s">
        <v>357</v>
      </c>
      <c r="N439">
        <v>3</v>
      </c>
      <c r="O439" t="s">
        <v>5986</v>
      </c>
      <c r="P439" t="s">
        <v>5985</v>
      </c>
      <c r="Q439" t="s">
        <v>5984</v>
      </c>
      <c r="R439" s="7">
        <v>32874</v>
      </c>
      <c r="S439" s="8">
        <f t="shared" si="48"/>
        <v>1990</v>
      </c>
      <c r="T439" s="8">
        <v>1990</v>
      </c>
      <c r="U439" s="8">
        <f t="shared" si="49"/>
        <v>32</v>
      </c>
      <c r="V439" s="7">
        <v>32874</v>
      </c>
      <c r="W439" t="s">
        <v>1380</v>
      </c>
      <c r="X439" s="2">
        <v>0.375</v>
      </c>
      <c r="Y439" s="6">
        <f t="shared" si="54"/>
        <v>1.0010410827260351E-2</v>
      </c>
      <c r="AA439">
        <v>135194</v>
      </c>
      <c r="AB439">
        <v>24918</v>
      </c>
      <c r="AD439" t="s">
        <v>5</v>
      </c>
      <c r="AE439">
        <v>26</v>
      </c>
      <c r="AF439">
        <v>22</v>
      </c>
      <c r="AH439" t="s">
        <v>5983</v>
      </c>
      <c r="AI439" t="s">
        <v>5982</v>
      </c>
      <c r="AJ439" t="s">
        <v>5981</v>
      </c>
      <c r="AK439" t="s">
        <v>5980</v>
      </c>
      <c r="AL439">
        <v>5</v>
      </c>
      <c r="AM439" s="5">
        <f t="shared" si="50"/>
        <v>0.15625</v>
      </c>
      <c r="AN439" s="4">
        <f t="shared" si="55"/>
        <v>2.3665278303672851E-4</v>
      </c>
      <c r="AO439" s="3"/>
      <c r="AP439">
        <v>0</v>
      </c>
      <c r="AR439" t="s">
        <v>0</v>
      </c>
      <c r="AT439" s="2">
        <v>1.3140000000000001</v>
      </c>
      <c r="AU439" s="1">
        <f t="shared" si="51"/>
        <v>0.70782834139932649</v>
      </c>
      <c r="AV439" s="1">
        <f t="shared" si="52"/>
        <v>0.51235318051485401</v>
      </c>
      <c r="AW439" s="1">
        <f t="shared" si="53"/>
        <v>0.31687801963038154</v>
      </c>
    </row>
    <row r="440" spans="1:49" x14ac:dyDescent="0.2">
      <c r="A440">
        <v>438</v>
      </c>
      <c r="B440" t="s">
        <v>5979</v>
      </c>
      <c r="C440" t="s">
        <v>5978</v>
      </c>
      <c r="F440" t="s">
        <v>5977</v>
      </c>
      <c r="G440" t="s">
        <v>14</v>
      </c>
      <c r="H440" t="s">
        <v>13</v>
      </c>
      <c r="I440" t="s">
        <v>5976</v>
      </c>
      <c r="J440">
        <v>60021902</v>
      </c>
      <c r="K440" t="s">
        <v>11</v>
      </c>
      <c r="L440" t="s">
        <v>10</v>
      </c>
      <c r="M440" t="s">
        <v>9</v>
      </c>
      <c r="N440">
        <v>2</v>
      </c>
      <c r="O440" t="s">
        <v>5975</v>
      </c>
      <c r="P440" t="s">
        <v>5974</v>
      </c>
      <c r="Q440" t="s">
        <v>2301</v>
      </c>
      <c r="R440" s="7">
        <v>32874</v>
      </c>
      <c r="S440" s="8">
        <f t="shared" si="48"/>
        <v>1990</v>
      </c>
      <c r="T440" s="8">
        <v>1990</v>
      </c>
      <c r="U440" s="8">
        <f t="shared" si="49"/>
        <v>32</v>
      </c>
      <c r="V440" s="7">
        <v>32874</v>
      </c>
      <c r="W440" t="s">
        <v>1380</v>
      </c>
      <c r="X440" s="2">
        <v>0.375</v>
      </c>
      <c r="Y440" s="6">
        <f t="shared" si="54"/>
        <v>1.0010410827260351E-2</v>
      </c>
      <c r="AA440">
        <v>135194</v>
      </c>
      <c r="AB440">
        <v>24918</v>
      </c>
      <c r="AD440" t="s">
        <v>5</v>
      </c>
      <c r="AE440">
        <v>26</v>
      </c>
      <c r="AF440">
        <v>22</v>
      </c>
      <c r="AH440" t="s">
        <v>5973</v>
      </c>
      <c r="AI440" t="s">
        <v>5972</v>
      </c>
      <c r="AJ440" t="s">
        <v>5971</v>
      </c>
      <c r="AK440" t="s">
        <v>5970</v>
      </c>
      <c r="AL440">
        <v>21</v>
      </c>
      <c r="AM440" s="5">
        <f t="shared" si="50"/>
        <v>0.65625</v>
      </c>
      <c r="AN440" s="4">
        <f t="shared" si="55"/>
        <v>9.9394168875425971E-4</v>
      </c>
      <c r="AO440" s="3"/>
      <c r="AP440">
        <v>0</v>
      </c>
      <c r="AR440" t="s">
        <v>0</v>
      </c>
      <c r="AT440" s="2">
        <v>1.3140000000000001</v>
      </c>
      <c r="AU440" s="1">
        <f t="shared" si="51"/>
        <v>0.73054700857085231</v>
      </c>
      <c r="AV440" s="1">
        <f t="shared" si="52"/>
        <v>0.55021762580073053</v>
      </c>
      <c r="AW440" s="1">
        <f t="shared" si="53"/>
        <v>0.36988824303060869</v>
      </c>
    </row>
    <row r="441" spans="1:49" x14ac:dyDescent="0.2">
      <c r="A441">
        <v>439</v>
      </c>
      <c r="B441" t="s">
        <v>5969</v>
      </c>
      <c r="C441" t="s">
        <v>5968</v>
      </c>
      <c r="F441" t="s">
        <v>5967</v>
      </c>
      <c r="G441" t="s">
        <v>14</v>
      </c>
      <c r="H441" t="s">
        <v>13</v>
      </c>
      <c r="I441" t="s">
        <v>5546</v>
      </c>
      <c r="J441">
        <v>60013141</v>
      </c>
      <c r="K441" t="s">
        <v>5467</v>
      </c>
      <c r="L441" t="s">
        <v>5466</v>
      </c>
      <c r="M441" t="s">
        <v>5465</v>
      </c>
      <c r="N441">
        <v>1</v>
      </c>
      <c r="O441" t="s">
        <v>5545</v>
      </c>
      <c r="P441">
        <v>7101988263</v>
      </c>
      <c r="Q441">
        <v>60013141</v>
      </c>
      <c r="R441" s="7">
        <v>32874</v>
      </c>
      <c r="S441" s="8">
        <f t="shared" si="48"/>
        <v>1990</v>
      </c>
      <c r="T441" s="8">
        <v>1990</v>
      </c>
      <c r="U441" s="8">
        <f t="shared" si="49"/>
        <v>32</v>
      </c>
      <c r="V441" s="7">
        <v>33147</v>
      </c>
      <c r="W441" t="s">
        <v>2249</v>
      </c>
      <c r="X441" s="2">
        <v>1.6519999999999999</v>
      </c>
      <c r="Y441" s="6">
        <f t="shared" si="54"/>
        <v>4.409919649769093E-2</v>
      </c>
      <c r="AA441" t="s">
        <v>2248</v>
      </c>
      <c r="AB441">
        <v>17337</v>
      </c>
      <c r="AC441">
        <v>15582221</v>
      </c>
      <c r="AD441" t="s">
        <v>5</v>
      </c>
      <c r="AE441">
        <v>38</v>
      </c>
      <c r="AF441">
        <v>10</v>
      </c>
      <c r="AH441" t="s">
        <v>5966</v>
      </c>
      <c r="AI441" t="s">
        <v>5965</v>
      </c>
      <c r="AK441" t="s">
        <v>5964</v>
      </c>
      <c r="AL441">
        <v>21</v>
      </c>
      <c r="AM441" s="5">
        <f t="shared" si="50"/>
        <v>0.65625</v>
      </c>
      <c r="AN441" s="4">
        <f t="shared" si="55"/>
        <v>9.9394168875425971E-4</v>
      </c>
      <c r="AO441" s="3"/>
      <c r="AP441">
        <v>0</v>
      </c>
      <c r="AR441" t="s">
        <v>0</v>
      </c>
      <c r="AT441" s="2" t="s">
        <v>126</v>
      </c>
      <c r="AU441" s="1">
        <f t="shared" si="51"/>
        <v>3.1167620055009926</v>
      </c>
      <c r="AV441" s="1">
        <f t="shared" si="52"/>
        <v>2.2546569093222595</v>
      </c>
      <c r="AW441" s="1">
        <f t="shared" si="53"/>
        <v>1.3925518131435259</v>
      </c>
    </row>
    <row r="442" spans="1:49" x14ac:dyDescent="0.2">
      <c r="A442">
        <v>440</v>
      </c>
      <c r="B442" t="s">
        <v>5963</v>
      </c>
      <c r="C442" t="s">
        <v>5962</v>
      </c>
      <c r="F442" t="s">
        <v>5961</v>
      </c>
      <c r="G442" t="s">
        <v>14</v>
      </c>
      <c r="H442" t="s">
        <v>13</v>
      </c>
      <c r="I442" t="s">
        <v>5960</v>
      </c>
      <c r="J442">
        <v>60028897</v>
      </c>
      <c r="K442" t="s">
        <v>4705</v>
      </c>
      <c r="L442" t="s">
        <v>4704</v>
      </c>
      <c r="M442" t="s">
        <v>1937</v>
      </c>
      <c r="N442">
        <v>2</v>
      </c>
      <c r="O442" t="s">
        <v>4703</v>
      </c>
      <c r="P442" t="s">
        <v>4702</v>
      </c>
      <c r="Q442" t="s">
        <v>4701</v>
      </c>
      <c r="R442" s="7">
        <v>32874</v>
      </c>
      <c r="S442" s="8">
        <f t="shared" si="48"/>
        <v>1990</v>
      </c>
      <c r="T442" s="8">
        <v>1990</v>
      </c>
      <c r="U442" s="8">
        <f t="shared" si="49"/>
        <v>32</v>
      </c>
      <c r="V442" s="7">
        <v>33147</v>
      </c>
      <c r="W442" t="s">
        <v>2249</v>
      </c>
      <c r="X442" s="2">
        <v>1.6519999999999999</v>
      </c>
      <c r="Y442" s="6">
        <f t="shared" si="54"/>
        <v>4.409919649769093E-2</v>
      </c>
      <c r="AA442" t="s">
        <v>2248</v>
      </c>
      <c r="AB442">
        <v>17337</v>
      </c>
      <c r="AC442">
        <v>15582221</v>
      </c>
      <c r="AD442" t="s">
        <v>5</v>
      </c>
      <c r="AE442">
        <v>38</v>
      </c>
      <c r="AF442">
        <v>10</v>
      </c>
      <c r="AH442" t="s">
        <v>5959</v>
      </c>
      <c r="AI442" t="s">
        <v>5958</v>
      </c>
      <c r="AK442" t="s">
        <v>5957</v>
      </c>
      <c r="AL442">
        <v>31</v>
      </c>
      <c r="AM442" s="5">
        <f t="shared" si="50"/>
        <v>0.96875</v>
      </c>
      <c r="AN442" s="4">
        <f t="shared" si="55"/>
        <v>1.4672472548277167E-3</v>
      </c>
      <c r="AO442" s="3"/>
      <c r="AP442">
        <v>0</v>
      </c>
      <c r="AR442" t="s">
        <v>0</v>
      </c>
      <c r="AT442" s="2" t="s">
        <v>126</v>
      </c>
      <c r="AU442" s="1">
        <f t="shared" si="51"/>
        <v>3.1309611724831967</v>
      </c>
      <c r="AV442" s="1">
        <f t="shared" si="52"/>
        <v>2.2783221876259323</v>
      </c>
      <c r="AW442" s="1">
        <f t="shared" si="53"/>
        <v>1.4256832027686679</v>
      </c>
    </row>
    <row r="443" spans="1:49" x14ac:dyDescent="0.2">
      <c r="A443">
        <v>441</v>
      </c>
      <c r="B443" t="s">
        <v>5956</v>
      </c>
      <c r="C443" t="s">
        <v>5955</v>
      </c>
      <c r="F443" t="s">
        <v>5954</v>
      </c>
      <c r="G443" t="s">
        <v>14</v>
      </c>
      <c r="H443" t="s">
        <v>13</v>
      </c>
      <c r="I443" t="s">
        <v>5953</v>
      </c>
      <c r="J443">
        <v>60001881</v>
      </c>
      <c r="K443" t="s">
        <v>3491</v>
      </c>
      <c r="L443" t="s">
        <v>3490</v>
      </c>
      <c r="M443" t="s">
        <v>253</v>
      </c>
      <c r="N443">
        <v>3</v>
      </c>
      <c r="O443" t="s">
        <v>5952</v>
      </c>
      <c r="P443" t="s">
        <v>5951</v>
      </c>
      <c r="Q443" t="s">
        <v>5950</v>
      </c>
      <c r="R443" s="7">
        <v>32874</v>
      </c>
      <c r="S443" s="8">
        <f t="shared" si="48"/>
        <v>1990</v>
      </c>
      <c r="T443" s="8">
        <v>1990</v>
      </c>
      <c r="U443" s="8">
        <f t="shared" si="49"/>
        <v>32</v>
      </c>
      <c r="V443" s="7" t="s">
        <v>5756</v>
      </c>
      <c r="W443" s="11" t="s">
        <v>1933</v>
      </c>
      <c r="X443" s="2">
        <v>2.383</v>
      </c>
      <c r="Y443" s="6">
        <f t="shared" si="54"/>
        <v>6.3612824003630442E-2</v>
      </c>
      <c r="AA443" t="s">
        <v>1932</v>
      </c>
      <c r="AB443">
        <v>101151</v>
      </c>
      <c r="AD443" t="s">
        <v>5</v>
      </c>
      <c r="AE443">
        <v>137</v>
      </c>
      <c r="AF443">
        <v>5</v>
      </c>
      <c r="AH443" t="s">
        <v>5949</v>
      </c>
      <c r="AI443" t="s">
        <v>5948</v>
      </c>
      <c r="AK443" t="s">
        <v>5947</v>
      </c>
      <c r="AL443">
        <v>11</v>
      </c>
      <c r="AM443" s="5">
        <f t="shared" si="50"/>
        <v>0.34375</v>
      </c>
      <c r="AN443" s="4">
        <f t="shared" si="55"/>
        <v>5.2063612268080268E-4</v>
      </c>
      <c r="AO443" s="3"/>
      <c r="AP443">
        <v>0</v>
      </c>
      <c r="AR443" t="s">
        <v>0</v>
      </c>
      <c r="AT443" s="2" t="s">
        <v>126</v>
      </c>
      <c r="AU443" s="1">
        <f t="shared" si="51"/>
        <v>4.4685167639345549</v>
      </c>
      <c r="AV443" s="1">
        <f t="shared" si="52"/>
        <v>3.2066730063155622</v>
      </c>
      <c r="AW443" s="1">
        <f t="shared" si="53"/>
        <v>1.9448292486965695</v>
      </c>
    </row>
    <row r="444" spans="1:49" x14ac:dyDescent="0.2">
      <c r="A444">
        <v>442</v>
      </c>
      <c r="B444" t="s">
        <v>5946</v>
      </c>
      <c r="C444" t="s">
        <v>5945</v>
      </c>
      <c r="F444" t="s">
        <v>5944</v>
      </c>
      <c r="G444" t="s">
        <v>14</v>
      </c>
      <c r="H444" t="s">
        <v>13</v>
      </c>
      <c r="I444" t="s">
        <v>5943</v>
      </c>
      <c r="J444">
        <v>60031544</v>
      </c>
      <c r="K444" t="s">
        <v>5942</v>
      </c>
      <c r="L444" t="s">
        <v>5941</v>
      </c>
      <c r="M444" t="s">
        <v>357</v>
      </c>
      <c r="N444">
        <v>3</v>
      </c>
      <c r="O444" t="s">
        <v>5940</v>
      </c>
      <c r="P444" t="s">
        <v>5939</v>
      </c>
      <c r="Q444" t="s">
        <v>5938</v>
      </c>
      <c r="R444" s="7">
        <v>32874</v>
      </c>
      <c r="S444" s="8">
        <f t="shared" si="48"/>
        <v>1990</v>
      </c>
      <c r="T444" s="8">
        <v>1990</v>
      </c>
      <c r="U444" s="8">
        <f t="shared" si="49"/>
        <v>32</v>
      </c>
      <c r="V444" s="7">
        <v>33147</v>
      </c>
      <c r="W444" t="s">
        <v>2249</v>
      </c>
      <c r="X444" s="2">
        <v>1.6519999999999999</v>
      </c>
      <c r="Y444" s="6">
        <f t="shared" si="54"/>
        <v>4.409919649769093E-2</v>
      </c>
      <c r="AA444" t="s">
        <v>2248</v>
      </c>
      <c r="AB444">
        <v>17337</v>
      </c>
      <c r="AC444">
        <v>15582221</v>
      </c>
      <c r="AD444" t="s">
        <v>5</v>
      </c>
      <c r="AE444">
        <v>38</v>
      </c>
      <c r="AF444">
        <v>10</v>
      </c>
      <c r="AH444" t="s">
        <v>5937</v>
      </c>
      <c r="AI444" t="s">
        <v>5936</v>
      </c>
      <c r="AK444" t="s">
        <v>5935</v>
      </c>
      <c r="AL444">
        <v>87</v>
      </c>
      <c r="AM444" s="5">
        <f t="shared" si="50"/>
        <v>2.71875</v>
      </c>
      <c r="AN444" s="4">
        <f t="shared" si="55"/>
        <v>4.1177584248390763E-3</v>
      </c>
      <c r="AO444" s="3"/>
      <c r="AP444">
        <v>0</v>
      </c>
      <c r="AR444" t="s">
        <v>0</v>
      </c>
      <c r="AT444" s="2" t="s">
        <v>126</v>
      </c>
      <c r="AU444" s="1">
        <f t="shared" si="51"/>
        <v>3.2104765075835373</v>
      </c>
      <c r="AV444" s="1">
        <f t="shared" si="52"/>
        <v>2.4108477461265001</v>
      </c>
      <c r="AW444" s="1">
        <f t="shared" si="53"/>
        <v>1.6112189846694629</v>
      </c>
    </row>
    <row r="445" spans="1:49" x14ac:dyDescent="0.2">
      <c r="A445">
        <v>443</v>
      </c>
      <c r="B445" t="s">
        <v>5934</v>
      </c>
      <c r="C445" t="s">
        <v>5933</v>
      </c>
      <c r="F445" t="s">
        <v>5932</v>
      </c>
      <c r="G445" t="s">
        <v>14</v>
      </c>
      <c r="H445" t="s">
        <v>13</v>
      </c>
      <c r="I445" t="s">
        <v>5931</v>
      </c>
      <c r="J445" t="s">
        <v>5930</v>
      </c>
      <c r="K445" t="s">
        <v>5929</v>
      </c>
      <c r="L445" t="s">
        <v>5928</v>
      </c>
      <c r="M445" t="s">
        <v>5927</v>
      </c>
      <c r="N445">
        <v>4</v>
      </c>
      <c r="O445" t="s">
        <v>5926</v>
      </c>
      <c r="P445" t="s">
        <v>5925</v>
      </c>
      <c r="Q445" t="s">
        <v>5924</v>
      </c>
      <c r="R445" s="7">
        <v>32874</v>
      </c>
      <c r="S445" s="8">
        <f t="shared" ref="S445:S508" si="56">YEAR(R445)</f>
        <v>1990</v>
      </c>
      <c r="T445" s="8">
        <v>1990</v>
      </c>
      <c r="U445" s="8">
        <f t="shared" ref="U445:U508" si="57">2022-T445</f>
        <v>32</v>
      </c>
      <c r="V445" s="7">
        <v>32874</v>
      </c>
      <c r="W445" t="s">
        <v>1380</v>
      </c>
      <c r="X445" s="2">
        <v>0.375</v>
      </c>
      <c r="Y445" s="6">
        <f t="shared" si="54"/>
        <v>1.0010410827260351E-2</v>
      </c>
      <c r="AA445">
        <v>135194</v>
      </c>
      <c r="AB445">
        <v>24918</v>
      </c>
      <c r="AD445" t="s">
        <v>5</v>
      </c>
      <c r="AE445">
        <v>26</v>
      </c>
      <c r="AF445">
        <v>22</v>
      </c>
      <c r="AH445" t="s">
        <v>5923</v>
      </c>
      <c r="AI445" t="s">
        <v>5922</v>
      </c>
      <c r="AJ445" t="s">
        <v>5921</v>
      </c>
      <c r="AK445" t="s">
        <v>5920</v>
      </c>
      <c r="AL445">
        <v>0</v>
      </c>
      <c r="AM445" s="5">
        <f t="shared" ref="AM445:AM508" si="58">AL445/U445</f>
        <v>0</v>
      </c>
      <c r="AN445" s="4">
        <f t="shared" si="55"/>
        <v>0</v>
      </c>
      <c r="AO445" s="3"/>
      <c r="AP445">
        <v>0</v>
      </c>
      <c r="AR445" t="s">
        <v>0</v>
      </c>
      <c r="AT445" s="2">
        <v>1.3140000000000001</v>
      </c>
      <c r="AU445" s="1">
        <f t="shared" ref="AU445:AU508" si="59">(Y445*0.7+AN445*0.3)*100</f>
        <v>0.70072875790822453</v>
      </c>
      <c r="AV445" s="1">
        <f t="shared" ref="AV445:AV508" si="60">(Y445*0.5+AN445*0.5)*100</f>
        <v>0.5005205413630176</v>
      </c>
      <c r="AW445" s="1">
        <f t="shared" ref="AW445:AW508" si="61">(Y445*0.3+AN445*0.7)*100</f>
        <v>0.30031232481781051</v>
      </c>
    </row>
    <row r="446" spans="1:49" x14ac:dyDescent="0.2">
      <c r="A446">
        <v>444</v>
      </c>
      <c r="B446" t="s">
        <v>5919</v>
      </c>
      <c r="C446" t="s">
        <v>5918</v>
      </c>
      <c r="F446" t="s">
        <v>5917</v>
      </c>
      <c r="G446" t="s">
        <v>14</v>
      </c>
      <c r="H446" t="s">
        <v>13</v>
      </c>
      <c r="I446" t="s">
        <v>5916</v>
      </c>
      <c r="J446">
        <v>60016983</v>
      </c>
      <c r="K446" t="s">
        <v>5915</v>
      </c>
      <c r="L446" t="s">
        <v>5914</v>
      </c>
      <c r="M446" t="s">
        <v>1937</v>
      </c>
      <c r="N446">
        <v>2</v>
      </c>
      <c r="O446" t="s">
        <v>5913</v>
      </c>
      <c r="P446" t="s">
        <v>5912</v>
      </c>
      <c r="Q446" t="s">
        <v>5911</v>
      </c>
      <c r="R446" s="7">
        <v>32874</v>
      </c>
      <c r="S446" s="8">
        <f t="shared" si="56"/>
        <v>1990</v>
      </c>
      <c r="T446" s="8">
        <v>1990</v>
      </c>
      <c r="U446" s="8">
        <f t="shared" si="57"/>
        <v>32</v>
      </c>
      <c r="V446" s="7">
        <v>33147</v>
      </c>
      <c r="W446" t="s">
        <v>2249</v>
      </c>
      <c r="X446" s="2">
        <v>1.6519999999999999</v>
      </c>
      <c r="Y446" s="6">
        <f t="shared" si="54"/>
        <v>4.409919649769093E-2</v>
      </c>
      <c r="AA446" t="s">
        <v>2248</v>
      </c>
      <c r="AB446">
        <v>17337</v>
      </c>
      <c r="AC446">
        <v>15582221</v>
      </c>
      <c r="AD446" t="s">
        <v>5</v>
      </c>
      <c r="AE446">
        <v>38</v>
      </c>
      <c r="AF446">
        <v>10</v>
      </c>
      <c r="AH446" t="s">
        <v>5910</v>
      </c>
      <c r="AI446" t="s">
        <v>5909</v>
      </c>
      <c r="AK446" t="s">
        <v>5908</v>
      </c>
      <c r="AL446">
        <v>120</v>
      </c>
      <c r="AM446" s="5">
        <f t="shared" si="58"/>
        <v>3.75</v>
      </c>
      <c r="AN446" s="4">
        <f t="shared" si="55"/>
        <v>5.6796667928814843E-3</v>
      </c>
      <c r="AO446" s="3"/>
      <c r="AP446">
        <v>0</v>
      </c>
      <c r="AR446" t="s">
        <v>0</v>
      </c>
      <c r="AT446" s="2" t="s">
        <v>126</v>
      </c>
      <c r="AU446" s="1">
        <f t="shared" si="59"/>
        <v>3.2573337586248092</v>
      </c>
      <c r="AV446" s="1">
        <f t="shared" si="60"/>
        <v>2.4889431645286209</v>
      </c>
      <c r="AW446" s="1">
        <f t="shared" si="61"/>
        <v>1.7205525704324316</v>
      </c>
    </row>
    <row r="447" spans="1:49" x14ac:dyDescent="0.2">
      <c r="A447">
        <v>445</v>
      </c>
      <c r="B447" t="s">
        <v>5907</v>
      </c>
      <c r="C447" t="s">
        <v>5906</v>
      </c>
      <c r="F447" t="s">
        <v>5905</v>
      </c>
      <c r="G447" t="s">
        <v>14</v>
      </c>
      <c r="H447" t="s">
        <v>13</v>
      </c>
      <c r="I447" t="s">
        <v>5904</v>
      </c>
      <c r="J447">
        <v>60016849</v>
      </c>
      <c r="K447" t="s">
        <v>5903</v>
      </c>
      <c r="L447" t="s">
        <v>5902</v>
      </c>
      <c r="M447" t="s">
        <v>1937</v>
      </c>
      <c r="N447">
        <v>2</v>
      </c>
      <c r="O447" t="s">
        <v>5901</v>
      </c>
      <c r="P447" t="s">
        <v>5900</v>
      </c>
      <c r="Q447" t="s">
        <v>5899</v>
      </c>
      <c r="R447" s="7">
        <v>32874</v>
      </c>
      <c r="S447" s="8">
        <f t="shared" si="56"/>
        <v>1990</v>
      </c>
      <c r="T447" s="8">
        <v>1990</v>
      </c>
      <c r="U447" s="8">
        <f t="shared" si="57"/>
        <v>32</v>
      </c>
      <c r="V447" s="7">
        <v>33147</v>
      </c>
      <c r="W447" t="s">
        <v>2249</v>
      </c>
      <c r="X447" s="2">
        <v>1.6519999999999999</v>
      </c>
      <c r="Y447" s="6">
        <f t="shared" si="54"/>
        <v>4.409919649769093E-2</v>
      </c>
      <c r="AA447" t="s">
        <v>2248</v>
      </c>
      <c r="AB447">
        <v>17337</v>
      </c>
      <c r="AC447">
        <v>15582221</v>
      </c>
      <c r="AD447" t="s">
        <v>5</v>
      </c>
      <c r="AE447">
        <v>38</v>
      </c>
      <c r="AF447">
        <v>10</v>
      </c>
      <c r="AH447" t="s">
        <v>5898</v>
      </c>
      <c r="AI447" t="s">
        <v>5897</v>
      </c>
      <c r="AK447" t="s">
        <v>5896</v>
      </c>
      <c r="AL447">
        <v>41</v>
      </c>
      <c r="AM447" s="5">
        <f t="shared" si="58"/>
        <v>1.28125</v>
      </c>
      <c r="AN447" s="4">
        <f t="shared" si="55"/>
        <v>1.9405528209011738E-3</v>
      </c>
      <c r="AO447" s="3"/>
      <c r="AP447">
        <v>0</v>
      </c>
      <c r="AR447" t="s">
        <v>0</v>
      </c>
      <c r="AT447" s="2" t="s">
        <v>126</v>
      </c>
      <c r="AU447" s="1">
        <f t="shared" si="59"/>
        <v>3.1451603394654004</v>
      </c>
      <c r="AV447" s="1">
        <f t="shared" si="60"/>
        <v>2.3019874659296051</v>
      </c>
      <c r="AW447" s="1">
        <f t="shared" si="61"/>
        <v>1.4588145923938101</v>
      </c>
    </row>
    <row r="448" spans="1:49" x14ac:dyDescent="0.2">
      <c r="A448">
        <v>446</v>
      </c>
      <c r="B448" t="s">
        <v>5895</v>
      </c>
      <c r="C448" t="s">
        <v>5894</v>
      </c>
      <c r="F448" t="s">
        <v>5893</v>
      </c>
      <c r="G448" t="s">
        <v>14</v>
      </c>
      <c r="H448" t="s">
        <v>13</v>
      </c>
      <c r="I448" t="s">
        <v>5892</v>
      </c>
      <c r="J448">
        <v>60003500</v>
      </c>
      <c r="K448" t="s">
        <v>3159</v>
      </c>
      <c r="L448" t="s">
        <v>3158</v>
      </c>
      <c r="M448" t="s">
        <v>197</v>
      </c>
      <c r="N448">
        <v>2</v>
      </c>
      <c r="O448" t="s">
        <v>5891</v>
      </c>
      <c r="P448" t="s">
        <v>5890</v>
      </c>
      <c r="Q448" t="s">
        <v>5845</v>
      </c>
      <c r="R448" s="7">
        <v>32874</v>
      </c>
      <c r="S448" s="8">
        <f t="shared" si="56"/>
        <v>1990</v>
      </c>
      <c r="T448" s="8">
        <v>1990</v>
      </c>
      <c r="U448" s="8">
        <f t="shared" si="57"/>
        <v>32</v>
      </c>
      <c r="V448" s="7">
        <v>33147</v>
      </c>
      <c r="W448" t="s">
        <v>2249</v>
      </c>
      <c r="X448" s="2">
        <v>1.6519999999999999</v>
      </c>
      <c r="Y448" s="6">
        <f t="shared" si="54"/>
        <v>4.409919649769093E-2</v>
      </c>
      <c r="AA448" t="s">
        <v>2248</v>
      </c>
      <c r="AB448">
        <v>17337</v>
      </c>
      <c r="AC448">
        <v>15582221</v>
      </c>
      <c r="AD448" t="s">
        <v>5</v>
      </c>
      <c r="AE448">
        <v>38</v>
      </c>
      <c r="AF448">
        <v>10</v>
      </c>
      <c r="AH448" t="s">
        <v>5889</v>
      </c>
      <c r="AI448" t="s">
        <v>5888</v>
      </c>
      <c r="AK448" t="s">
        <v>5887</v>
      </c>
      <c r="AL448">
        <v>6</v>
      </c>
      <c r="AM448" s="5">
        <f t="shared" si="58"/>
        <v>0.1875</v>
      </c>
      <c r="AN448" s="4">
        <f t="shared" si="55"/>
        <v>2.8398333964407423E-4</v>
      </c>
      <c r="AO448" s="3"/>
      <c r="AP448">
        <v>0</v>
      </c>
      <c r="AR448" t="s">
        <v>0</v>
      </c>
      <c r="AT448" s="2" t="s">
        <v>126</v>
      </c>
      <c r="AU448" s="1">
        <f t="shared" si="59"/>
        <v>3.095463255027687</v>
      </c>
      <c r="AV448" s="1">
        <f t="shared" si="60"/>
        <v>2.2191589918667503</v>
      </c>
      <c r="AW448" s="1">
        <f t="shared" si="61"/>
        <v>1.342854728705813</v>
      </c>
    </row>
    <row r="449" spans="1:49" x14ac:dyDescent="0.2">
      <c r="A449">
        <v>447</v>
      </c>
      <c r="B449" t="s">
        <v>5886</v>
      </c>
      <c r="C449" t="s">
        <v>5885</v>
      </c>
      <c r="F449" t="s">
        <v>5884</v>
      </c>
      <c r="G449" t="s">
        <v>14</v>
      </c>
      <c r="H449" t="s">
        <v>13</v>
      </c>
      <c r="I449" t="s">
        <v>5883</v>
      </c>
      <c r="J449">
        <v>60027550</v>
      </c>
      <c r="K449" t="s">
        <v>3438</v>
      </c>
      <c r="L449" t="s">
        <v>280</v>
      </c>
      <c r="M449" t="s">
        <v>197</v>
      </c>
      <c r="N449">
        <v>2</v>
      </c>
      <c r="O449" t="s">
        <v>5882</v>
      </c>
      <c r="P449" t="s">
        <v>5881</v>
      </c>
      <c r="Q449" t="s">
        <v>3435</v>
      </c>
      <c r="R449" s="7">
        <v>32874</v>
      </c>
      <c r="S449" s="8">
        <f t="shared" si="56"/>
        <v>1990</v>
      </c>
      <c r="T449" s="8">
        <v>1990</v>
      </c>
      <c r="U449" s="8">
        <f t="shared" si="57"/>
        <v>32</v>
      </c>
      <c r="V449" s="7">
        <v>33147</v>
      </c>
      <c r="W449" t="s">
        <v>1309</v>
      </c>
      <c r="X449" s="2">
        <v>1.3720000000000001</v>
      </c>
      <c r="Y449" s="6">
        <f t="shared" si="54"/>
        <v>3.662475641333654E-2</v>
      </c>
      <c r="AA449">
        <v>189480</v>
      </c>
      <c r="AB449">
        <v>17366</v>
      </c>
      <c r="AC449">
        <v>15579670</v>
      </c>
      <c r="AD449" t="s">
        <v>5</v>
      </c>
      <c r="AE449">
        <v>38</v>
      </c>
      <c r="AF449">
        <v>10</v>
      </c>
      <c r="AH449" t="s">
        <v>5880</v>
      </c>
      <c r="AI449" t="s">
        <v>5879</v>
      </c>
      <c r="AK449" t="s">
        <v>5878</v>
      </c>
      <c r="AL449">
        <v>21</v>
      </c>
      <c r="AM449" s="5">
        <f t="shared" si="58"/>
        <v>0.65625</v>
      </c>
      <c r="AN449" s="4">
        <f t="shared" si="55"/>
        <v>9.9394168875425971E-4</v>
      </c>
      <c r="AO449" s="3"/>
      <c r="AP449">
        <v>0</v>
      </c>
      <c r="AR449" t="s">
        <v>0</v>
      </c>
      <c r="AT449" s="2" t="s">
        <v>126</v>
      </c>
      <c r="AU449" s="1">
        <f t="shared" si="59"/>
        <v>2.5935511995961851</v>
      </c>
      <c r="AV449" s="1">
        <f t="shared" si="60"/>
        <v>1.8809349051045401</v>
      </c>
      <c r="AW449" s="1">
        <f t="shared" si="61"/>
        <v>1.1683186106128944</v>
      </c>
    </row>
    <row r="450" spans="1:49" x14ac:dyDescent="0.2">
      <c r="A450">
        <v>448</v>
      </c>
      <c r="B450" t="s">
        <v>5877</v>
      </c>
      <c r="C450" t="s">
        <v>5876</v>
      </c>
      <c r="F450" t="s">
        <v>5875</v>
      </c>
      <c r="G450" t="s">
        <v>14</v>
      </c>
      <c r="H450" t="s">
        <v>13</v>
      </c>
      <c r="I450" t="s">
        <v>5874</v>
      </c>
      <c r="J450" t="s">
        <v>5868</v>
      </c>
      <c r="K450" t="s">
        <v>5873</v>
      </c>
      <c r="L450" t="s">
        <v>5872</v>
      </c>
      <c r="M450" t="s">
        <v>5871</v>
      </c>
      <c r="N450">
        <v>2</v>
      </c>
      <c r="O450" t="s">
        <v>5870</v>
      </c>
      <c r="P450" t="s">
        <v>5869</v>
      </c>
      <c r="Q450" t="s">
        <v>5868</v>
      </c>
      <c r="R450" s="7">
        <v>32874</v>
      </c>
      <c r="S450" s="8">
        <f t="shared" si="56"/>
        <v>1990</v>
      </c>
      <c r="T450" s="8">
        <v>1990</v>
      </c>
      <c r="U450" s="8">
        <f t="shared" si="57"/>
        <v>32</v>
      </c>
      <c r="V450" s="7">
        <v>33147</v>
      </c>
      <c r="W450" t="s">
        <v>5867</v>
      </c>
      <c r="X450" s="2" t="s">
        <v>126</v>
      </c>
      <c r="Y450" s="6" t="e">
        <f t="shared" ref="Y450:Y513" si="62">(X450-$Z$4)/($Z$3-$Z$4)</f>
        <v>#VALUE!</v>
      </c>
      <c r="AA450">
        <v>984094</v>
      </c>
      <c r="AB450">
        <v>40260</v>
      </c>
      <c r="AD450" t="s">
        <v>5</v>
      </c>
      <c r="AE450">
        <v>37</v>
      </c>
      <c r="AF450">
        <v>10</v>
      </c>
      <c r="AH450" t="s">
        <v>5866</v>
      </c>
      <c r="AI450" t="s">
        <v>5865</v>
      </c>
      <c r="AK450" t="s">
        <v>5864</v>
      </c>
      <c r="AL450">
        <v>4</v>
      </c>
      <c r="AM450" s="5">
        <f t="shared" si="58"/>
        <v>0.125</v>
      </c>
      <c r="AN450" s="4">
        <f t="shared" ref="AN450:AN513" si="63">(AM450-$AO$4)/($AO$3-$AO$4)</f>
        <v>1.893222264293828E-4</v>
      </c>
      <c r="AO450" s="3"/>
      <c r="AP450">
        <v>0</v>
      </c>
      <c r="AR450" t="s">
        <v>0</v>
      </c>
      <c r="AT450" s="2" t="s">
        <v>126</v>
      </c>
      <c r="AU450" s="1" t="e">
        <f t="shared" si="59"/>
        <v>#VALUE!</v>
      </c>
      <c r="AV450" s="1" t="e">
        <f t="shared" si="60"/>
        <v>#VALUE!</v>
      </c>
      <c r="AW450" s="1" t="e">
        <f t="shared" si="61"/>
        <v>#VALUE!</v>
      </c>
    </row>
    <row r="451" spans="1:49" x14ac:dyDescent="0.2">
      <c r="A451">
        <v>449</v>
      </c>
      <c r="B451" t="s">
        <v>5863</v>
      </c>
      <c r="C451" t="s">
        <v>5862</v>
      </c>
      <c r="F451" t="s">
        <v>5861</v>
      </c>
      <c r="G451" t="s">
        <v>14</v>
      </c>
      <c r="H451" t="s">
        <v>13</v>
      </c>
      <c r="I451" t="s">
        <v>5860</v>
      </c>
      <c r="J451">
        <v>60000886</v>
      </c>
      <c r="K451" t="s">
        <v>5859</v>
      </c>
      <c r="L451" t="s">
        <v>5858</v>
      </c>
      <c r="M451" t="s">
        <v>267</v>
      </c>
      <c r="N451">
        <v>2</v>
      </c>
      <c r="O451" t="s">
        <v>5857</v>
      </c>
      <c r="P451" t="s">
        <v>5856</v>
      </c>
      <c r="Q451" t="s">
        <v>5855</v>
      </c>
      <c r="R451" s="7">
        <v>32874</v>
      </c>
      <c r="S451" s="8">
        <f t="shared" si="56"/>
        <v>1990</v>
      </c>
      <c r="T451" s="8">
        <v>1990</v>
      </c>
      <c r="U451" s="8">
        <f t="shared" si="57"/>
        <v>32</v>
      </c>
      <c r="V451" s="7">
        <v>33147</v>
      </c>
      <c r="W451" t="s">
        <v>2288</v>
      </c>
      <c r="X451" s="2">
        <v>0.111</v>
      </c>
      <c r="Y451" s="6">
        <f t="shared" si="62"/>
        <v>2.9630816048690639E-3</v>
      </c>
      <c r="AA451">
        <v>87566621</v>
      </c>
      <c r="AB451">
        <v>24890</v>
      </c>
      <c r="AC451">
        <v>15206424</v>
      </c>
      <c r="AD451" t="s">
        <v>5</v>
      </c>
      <c r="AE451">
        <v>73</v>
      </c>
      <c r="AF451">
        <v>10</v>
      </c>
      <c r="AH451" t="s">
        <v>5854</v>
      </c>
      <c r="AI451" t="s">
        <v>5853</v>
      </c>
      <c r="AK451" t="s">
        <v>5852</v>
      </c>
      <c r="AL451">
        <v>2</v>
      </c>
      <c r="AM451" s="5">
        <f t="shared" si="58"/>
        <v>6.25E-2</v>
      </c>
      <c r="AN451" s="4">
        <f t="shared" si="63"/>
        <v>9.46611132146914E-5</v>
      </c>
      <c r="AO451" s="3"/>
      <c r="AP451">
        <v>0</v>
      </c>
      <c r="AR451" t="s">
        <v>0</v>
      </c>
      <c r="AT451" s="2" t="s">
        <v>126</v>
      </c>
      <c r="AU451" s="1">
        <f t="shared" si="59"/>
        <v>0.2102555457372752</v>
      </c>
      <c r="AV451" s="1">
        <f t="shared" si="60"/>
        <v>0.15288713590418776</v>
      </c>
      <c r="AW451" s="1">
        <f t="shared" si="61"/>
        <v>9.5518726071100304E-2</v>
      </c>
    </row>
    <row r="452" spans="1:49" x14ac:dyDescent="0.2">
      <c r="A452">
        <v>450</v>
      </c>
      <c r="B452" t="s">
        <v>5851</v>
      </c>
      <c r="C452" t="s">
        <v>5850</v>
      </c>
      <c r="F452" t="s">
        <v>5849</v>
      </c>
      <c r="G452" t="s">
        <v>14</v>
      </c>
      <c r="H452" t="s">
        <v>13</v>
      </c>
      <c r="I452" t="s">
        <v>5848</v>
      </c>
      <c r="J452">
        <v>60003500</v>
      </c>
      <c r="K452" t="s">
        <v>3159</v>
      </c>
      <c r="L452" t="s">
        <v>3158</v>
      </c>
      <c r="M452" t="s">
        <v>197</v>
      </c>
      <c r="N452">
        <v>2</v>
      </c>
      <c r="O452" t="s">
        <v>5847</v>
      </c>
      <c r="P452" t="s">
        <v>5846</v>
      </c>
      <c r="Q452" t="s">
        <v>5845</v>
      </c>
      <c r="R452" s="7">
        <v>32874</v>
      </c>
      <c r="S452" s="8">
        <f t="shared" si="56"/>
        <v>1990</v>
      </c>
      <c r="T452" s="8">
        <v>1990</v>
      </c>
      <c r="U452" s="8">
        <f t="shared" si="57"/>
        <v>32</v>
      </c>
      <c r="V452" s="7">
        <v>33147</v>
      </c>
      <c r="W452" t="s">
        <v>2249</v>
      </c>
      <c r="X452" s="2">
        <v>1.6519999999999999</v>
      </c>
      <c r="Y452" s="6">
        <f t="shared" si="62"/>
        <v>4.409919649769093E-2</v>
      </c>
      <c r="AA452" t="s">
        <v>2248</v>
      </c>
      <c r="AB452">
        <v>17337</v>
      </c>
      <c r="AC452">
        <v>15582221</v>
      </c>
      <c r="AD452" t="s">
        <v>5</v>
      </c>
      <c r="AE452">
        <v>38</v>
      </c>
      <c r="AF452">
        <v>10</v>
      </c>
      <c r="AH452" t="s">
        <v>5844</v>
      </c>
      <c r="AI452" t="s">
        <v>5843</v>
      </c>
      <c r="AK452" t="s">
        <v>5842</v>
      </c>
      <c r="AL452">
        <v>202</v>
      </c>
      <c r="AM452" s="5">
        <f t="shared" si="58"/>
        <v>6.3125</v>
      </c>
      <c r="AN452" s="4">
        <f t="shared" si="63"/>
        <v>9.5607724346838327E-3</v>
      </c>
      <c r="AO452" s="3"/>
      <c r="AP452">
        <v>0</v>
      </c>
      <c r="AR452" t="s">
        <v>0</v>
      </c>
      <c r="AT452" s="2" t="s">
        <v>126</v>
      </c>
      <c r="AU452" s="1">
        <f t="shared" si="59"/>
        <v>3.3737669278788802</v>
      </c>
      <c r="AV452" s="1">
        <f t="shared" si="60"/>
        <v>2.682998446618738</v>
      </c>
      <c r="AW452" s="1">
        <f t="shared" si="61"/>
        <v>1.992229965358596</v>
      </c>
    </row>
    <row r="453" spans="1:49" x14ac:dyDescent="0.2">
      <c r="A453">
        <v>451</v>
      </c>
      <c r="B453" t="s">
        <v>5841</v>
      </c>
      <c r="C453" t="s">
        <v>5840</v>
      </c>
      <c r="F453" t="s">
        <v>5839</v>
      </c>
      <c r="G453" t="s">
        <v>14</v>
      </c>
      <c r="H453" t="s">
        <v>13</v>
      </c>
      <c r="I453" t="s">
        <v>5546</v>
      </c>
      <c r="J453">
        <v>60013141</v>
      </c>
      <c r="K453" t="s">
        <v>5467</v>
      </c>
      <c r="L453" t="s">
        <v>5466</v>
      </c>
      <c r="M453" t="s">
        <v>5465</v>
      </c>
      <c r="N453">
        <v>1</v>
      </c>
      <c r="O453" t="s">
        <v>5545</v>
      </c>
      <c r="P453">
        <v>7101988263</v>
      </c>
      <c r="Q453">
        <v>60013141</v>
      </c>
      <c r="R453" s="7">
        <v>32874</v>
      </c>
      <c r="S453" s="8">
        <f t="shared" si="56"/>
        <v>1990</v>
      </c>
      <c r="T453" s="8">
        <v>1990</v>
      </c>
      <c r="U453" s="8">
        <f t="shared" si="57"/>
        <v>32</v>
      </c>
      <c r="V453" s="7">
        <v>33147</v>
      </c>
      <c r="W453" t="s">
        <v>2249</v>
      </c>
      <c r="X453" s="2">
        <v>1.6519999999999999</v>
      </c>
      <c r="Y453" s="6">
        <f t="shared" si="62"/>
        <v>4.409919649769093E-2</v>
      </c>
      <c r="AA453" t="s">
        <v>2248</v>
      </c>
      <c r="AB453">
        <v>17337</v>
      </c>
      <c r="AC453">
        <v>15582221</v>
      </c>
      <c r="AD453" t="s">
        <v>5</v>
      </c>
      <c r="AE453">
        <v>38</v>
      </c>
      <c r="AF453">
        <v>10</v>
      </c>
      <c r="AH453" t="s">
        <v>5838</v>
      </c>
      <c r="AI453" t="s">
        <v>5837</v>
      </c>
      <c r="AK453" t="s">
        <v>5836</v>
      </c>
      <c r="AL453">
        <v>72</v>
      </c>
      <c r="AM453" s="5">
        <f t="shared" si="58"/>
        <v>2.25</v>
      </c>
      <c r="AN453" s="4">
        <f t="shared" si="63"/>
        <v>3.4078000757288905E-3</v>
      </c>
      <c r="AO453" s="3"/>
      <c r="AP453">
        <v>0</v>
      </c>
      <c r="AR453" t="s">
        <v>0</v>
      </c>
      <c r="AT453" s="2" t="s">
        <v>126</v>
      </c>
      <c r="AU453" s="1">
        <f t="shared" si="59"/>
        <v>3.1891777571102313</v>
      </c>
      <c r="AV453" s="1">
        <f t="shared" si="60"/>
        <v>2.3753498286709909</v>
      </c>
      <c r="AW453" s="1">
        <f t="shared" si="61"/>
        <v>1.5615219002317502</v>
      </c>
    </row>
    <row r="454" spans="1:49" x14ac:dyDescent="0.2">
      <c r="A454">
        <v>452</v>
      </c>
      <c r="B454" t="s">
        <v>5835</v>
      </c>
      <c r="C454" t="s">
        <v>5834</v>
      </c>
      <c r="F454" t="s">
        <v>5833</v>
      </c>
      <c r="G454" t="s">
        <v>14</v>
      </c>
      <c r="H454" t="s">
        <v>13</v>
      </c>
      <c r="I454" t="s">
        <v>5832</v>
      </c>
      <c r="J454">
        <v>60020825</v>
      </c>
      <c r="K454" t="s">
        <v>5831</v>
      </c>
      <c r="L454" t="s">
        <v>2965</v>
      </c>
      <c r="M454" t="s">
        <v>357</v>
      </c>
      <c r="N454">
        <v>4</v>
      </c>
      <c r="O454" t="s">
        <v>5830</v>
      </c>
      <c r="P454" t="s">
        <v>5829</v>
      </c>
      <c r="Q454" t="s">
        <v>5828</v>
      </c>
      <c r="R454" s="7">
        <v>32874</v>
      </c>
      <c r="S454" s="8">
        <f t="shared" si="56"/>
        <v>1990</v>
      </c>
      <c r="T454" s="8">
        <v>1990</v>
      </c>
      <c r="U454" s="8">
        <f t="shared" si="57"/>
        <v>32</v>
      </c>
      <c r="V454" s="7">
        <v>33147</v>
      </c>
      <c r="W454" t="s">
        <v>2249</v>
      </c>
      <c r="X454" s="2">
        <v>1.6519999999999999</v>
      </c>
      <c r="Y454" s="6">
        <f t="shared" si="62"/>
        <v>4.409919649769093E-2</v>
      </c>
      <c r="AA454" t="s">
        <v>2248</v>
      </c>
      <c r="AB454">
        <v>17337</v>
      </c>
      <c r="AC454">
        <v>15582221</v>
      </c>
      <c r="AD454" t="s">
        <v>5</v>
      </c>
      <c r="AE454">
        <v>38</v>
      </c>
      <c r="AF454">
        <v>10</v>
      </c>
      <c r="AH454" t="s">
        <v>5827</v>
      </c>
      <c r="AI454" t="s">
        <v>5826</v>
      </c>
      <c r="AK454" t="s">
        <v>5825</v>
      </c>
      <c r="AL454">
        <v>6</v>
      </c>
      <c r="AM454" s="5">
        <f t="shared" si="58"/>
        <v>0.1875</v>
      </c>
      <c r="AN454" s="4">
        <f t="shared" si="63"/>
        <v>2.8398333964407423E-4</v>
      </c>
      <c r="AO454" s="3"/>
      <c r="AP454">
        <v>0</v>
      </c>
      <c r="AR454" t="s">
        <v>0</v>
      </c>
      <c r="AT454" s="2" t="s">
        <v>126</v>
      </c>
      <c r="AU454" s="1">
        <f t="shared" si="59"/>
        <v>3.095463255027687</v>
      </c>
      <c r="AV454" s="1">
        <f t="shared" si="60"/>
        <v>2.2191589918667503</v>
      </c>
      <c r="AW454" s="1">
        <f t="shared" si="61"/>
        <v>1.342854728705813</v>
      </c>
    </row>
    <row r="455" spans="1:49" x14ac:dyDescent="0.2">
      <c r="A455">
        <v>453</v>
      </c>
      <c r="B455" t="s">
        <v>5824</v>
      </c>
      <c r="C455" t="s">
        <v>5823</v>
      </c>
      <c r="F455" t="s">
        <v>5822</v>
      </c>
      <c r="G455" t="s">
        <v>14</v>
      </c>
      <c r="H455" t="s">
        <v>13</v>
      </c>
      <c r="I455" t="s">
        <v>5821</v>
      </c>
      <c r="J455">
        <v>60003500</v>
      </c>
      <c r="K455" t="s">
        <v>3159</v>
      </c>
      <c r="L455" t="s">
        <v>3158</v>
      </c>
      <c r="M455" t="s">
        <v>197</v>
      </c>
      <c r="N455">
        <v>3</v>
      </c>
      <c r="O455" t="s">
        <v>5820</v>
      </c>
      <c r="P455" t="s">
        <v>5819</v>
      </c>
      <c r="Q455" t="s">
        <v>3906</v>
      </c>
      <c r="R455" s="7">
        <v>32874</v>
      </c>
      <c r="S455" s="8">
        <f t="shared" si="56"/>
        <v>1990</v>
      </c>
      <c r="T455" s="8">
        <v>1990</v>
      </c>
      <c r="U455" s="8">
        <f t="shared" si="57"/>
        <v>32</v>
      </c>
      <c r="V455" s="7">
        <v>33147</v>
      </c>
      <c r="W455" t="s">
        <v>2249</v>
      </c>
      <c r="X455" s="2">
        <v>1.6519999999999999</v>
      </c>
      <c r="Y455" s="6">
        <f t="shared" si="62"/>
        <v>4.409919649769093E-2</v>
      </c>
      <c r="AA455" t="s">
        <v>2248</v>
      </c>
      <c r="AB455">
        <v>17337</v>
      </c>
      <c r="AC455">
        <v>15582221</v>
      </c>
      <c r="AD455" t="s">
        <v>5</v>
      </c>
      <c r="AE455">
        <v>38</v>
      </c>
      <c r="AF455">
        <v>10</v>
      </c>
      <c r="AH455" t="s">
        <v>5818</v>
      </c>
      <c r="AI455" t="s">
        <v>5817</v>
      </c>
      <c r="AK455" t="s">
        <v>5816</v>
      </c>
      <c r="AL455">
        <v>1</v>
      </c>
      <c r="AM455" s="5">
        <f t="shared" si="58"/>
        <v>3.125E-2</v>
      </c>
      <c r="AN455" s="4">
        <f t="shared" si="63"/>
        <v>4.73305566073457E-5</v>
      </c>
      <c r="AO455" s="3"/>
      <c r="AP455">
        <v>0</v>
      </c>
      <c r="AR455" t="s">
        <v>0</v>
      </c>
      <c r="AT455" s="2" t="s">
        <v>126</v>
      </c>
      <c r="AU455" s="1">
        <f t="shared" si="59"/>
        <v>3.0883636715365856</v>
      </c>
      <c r="AV455" s="1">
        <f t="shared" si="60"/>
        <v>2.2073263527149138</v>
      </c>
      <c r="AW455" s="1">
        <f t="shared" si="61"/>
        <v>1.326289033893242</v>
      </c>
    </row>
    <row r="456" spans="1:49" x14ac:dyDescent="0.2">
      <c r="A456">
        <v>454</v>
      </c>
      <c r="B456" t="s">
        <v>5815</v>
      </c>
      <c r="C456" t="s">
        <v>5814</v>
      </c>
      <c r="F456" t="s">
        <v>5813</v>
      </c>
      <c r="G456" t="s">
        <v>14</v>
      </c>
      <c r="H456" t="s">
        <v>13</v>
      </c>
      <c r="I456" t="s">
        <v>5812</v>
      </c>
      <c r="J456">
        <v>60022148</v>
      </c>
      <c r="K456" t="s">
        <v>663</v>
      </c>
      <c r="L456" t="s">
        <v>662</v>
      </c>
      <c r="M456" t="s">
        <v>253</v>
      </c>
      <c r="N456">
        <v>3</v>
      </c>
      <c r="O456" t="s">
        <v>5811</v>
      </c>
      <c r="P456" t="s">
        <v>5810</v>
      </c>
      <c r="Q456" t="s">
        <v>5809</v>
      </c>
      <c r="R456" s="7">
        <v>32874</v>
      </c>
      <c r="S456" s="8">
        <f t="shared" si="56"/>
        <v>1990</v>
      </c>
      <c r="T456" s="8">
        <v>1990</v>
      </c>
      <c r="U456" s="8">
        <f t="shared" si="57"/>
        <v>32</v>
      </c>
      <c r="V456" s="7">
        <v>33147</v>
      </c>
      <c r="W456" t="s">
        <v>1380</v>
      </c>
      <c r="X456" s="2">
        <v>0.375</v>
      </c>
      <c r="Y456" s="6">
        <f t="shared" si="62"/>
        <v>1.0010410827260351E-2</v>
      </c>
      <c r="AA456">
        <v>135194</v>
      </c>
      <c r="AB456">
        <v>24918</v>
      </c>
      <c r="AD456" t="s">
        <v>5</v>
      </c>
      <c r="AE456">
        <v>26</v>
      </c>
      <c r="AF456">
        <v>22</v>
      </c>
      <c r="AH456" t="s">
        <v>5808</v>
      </c>
      <c r="AI456" t="s">
        <v>5807</v>
      </c>
      <c r="AJ456" t="s">
        <v>5806</v>
      </c>
      <c r="AK456" t="s">
        <v>5805</v>
      </c>
      <c r="AL456">
        <v>9</v>
      </c>
      <c r="AM456" s="5">
        <f t="shared" si="58"/>
        <v>0.28125</v>
      </c>
      <c r="AN456" s="4">
        <f t="shared" si="63"/>
        <v>4.2597500946611131E-4</v>
      </c>
      <c r="AO456" s="3"/>
      <c r="AP456">
        <v>0</v>
      </c>
      <c r="AR456" t="s">
        <v>0</v>
      </c>
      <c r="AT456" s="2">
        <v>1.3140000000000001</v>
      </c>
      <c r="AU456" s="1">
        <f t="shared" si="59"/>
        <v>0.71350800819220783</v>
      </c>
      <c r="AV456" s="1">
        <f t="shared" si="60"/>
        <v>0.52181929183632314</v>
      </c>
      <c r="AW456" s="1">
        <f t="shared" si="61"/>
        <v>0.33013057548043834</v>
      </c>
    </row>
    <row r="457" spans="1:49" x14ac:dyDescent="0.2">
      <c r="A457">
        <v>455</v>
      </c>
      <c r="B457" t="s">
        <v>5804</v>
      </c>
      <c r="C457" t="s">
        <v>5803</v>
      </c>
      <c r="F457" t="s">
        <v>5802</v>
      </c>
      <c r="G457" t="s">
        <v>14</v>
      </c>
      <c r="H457" t="s">
        <v>13</v>
      </c>
      <c r="I457" t="s">
        <v>5801</v>
      </c>
      <c r="J457">
        <v>60011604</v>
      </c>
      <c r="K457" t="s">
        <v>2021</v>
      </c>
      <c r="L457" t="s">
        <v>2020</v>
      </c>
      <c r="M457" t="s">
        <v>135</v>
      </c>
      <c r="N457">
        <v>2</v>
      </c>
      <c r="O457" t="s">
        <v>5800</v>
      </c>
      <c r="P457" t="s">
        <v>5799</v>
      </c>
      <c r="Q457" t="s">
        <v>3585</v>
      </c>
      <c r="R457" s="7">
        <v>32874</v>
      </c>
      <c r="S457" s="8">
        <f t="shared" si="56"/>
        <v>1990</v>
      </c>
      <c r="T457" s="8">
        <v>1990</v>
      </c>
      <c r="U457" s="8">
        <f t="shared" si="57"/>
        <v>32</v>
      </c>
      <c r="V457" s="7">
        <v>32874</v>
      </c>
      <c r="W457" t="s">
        <v>1380</v>
      </c>
      <c r="X457" s="2">
        <v>0.375</v>
      </c>
      <c r="Y457" s="6">
        <f t="shared" si="62"/>
        <v>1.0010410827260351E-2</v>
      </c>
      <c r="AA457">
        <v>135194</v>
      </c>
      <c r="AB457">
        <v>24918</v>
      </c>
      <c r="AD457" t="s">
        <v>5</v>
      </c>
      <c r="AE457">
        <v>26</v>
      </c>
      <c r="AF457">
        <v>22</v>
      </c>
      <c r="AH457" t="s">
        <v>5798</v>
      </c>
      <c r="AI457" t="s">
        <v>5797</v>
      </c>
      <c r="AJ457" t="s">
        <v>5796</v>
      </c>
      <c r="AK457" t="s">
        <v>5795</v>
      </c>
      <c r="AL457">
        <v>0</v>
      </c>
      <c r="AM457" s="5">
        <f t="shared" si="58"/>
        <v>0</v>
      </c>
      <c r="AN457" s="4">
        <f t="shared" si="63"/>
        <v>0</v>
      </c>
      <c r="AO457" s="3"/>
      <c r="AP457">
        <v>0</v>
      </c>
      <c r="AR457" t="s">
        <v>0</v>
      </c>
      <c r="AT457" s="2">
        <v>1.3140000000000001</v>
      </c>
      <c r="AU457" s="1">
        <f t="shared" si="59"/>
        <v>0.70072875790822453</v>
      </c>
      <c r="AV457" s="1">
        <f t="shared" si="60"/>
        <v>0.5005205413630176</v>
      </c>
      <c r="AW457" s="1">
        <f t="shared" si="61"/>
        <v>0.30031232481781051</v>
      </c>
    </row>
    <row r="458" spans="1:49" x14ac:dyDescent="0.2">
      <c r="A458">
        <v>456</v>
      </c>
      <c r="B458" t="s">
        <v>5794</v>
      </c>
      <c r="C458" t="s">
        <v>5793</v>
      </c>
      <c r="F458" t="s">
        <v>5792</v>
      </c>
      <c r="G458" t="s">
        <v>14</v>
      </c>
      <c r="H458" t="s">
        <v>13</v>
      </c>
      <c r="I458" t="s">
        <v>5791</v>
      </c>
      <c r="J458">
        <v>100600649</v>
      </c>
      <c r="K458" t="s">
        <v>5790</v>
      </c>
      <c r="L458" t="s">
        <v>5789</v>
      </c>
      <c r="M458" t="s">
        <v>197</v>
      </c>
      <c r="N458">
        <v>2</v>
      </c>
      <c r="O458" t="s">
        <v>5788</v>
      </c>
      <c r="P458" t="s">
        <v>5787</v>
      </c>
      <c r="Q458" t="s">
        <v>5786</v>
      </c>
      <c r="R458" s="7">
        <v>32874</v>
      </c>
      <c r="S458" s="8">
        <f t="shared" si="56"/>
        <v>1990</v>
      </c>
      <c r="T458" s="8">
        <v>1990</v>
      </c>
      <c r="U458" s="8">
        <f t="shared" si="57"/>
        <v>32</v>
      </c>
      <c r="V458" s="7">
        <v>33147</v>
      </c>
      <c r="W458" t="s">
        <v>5785</v>
      </c>
      <c r="X458" s="2">
        <v>0.752</v>
      </c>
      <c r="Y458" s="6">
        <f t="shared" si="62"/>
        <v>2.0074210512266089E-2</v>
      </c>
      <c r="AA458">
        <v>3649059</v>
      </c>
      <c r="AB458">
        <v>17277</v>
      </c>
      <c r="AC458">
        <v>15581691</v>
      </c>
      <c r="AD458" t="s">
        <v>5</v>
      </c>
      <c r="AE458">
        <v>15</v>
      </c>
      <c r="AF458">
        <v>4</v>
      </c>
      <c r="AH458" t="s">
        <v>5784</v>
      </c>
      <c r="AI458" t="s">
        <v>5783</v>
      </c>
      <c r="AK458" t="s">
        <v>5782</v>
      </c>
      <c r="AL458">
        <v>11</v>
      </c>
      <c r="AM458" s="5">
        <f t="shared" si="58"/>
        <v>0.34375</v>
      </c>
      <c r="AN458" s="4">
        <f t="shared" si="63"/>
        <v>5.2063612268080268E-4</v>
      </c>
      <c r="AO458" s="3"/>
      <c r="AP458">
        <v>0</v>
      </c>
      <c r="AR458" t="s">
        <v>0</v>
      </c>
      <c r="AT458" s="2">
        <v>3.5539999999999998</v>
      </c>
      <c r="AU458" s="1">
        <f t="shared" si="59"/>
        <v>1.4208138195390503</v>
      </c>
      <c r="AV458" s="1">
        <f t="shared" si="60"/>
        <v>1.0297423317473446</v>
      </c>
      <c r="AW458" s="1">
        <f t="shared" si="61"/>
        <v>0.63867084395563878</v>
      </c>
    </row>
    <row r="459" spans="1:49" x14ac:dyDescent="0.2">
      <c r="A459">
        <v>457</v>
      </c>
      <c r="B459" t="s">
        <v>5781</v>
      </c>
      <c r="C459" t="s">
        <v>5780</v>
      </c>
      <c r="F459" t="s">
        <v>5779</v>
      </c>
      <c r="G459" t="s">
        <v>14</v>
      </c>
      <c r="H459" t="s">
        <v>13</v>
      </c>
      <c r="I459" t="s">
        <v>5778</v>
      </c>
      <c r="J459">
        <v>60003554</v>
      </c>
      <c r="K459" t="s">
        <v>5777</v>
      </c>
      <c r="L459" t="s">
        <v>5776</v>
      </c>
      <c r="M459" t="s">
        <v>209</v>
      </c>
      <c r="N459">
        <v>1</v>
      </c>
      <c r="O459" t="s">
        <v>5775</v>
      </c>
      <c r="P459">
        <v>6701743661</v>
      </c>
      <c r="Q459">
        <v>60003554</v>
      </c>
      <c r="R459" s="7">
        <v>32874</v>
      </c>
      <c r="S459" s="8">
        <f t="shared" si="56"/>
        <v>1990</v>
      </c>
      <c r="T459" s="8">
        <v>1990</v>
      </c>
      <c r="U459" s="8">
        <f t="shared" si="57"/>
        <v>32</v>
      </c>
      <c r="V459" s="7">
        <v>33147</v>
      </c>
      <c r="W459" t="s">
        <v>2249</v>
      </c>
      <c r="X459" s="2">
        <v>1.6519999999999999</v>
      </c>
      <c r="Y459" s="6">
        <f t="shared" si="62"/>
        <v>4.409919649769093E-2</v>
      </c>
      <c r="AA459" t="s">
        <v>2248</v>
      </c>
      <c r="AB459">
        <v>17337</v>
      </c>
      <c r="AC459">
        <v>15582221</v>
      </c>
      <c r="AD459" t="s">
        <v>5</v>
      </c>
      <c r="AE459">
        <v>38</v>
      </c>
      <c r="AF459">
        <v>10</v>
      </c>
      <c r="AH459" t="s">
        <v>5774</v>
      </c>
      <c r="AI459" t="s">
        <v>5773</v>
      </c>
      <c r="AK459" t="s">
        <v>5772</v>
      </c>
      <c r="AL459">
        <v>12</v>
      </c>
      <c r="AM459" s="5">
        <f t="shared" si="58"/>
        <v>0.375</v>
      </c>
      <c r="AN459" s="4">
        <f t="shared" si="63"/>
        <v>5.6796667928814845E-4</v>
      </c>
      <c r="AO459" s="3"/>
      <c r="AP459">
        <v>0</v>
      </c>
      <c r="AR459" t="s">
        <v>0</v>
      </c>
      <c r="AT459" s="2" t="s">
        <v>126</v>
      </c>
      <c r="AU459" s="1">
        <f t="shared" si="59"/>
        <v>3.1039827552170092</v>
      </c>
      <c r="AV459" s="1">
        <f t="shared" si="60"/>
        <v>2.2333581588489539</v>
      </c>
      <c r="AW459" s="1">
        <f t="shared" si="61"/>
        <v>1.3627335624808981</v>
      </c>
    </row>
    <row r="460" spans="1:49" x14ac:dyDescent="0.2">
      <c r="A460">
        <v>458</v>
      </c>
      <c r="B460" t="s">
        <v>5771</v>
      </c>
      <c r="C460" t="s">
        <v>5770</v>
      </c>
      <c r="F460" t="s">
        <v>5769</v>
      </c>
      <c r="G460" t="s">
        <v>14</v>
      </c>
      <c r="H460" t="s">
        <v>13</v>
      </c>
      <c r="I460" t="s">
        <v>5768</v>
      </c>
      <c r="J460">
        <v>60005244</v>
      </c>
      <c r="K460" t="s">
        <v>4923</v>
      </c>
      <c r="L460" t="s">
        <v>4922</v>
      </c>
      <c r="M460" t="s">
        <v>854</v>
      </c>
      <c r="N460">
        <v>1</v>
      </c>
      <c r="O460" t="s">
        <v>5767</v>
      </c>
      <c r="P460">
        <v>57226220887</v>
      </c>
      <c r="Q460">
        <v>60005244</v>
      </c>
      <c r="R460" s="7">
        <v>32874</v>
      </c>
      <c r="S460" s="8">
        <f t="shared" si="56"/>
        <v>1990</v>
      </c>
      <c r="T460" s="8">
        <v>1990</v>
      </c>
      <c r="U460" s="8">
        <f t="shared" si="57"/>
        <v>32</v>
      </c>
      <c r="V460" s="7">
        <v>32874</v>
      </c>
      <c r="W460" t="s">
        <v>1380</v>
      </c>
      <c r="X460" s="2">
        <v>0.375</v>
      </c>
      <c r="Y460" s="6">
        <f t="shared" si="62"/>
        <v>1.0010410827260351E-2</v>
      </c>
      <c r="AA460">
        <v>135194</v>
      </c>
      <c r="AB460">
        <v>24918</v>
      </c>
      <c r="AD460" t="s">
        <v>5</v>
      </c>
      <c r="AE460">
        <v>26</v>
      </c>
      <c r="AF460">
        <v>22</v>
      </c>
      <c r="AH460" t="s">
        <v>5766</v>
      </c>
      <c r="AI460" t="s">
        <v>5765</v>
      </c>
      <c r="AJ460" t="s">
        <v>5764</v>
      </c>
      <c r="AK460" t="s">
        <v>5763</v>
      </c>
      <c r="AL460">
        <v>0</v>
      </c>
      <c r="AM460" s="5">
        <f t="shared" si="58"/>
        <v>0</v>
      </c>
      <c r="AN460" s="4">
        <f t="shared" si="63"/>
        <v>0</v>
      </c>
      <c r="AO460" s="3"/>
      <c r="AP460">
        <v>0</v>
      </c>
      <c r="AR460" t="s">
        <v>0</v>
      </c>
      <c r="AT460" s="2">
        <v>1.3140000000000001</v>
      </c>
      <c r="AU460" s="1">
        <f t="shared" si="59"/>
        <v>0.70072875790822453</v>
      </c>
      <c r="AV460" s="1">
        <f t="shared" si="60"/>
        <v>0.5005205413630176</v>
      </c>
      <c r="AW460" s="1">
        <f t="shared" si="61"/>
        <v>0.30031232481781051</v>
      </c>
    </row>
    <row r="461" spans="1:49" x14ac:dyDescent="0.2">
      <c r="A461">
        <v>459</v>
      </c>
      <c r="B461" t="s">
        <v>5762</v>
      </c>
      <c r="C461" t="s">
        <v>5761</v>
      </c>
      <c r="F461" t="s">
        <v>5760</v>
      </c>
      <c r="G461" t="s">
        <v>14</v>
      </c>
      <c r="H461" t="s">
        <v>13</v>
      </c>
      <c r="I461" t="s">
        <v>5759</v>
      </c>
      <c r="J461">
        <v>60021032</v>
      </c>
      <c r="K461" t="s">
        <v>1492</v>
      </c>
      <c r="L461" t="s">
        <v>629</v>
      </c>
      <c r="M461" t="s">
        <v>197</v>
      </c>
      <c r="N461">
        <v>3</v>
      </c>
      <c r="O461" t="s">
        <v>5758</v>
      </c>
      <c r="P461" t="s">
        <v>5757</v>
      </c>
      <c r="Q461" t="s">
        <v>4732</v>
      </c>
      <c r="R461" s="7">
        <v>32874</v>
      </c>
      <c r="S461" s="8">
        <f t="shared" si="56"/>
        <v>1990</v>
      </c>
      <c r="T461" s="8">
        <v>1990</v>
      </c>
      <c r="U461" s="8">
        <f t="shared" si="57"/>
        <v>32</v>
      </c>
      <c r="V461" s="7" t="s">
        <v>5756</v>
      </c>
      <c r="W461" t="s">
        <v>2899</v>
      </c>
      <c r="X461" s="2">
        <v>1.468</v>
      </c>
      <c r="Y461" s="6">
        <f t="shared" si="62"/>
        <v>3.9187421585115186E-2</v>
      </c>
      <c r="AA461">
        <v>961965</v>
      </c>
      <c r="AB461">
        <v>18931</v>
      </c>
      <c r="AD461" t="s">
        <v>5</v>
      </c>
      <c r="AE461">
        <v>38</v>
      </c>
      <c r="AF461">
        <v>10</v>
      </c>
      <c r="AH461" t="s">
        <v>5755</v>
      </c>
      <c r="AI461" t="s">
        <v>5754</v>
      </c>
      <c r="AK461" t="s">
        <v>5753</v>
      </c>
      <c r="AL461">
        <v>11</v>
      </c>
      <c r="AM461" s="5">
        <f t="shared" si="58"/>
        <v>0.34375</v>
      </c>
      <c r="AN461" s="4">
        <f t="shared" si="63"/>
        <v>5.2063612268080268E-4</v>
      </c>
      <c r="AO461" s="3"/>
      <c r="AP461">
        <v>0</v>
      </c>
      <c r="AR461" t="s">
        <v>0</v>
      </c>
      <c r="AT461" s="2">
        <v>5.0830000000000002</v>
      </c>
      <c r="AU461" s="1">
        <f t="shared" si="59"/>
        <v>2.758738594638487</v>
      </c>
      <c r="AV461" s="1">
        <f t="shared" si="60"/>
        <v>1.9854028853897994</v>
      </c>
      <c r="AW461" s="1">
        <f t="shared" si="61"/>
        <v>1.2120671761411117</v>
      </c>
    </row>
    <row r="462" spans="1:49" x14ac:dyDescent="0.2">
      <c r="A462">
        <v>460</v>
      </c>
      <c r="B462" t="s">
        <v>5752</v>
      </c>
      <c r="C462" t="s">
        <v>5751</v>
      </c>
      <c r="D462" t="s">
        <v>5750</v>
      </c>
      <c r="F462" t="s">
        <v>5749</v>
      </c>
      <c r="G462" t="s">
        <v>14</v>
      </c>
      <c r="H462" t="s">
        <v>13</v>
      </c>
      <c r="I462" t="s">
        <v>1568</v>
      </c>
      <c r="J462">
        <v>60005510</v>
      </c>
      <c r="K462" t="s">
        <v>1567</v>
      </c>
      <c r="L462" t="s">
        <v>1566</v>
      </c>
      <c r="M462" t="s">
        <v>1565</v>
      </c>
      <c r="N462">
        <v>1</v>
      </c>
      <c r="O462" t="s">
        <v>1564</v>
      </c>
      <c r="P462">
        <v>7102842938</v>
      </c>
      <c r="Q462">
        <v>60005510</v>
      </c>
      <c r="R462" s="7">
        <v>32874</v>
      </c>
      <c r="S462" s="8">
        <f t="shared" si="56"/>
        <v>1990</v>
      </c>
      <c r="T462" s="8">
        <v>1990</v>
      </c>
      <c r="U462" s="8">
        <f t="shared" si="57"/>
        <v>32</v>
      </c>
      <c r="V462" s="7">
        <v>33147</v>
      </c>
      <c r="W462" t="s">
        <v>1563</v>
      </c>
      <c r="X462" s="2">
        <v>0.90700000000000003</v>
      </c>
      <c r="Y462" s="6">
        <f t="shared" si="62"/>
        <v>2.4211846987533703E-2</v>
      </c>
      <c r="AA462">
        <v>1651684</v>
      </c>
      <c r="AB462">
        <v>25548</v>
      </c>
      <c r="AD462" t="s">
        <v>5</v>
      </c>
      <c r="AE462">
        <v>21</v>
      </c>
      <c r="AF462">
        <v>2</v>
      </c>
      <c r="AH462" t="s">
        <v>5748</v>
      </c>
      <c r="AI462" t="s">
        <v>5747</v>
      </c>
      <c r="AJ462" t="s">
        <v>5746</v>
      </c>
      <c r="AK462" t="s">
        <v>5745</v>
      </c>
      <c r="AL462">
        <v>4</v>
      </c>
      <c r="AM462" s="5">
        <f t="shared" si="58"/>
        <v>0.125</v>
      </c>
      <c r="AN462" s="4">
        <f t="shared" si="63"/>
        <v>1.893222264293828E-4</v>
      </c>
      <c r="AO462" s="3"/>
      <c r="AP462">
        <v>0</v>
      </c>
      <c r="AR462" t="s">
        <v>0</v>
      </c>
      <c r="AT462" s="2">
        <v>4.6619999999999999</v>
      </c>
      <c r="AU462" s="1">
        <f t="shared" si="59"/>
        <v>1.7005089559202404</v>
      </c>
      <c r="AV462" s="1">
        <f t="shared" si="60"/>
        <v>1.2200584606981544</v>
      </c>
      <c r="AW462" s="1">
        <f t="shared" si="61"/>
        <v>0.73960796547606789</v>
      </c>
    </row>
    <row r="463" spans="1:49" x14ac:dyDescent="0.2">
      <c r="A463">
        <v>461</v>
      </c>
      <c r="B463" t="s">
        <v>5744</v>
      </c>
      <c r="C463" t="s">
        <v>5743</v>
      </c>
      <c r="F463" t="s">
        <v>5742</v>
      </c>
      <c r="G463" t="s">
        <v>14</v>
      </c>
      <c r="H463" t="s">
        <v>13</v>
      </c>
      <c r="I463" t="s">
        <v>3022</v>
      </c>
      <c r="J463">
        <v>60014313</v>
      </c>
      <c r="K463" t="s">
        <v>607</v>
      </c>
      <c r="L463" t="s">
        <v>606</v>
      </c>
      <c r="M463" t="s">
        <v>197</v>
      </c>
      <c r="N463">
        <v>3</v>
      </c>
      <c r="O463" t="s">
        <v>5741</v>
      </c>
      <c r="P463" t="s">
        <v>5740</v>
      </c>
      <c r="Q463" t="s">
        <v>5739</v>
      </c>
      <c r="R463" s="7">
        <v>32874</v>
      </c>
      <c r="S463" s="8">
        <f t="shared" si="56"/>
        <v>1990</v>
      </c>
      <c r="T463" s="8">
        <v>1990</v>
      </c>
      <c r="U463" s="8">
        <f t="shared" si="57"/>
        <v>32</v>
      </c>
      <c r="V463" s="7">
        <v>32874</v>
      </c>
      <c r="W463" t="s">
        <v>1380</v>
      </c>
      <c r="X463" s="2">
        <v>0.375</v>
      </c>
      <c r="Y463" s="6">
        <f t="shared" si="62"/>
        <v>1.0010410827260351E-2</v>
      </c>
      <c r="AA463">
        <v>135194</v>
      </c>
      <c r="AB463">
        <v>24918</v>
      </c>
      <c r="AD463" t="s">
        <v>5</v>
      </c>
      <c r="AE463">
        <v>26</v>
      </c>
      <c r="AF463">
        <v>22</v>
      </c>
      <c r="AH463" t="s">
        <v>5738</v>
      </c>
      <c r="AI463" t="s">
        <v>5737</v>
      </c>
      <c r="AJ463" t="s">
        <v>5736</v>
      </c>
      <c r="AK463" t="s">
        <v>5735</v>
      </c>
      <c r="AL463">
        <v>2</v>
      </c>
      <c r="AM463" s="5">
        <f t="shared" si="58"/>
        <v>6.25E-2</v>
      </c>
      <c r="AN463" s="4">
        <f t="shared" si="63"/>
        <v>9.46611132146914E-5</v>
      </c>
      <c r="AO463" s="3"/>
      <c r="AP463">
        <v>0</v>
      </c>
      <c r="AR463" t="s">
        <v>0</v>
      </c>
      <c r="AT463" s="2">
        <v>1.3140000000000001</v>
      </c>
      <c r="AU463" s="1">
        <f t="shared" si="59"/>
        <v>0.70356859130466531</v>
      </c>
      <c r="AV463" s="1">
        <f t="shared" si="60"/>
        <v>0.50525359702375217</v>
      </c>
      <c r="AW463" s="1">
        <f t="shared" si="61"/>
        <v>0.30693860274283891</v>
      </c>
    </row>
    <row r="464" spans="1:49" x14ac:dyDescent="0.2">
      <c r="A464">
        <v>462</v>
      </c>
      <c r="B464" t="s">
        <v>5734</v>
      </c>
      <c r="C464" t="s">
        <v>5733</v>
      </c>
      <c r="F464" t="s">
        <v>5732</v>
      </c>
      <c r="G464" t="s">
        <v>14</v>
      </c>
      <c r="H464" t="s">
        <v>13</v>
      </c>
      <c r="I464" t="s">
        <v>5731</v>
      </c>
      <c r="J464">
        <v>60008107</v>
      </c>
      <c r="K464" t="s">
        <v>5730</v>
      </c>
      <c r="L464" t="s">
        <v>5729</v>
      </c>
      <c r="M464" t="s">
        <v>267</v>
      </c>
      <c r="N464">
        <v>3</v>
      </c>
      <c r="O464" t="s">
        <v>5728</v>
      </c>
      <c r="P464" t="s">
        <v>5727</v>
      </c>
      <c r="Q464" t="s">
        <v>5726</v>
      </c>
      <c r="R464" s="7">
        <v>32874</v>
      </c>
      <c r="S464" s="8">
        <f t="shared" si="56"/>
        <v>1990</v>
      </c>
      <c r="T464" s="8">
        <v>1990</v>
      </c>
      <c r="U464" s="8">
        <f t="shared" si="57"/>
        <v>32</v>
      </c>
      <c r="V464" s="7">
        <v>32874</v>
      </c>
      <c r="W464" t="s">
        <v>1380</v>
      </c>
      <c r="X464" s="2">
        <v>0.375</v>
      </c>
      <c r="Y464" s="6">
        <f t="shared" si="62"/>
        <v>1.0010410827260351E-2</v>
      </c>
      <c r="AA464">
        <v>135194</v>
      </c>
      <c r="AB464">
        <v>24918</v>
      </c>
      <c r="AD464" t="s">
        <v>5</v>
      </c>
      <c r="AE464">
        <v>26</v>
      </c>
      <c r="AF464">
        <v>22</v>
      </c>
      <c r="AH464" t="s">
        <v>5725</v>
      </c>
      <c r="AI464" t="s">
        <v>5724</v>
      </c>
      <c r="AJ464" t="s">
        <v>5723</v>
      </c>
      <c r="AK464" t="s">
        <v>5722</v>
      </c>
      <c r="AL464">
        <v>1</v>
      </c>
      <c r="AM464" s="5">
        <f t="shared" si="58"/>
        <v>3.125E-2</v>
      </c>
      <c r="AN464" s="4">
        <f t="shared" si="63"/>
        <v>4.73305566073457E-5</v>
      </c>
      <c r="AO464" s="3"/>
      <c r="AP464">
        <v>0</v>
      </c>
      <c r="AR464" t="s">
        <v>0</v>
      </c>
      <c r="AT464" s="2">
        <v>1.3140000000000001</v>
      </c>
      <c r="AU464" s="1">
        <f t="shared" si="59"/>
        <v>0.70214867460644492</v>
      </c>
      <c r="AV464" s="1">
        <f t="shared" si="60"/>
        <v>0.50288706919338488</v>
      </c>
      <c r="AW464" s="1">
        <f t="shared" si="61"/>
        <v>0.30362546378032473</v>
      </c>
    </row>
    <row r="465" spans="1:49" x14ac:dyDescent="0.2">
      <c r="A465">
        <v>463</v>
      </c>
      <c r="B465" t="s">
        <v>5721</v>
      </c>
      <c r="C465" t="s">
        <v>5720</v>
      </c>
      <c r="F465" t="s">
        <v>5719</v>
      </c>
      <c r="G465" t="s">
        <v>14</v>
      </c>
      <c r="H465" t="s">
        <v>13</v>
      </c>
      <c r="I465" t="s">
        <v>5718</v>
      </c>
      <c r="J465">
        <v>60070928</v>
      </c>
      <c r="K465" t="s">
        <v>5717</v>
      </c>
      <c r="L465" t="s">
        <v>5716</v>
      </c>
      <c r="M465" t="s">
        <v>5715</v>
      </c>
      <c r="N465">
        <v>2</v>
      </c>
      <c r="O465" t="s">
        <v>5714</v>
      </c>
      <c r="P465" t="s">
        <v>5713</v>
      </c>
      <c r="Q465" t="s">
        <v>5712</v>
      </c>
      <c r="R465" s="7">
        <v>32874</v>
      </c>
      <c r="S465" s="8">
        <f t="shared" si="56"/>
        <v>1990</v>
      </c>
      <c r="T465" s="8">
        <v>1990</v>
      </c>
      <c r="U465" s="8">
        <f t="shared" si="57"/>
        <v>32</v>
      </c>
      <c r="V465" s="7">
        <v>33147</v>
      </c>
      <c r="W465" t="s">
        <v>38</v>
      </c>
      <c r="X465" s="2">
        <v>0.251</v>
      </c>
      <c r="Y465" s="6">
        <f t="shared" si="62"/>
        <v>6.7003016470462617E-3</v>
      </c>
      <c r="AA465">
        <v>207217</v>
      </c>
      <c r="AB465">
        <v>26145</v>
      </c>
      <c r="AC465">
        <v>13623060</v>
      </c>
      <c r="AD465" t="s">
        <v>5</v>
      </c>
      <c r="AE465">
        <v>69</v>
      </c>
      <c r="AF465">
        <v>4</v>
      </c>
      <c r="AH465" t="s">
        <v>5711</v>
      </c>
      <c r="AI465" t="s">
        <v>5710</v>
      </c>
      <c r="AK465" t="s">
        <v>5709</v>
      </c>
      <c r="AL465">
        <v>1</v>
      </c>
      <c r="AM465" s="5">
        <f t="shared" si="58"/>
        <v>3.125E-2</v>
      </c>
      <c r="AN465" s="4">
        <f t="shared" si="63"/>
        <v>4.73305566073457E-5</v>
      </c>
      <c r="AO465" s="3"/>
      <c r="AP465">
        <v>0</v>
      </c>
      <c r="AR465" t="s">
        <v>0</v>
      </c>
      <c r="AT465" s="2">
        <v>1.3360000000000001</v>
      </c>
      <c r="AU465" s="1">
        <f t="shared" si="59"/>
        <v>0.47044103199145859</v>
      </c>
      <c r="AV465" s="1">
        <f t="shared" si="60"/>
        <v>0.33738161018268037</v>
      </c>
      <c r="AW465" s="1">
        <f t="shared" si="61"/>
        <v>0.20432218837390204</v>
      </c>
    </row>
    <row r="466" spans="1:49" x14ac:dyDescent="0.2">
      <c r="A466">
        <v>464</v>
      </c>
      <c r="B466" t="s">
        <v>5708</v>
      </c>
      <c r="C466" t="s">
        <v>5707</v>
      </c>
      <c r="F466" t="s">
        <v>5706</v>
      </c>
      <c r="G466" t="s">
        <v>14</v>
      </c>
      <c r="H466" t="s">
        <v>13</v>
      </c>
      <c r="I466" t="s">
        <v>5705</v>
      </c>
      <c r="J466" t="s">
        <v>5704</v>
      </c>
      <c r="K466" t="s">
        <v>5703</v>
      </c>
      <c r="L466" t="s">
        <v>5702</v>
      </c>
      <c r="M466" t="s">
        <v>5701</v>
      </c>
      <c r="N466">
        <v>5</v>
      </c>
      <c r="O466" t="s">
        <v>5700</v>
      </c>
      <c r="P466" t="s">
        <v>5699</v>
      </c>
      <c r="Q466" t="s">
        <v>5698</v>
      </c>
      <c r="R466" s="7">
        <v>32874</v>
      </c>
      <c r="S466" s="8">
        <f t="shared" si="56"/>
        <v>1990</v>
      </c>
      <c r="T466" s="8">
        <v>1990</v>
      </c>
      <c r="U466" s="8">
        <f t="shared" si="57"/>
        <v>32</v>
      </c>
      <c r="V466" s="7">
        <v>33147</v>
      </c>
      <c r="W466" t="s">
        <v>1844</v>
      </c>
      <c r="X466" s="2">
        <v>1.774</v>
      </c>
      <c r="Y466" s="6">
        <f t="shared" si="62"/>
        <v>4.7355916820159633E-2</v>
      </c>
      <c r="AA466">
        <v>295515</v>
      </c>
      <c r="AB466">
        <v>29066</v>
      </c>
      <c r="AC466">
        <v>17414326</v>
      </c>
      <c r="AD466" t="s">
        <v>5</v>
      </c>
      <c r="AE466">
        <v>30</v>
      </c>
      <c r="AF466">
        <v>10</v>
      </c>
      <c r="AH466" t="s">
        <v>5697</v>
      </c>
      <c r="AI466" t="s">
        <v>5696</v>
      </c>
      <c r="AK466" t="s">
        <v>5695</v>
      </c>
      <c r="AL466">
        <v>2</v>
      </c>
      <c r="AM466" s="5">
        <f t="shared" si="58"/>
        <v>6.25E-2</v>
      </c>
      <c r="AN466" s="4">
        <f t="shared" si="63"/>
        <v>9.46611132146914E-5</v>
      </c>
      <c r="AO466" s="3"/>
      <c r="AP466">
        <v>0</v>
      </c>
      <c r="AR466" t="s">
        <v>0</v>
      </c>
      <c r="AT466" s="2">
        <v>3.1789999999999998</v>
      </c>
      <c r="AU466" s="1">
        <f t="shared" si="59"/>
        <v>3.3177540108076151</v>
      </c>
      <c r="AV466" s="1">
        <f t="shared" si="60"/>
        <v>2.3725288966687161</v>
      </c>
      <c r="AW466" s="1">
        <f t="shared" si="61"/>
        <v>1.4273037825298172</v>
      </c>
    </row>
    <row r="467" spans="1:49" x14ac:dyDescent="0.2">
      <c r="A467">
        <v>465</v>
      </c>
      <c r="B467" t="s">
        <v>5694</v>
      </c>
      <c r="C467" t="s">
        <v>5693</v>
      </c>
      <c r="F467" t="s">
        <v>5692</v>
      </c>
      <c r="G467" t="s">
        <v>14</v>
      </c>
      <c r="H467" t="s">
        <v>13</v>
      </c>
      <c r="I467" t="s">
        <v>5691</v>
      </c>
      <c r="J467">
        <v>60027550</v>
      </c>
      <c r="K467" t="s">
        <v>3438</v>
      </c>
      <c r="L467" t="s">
        <v>280</v>
      </c>
      <c r="M467" t="s">
        <v>197</v>
      </c>
      <c r="N467">
        <v>2</v>
      </c>
      <c r="O467" t="s">
        <v>5690</v>
      </c>
      <c r="P467" t="s">
        <v>5689</v>
      </c>
      <c r="Q467" t="s">
        <v>5688</v>
      </c>
      <c r="R467" s="7">
        <v>32874</v>
      </c>
      <c r="S467" s="8">
        <f t="shared" si="56"/>
        <v>1990</v>
      </c>
      <c r="T467" s="8">
        <v>1990</v>
      </c>
      <c r="U467" s="8">
        <f t="shared" si="57"/>
        <v>32</v>
      </c>
      <c r="V467" s="7">
        <v>33117</v>
      </c>
      <c r="W467" t="s">
        <v>2249</v>
      </c>
      <c r="X467" s="2">
        <v>1.6519999999999999</v>
      </c>
      <c r="Y467" s="6">
        <f t="shared" si="62"/>
        <v>4.409919649769093E-2</v>
      </c>
      <c r="AA467" t="s">
        <v>2248</v>
      </c>
      <c r="AB467">
        <v>17337</v>
      </c>
      <c r="AC467">
        <v>15582221</v>
      </c>
      <c r="AD467" t="s">
        <v>5</v>
      </c>
      <c r="AE467">
        <v>38</v>
      </c>
      <c r="AF467">
        <v>9</v>
      </c>
      <c r="AH467" t="s">
        <v>5687</v>
      </c>
      <c r="AI467" t="s">
        <v>5686</v>
      </c>
      <c r="AK467" t="s">
        <v>5685</v>
      </c>
      <c r="AL467">
        <v>10</v>
      </c>
      <c r="AM467" s="5">
        <f t="shared" si="58"/>
        <v>0.3125</v>
      </c>
      <c r="AN467" s="4">
        <f t="shared" si="63"/>
        <v>4.7330556607345703E-4</v>
      </c>
      <c r="AO467" s="3"/>
      <c r="AP467">
        <v>0</v>
      </c>
      <c r="AR467" t="s">
        <v>0</v>
      </c>
      <c r="AT467" s="2" t="s">
        <v>126</v>
      </c>
      <c r="AU467" s="1">
        <f t="shared" si="59"/>
        <v>3.1011429218205686</v>
      </c>
      <c r="AV467" s="1">
        <f t="shared" si="60"/>
        <v>2.2286251031882194</v>
      </c>
      <c r="AW467" s="1">
        <f t="shared" si="61"/>
        <v>1.3561072845558697</v>
      </c>
    </row>
    <row r="468" spans="1:49" x14ac:dyDescent="0.2">
      <c r="A468">
        <v>466</v>
      </c>
      <c r="B468" t="s">
        <v>5684</v>
      </c>
      <c r="C468" t="s">
        <v>5683</v>
      </c>
      <c r="F468" t="s">
        <v>5682</v>
      </c>
      <c r="G468" t="s">
        <v>14</v>
      </c>
      <c r="H468" t="s">
        <v>13</v>
      </c>
      <c r="I468" t="s">
        <v>5681</v>
      </c>
      <c r="J468">
        <v>60000990</v>
      </c>
      <c r="K468" t="s">
        <v>5680</v>
      </c>
      <c r="L468" t="s">
        <v>210</v>
      </c>
      <c r="M468" t="s">
        <v>209</v>
      </c>
      <c r="N468">
        <v>1</v>
      </c>
      <c r="O468" t="s">
        <v>5679</v>
      </c>
      <c r="P468">
        <v>57188535248</v>
      </c>
      <c r="Q468">
        <v>60000990</v>
      </c>
      <c r="R468" s="7">
        <v>32874</v>
      </c>
      <c r="S468" s="8">
        <f t="shared" si="56"/>
        <v>1990</v>
      </c>
      <c r="T468" s="8">
        <v>1990</v>
      </c>
      <c r="U468" s="8">
        <f t="shared" si="57"/>
        <v>32</v>
      </c>
      <c r="V468" s="7">
        <v>33117</v>
      </c>
      <c r="W468" t="s">
        <v>2249</v>
      </c>
      <c r="X468" s="2">
        <v>1.6519999999999999</v>
      </c>
      <c r="Y468" s="6">
        <f t="shared" si="62"/>
        <v>4.409919649769093E-2</v>
      </c>
      <c r="AA468" t="s">
        <v>2248</v>
      </c>
      <c r="AB468">
        <v>17337</v>
      </c>
      <c r="AC468">
        <v>15582221</v>
      </c>
      <c r="AD468" t="s">
        <v>5</v>
      </c>
      <c r="AE468">
        <v>38</v>
      </c>
      <c r="AF468">
        <v>9</v>
      </c>
      <c r="AH468" t="s">
        <v>5678</v>
      </c>
      <c r="AI468" t="s">
        <v>5677</v>
      </c>
      <c r="AK468" t="s">
        <v>5676</v>
      </c>
      <c r="AL468">
        <v>22</v>
      </c>
      <c r="AM468" s="5">
        <f t="shared" si="58"/>
        <v>0.6875</v>
      </c>
      <c r="AN468" s="4">
        <f t="shared" si="63"/>
        <v>1.0412722453616054E-3</v>
      </c>
      <c r="AO468" s="3"/>
      <c r="AP468">
        <v>0</v>
      </c>
      <c r="AR468" t="s">
        <v>0</v>
      </c>
      <c r="AT468" s="2" t="s">
        <v>126</v>
      </c>
      <c r="AU468" s="1">
        <f t="shared" si="59"/>
        <v>3.1181819221992133</v>
      </c>
      <c r="AV468" s="1">
        <f t="shared" si="60"/>
        <v>2.2570234371526268</v>
      </c>
      <c r="AW468" s="1">
        <f t="shared" si="61"/>
        <v>1.3958649521060402</v>
      </c>
    </row>
    <row r="469" spans="1:49" x14ac:dyDescent="0.2">
      <c r="A469">
        <v>467</v>
      </c>
      <c r="B469" t="s">
        <v>5675</v>
      </c>
      <c r="C469" t="s">
        <v>5674</v>
      </c>
      <c r="F469" t="s">
        <v>5673</v>
      </c>
      <c r="G469" t="s">
        <v>14</v>
      </c>
      <c r="H469" t="s">
        <v>13</v>
      </c>
      <c r="I469" t="s">
        <v>5672</v>
      </c>
      <c r="J469">
        <v>60009037</v>
      </c>
      <c r="K469" t="s">
        <v>652</v>
      </c>
      <c r="L469" t="s">
        <v>651</v>
      </c>
      <c r="M469" t="s">
        <v>197</v>
      </c>
      <c r="N469">
        <v>3</v>
      </c>
      <c r="O469" t="s">
        <v>5671</v>
      </c>
      <c r="P469" t="s">
        <v>5670</v>
      </c>
      <c r="Q469" t="s">
        <v>4117</v>
      </c>
      <c r="R469" s="7">
        <v>32874</v>
      </c>
      <c r="S469" s="8">
        <f t="shared" si="56"/>
        <v>1990</v>
      </c>
      <c r="T469" s="8">
        <v>1990</v>
      </c>
      <c r="U469" s="8">
        <f t="shared" si="57"/>
        <v>32</v>
      </c>
      <c r="V469" s="7">
        <v>33117</v>
      </c>
      <c r="W469" t="s">
        <v>1283</v>
      </c>
      <c r="X469" s="2">
        <v>2.141</v>
      </c>
      <c r="Y469" s="6">
        <f t="shared" si="62"/>
        <v>5.7152772216438434E-2</v>
      </c>
      <c r="AA469">
        <v>1962892</v>
      </c>
      <c r="AB469">
        <v>17360</v>
      </c>
      <c r="AC469">
        <v>15580644</v>
      </c>
      <c r="AD469" t="s">
        <v>5</v>
      </c>
      <c r="AE469">
        <v>28</v>
      </c>
      <c r="AF469">
        <v>5</v>
      </c>
      <c r="AH469" t="s">
        <v>5669</v>
      </c>
      <c r="AI469" t="s">
        <v>5668</v>
      </c>
      <c r="AK469" t="s">
        <v>5667</v>
      </c>
      <c r="AL469">
        <v>7</v>
      </c>
      <c r="AM469" s="5">
        <f t="shared" si="58"/>
        <v>0.21875</v>
      </c>
      <c r="AN469" s="4">
        <f t="shared" si="63"/>
        <v>3.3131389625141994E-4</v>
      </c>
      <c r="AO469" s="3"/>
      <c r="AP469">
        <v>0</v>
      </c>
      <c r="AR469" t="s">
        <v>0</v>
      </c>
      <c r="AT469" s="2" t="s">
        <v>126</v>
      </c>
      <c r="AU469" s="1">
        <f t="shared" si="59"/>
        <v>4.010633472038232</v>
      </c>
      <c r="AV469" s="1">
        <f t="shared" si="60"/>
        <v>2.8742043056344926</v>
      </c>
      <c r="AW469" s="1">
        <f t="shared" si="61"/>
        <v>1.7377751392307523</v>
      </c>
    </row>
    <row r="470" spans="1:49" x14ac:dyDescent="0.2">
      <c r="A470">
        <v>468</v>
      </c>
      <c r="B470" t="s">
        <v>5666</v>
      </c>
      <c r="C470" t="s">
        <v>5665</v>
      </c>
      <c r="F470" t="s">
        <v>5664</v>
      </c>
      <c r="G470" t="s">
        <v>14</v>
      </c>
      <c r="H470" t="s">
        <v>13</v>
      </c>
      <c r="I470" t="s">
        <v>5663</v>
      </c>
      <c r="N470">
        <v>1</v>
      </c>
      <c r="O470" t="s">
        <v>5662</v>
      </c>
      <c r="P470">
        <v>56614264100</v>
      </c>
      <c r="R470" s="7">
        <v>32874</v>
      </c>
      <c r="S470" s="8">
        <f t="shared" si="56"/>
        <v>1990</v>
      </c>
      <c r="T470" s="8">
        <v>1990</v>
      </c>
      <c r="U470" s="8">
        <f t="shared" si="57"/>
        <v>32</v>
      </c>
      <c r="V470" s="7" t="s">
        <v>5587</v>
      </c>
      <c r="W470" t="s">
        <v>110</v>
      </c>
      <c r="X470" s="2">
        <v>0.371</v>
      </c>
      <c r="Y470" s="6">
        <f t="shared" si="62"/>
        <v>9.9036331117695747E-3</v>
      </c>
      <c r="AA470">
        <v>486604</v>
      </c>
      <c r="AB470">
        <v>28580</v>
      </c>
      <c r="AC470" t="s">
        <v>109</v>
      </c>
      <c r="AD470" t="s">
        <v>5</v>
      </c>
      <c r="AE470">
        <v>25</v>
      </c>
      <c r="AF470">
        <v>5</v>
      </c>
      <c r="AH470" t="s">
        <v>5661</v>
      </c>
      <c r="AI470" t="s">
        <v>5660</v>
      </c>
      <c r="AK470" t="s">
        <v>5659</v>
      </c>
      <c r="AL470">
        <v>22</v>
      </c>
      <c r="AM470" s="5">
        <f t="shared" si="58"/>
        <v>0.6875</v>
      </c>
      <c r="AN470" s="4">
        <f t="shared" si="63"/>
        <v>1.0412722453616054E-3</v>
      </c>
      <c r="AO470" s="3"/>
      <c r="AP470">
        <v>0</v>
      </c>
      <c r="AR470" t="s">
        <v>0</v>
      </c>
      <c r="AT470" s="2">
        <v>1.431</v>
      </c>
      <c r="AU470" s="1">
        <f t="shared" si="59"/>
        <v>0.72449248518471843</v>
      </c>
      <c r="AV470" s="1">
        <f t="shared" si="60"/>
        <v>0.54724526785655903</v>
      </c>
      <c r="AW470" s="1">
        <f t="shared" si="61"/>
        <v>0.36999805052839962</v>
      </c>
    </row>
    <row r="471" spans="1:49" x14ac:dyDescent="0.2">
      <c r="A471">
        <v>469</v>
      </c>
      <c r="B471" t="s">
        <v>5658</v>
      </c>
      <c r="C471" t="s">
        <v>5657</v>
      </c>
      <c r="F471" t="s">
        <v>5656</v>
      </c>
      <c r="G471" t="s">
        <v>14</v>
      </c>
      <c r="H471" t="s">
        <v>13</v>
      </c>
      <c r="I471" t="s">
        <v>2421</v>
      </c>
      <c r="J471">
        <v>60003500</v>
      </c>
      <c r="K471" t="s">
        <v>3159</v>
      </c>
      <c r="L471" t="s">
        <v>3158</v>
      </c>
      <c r="M471" t="s">
        <v>197</v>
      </c>
      <c r="N471">
        <v>3</v>
      </c>
      <c r="O471" t="s">
        <v>5655</v>
      </c>
      <c r="P471" t="s">
        <v>5654</v>
      </c>
      <c r="Q471" t="s">
        <v>3906</v>
      </c>
      <c r="R471" s="7">
        <v>32874</v>
      </c>
      <c r="S471" s="8">
        <f t="shared" si="56"/>
        <v>1990</v>
      </c>
      <c r="T471" s="8">
        <v>1990</v>
      </c>
      <c r="U471" s="8">
        <f t="shared" si="57"/>
        <v>32</v>
      </c>
      <c r="V471" s="7">
        <v>33117</v>
      </c>
      <c r="W471" t="s">
        <v>2249</v>
      </c>
      <c r="X471" s="2">
        <v>1.6519999999999999</v>
      </c>
      <c r="Y471" s="6">
        <f t="shared" si="62"/>
        <v>4.409919649769093E-2</v>
      </c>
      <c r="AA471" t="s">
        <v>2248</v>
      </c>
      <c r="AB471">
        <v>17337</v>
      </c>
      <c r="AC471">
        <v>15582221</v>
      </c>
      <c r="AD471" t="s">
        <v>5</v>
      </c>
      <c r="AE471">
        <v>38</v>
      </c>
      <c r="AF471">
        <v>9</v>
      </c>
      <c r="AH471" t="s">
        <v>5653</v>
      </c>
      <c r="AI471" t="s">
        <v>5652</v>
      </c>
      <c r="AK471" t="s">
        <v>5651</v>
      </c>
      <c r="AL471">
        <v>71</v>
      </c>
      <c r="AM471" s="5">
        <f t="shared" si="58"/>
        <v>2.21875</v>
      </c>
      <c r="AN471" s="4">
        <f t="shared" si="63"/>
        <v>3.3604695191215448E-3</v>
      </c>
      <c r="AO471" s="3"/>
      <c r="AP471">
        <v>0</v>
      </c>
      <c r="AR471" t="s">
        <v>0</v>
      </c>
      <c r="AT471" s="2" t="s">
        <v>126</v>
      </c>
      <c r="AU471" s="1">
        <f t="shared" si="59"/>
        <v>3.1877578404120115</v>
      </c>
      <c r="AV471" s="1">
        <f t="shared" si="60"/>
        <v>2.3729833008406236</v>
      </c>
      <c r="AW471" s="1">
        <f t="shared" si="61"/>
        <v>1.5582087612692359</v>
      </c>
    </row>
    <row r="472" spans="1:49" x14ac:dyDescent="0.2">
      <c r="A472">
        <v>470</v>
      </c>
      <c r="B472" t="s">
        <v>5650</v>
      </c>
      <c r="C472" t="s">
        <v>5649</v>
      </c>
      <c r="F472" t="s">
        <v>5648</v>
      </c>
      <c r="G472" t="s">
        <v>14</v>
      </c>
      <c r="H472" t="s">
        <v>13</v>
      </c>
      <c r="I472" t="s">
        <v>2341</v>
      </c>
      <c r="J472">
        <v>60009982</v>
      </c>
      <c r="K472" t="s">
        <v>4092</v>
      </c>
      <c r="L472" t="s">
        <v>1665</v>
      </c>
      <c r="M472" t="s">
        <v>197</v>
      </c>
      <c r="N472">
        <v>1</v>
      </c>
      <c r="O472" t="s">
        <v>2340</v>
      </c>
      <c r="P472">
        <v>35586046100</v>
      </c>
      <c r="Q472">
        <v>60009982</v>
      </c>
      <c r="R472" s="7">
        <v>32874</v>
      </c>
      <c r="S472" s="8">
        <f t="shared" si="56"/>
        <v>1990</v>
      </c>
      <c r="T472" s="8">
        <v>1990</v>
      </c>
      <c r="U472" s="8">
        <f t="shared" si="57"/>
        <v>32</v>
      </c>
      <c r="V472" s="7">
        <v>33117</v>
      </c>
      <c r="W472" t="s">
        <v>2249</v>
      </c>
      <c r="X472" s="2">
        <v>1.6519999999999999</v>
      </c>
      <c r="Y472" s="6">
        <f t="shared" si="62"/>
        <v>4.409919649769093E-2</v>
      </c>
      <c r="AA472" t="s">
        <v>2248</v>
      </c>
      <c r="AB472">
        <v>17337</v>
      </c>
      <c r="AC472">
        <v>15582221</v>
      </c>
      <c r="AD472" t="s">
        <v>5</v>
      </c>
      <c r="AE472">
        <v>38</v>
      </c>
      <c r="AF472">
        <v>9</v>
      </c>
      <c r="AH472" t="s">
        <v>5647</v>
      </c>
      <c r="AI472" t="s">
        <v>5646</v>
      </c>
      <c r="AK472" t="s">
        <v>5645</v>
      </c>
      <c r="AL472">
        <v>10</v>
      </c>
      <c r="AM472" s="5">
        <f t="shared" si="58"/>
        <v>0.3125</v>
      </c>
      <c r="AN472" s="4">
        <f t="shared" si="63"/>
        <v>4.7330556607345703E-4</v>
      </c>
      <c r="AO472" s="3"/>
      <c r="AP472">
        <v>0</v>
      </c>
      <c r="AR472" t="s">
        <v>0</v>
      </c>
      <c r="AT472" s="2" t="s">
        <v>126</v>
      </c>
      <c r="AU472" s="1">
        <f t="shared" si="59"/>
        <v>3.1011429218205686</v>
      </c>
      <c r="AV472" s="1">
        <f t="shared" si="60"/>
        <v>2.2286251031882194</v>
      </c>
      <c r="AW472" s="1">
        <f t="shared" si="61"/>
        <v>1.3561072845558697</v>
      </c>
    </row>
    <row r="473" spans="1:49" x14ac:dyDescent="0.2">
      <c r="A473">
        <v>471</v>
      </c>
      <c r="B473" t="s">
        <v>5644</v>
      </c>
      <c r="C473" t="s">
        <v>5643</v>
      </c>
      <c r="F473" t="s">
        <v>5642</v>
      </c>
      <c r="G473" t="s">
        <v>14</v>
      </c>
      <c r="H473" t="s">
        <v>13</v>
      </c>
      <c r="I473" t="s">
        <v>5641</v>
      </c>
      <c r="J473" t="s">
        <v>5640</v>
      </c>
      <c r="K473" t="s">
        <v>5639</v>
      </c>
      <c r="L473" t="s">
        <v>5638</v>
      </c>
      <c r="M473" t="s">
        <v>84</v>
      </c>
      <c r="N473">
        <v>2</v>
      </c>
      <c r="O473" t="s">
        <v>5637</v>
      </c>
      <c r="P473" t="s">
        <v>5636</v>
      </c>
      <c r="Q473" t="s">
        <v>5635</v>
      </c>
      <c r="R473" s="7">
        <v>32874</v>
      </c>
      <c r="S473" s="8">
        <f t="shared" si="56"/>
        <v>1990</v>
      </c>
      <c r="T473" s="8">
        <v>1990</v>
      </c>
      <c r="U473" s="8">
        <f t="shared" si="57"/>
        <v>32</v>
      </c>
      <c r="V473" s="7">
        <v>33117</v>
      </c>
      <c r="W473" t="s">
        <v>2249</v>
      </c>
      <c r="X473" s="2">
        <v>1.6519999999999999</v>
      </c>
      <c r="Y473" s="6">
        <f t="shared" si="62"/>
        <v>4.409919649769093E-2</v>
      </c>
      <c r="AA473" t="s">
        <v>2248</v>
      </c>
      <c r="AB473">
        <v>17337</v>
      </c>
      <c r="AC473">
        <v>15582221</v>
      </c>
      <c r="AD473" t="s">
        <v>5</v>
      </c>
      <c r="AE473">
        <v>38</v>
      </c>
      <c r="AF473">
        <v>9</v>
      </c>
      <c r="AH473" t="s">
        <v>5634</v>
      </c>
      <c r="AI473" t="s">
        <v>5633</v>
      </c>
      <c r="AK473" t="s">
        <v>5632</v>
      </c>
      <c r="AL473">
        <v>3</v>
      </c>
      <c r="AM473" s="5">
        <f t="shared" si="58"/>
        <v>9.375E-2</v>
      </c>
      <c r="AN473" s="4">
        <f t="shared" si="63"/>
        <v>1.4199166982203711E-4</v>
      </c>
      <c r="AO473" s="3"/>
      <c r="AP473">
        <v>0</v>
      </c>
      <c r="AR473" t="s">
        <v>0</v>
      </c>
      <c r="AT473" s="2" t="s">
        <v>126</v>
      </c>
      <c r="AU473" s="1">
        <f t="shared" si="59"/>
        <v>3.0912035049330262</v>
      </c>
      <c r="AV473" s="1">
        <f t="shared" si="60"/>
        <v>2.2120594083756484</v>
      </c>
      <c r="AW473" s="1">
        <f t="shared" si="61"/>
        <v>1.3329153118182704</v>
      </c>
    </row>
    <row r="474" spans="1:49" x14ac:dyDescent="0.2">
      <c r="A474">
        <v>472</v>
      </c>
      <c r="B474" t="s">
        <v>5631</v>
      </c>
      <c r="C474" t="s">
        <v>5630</v>
      </c>
      <c r="F474" t="s">
        <v>5629</v>
      </c>
      <c r="G474" t="s">
        <v>14</v>
      </c>
      <c r="H474" t="s">
        <v>13</v>
      </c>
      <c r="I474" t="s">
        <v>5628</v>
      </c>
      <c r="J474">
        <v>60018429</v>
      </c>
      <c r="K474" t="s">
        <v>5627</v>
      </c>
      <c r="L474" t="s">
        <v>5626</v>
      </c>
      <c r="M474" t="s">
        <v>267</v>
      </c>
      <c r="N474">
        <v>3</v>
      </c>
      <c r="O474" t="s">
        <v>5625</v>
      </c>
      <c r="P474" t="s">
        <v>5624</v>
      </c>
      <c r="Q474" t="s">
        <v>5623</v>
      </c>
      <c r="R474" s="7">
        <v>32874</v>
      </c>
      <c r="S474" s="8">
        <f t="shared" si="56"/>
        <v>1990</v>
      </c>
      <c r="T474" s="8">
        <v>1990</v>
      </c>
      <c r="U474" s="8">
        <f t="shared" si="57"/>
        <v>32</v>
      </c>
      <c r="V474" s="7">
        <v>33117</v>
      </c>
      <c r="W474" t="s">
        <v>2288</v>
      </c>
      <c r="X474" s="2">
        <v>0.111</v>
      </c>
      <c r="Y474" s="6">
        <f t="shared" si="62"/>
        <v>2.9630816048690639E-3</v>
      </c>
      <c r="AA474">
        <v>87566621</v>
      </c>
      <c r="AB474">
        <v>24890</v>
      </c>
      <c r="AC474">
        <v>15206424</v>
      </c>
      <c r="AD474" t="s">
        <v>5</v>
      </c>
      <c r="AE474">
        <v>73</v>
      </c>
      <c r="AF474">
        <v>9</v>
      </c>
      <c r="AH474" t="s">
        <v>5622</v>
      </c>
      <c r="AI474" t="s">
        <v>5621</v>
      </c>
      <c r="AK474" t="s">
        <v>5620</v>
      </c>
      <c r="AL474">
        <v>1</v>
      </c>
      <c r="AM474" s="5">
        <f t="shared" si="58"/>
        <v>3.125E-2</v>
      </c>
      <c r="AN474" s="4">
        <f t="shared" si="63"/>
        <v>4.73305566073457E-5</v>
      </c>
      <c r="AO474" s="3"/>
      <c r="AP474">
        <v>0</v>
      </c>
      <c r="AR474" t="s">
        <v>0</v>
      </c>
      <c r="AT474" s="2" t="s">
        <v>126</v>
      </c>
      <c r="AU474" s="1">
        <f t="shared" si="59"/>
        <v>0.20883562903905478</v>
      </c>
      <c r="AV474" s="1">
        <f t="shared" si="60"/>
        <v>0.15052060807382048</v>
      </c>
      <c r="AW474" s="1">
        <f t="shared" si="61"/>
        <v>9.2205587108586104E-2</v>
      </c>
    </row>
    <row r="475" spans="1:49" x14ac:dyDescent="0.2">
      <c r="A475">
        <v>473</v>
      </c>
      <c r="B475" t="s">
        <v>5619</v>
      </c>
      <c r="C475" t="s">
        <v>5618</v>
      </c>
      <c r="F475" t="s">
        <v>5617</v>
      </c>
      <c r="G475" t="s">
        <v>14</v>
      </c>
      <c r="H475" t="s">
        <v>13</v>
      </c>
      <c r="I475" t="s">
        <v>5616</v>
      </c>
      <c r="J475">
        <v>60093883</v>
      </c>
      <c r="K475" t="s">
        <v>5615</v>
      </c>
      <c r="L475" t="s">
        <v>5614</v>
      </c>
      <c r="M475" t="s">
        <v>197</v>
      </c>
      <c r="N475">
        <v>1</v>
      </c>
      <c r="O475" t="s">
        <v>5613</v>
      </c>
      <c r="P475">
        <v>7003313558</v>
      </c>
      <c r="Q475">
        <v>60093883</v>
      </c>
      <c r="R475" s="7">
        <v>32874</v>
      </c>
      <c r="S475" s="8">
        <f t="shared" si="56"/>
        <v>1990</v>
      </c>
      <c r="T475" s="8">
        <v>1990</v>
      </c>
      <c r="U475" s="8">
        <f t="shared" si="57"/>
        <v>32</v>
      </c>
      <c r="V475" s="7">
        <v>33117</v>
      </c>
      <c r="W475" t="s">
        <v>2428</v>
      </c>
      <c r="X475" s="2">
        <v>0.78200000000000003</v>
      </c>
      <c r="Y475" s="6">
        <f t="shared" si="62"/>
        <v>2.0875043378446919E-2</v>
      </c>
      <c r="AA475">
        <v>189316</v>
      </c>
      <c r="AB475">
        <v>19901</v>
      </c>
      <c r="AC475">
        <v>15579611</v>
      </c>
      <c r="AD475" t="s">
        <v>5</v>
      </c>
      <c r="AE475">
        <v>36</v>
      </c>
      <c r="AF475">
        <v>3</v>
      </c>
      <c r="AH475" t="s">
        <v>5612</v>
      </c>
      <c r="AI475" t="s">
        <v>5611</v>
      </c>
      <c r="AK475" t="s">
        <v>5610</v>
      </c>
      <c r="AL475">
        <v>3</v>
      </c>
      <c r="AM475" s="5">
        <f t="shared" si="58"/>
        <v>9.375E-2</v>
      </c>
      <c r="AN475" s="4">
        <f t="shared" si="63"/>
        <v>1.4199166982203711E-4</v>
      </c>
      <c r="AO475" s="3"/>
      <c r="AP475">
        <v>0</v>
      </c>
      <c r="AR475" t="s">
        <v>0</v>
      </c>
      <c r="AT475" s="2">
        <v>3.863</v>
      </c>
      <c r="AU475" s="1">
        <f t="shared" si="59"/>
        <v>1.4655127865859452</v>
      </c>
      <c r="AV475" s="1">
        <f t="shared" si="60"/>
        <v>1.0508517524134477</v>
      </c>
      <c r="AW475" s="1">
        <f t="shared" si="61"/>
        <v>0.63619071824095019</v>
      </c>
    </row>
    <row r="476" spans="1:49" x14ac:dyDescent="0.2">
      <c r="A476">
        <v>474</v>
      </c>
      <c r="B476" t="s">
        <v>5609</v>
      </c>
      <c r="C476" t="s">
        <v>5608</v>
      </c>
      <c r="F476" t="s">
        <v>5607</v>
      </c>
      <c r="G476" t="s">
        <v>14</v>
      </c>
      <c r="H476" t="s">
        <v>13</v>
      </c>
      <c r="I476" t="s">
        <v>5546</v>
      </c>
      <c r="J476">
        <v>60013141</v>
      </c>
      <c r="K476" t="s">
        <v>5467</v>
      </c>
      <c r="L476" t="s">
        <v>5466</v>
      </c>
      <c r="M476" t="s">
        <v>5465</v>
      </c>
      <c r="N476">
        <v>1</v>
      </c>
      <c r="O476" t="s">
        <v>5545</v>
      </c>
      <c r="P476">
        <v>7101988263</v>
      </c>
      <c r="Q476">
        <v>60013141</v>
      </c>
      <c r="R476" s="7">
        <v>32874</v>
      </c>
      <c r="S476" s="8">
        <f t="shared" si="56"/>
        <v>1990</v>
      </c>
      <c r="T476" s="8">
        <v>1990</v>
      </c>
      <c r="U476" s="8">
        <f t="shared" si="57"/>
        <v>32</v>
      </c>
      <c r="V476" s="7">
        <v>33117</v>
      </c>
      <c r="W476" t="s">
        <v>2249</v>
      </c>
      <c r="X476" s="2">
        <v>1.6519999999999999</v>
      </c>
      <c r="Y476" s="6">
        <f t="shared" si="62"/>
        <v>4.409919649769093E-2</v>
      </c>
      <c r="AA476" t="s">
        <v>2248</v>
      </c>
      <c r="AB476">
        <v>17337</v>
      </c>
      <c r="AC476">
        <v>15582221</v>
      </c>
      <c r="AD476" t="s">
        <v>5</v>
      </c>
      <c r="AE476">
        <v>38</v>
      </c>
      <c r="AF476">
        <v>9</v>
      </c>
      <c r="AH476" t="s">
        <v>5606</v>
      </c>
      <c r="AI476" t="s">
        <v>5605</v>
      </c>
      <c r="AK476" t="s">
        <v>5604</v>
      </c>
      <c r="AL476">
        <v>13</v>
      </c>
      <c r="AM476" s="5">
        <f t="shared" si="58"/>
        <v>0.40625</v>
      </c>
      <c r="AN476" s="4">
        <f t="shared" si="63"/>
        <v>6.1529723589549411E-4</v>
      </c>
      <c r="AO476" s="3"/>
      <c r="AP476">
        <v>0</v>
      </c>
      <c r="AR476" t="s">
        <v>0</v>
      </c>
      <c r="AT476" s="2" t="s">
        <v>126</v>
      </c>
      <c r="AU476" s="1">
        <f t="shared" si="59"/>
        <v>3.1054026719152299</v>
      </c>
      <c r="AV476" s="1">
        <f t="shared" si="60"/>
        <v>2.2357246866793212</v>
      </c>
      <c r="AW476" s="1">
        <f t="shared" si="61"/>
        <v>1.3660467014434123</v>
      </c>
    </row>
    <row r="477" spans="1:49" x14ac:dyDescent="0.2">
      <c r="A477">
        <v>475</v>
      </c>
      <c r="B477" t="s">
        <v>5603</v>
      </c>
      <c r="C477" t="s">
        <v>5602</v>
      </c>
      <c r="F477" t="s">
        <v>5601</v>
      </c>
      <c r="G477" t="s">
        <v>14</v>
      </c>
      <c r="H477" t="s">
        <v>13</v>
      </c>
      <c r="I477" t="s">
        <v>5600</v>
      </c>
      <c r="J477">
        <v>60031581</v>
      </c>
      <c r="K477" t="s">
        <v>1460</v>
      </c>
      <c r="L477" t="s">
        <v>651</v>
      </c>
      <c r="M477" t="s">
        <v>197</v>
      </c>
      <c r="N477">
        <v>5</v>
      </c>
      <c r="O477" t="s">
        <v>5599</v>
      </c>
      <c r="P477" t="s">
        <v>5598</v>
      </c>
      <c r="Q477" t="s">
        <v>5597</v>
      </c>
      <c r="R477" s="7">
        <v>32874</v>
      </c>
      <c r="S477" s="8">
        <f t="shared" si="56"/>
        <v>1990</v>
      </c>
      <c r="T477" s="8">
        <v>1990</v>
      </c>
      <c r="U477" s="8">
        <f t="shared" si="57"/>
        <v>32</v>
      </c>
      <c r="V477" s="7">
        <v>33117</v>
      </c>
      <c r="W477" t="s">
        <v>2249</v>
      </c>
      <c r="X477" s="2">
        <v>1.6519999999999999</v>
      </c>
      <c r="Y477" s="6">
        <f t="shared" si="62"/>
        <v>4.409919649769093E-2</v>
      </c>
      <c r="AA477" t="s">
        <v>2248</v>
      </c>
      <c r="AB477">
        <v>17337</v>
      </c>
      <c r="AC477">
        <v>15582221</v>
      </c>
      <c r="AD477" t="s">
        <v>5</v>
      </c>
      <c r="AE477">
        <v>38</v>
      </c>
      <c r="AF477">
        <v>9</v>
      </c>
      <c r="AH477" t="s">
        <v>5596</v>
      </c>
      <c r="AI477" t="s">
        <v>5595</v>
      </c>
      <c r="AK477" t="s">
        <v>5594</v>
      </c>
      <c r="AL477">
        <v>105</v>
      </c>
      <c r="AM477" s="5">
        <f t="shared" si="58"/>
        <v>3.28125</v>
      </c>
      <c r="AN477" s="4">
        <f t="shared" si="63"/>
        <v>4.969708443771299E-3</v>
      </c>
      <c r="AO477" s="3"/>
      <c r="AP477">
        <v>0</v>
      </c>
      <c r="AR477" t="s">
        <v>0</v>
      </c>
      <c r="AT477" s="2" t="s">
        <v>126</v>
      </c>
      <c r="AU477" s="1">
        <f t="shared" si="59"/>
        <v>3.2360350081515041</v>
      </c>
      <c r="AV477" s="1">
        <f t="shared" si="60"/>
        <v>2.4534452470731116</v>
      </c>
      <c r="AW477" s="1">
        <f t="shared" si="61"/>
        <v>1.6708554859947187</v>
      </c>
    </row>
    <row r="478" spans="1:49" x14ac:dyDescent="0.2">
      <c r="A478">
        <v>476</v>
      </c>
      <c r="B478" t="s">
        <v>5593</v>
      </c>
      <c r="C478" t="s">
        <v>5592</v>
      </c>
      <c r="F478" t="s">
        <v>5591</v>
      </c>
      <c r="G478" t="s">
        <v>14</v>
      </c>
      <c r="H478" t="s">
        <v>13</v>
      </c>
      <c r="I478" t="s">
        <v>5590</v>
      </c>
      <c r="N478">
        <v>2</v>
      </c>
      <c r="O478" t="s">
        <v>5589</v>
      </c>
      <c r="P478" t="s">
        <v>5588</v>
      </c>
      <c r="Q478" t="s">
        <v>119</v>
      </c>
      <c r="R478" s="7">
        <v>32874</v>
      </c>
      <c r="S478" s="8">
        <f t="shared" si="56"/>
        <v>1990</v>
      </c>
      <c r="T478" s="8">
        <v>1990</v>
      </c>
      <c r="U478" s="8">
        <f t="shared" si="57"/>
        <v>32</v>
      </c>
      <c r="V478" s="7" t="s">
        <v>5587</v>
      </c>
      <c r="W478" t="s">
        <v>110</v>
      </c>
      <c r="X478" s="2">
        <v>0.371</v>
      </c>
      <c r="Y478" s="6">
        <f t="shared" si="62"/>
        <v>9.9036331117695747E-3</v>
      </c>
      <c r="AA478">
        <v>486604</v>
      </c>
      <c r="AB478">
        <v>28580</v>
      </c>
      <c r="AC478" t="s">
        <v>109</v>
      </c>
      <c r="AD478" t="s">
        <v>5</v>
      </c>
      <c r="AE478">
        <v>25</v>
      </c>
      <c r="AF478">
        <v>5</v>
      </c>
      <c r="AH478" t="s">
        <v>5586</v>
      </c>
      <c r="AI478" t="s">
        <v>5585</v>
      </c>
      <c r="AK478" t="s">
        <v>5584</v>
      </c>
      <c r="AL478">
        <v>13</v>
      </c>
      <c r="AM478" s="5">
        <f t="shared" si="58"/>
        <v>0.40625</v>
      </c>
      <c r="AN478" s="4">
        <f t="shared" si="63"/>
        <v>6.1529723589549411E-4</v>
      </c>
      <c r="AO478" s="3"/>
      <c r="AP478">
        <v>0</v>
      </c>
      <c r="AR478" t="s">
        <v>0</v>
      </c>
      <c r="AT478" s="2">
        <v>1.431</v>
      </c>
      <c r="AU478" s="1">
        <f t="shared" si="59"/>
        <v>0.71171323490073501</v>
      </c>
      <c r="AV478" s="1">
        <f t="shared" si="60"/>
        <v>0.52594651738325349</v>
      </c>
      <c r="AW478" s="1">
        <f t="shared" si="61"/>
        <v>0.34017979986577185</v>
      </c>
    </row>
    <row r="479" spans="1:49" x14ac:dyDescent="0.2">
      <c r="A479">
        <v>477</v>
      </c>
      <c r="B479" t="s">
        <v>5583</v>
      </c>
      <c r="C479" t="s">
        <v>5582</v>
      </c>
      <c r="F479" t="s">
        <v>5581</v>
      </c>
      <c r="G479" t="s">
        <v>14</v>
      </c>
      <c r="H479" t="s">
        <v>13</v>
      </c>
      <c r="I479" t="s">
        <v>5580</v>
      </c>
      <c r="J479">
        <v>60005510</v>
      </c>
      <c r="K479" t="s">
        <v>1567</v>
      </c>
      <c r="L479" t="s">
        <v>1566</v>
      </c>
      <c r="M479" t="s">
        <v>1565</v>
      </c>
      <c r="N479">
        <v>1</v>
      </c>
      <c r="O479" t="s">
        <v>5579</v>
      </c>
      <c r="P479">
        <v>7403366748</v>
      </c>
      <c r="Q479">
        <v>60005510</v>
      </c>
      <c r="R479" s="7">
        <v>32874</v>
      </c>
      <c r="S479" s="8">
        <f t="shared" si="56"/>
        <v>1990</v>
      </c>
      <c r="T479" s="8">
        <v>1990</v>
      </c>
      <c r="U479" s="8">
        <f t="shared" si="57"/>
        <v>32</v>
      </c>
      <c r="V479" s="7">
        <v>33117</v>
      </c>
      <c r="W479" t="s">
        <v>5578</v>
      </c>
      <c r="X479" s="2">
        <v>0.249</v>
      </c>
      <c r="Y479" s="6">
        <f t="shared" si="62"/>
        <v>6.6469127893008734E-3</v>
      </c>
      <c r="AA479">
        <v>8943370</v>
      </c>
      <c r="AB479">
        <v>18200</v>
      </c>
      <c r="AC479">
        <v>10991204</v>
      </c>
      <c r="AD479" t="s">
        <v>5</v>
      </c>
      <c r="AE479">
        <v>3</v>
      </c>
      <c r="AF479">
        <v>3</v>
      </c>
      <c r="AH479" t="s">
        <v>5577</v>
      </c>
      <c r="AI479" t="s">
        <v>5576</v>
      </c>
      <c r="AK479" t="s">
        <v>5575</v>
      </c>
      <c r="AL479">
        <v>4</v>
      </c>
      <c r="AM479" s="5">
        <f t="shared" si="58"/>
        <v>0.125</v>
      </c>
      <c r="AN479" s="4">
        <f t="shared" si="63"/>
        <v>1.893222264293828E-4</v>
      </c>
      <c r="AO479" s="3"/>
      <c r="AP479">
        <v>0</v>
      </c>
      <c r="AR479" t="s">
        <v>0</v>
      </c>
      <c r="AT479" s="2" t="s">
        <v>126</v>
      </c>
      <c r="AU479" s="1">
        <f t="shared" si="59"/>
        <v>0.47096356204394269</v>
      </c>
      <c r="AV479" s="1">
        <f t="shared" si="60"/>
        <v>0.34181175078651282</v>
      </c>
      <c r="AW479" s="1">
        <f t="shared" si="61"/>
        <v>0.21265993952908299</v>
      </c>
    </row>
    <row r="480" spans="1:49" x14ac:dyDescent="0.2">
      <c r="A480">
        <v>478</v>
      </c>
      <c r="B480" t="s">
        <v>5574</v>
      </c>
      <c r="C480" t="s">
        <v>5573</v>
      </c>
      <c r="F480" t="s">
        <v>5572</v>
      </c>
      <c r="G480" t="s">
        <v>14</v>
      </c>
      <c r="H480" t="s">
        <v>13</v>
      </c>
      <c r="I480" t="s">
        <v>5571</v>
      </c>
      <c r="J480">
        <v>60025757</v>
      </c>
      <c r="K480" t="s">
        <v>5570</v>
      </c>
      <c r="L480" t="s">
        <v>5569</v>
      </c>
      <c r="M480" t="s">
        <v>357</v>
      </c>
      <c r="N480">
        <v>2</v>
      </c>
      <c r="O480" t="s">
        <v>5568</v>
      </c>
      <c r="P480" t="s">
        <v>5567</v>
      </c>
      <c r="Q480" t="s">
        <v>5566</v>
      </c>
      <c r="R480" s="7">
        <v>32874</v>
      </c>
      <c r="S480" s="8">
        <f t="shared" si="56"/>
        <v>1990</v>
      </c>
      <c r="T480" s="8">
        <v>1990</v>
      </c>
      <c r="U480" s="8">
        <f t="shared" si="57"/>
        <v>32</v>
      </c>
      <c r="V480" s="7">
        <v>33117</v>
      </c>
      <c r="W480" t="s">
        <v>2249</v>
      </c>
      <c r="X480" s="2">
        <v>1.6519999999999999</v>
      </c>
      <c r="Y480" s="6">
        <f t="shared" si="62"/>
        <v>4.409919649769093E-2</v>
      </c>
      <c r="AA480" t="s">
        <v>2248</v>
      </c>
      <c r="AB480">
        <v>17337</v>
      </c>
      <c r="AC480">
        <v>15582221</v>
      </c>
      <c r="AD480" t="s">
        <v>5</v>
      </c>
      <c r="AE480">
        <v>38</v>
      </c>
      <c r="AF480">
        <v>9</v>
      </c>
      <c r="AH480" t="s">
        <v>5565</v>
      </c>
      <c r="AI480" t="s">
        <v>5564</v>
      </c>
      <c r="AK480" t="s">
        <v>5563</v>
      </c>
      <c r="AL480">
        <v>18</v>
      </c>
      <c r="AM480" s="5">
        <f t="shared" si="58"/>
        <v>0.5625</v>
      </c>
      <c r="AN480" s="4">
        <f t="shared" si="63"/>
        <v>8.5195001893222262E-4</v>
      </c>
      <c r="AO480" s="3"/>
      <c r="AP480">
        <v>0</v>
      </c>
      <c r="AR480" t="s">
        <v>0</v>
      </c>
      <c r="AT480" s="2" t="s">
        <v>126</v>
      </c>
      <c r="AU480" s="1">
        <f t="shared" si="59"/>
        <v>3.1125022554063317</v>
      </c>
      <c r="AV480" s="1">
        <f t="shared" si="60"/>
        <v>2.2475573258311576</v>
      </c>
      <c r="AW480" s="1">
        <f t="shared" si="61"/>
        <v>1.3826123962559833</v>
      </c>
    </row>
    <row r="481" spans="1:49" x14ac:dyDescent="0.2">
      <c r="A481">
        <v>479</v>
      </c>
      <c r="B481" t="s">
        <v>5562</v>
      </c>
      <c r="C481" t="s">
        <v>5561</v>
      </c>
      <c r="F481" t="s">
        <v>5560</v>
      </c>
      <c r="G481" t="s">
        <v>14</v>
      </c>
      <c r="H481" t="s">
        <v>13</v>
      </c>
      <c r="I481" t="s">
        <v>5559</v>
      </c>
      <c r="J481" t="s">
        <v>5558</v>
      </c>
      <c r="K481" t="s">
        <v>5557</v>
      </c>
      <c r="L481" t="s">
        <v>5556</v>
      </c>
      <c r="M481" t="s">
        <v>84</v>
      </c>
      <c r="N481">
        <v>2</v>
      </c>
      <c r="O481" t="s">
        <v>5555</v>
      </c>
      <c r="P481" t="s">
        <v>5554</v>
      </c>
      <c r="Q481" t="s">
        <v>5553</v>
      </c>
      <c r="R481" s="7">
        <v>32874</v>
      </c>
      <c r="S481" s="8">
        <f t="shared" si="56"/>
        <v>1990</v>
      </c>
      <c r="T481" s="8">
        <v>1990</v>
      </c>
      <c r="U481" s="8">
        <f t="shared" si="57"/>
        <v>32</v>
      </c>
      <c r="V481" s="7">
        <v>33117</v>
      </c>
      <c r="W481" t="s">
        <v>1968</v>
      </c>
      <c r="X481" s="2">
        <v>0.82799999999999996</v>
      </c>
      <c r="Y481" s="6">
        <f t="shared" si="62"/>
        <v>2.2102987106590855E-2</v>
      </c>
      <c r="AA481">
        <v>11452</v>
      </c>
      <c r="AB481">
        <v>29964</v>
      </c>
      <c r="AD481" t="s">
        <v>5</v>
      </c>
      <c r="AE481">
        <v>28</v>
      </c>
      <c r="AF481">
        <v>9</v>
      </c>
      <c r="AH481" t="s">
        <v>5552</v>
      </c>
      <c r="AI481" t="s">
        <v>5551</v>
      </c>
      <c r="AK481" t="s">
        <v>5550</v>
      </c>
      <c r="AL481">
        <v>4</v>
      </c>
      <c r="AM481" s="5">
        <f t="shared" si="58"/>
        <v>0.125</v>
      </c>
      <c r="AN481" s="4">
        <f t="shared" si="63"/>
        <v>1.893222264293828E-4</v>
      </c>
      <c r="AO481" s="3"/>
      <c r="AP481">
        <v>0</v>
      </c>
      <c r="AQ481" t="s">
        <v>1279</v>
      </c>
      <c r="AR481" t="s">
        <v>5173</v>
      </c>
      <c r="AS481" t="s">
        <v>1278</v>
      </c>
      <c r="AT481" s="2">
        <v>2.1269999999999998</v>
      </c>
      <c r="AU481" s="1">
        <f t="shared" si="59"/>
        <v>1.552888764254241</v>
      </c>
      <c r="AV481" s="1">
        <f t="shared" si="60"/>
        <v>1.114615466651012</v>
      </c>
      <c r="AW481" s="1">
        <f t="shared" si="61"/>
        <v>0.67634216904778244</v>
      </c>
    </row>
    <row r="482" spans="1:49" x14ac:dyDescent="0.2">
      <c r="A482">
        <v>480</v>
      </c>
      <c r="B482" t="s">
        <v>5549</v>
      </c>
      <c r="C482" t="s">
        <v>5548</v>
      </c>
      <c r="F482" t="s">
        <v>5547</v>
      </c>
      <c r="G482" t="s">
        <v>14</v>
      </c>
      <c r="H482" t="s">
        <v>13</v>
      </c>
      <c r="I482" t="s">
        <v>5546</v>
      </c>
      <c r="J482">
        <v>60013141</v>
      </c>
      <c r="K482" t="s">
        <v>5467</v>
      </c>
      <c r="L482" t="s">
        <v>5466</v>
      </c>
      <c r="M482" t="s">
        <v>5465</v>
      </c>
      <c r="N482">
        <v>1</v>
      </c>
      <c r="O482" t="s">
        <v>5545</v>
      </c>
      <c r="P482">
        <v>7101988263</v>
      </c>
      <c r="Q482">
        <v>60013141</v>
      </c>
      <c r="R482" s="7">
        <v>32874</v>
      </c>
      <c r="S482" s="8">
        <f t="shared" si="56"/>
        <v>1990</v>
      </c>
      <c r="T482" s="8">
        <v>1990</v>
      </c>
      <c r="U482" s="8">
        <f t="shared" si="57"/>
        <v>32</v>
      </c>
      <c r="V482" s="7">
        <v>33117</v>
      </c>
      <c r="W482" t="s">
        <v>2249</v>
      </c>
      <c r="X482" s="2">
        <v>1.6519999999999999</v>
      </c>
      <c r="Y482" s="6">
        <f t="shared" si="62"/>
        <v>4.409919649769093E-2</v>
      </c>
      <c r="AA482" t="s">
        <v>2248</v>
      </c>
      <c r="AB482">
        <v>17337</v>
      </c>
      <c r="AC482">
        <v>15582221</v>
      </c>
      <c r="AD482" t="s">
        <v>5</v>
      </c>
      <c r="AE482">
        <v>38</v>
      </c>
      <c r="AF482">
        <v>9</v>
      </c>
      <c r="AH482" t="s">
        <v>5544</v>
      </c>
      <c r="AI482" t="s">
        <v>5543</v>
      </c>
      <c r="AK482" t="s">
        <v>5542</v>
      </c>
      <c r="AL482">
        <v>3</v>
      </c>
      <c r="AM482" s="5">
        <f t="shared" si="58"/>
        <v>9.375E-2</v>
      </c>
      <c r="AN482" s="4">
        <f t="shared" si="63"/>
        <v>1.4199166982203711E-4</v>
      </c>
      <c r="AO482" s="3"/>
      <c r="AP482">
        <v>0</v>
      </c>
      <c r="AR482" t="s">
        <v>0</v>
      </c>
      <c r="AT482" s="2" t="s">
        <v>126</v>
      </c>
      <c r="AU482" s="1">
        <f t="shared" si="59"/>
        <v>3.0912035049330262</v>
      </c>
      <c r="AV482" s="1">
        <f t="shared" si="60"/>
        <v>2.2120594083756484</v>
      </c>
      <c r="AW482" s="1">
        <f t="shared" si="61"/>
        <v>1.3329153118182704</v>
      </c>
    </row>
    <row r="483" spans="1:49" x14ac:dyDescent="0.2">
      <c r="A483">
        <v>481</v>
      </c>
      <c r="B483" t="s">
        <v>5541</v>
      </c>
      <c r="C483" t="s">
        <v>5540</v>
      </c>
      <c r="F483" t="s">
        <v>5539</v>
      </c>
      <c r="G483" t="s">
        <v>14</v>
      </c>
      <c r="H483" t="s">
        <v>13</v>
      </c>
      <c r="I483" t="s">
        <v>5538</v>
      </c>
      <c r="J483">
        <v>60005603</v>
      </c>
      <c r="K483" t="s">
        <v>5537</v>
      </c>
      <c r="L483" t="s">
        <v>4704</v>
      </c>
      <c r="M483" t="s">
        <v>1937</v>
      </c>
      <c r="N483">
        <v>1</v>
      </c>
      <c r="O483" t="s">
        <v>5536</v>
      </c>
      <c r="P483">
        <v>7402932533</v>
      </c>
      <c r="Q483">
        <v>60005603</v>
      </c>
      <c r="R483" s="7">
        <v>32874</v>
      </c>
      <c r="S483" s="8">
        <f t="shared" si="56"/>
        <v>1990</v>
      </c>
      <c r="T483" s="8">
        <v>1990</v>
      </c>
      <c r="U483" s="8">
        <f t="shared" si="57"/>
        <v>32</v>
      </c>
      <c r="V483" s="7">
        <v>33117</v>
      </c>
      <c r="W483" t="s">
        <v>1283</v>
      </c>
      <c r="X483" s="2">
        <v>2.141</v>
      </c>
      <c r="Y483" s="6">
        <f t="shared" si="62"/>
        <v>5.7152772216438434E-2</v>
      </c>
      <c r="AA483">
        <v>1962892</v>
      </c>
      <c r="AB483">
        <v>17360</v>
      </c>
      <c r="AC483">
        <v>15580644</v>
      </c>
      <c r="AD483" t="s">
        <v>5</v>
      </c>
      <c r="AE483">
        <v>28</v>
      </c>
      <c r="AF483">
        <v>5</v>
      </c>
      <c r="AH483" t="s">
        <v>5535</v>
      </c>
      <c r="AI483" t="s">
        <v>5534</v>
      </c>
      <c r="AK483" t="s">
        <v>5533</v>
      </c>
      <c r="AL483">
        <v>16</v>
      </c>
      <c r="AM483" s="5">
        <f t="shared" si="58"/>
        <v>0.5</v>
      </c>
      <c r="AN483" s="4">
        <f t="shared" si="63"/>
        <v>7.572889057175312E-4</v>
      </c>
      <c r="AO483" s="3"/>
      <c r="AP483">
        <v>0</v>
      </c>
      <c r="AR483" t="s">
        <v>0</v>
      </c>
      <c r="AT483" s="2" t="s">
        <v>126</v>
      </c>
      <c r="AU483" s="1">
        <f t="shared" si="59"/>
        <v>4.0234127223222158</v>
      </c>
      <c r="AV483" s="1">
        <f t="shared" si="60"/>
        <v>2.8955030561077981</v>
      </c>
      <c r="AW483" s="1">
        <f t="shared" si="61"/>
        <v>1.7675933898933804</v>
      </c>
    </row>
    <row r="484" spans="1:49" x14ac:dyDescent="0.2">
      <c r="A484">
        <v>482</v>
      </c>
      <c r="B484" t="s">
        <v>5532</v>
      </c>
      <c r="C484" t="s">
        <v>5531</v>
      </c>
      <c r="F484" t="s">
        <v>5530</v>
      </c>
      <c r="G484" t="s">
        <v>14</v>
      </c>
      <c r="H484" t="s">
        <v>13</v>
      </c>
      <c r="I484" t="s">
        <v>5529</v>
      </c>
      <c r="J484">
        <v>60008435</v>
      </c>
      <c r="K484" t="s">
        <v>4650</v>
      </c>
      <c r="L484" t="s">
        <v>1517</v>
      </c>
      <c r="M484" t="s">
        <v>267</v>
      </c>
      <c r="N484">
        <v>2</v>
      </c>
      <c r="O484" t="s">
        <v>5528</v>
      </c>
      <c r="P484" t="s">
        <v>5527</v>
      </c>
      <c r="Q484" t="s">
        <v>5526</v>
      </c>
      <c r="R484" s="7">
        <v>32874</v>
      </c>
      <c r="S484" s="8">
        <f t="shared" si="56"/>
        <v>1990</v>
      </c>
      <c r="T484" s="8">
        <v>1990</v>
      </c>
      <c r="U484" s="8">
        <f t="shared" si="57"/>
        <v>32</v>
      </c>
      <c r="V484" s="7">
        <v>1990</v>
      </c>
      <c r="W484" t="s">
        <v>3748</v>
      </c>
      <c r="X484" s="2">
        <v>0.13900000000000001</v>
      </c>
      <c r="Y484" s="6">
        <f t="shared" si="62"/>
        <v>3.7105256133045036E-3</v>
      </c>
      <c r="AA484" t="s">
        <v>3747</v>
      </c>
      <c r="AB484">
        <v>24891</v>
      </c>
      <c r="AC484">
        <v>15206432</v>
      </c>
      <c r="AD484" t="s">
        <v>5</v>
      </c>
      <c r="AE484">
        <v>73</v>
      </c>
      <c r="AF484">
        <v>9</v>
      </c>
      <c r="AH484" t="s">
        <v>5525</v>
      </c>
      <c r="AI484" t="s">
        <v>5524</v>
      </c>
      <c r="AK484" t="s">
        <v>5523</v>
      </c>
      <c r="AL484">
        <v>8</v>
      </c>
      <c r="AM484" s="5">
        <f t="shared" si="58"/>
        <v>0.25</v>
      </c>
      <c r="AN484" s="4">
        <f t="shared" si="63"/>
        <v>3.786444528587656E-4</v>
      </c>
      <c r="AO484" s="3"/>
      <c r="AP484">
        <v>0</v>
      </c>
      <c r="AR484" t="s">
        <v>0</v>
      </c>
      <c r="AT484" s="2" t="s">
        <v>126</v>
      </c>
      <c r="AU484" s="1">
        <f t="shared" si="59"/>
        <v>0.27109612651707821</v>
      </c>
      <c r="AV484" s="1">
        <f t="shared" si="60"/>
        <v>0.20445850330816345</v>
      </c>
      <c r="AW484" s="1">
        <f t="shared" si="61"/>
        <v>0.1378208800992487</v>
      </c>
    </row>
    <row r="485" spans="1:49" x14ac:dyDescent="0.2">
      <c r="A485">
        <v>483</v>
      </c>
      <c r="B485" t="s">
        <v>5522</v>
      </c>
      <c r="C485" t="s">
        <v>5521</v>
      </c>
      <c r="F485" t="s">
        <v>5520</v>
      </c>
      <c r="G485" t="s">
        <v>14</v>
      </c>
      <c r="H485" t="s">
        <v>13</v>
      </c>
      <c r="I485" t="s">
        <v>5519</v>
      </c>
      <c r="J485">
        <v>60002494</v>
      </c>
      <c r="K485" t="s">
        <v>5518</v>
      </c>
      <c r="L485" t="s">
        <v>2085</v>
      </c>
      <c r="M485" t="s">
        <v>1937</v>
      </c>
      <c r="N485">
        <v>2</v>
      </c>
      <c r="O485" t="s">
        <v>5517</v>
      </c>
      <c r="P485" t="s">
        <v>5516</v>
      </c>
      <c r="Q485" t="s">
        <v>5515</v>
      </c>
      <c r="R485" s="7">
        <v>32874</v>
      </c>
      <c r="S485" s="8">
        <f t="shared" si="56"/>
        <v>1990</v>
      </c>
      <c r="T485" s="8">
        <v>1990</v>
      </c>
      <c r="U485" s="8">
        <f t="shared" si="57"/>
        <v>32</v>
      </c>
      <c r="V485" s="7">
        <v>33117</v>
      </c>
      <c r="W485" t="s">
        <v>2249</v>
      </c>
      <c r="X485" s="2">
        <v>1.6519999999999999</v>
      </c>
      <c r="Y485" s="6">
        <f t="shared" si="62"/>
        <v>4.409919649769093E-2</v>
      </c>
      <c r="AA485" t="s">
        <v>2248</v>
      </c>
      <c r="AB485">
        <v>17337</v>
      </c>
      <c r="AC485">
        <v>15582221</v>
      </c>
      <c r="AD485" t="s">
        <v>5</v>
      </c>
      <c r="AE485">
        <v>38</v>
      </c>
      <c r="AF485">
        <v>9</v>
      </c>
      <c r="AH485" t="s">
        <v>5514</v>
      </c>
      <c r="AI485" t="s">
        <v>5513</v>
      </c>
      <c r="AK485" t="s">
        <v>5512</v>
      </c>
      <c r="AL485">
        <v>1</v>
      </c>
      <c r="AM485" s="5">
        <f t="shared" si="58"/>
        <v>3.125E-2</v>
      </c>
      <c r="AN485" s="4">
        <f t="shared" si="63"/>
        <v>4.73305566073457E-5</v>
      </c>
      <c r="AO485" s="3"/>
      <c r="AP485">
        <v>0</v>
      </c>
      <c r="AR485" t="s">
        <v>0</v>
      </c>
      <c r="AT485" s="2" t="s">
        <v>126</v>
      </c>
      <c r="AU485" s="1">
        <f t="shared" si="59"/>
        <v>3.0883636715365856</v>
      </c>
      <c r="AV485" s="1">
        <f t="shared" si="60"/>
        <v>2.2073263527149138</v>
      </c>
      <c r="AW485" s="1">
        <f t="shared" si="61"/>
        <v>1.326289033893242</v>
      </c>
    </row>
    <row r="486" spans="1:49" x14ac:dyDescent="0.2">
      <c r="A486">
        <v>484</v>
      </c>
      <c r="B486" t="s">
        <v>5511</v>
      </c>
      <c r="C486" t="s">
        <v>5510</v>
      </c>
      <c r="F486" t="s">
        <v>5509</v>
      </c>
      <c r="G486" t="s">
        <v>14</v>
      </c>
      <c r="H486" t="s">
        <v>13</v>
      </c>
      <c r="I486" t="s">
        <v>1568</v>
      </c>
      <c r="J486">
        <v>60005510</v>
      </c>
      <c r="K486" t="s">
        <v>1567</v>
      </c>
      <c r="L486" t="s">
        <v>1566</v>
      </c>
      <c r="M486" t="s">
        <v>1565</v>
      </c>
      <c r="N486">
        <v>1</v>
      </c>
      <c r="O486" t="s">
        <v>5508</v>
      </c>
      <c r="P486">
        <v>7102842938</v>
      </c>
      <c r="Q486">
        <v>60005510</v>
      </c>
      <c r="R486" s="7">
        <v>32874</v>
      </c>
      <c r="S486" s="8">
        <f t="shared" si="56"/>
        <v>1990</v>
      </c>
      <c r="T486" s="8">
        <v>1990</v>
      </c>
      <c r="U486" s="8">
        <f t="shared" si="57"/>
        <v>32</v>
      </c>
      <c r="V486" s="7">
        <v>33117</v>
      </c>
      <c r="W486" t="s">
        <v>2249</v>
      </c>
      <c r="X486" s="2">
        <v>1.6519999999999999</v>
      </c>
      <c r="Y486" s="6">
        <f t="shared" si="62"/>
        <v>4.409919649769093E-2</v>
      </c>
      <c r="AA486" t="s">
        <v>2248</v>
      </c>
      <c r="AB486">
        <v>17337</v>
      </c>
      <c r="AC486">
        <v>15582221</v>
      </c>
      <c r="AD486" t="s">
        <v>5</v>
      </c>
      <c r="AE486">
        <v>38</v>
      </c>
      <c r="AF486">
        <v>9</v>
      </c>
      <c r="AH486" t="s">
        <v>5507</v>
      </c>
      <c r="AI486" t="s">
        <v>5506</v>
      </c>
      <c r="AK486" t="s">
        <v>5505</v>
      </c>
      <c r="AL486">
        <v>106</v>
      </c>
      <c r="AM486" s="5">
        <f t="shared" si="58"/>
        <v>3.3125</v>
      </c>
      <c r="AN486" s="4">
        <f t="shared" si="63"/>
        <v>5.0170390003786442E-3</v>
      </c>
      <c r="AO486" s="3"/>
      <c r="AP486">
        <v>0</v>
      </c>
      <c r="AR486" t="s">
        <v>0</v>
      </c>
      <c r="AT486" s="2" t="s">
        <v>126</v>
      </c>
      <c r="AU486" s="1">
        <f t="shared" si="59"/>
        <v>3.2374549248497244</v>
      </c>
      <c r="AV486" s="1">
        <f t="shared" si="60"/>
        <v>2.4558117749034785</v>
      </c>
      <c r="AW486" s="1">
        <f t="shared" si="61"/>
        <v>1.674168624957233</v>
      </c>
    </row>
    <row r="487" spans="1:49" x14ac:dyDescent="0.2">
      <c r="A487">
        <v>485</v>
      </c>
      <c r="B487" t="s">
        <v>5504</v>
      </c>
      <c r="C487" t="s">
        <v>5503</v>
      </c>
      <c r="F487" t="s">
        <v>5502</v>
      </c>
      <c r="G487" t="s">
        <v>14</v>
      </c>
      <c r="H487" t="s">
        <v>13</v>
      </c>
      <c r="I487" t="s">
        <v>5501</v>
      </c>
      <c r="J487">
        <v>60072501</v>
      </c>
      <c r="K487" t="s">
        <v>5500</v>
      </c>
      <c r="L487" t="s">
        <v>4639</v>
      </c>
      <c r="M487" t="s">
        <v>135</v>
      </c>
      <c r="N487">
        <v>4</v>
      </c>
      <c r="O487" t="s">
        <v>5499</v>
      </c>
      <c r="P487" t="s">
        <v>5498</v>
      </c>
      <c r="Q487" t="s">
        <v>5497</v>
      </c>
      <c r="R487" s="7">
        <v>32874</v>
      </c>
      <c r="S487" s="8">
        <f t="shared" si="56"/>
        <v>1990</v>
      </c>
      <c r="T487" s="8">
        <v>1990</v>
      </c>
      <c r="U487" s="8">
        <f t="shared" si="57"/>
        <v>32</v>
      </c>
      <c r="V487" s="7">
        <v>32874</v>
      </c>
      <c r="W487" t="s">
        <v>1380</v>
      </c>
      <c r="X487" s="2">
        <v>0.375</v>
      </c>
      <c r="Y487" s="6">
        <f t="shared" si="62"/>
        <v>1.0010410827260351E-2</v>
      </c>
      <c r="AA487">
        <v>135194</v>
      </c>
      <c r="AB487">
        <v>24918</v>
      </c>
      <c r="AD487" t="s">
        <v>5</v>
      </c>
      <c r="AE487">
        <v>26</v>
      </c>
      <c r="AF487">
        <v>20</v>
      </c>
      <c r="AH487" t="s">
        <v>5496</v>
      </c>
      <c r="AI487" t="s">
        <v>5495</v>
      </c>
      <c r="AJ487" t="s">
        <v>5494</v>
      </c>
      <c r="AK487" t="s">
        <v>5493</v>
      </c>
      <c r="AL487">
        <v>1</v>
      </c>
      <c r="AM487" s="5">
        <f t="shared" si="58"/>
        <v>3.125E-2</v>
      </c>
      <c r="AN487" s="4">
        <f t="shared" si="63"/>
        <v>4.73305566073457E-5</v>
      </c>
      <c r="AO487" s="3"/>
      <c r="AP487">
        <v>0</v>
      </c>
      <c r="AR487" t="s">
        <v>0</v>
      </c>
      <c r="AT487" s="2">
        <v>1.3140000000000001</v>
      </c>
      <c r="AU487" s="1">
        <f t="shared" si="59"/>
        <v>0.70214867460644492</v>
      </c>
      <c r="AV487" s="1">
        <f t="shared" si="60"/>
        <v>0.50288706919338488</v>
      </c>
      <c r="AW487" s="1">
        <f t="shared" si="61"/>
        <v>0.30362546378032473</v>
      </c>
    </row>
    <row r="488" spans="1:49" x14ac:dyDescent="0.2">
      <c r="A488">
        <v>486</v>
      </c>
      <c r="B488" t="s">
        <v>5492</v>
      </c>
      <c r="C488" t="s">
        <v>5491</v>
      </c>
      <c r="F488" t="s">
        <v>5490</v>
      </c>
      <c r="G488" t="s">
        <v>14</v>
      </c>
      <c r="H488" t="s">
        <v>13</v>
      </c>
      <c r="I488" t="s">
        <v>5489</v>
      </c>
      <c r="J488">
        <v>60031892</v>
      </c>
      <c r="K488" t="s">
        <v>5488</v>
      </c>
      <c r="L488" t="s">
        <v>5487</v>
      </c>
      <c r="M488" t="s">
        <v>197</v>
      </c>
      <c r="N488">
        <v>2</v>
      </c>
      <c r="O488" t="s">
        <v>5486</v>
      </c>
      <c r="P488" t="s">
        <v>5485</v>
      </c>
      <c r="Q488" t="s">
        <v>5484</v>
      </c>
      <c r="R488" s="7">
        <v>32874</v>
      </c>
      <c r="S488" s="8">
        <f t="shared" si="56"/>
        <v>1990</v>
      </c>
      <c r="T488" s="8">
        <v>1990</v>
      </c>
      <c r="U488" s="8">
        <f t="shared" si="57"/>
        <v>32</v>
      </c>
      <c r="V488" s="7">
        <v>33117</v>
      </c>
      <c r="W488" t="s">
        <v>5483</v>
      </c>
      <c r="X488" s="2">
        <v>0.59099999999999997</v>
      </c>
      <c r="Y488" s="6">
        <f t="shared" si="62"/>
        <v>1.5776407463762313E-2</v>
      </c>
      <c r="AA488">
        <v>207721</v>
      </c>
      <c r="AB488">
        <v>12419</v>
      </c>
      <c r="AC488">
        <v>14645319</v>
      </c>
      <c r="AD488" t="s">
        <v>5</v>
      </c>
      <c r="AE488">
        <v>21</v>
      </c>
      <c r="AF488">
        <v>9</v>
      </c>
      <c r="AH488" t="s">
        <v>5482</v>
      </c>
      <c r="AI488" t="s">
        <v>5481</v>
      </c>
      <c r="AK488" t="s">
        <v>5480</v>
      </c>
      <c r="AL488">
        <v>17</v>
      </c>
      <c r="AM488" s="5">
        <f t="shared" si="58"/>
        <v>0.53125</v>
      </c>
      <c r="AN488" s="4">
        <f t="shared" si="63"/>
        <v>8.0461946232487697E-4</v>
      </c>
      <c r="AO488" s="3"/>
      <c r="AP488">
        <v>0</v>
      </c>
      <c r="AR488" t="s">
        <v>0</v>
      </c>
      <c r="AT488" s="2" t="s">
        <v>126</v>
      </c>
      <c r="AU488" s="1">
        <f t="shared" si="59"/>
        <v>1.1284871063331081</v>
      </c>
      <c r="AV488" s="1">
        <f t="shared" si="60"/>
        <v>0.82905134630435939</v>
      </c>
      <c r="AW488" s="1">
        <f t="shared" si="61"/>
        <v>0.52961558627561078</v>
      </c>
    </row>
    <row r="489" spans="1:49" x14ac:dyDescent="0.2">
      <c r="A489">
        <v>487</v>
      </c>
      <c r="B489" t="s">
        <v>5479</v>
      </c>
      <c r="C489" t="s">
        <v>5478</v>
      </c>
      <c r="F489" t="s">
        <v>5477</v>
      </c>
      <c r="G489" t="s">
        <v>14</v>
      </c>
      <c r="H489" t="s">
        <v>13</v>
      </c>
      <c r="I489" t="s">
        <v>5476</v>
      </c>
      <c r="J489">
        <v>60027271</v>
      </c>
      <c r="K489" t="s">
        <v>2280</v>
      </c>
      <c r="L489" t="s">
        <v>2279</v>
      </c>
      <c r="M489" t="s">
        <v>197</v>
      </c>
      <c r="N489">
        <v>1</v>
      </c>
      <c r="O489" t="s">
        <v>5475</v>
      </c>
      <c r="P489">
        <v>7003965616</v>
      </c>
      <c r="Q489">
        <v>60027271</v>
      </c>
      <c r="R489" s="7">
        <v>32874</v>
      </c>
      <c r="S489" s="8">
        <f t="shared" si="56"/>
        <v>1990</v>
      </c>
      <c r="T489" s="8">
        <v>1990</v>
      </c>
      <c r="U489" s="8">
        <f t="shared" si="57"/>
        <v>32</v>
      </c>
      <c r="V489" s="7">
        <v>33117</v>
      </c>
      <c r="W489" t="s">
        <v>1283</v>
      </c>
      <c r="X489" s="2">
        <v>2.141</v>
      </c>
      <c r="Y489" s="6">
        <f t="shared" si="62"/>
        <v>5.7152772216438434E-2</v>
      </c>
      <c r="AA489">
        <v>1962892</v>
      </c>
      <c r="AB489">
        <v>17360</v>
      </c>
      <c r="AC489">
        <v>15580644</v>
      </c>
      <c r="AD489" t="s">
        <v>5</v>
      </c>
      <c r="AE489">
        <v>28</v>
      </c>
      <c r="AF489">
        <v>5</v>
      </c>
      <c r="AH489" t="s">
        <v>5474</v>
      </c>
      <c r="AI489" t="s">
        <v>5473</v>
      </c>
      <c r="AK489" t="s">
        <v>5472</v>
      </c>
      <c r="AL489">
        <v>127</v>
      </c>
      <c r="AM489" s="5">
        <f t="shared" si="58"/>
        <v>3.96875</v>
      </c>
      <c r="AN489" s="4">
        <f t="shared" si="63"/>
        <v>6.0109806891329044E-3</v>
      </c>
      <c r="AO489" s="3"/>
      <c r="AP489">
        <v>0</v>
      </c>
      <c r="AR489" t="s">
        <v>0</v>
      </c>
      <c r="AT489" s="2" t="s">
        <v>126</v>
      </c>
      <c r="AU489" s="1">
        <f t="shared" si="59"/>
        <v>4.1810234758246771</v>
      </c>
      <c r="AV489" s="1">
        <f t="shared" si="60"/>
        <v>3.1581876452785673</v>
      </c>
      <c r="AW489" s="1">
        <f t="shared" si="61"/>
        <v>2.1353518147324566</v>
      </c>
    </row>
    <row r="490" spans="1:49" x14ac:dyDescent="0.2">
      <c r="A490">
        <v>488</v>
      </c>
      <c r="B490" t="s">
        <v>5471</v>
      </c>
      <c r="C490" t="s">
        <v>5470</v>
      </c>
      <c r="F490" t="s">
        <v>5469</v>
      </c>
      <c r="G490" t="s">
        <v>14</v>
      </c>
      <c r="H490" t="s">
        <v>13</v>
      </c>
      <c r="I490" t="s">
        <v>5468</v>
      </c>
      <c r="J490">
        <v>60013141</v>
      </c>
      <c r="K490" t="s">
        <v>5467</v>
      </c>
      <c r="L490" t="s">
        <v>5466</v>
      </c>
      <c r="M490" t="s">
        <v>5465</v>
      </c>
      <c r="N490">
        <v>2</v>
      </c>
      <c r="O490" t="s">
        <v>5464</v>
      </c>
      <c r="P490" t="s">
        <v>5463</v>
      </c>
      <c r="Q490" t="s">
        <v>5462</v>
      </c>
      <c r="R490" s="7">
        <v>32874</v>
      </c>
      <c r="S490" s="8">
        <f t="shared" si="56"/>
        <v>1990</v>
      </c>
      <c r="T490" s="8">
        <v>1990</v>
      </c>
      <c r="U490" s="8">
        <f t="shared" si="57"/>
        <v>32</v>
      </c>
      <c r="V490" s="7">
        <v>33117</v>
      </c>
      <c r="W490" t="s">
        <v>2249</v>
      </c>
      <c r="X490" s="2">
        <v>1.6519999999999999</v>
      </c>
      <c r="Y490" s="6">
        <f t="shared" si="62"/>
        <v>4.409919649769093E-2</v>
      </c>
      <c r="AA490" t="s">
        <v>2248</v>
      </c>
      <c r="AB490">
        <v>17337</v>
      </c>
      <c r="AC490">
        <v>15582221</v>
      </c>
      <c r="AD490" t="s">
        <v>5</v>
      </c>
      <c r="AE490">
        <v>38</v>
      </c>
      <c r="AF490">
        <v>9</v>
      </c>
      <c r="AH490" t="s">
        <v>5461</v>
      </c>
      <c r="AI490" t="s">
        <v>5460</v>
      </c>
      <c r="AK490" t="s">
        <v>5459</v>
      </c>
      <c r="AL490">
        <v>18</v>
      </c>
      <c r="AM490" s="5">
        <f t="shared" si="58"/>
        <v>0.5625</v>
      </c>
      <c r="AN490" s="4">
        <f t="shared" si="63"/>
        <v>8.5195001893222262E-4</v>
      </c>
      <c r="AO490" s="3"/>
      <c r="AP490">
        <v>0</v>
      </c>
      <c r="AR490" t="s">
        <v>0</v>
      </c>
      <c r="AT490" s="2" t="s">
        <v>126</v>
      </c>
      <c r="AU490" s="1">
        <f t="shared" si="59"/>
        <v>3.1125022554063317</v>
      </c>
      <c r="AV490" s="1">
        <f t="shared" si="60"/>
        <v>2.2475573258311576</v>
      </c>
      <c r="AW490" s="1">
        <f t="shared" si="61"/>
        <v>1.3826123962559833</v>
      </c>
    </row>
    <row r="491" spans="1:49" x14ac:dyDescent="0.2">
      <c r="A491">
        <v>489</v>
      </c>
      <c r="B491" t="s">
        <v>5458</v>
      </c>
      <c r="C491" t="s">
        <v>5457</v>
      </c>
      <c r="F491" t="s">
        <v>5456</v>
      </c>
      <c r="G491" t="s">
        <v>14</v>
      </c>
      <c r="H491" t="s">
        <v>13</v>
      </c>
      <c r="I491" t="s">
        <v>5455</v>
      </c>
      <c r="J491">
        <v>60028442</v>
      </c>
      <c r="K491" t="s">
        <v>5454</v>
      </c>
      <c r="L491" t="s">
        <v>522</v>
      </c>
      <c r="M491" t="s">
        <v>521</v>
      </c>
      <c r="N491">
        <v>1</v>
      </c>
      <c r="O491" t="s">
        <v>5453</v>
      </c>
      <c r="P491">
        <v>7005853672</v>
      </c>
      <c r="Q491">
        <v>60028442</v>
      </c>
      <c r="R491" s="7">
        <v>32874</v>
      </c>
      <c r="S491" s="8">
        <f t="shared" si="56"/>
        <v>1990</v>
      </c>
      <c r="T491" s="8">
        <v>1990</v>
      </c>
      <c r="U491" s="8">
        <f t="shared" si="57"/>
        <v>32</v>
      </c>
      <c r="V491" s="7">
        <v>33117</v>
      </c>
      <c r="W491" t="s">
        <v>2249</v>
      </c>
      <c r="X491" s="2">
        <v>1.6519999999999999</v>
      </c>
      <c r="Y491" s="6">
        <f t="shared" si="62"/>
        <v>4.409919649769093E-2</v>
      </c>
      <c r="AA491" t="s">
        <v>2248</v>
      </c>
      <c r="AB491">
        <v>17337</v>
      </c>
      <c r="AC491">
        <v>15582221</v>
      </c>
      <c r="AD491" t="s">
        <v>5</v>
      </c>
      <c r="AE491">
        <v>38</v>
      </c>
      <c r="AF491">
        <v>9</v>
      </c>
      <c r="AH491" t="s">
        <v>5452</v>
      </c>
      <c r="AI491" t="s">
        <v>5451</v>
      </c>
      <c r="AK491" t="s">
        <v>5450</v>
      </c>
      <c r="AL491">
        <v>72</v>
      </c>
      <c r="AM491" s="5">
        <f t="shared" si="58"/>
        <v>2.25</v>
      </c>
      <c r="AN491" s="4">
        <f t="shared" si="63"/>
        <v>3.4078000757288905E-3</v>
      </c>
      <c r="AO491" s="3"/>
      <c r="AP491">
        <v>0</v>
      </c>
      <c r="AR491" t="s">
        <v>0</v>
      </c>
      <c r="AT491" s="2" t="s">
        <v>126</v>
      </c>
      <c r="AU491" s="1">
        <f t="shared" si="59"/>
        <v>3.1891777571102313</v>
      </c>
      <c r="AV491" s="1">
        <f t="shared" si="60"/>
        <v>2.3753498286709909</v>
      </c>
      <c r="AW491" s="1">
        <f t="shared" si="61"/>
        <v>1.5615219002317502</v>
      </c>
    </row>
    <row r="492" spans="1:49" x14ac:dyDescent="0.2">
      <c r="A492">
        <v>490</v>
      </c>
      <c r="B492" t="s">
        <v>5449</v>
      </c>
      <c r="C492" t="s">
        <v>5448</v>
      </c>
      <c r="F492" t="s">
        <v>5447</v>
      </c>
      <c r="G492" t="s">
        <v>14</v>
      </c>
      <c r="H492" t="s">
        <v>13</v>
      </c>
      <c r="I492" t="s">
        <v>5446</v>
      </c>
      <c r="J492">
        <v>60009982</v>
      </c>
      <c r="K492" t="s">
        <v>4092</v>
      </c>
      <c r="L492" t="s">
        <v>1665</v>
      </c>
      <c r="M492" t="s">
        <v>197</v>
      </c>
      <c r="N492">
        <v>1</v>
      </c>
      <c r="O492" t="s">
        <v>2340</v>
      </c>
      <c r="P492">
        <v>35586046100</v>
      </c>
      <c r="Q492">
        <v>60009982</v>
      </c>
      <c r="R492" s="7">
        <v>32874</v>
      </c>
      <c r="S492" s="8">
        <f t="shared" si="56"/>
        <v>1990</v>
      </c>
      <c r="T492" s="8">
        <v>1990</v>
      </c>
      <c r="U492" s="8">
        <f t="shared" si="57"/>
        <v>32</v>
      </c>
      <c r="V492" s="7">
        <v>33117</v>
      </c>
      <c r="W492" t="s">
        <v>2249</v>
      </c>
      <c r="X492" s="2">
        <v>1.6519999999999999</v>
      </c>
      <c r="Y492" s="6">
        <f t="shared" si="62"/>
        <v>4.409919649769093E-2</v>
      </c>
      <c r="AA492" t="s">
        <v>2248</v>
      </c>
      <c r="AB492">
        <v>17337</v>
      </c>
      <c r="AC492">
        <v>15582221</v>
      </c>
      <c r="AD492" t="s">
        <v>5</v>
      </c>
      <c r="AE492">
        <v>38</v>
      </c>
      <c r="AF492">
        <v>9</v>
      </c>
      <c r="AH492" t="s">
        <v>5445</v>
      </c>
      <c r="AI492" t="s">
        <v>5444</v>
      </c>
      <c r="AK492" t="s">
        <v>5443</v>
      </c>
      <c r="AL492">
        <v>2</v>
      </c>
      <c r="AM492" s="5">
        <f t="shared" si="58"/>
        <v>6.25E-2</v>
      </c>
      <c r="AN492" s="4">
        <f t="shared" si="63"/>
        <v>9.46611132146914E-5</v>
      </c>
      <c r="AO492" s="3"/>
      <c r="AP492">
        <v>0</v>
      </c>
      <c r="AR492" t="s">
        <v>0</v>
      </c>
      <c r="AT492" s="2" t="s">
        <v>126</v>
      </c>
      <c r="AU492" s="1">
        <f t="shared" si="59"/>
        <v>3.0897835882348059</v>
      </c>
      <c r="AV492" s="1">
        <f t="shared" si="60"/>
        <v>2.2096928805452811</v>
      </c>
      <c r="AW492" s="1">
        <f t="shared" si="61"/>
        <v>1.3296021728557561</v>
      </c>
    </row>
    <row r="493" spans="1:49" x14ac:dyDescent="0.2">
      <c r="A493">
        <v>491</v>
      </c>
      <c r="B493" t="s">
        <v>5442</v>
      </c>
      <c r="C493" t="s">
        <v>5441</v>
      </c>
      <c r="F493" t="s">
        <v>5440</v>
      </c>
      <c r="G493" t="s">
        <v>14</v>
      </c>
      <c r="H493" t="s">
        <v>13</v>
      </c>
      <c r="I493" t="s">
        <v>5439</v>
      </c>
      <c r="N493">
        <v>1</v>
      </c>
      <c r="O493" t="s">
        <v>5431</v>
      </c>
      <c r="P493">
        <v>6507664961</v>
      </c>
      <c r="R493" s="7">
        <v>32874</v>
      </c>
      <c r="S493" s="8">
        <f t="shared" si="56"/>
        <v>1990</v>
      </c>
      <c r="T493" s="8">
        <v>1990</v>
      </c>
      <c r="U493" s="8">
        <f t="shared" si="57"/>
        <v>32</v>
      </c>
      <c r="V493" s="7">
        <v>33117</v>
      </c>
      <c r="W493" t="s">
        <v>2428</v>
      </c>
      <c r="X493" s="2">
        <v>0.78200000000000003</v>
      </c>
      <c r="Y493" s="6">
        <f t="shared" si="62"/>
        <v>2.0875043378446919E-2</v>
      </c>
      <c r="AA493">
        <v>189316</v>
      </c>
      <c r="AB493">
        <v>19901</v>
      </c>
      <c r="AC493">
        <v>15579611</v>
      </c>
      <c r="AD493" t="s">
        <v>5</v>
      </c>
      <c r="AE493">
        <v>36</v>
      </c>
      <c r="AF493">
        <v>3</v>
      </c>
      <c r="AH493" t="s">
        <v>5438</v>
      </c>
      <c r="AI493" t="s">
        <v>5437</v>
      </c>
      <c r="AK493" t="s">
        <v>5436</v>
      </c>
      <c r="AL493">
        <v>0</v>
      </c>
      <c r="AM493" s="5">
        <f t="shared" si="58"/>
        <v>0</v>
      </c>
      <c r="AN493" s="4">
        <f t="shared" si="63"/>
        <v>0</v>
      </c>
      <c r="AO493" s="3"/>
      <c r="AP493">
        <v>0</v>
      </c>
      <c r="AR493" t="s">
        <v>0</v>
      </c>
      <c r="AT493" s="2">
        <v>3.863</v>
      </c>
      <c r="AU493" s="1">
        <f t="shared" si="59"/>
        <v>1.4612530364912841</v>
      </c>
      <c r="AV493" s="1">
        <f t="shared" si="60"/>
        <v>1.0437521689223459</v>
      </c>
      <c r="AW493" s="1">
        <f t="shared" si="61"/>
        <v>0.62625130135340756</v>
      </c>
    </row>
    <row r="494" spans="1:49" x14ac:dyDescent="0.2">
      <c r="A494">
        <v>492</v>
      </c>
      <c r="B494" t="s">
        <v>5435</v>
      </c>
      <c r="C494" t="s">
        <v>5434</v>
      </c>
      <c r="F494" t="s">
        <v>5433</v>
      </c>
      <c r="G494" t="s">
        <v>14</v>
      </c>
      <c r="H494" t="s">
        <v>13</v>
      </c>
      <c r="I494" t="s">
        <v>5432</v>
      </c>
      <c r="N494">
        <v>1</v>
      </c>
      <c r="O494" t="s">
        <v>5431</v>
      </c>
      <c r="P494">
        <v>6507664961</v>
      </c>
      <c r="R494" s="7">
        <v>32874</v>
      </c>
      <c r="S494" s="8">
        <f t="shared" si="56"/>
        <v>1990</v>
      </c>
      <c r="T494" s="8">
        <v>1990</v>
      </c>
      <c r="U494" s="8">
        <f t="shared" si="57"/>
        <v>32</v>
      </c>
      <c r="V494" s="7">
        <v>33117</v>
      </c>
      <c r="W494" t="s">
        <v>2428</v>
      </c>
      <c r="X494" s="2">
        <v>0.78200000000000003</v>
      </c>
      <c r="Y494" s="6">
        <f t="shared" si="62"/>
        <v>2.0875043378446919E-2</v>
      </c>
      <c r="AA494">
        <v>189316</v>
      </c>
      <c r="AB494">
        <v>19901</v>
      </c>
      <c r="AC494">
        <v>15579611</v>
      </c>
      <c r="AD494" t="s">
        <v>5</v>
      </c>
      <c r="AE494">
        <v>36</v>
      </c>
      <c r="AF494">
        <v>3</v>
      </c>
      <c r="AH494" t="s">
        <v>5430</v>
      </c>
      <c r="AI494" t="s">
        <v>5429</v>
      </c>
      <c r="AK494" t="s">
        <v>5428</v>
      </c>
      <c r="AL494">
        <v>0</v>
      </c>
      <c r="AM494" s="5">
        <f t="shared" si="58"/>
        <v>0</v>
      </c>
      <c r="AN494" s="4">
        <f t="shared" si="63"/>
        <v>0</v>
      </c>
      <c r="AO494" s="3"/>
      <c r="AP494">
        <v>0</v>
      </c>
      <c r="AR494" t="s">
        <v>0</v>
      </c>
      <c r="AT494" s="2">
        <v>3.863</v>
      </c>
      <c r="AU494" s="1">
        <f t="shared" si="59"/>
        <v>1.4612530364912841</v>
      </c>
      <c r="AV494" s="1">
        <f t="shared" si="60"/>
        <v>1.0437521689223459</v>
      </c>
      <c r="AW494" s="1">
        <f t="shared" si="61"/>
        <v>0.62625130135340756</v>
      </c>
    </row>
    <row r="495" spans="1:49" x14ac:dyDescent="0.2">
      <c r="A495">
        <v>493</v>
      </c>
      <c r="B495" t="s">
        <v>5427</v>
      </c>
      <c r="C495" t="s">
        <v>5426</v>
      </c>
      <c r="F495" t="s">
        <v>5425</v>
      </c>
      <c r="G495" t="s">
        <v>14</v>
      </c>
      <c r="H495" t="s">
        <v>13</v>
      </c>
      <c r="I495" t="s">
        <v>5424</v>
      </c>
      <c r="J495">
        <v>60029311</v>
      </c>
      <c r="K495" t="s">
        <v>5423</v>
      </c>
      <c r="L495" t="s">
        <v>280</v>
      </c>
      <c r="M495" t="s">
        <v>197</v>
      </c>
      <c r="N495">
        <v>2</v>
      </c>
      <c r="O495" t="s">
        <v>5422</v>
      </c>
      <c r="P495" t="s">
        <v>5421</v>
      </c>
      <c r="Q495" t="s">
        <v>5420</v>
      </c>
      <c r="R495" s="7">
        <v>32874</v>
      </c>
      <c r="S495" s="8">
        <f t="shared" si="56"/>
        <v>1990</v>
      </c>
      <c r="T495" s="8">
        <v>1990</v>
      </c>
      <c r="U495" s="8">
        <f t="shared" si="57"/>
        <v>32</v>
      </c>
      <c r="V495" s="7">
        <v>33117</v>
      </c>
      <c r="W495" t="s">
        <v>720</v>
      </c>
      <c r="X495" s="2">
        <v>1.137</v>
      </c>
      <c r="Y495" s="6">
        <f t="shared" si="62"/>
        <v>3.0351565628253384E-2</v>
      </c>
      <c r="AA495">
        <v>189251</v>
      </c>
      <c r="AB495">
        <v>17336</v>
      </c>
      <c r="AD495" t="s">
        <v>5</v>
      </c>
      <c r="AE495">
        <v>26</v>
      </c>
      <c r="AF495">
        <v>5</v>
      </c>
      <c r="AH495" t="s">
        <v>5419</v>
      </c>
      <c r="AI495" t="s">
        <v>5418</v>
      </c>
      <c r="AK495" t="s">
        <v>5417</v>
      </c>
      <c r="AL495">
        <v>9</v>
      </c>
      <c r="AM495" s="5">
        <f t="shared" si="58"/>
        <v>0.28125</v>
      </c>
      <c r="AN495" s="4">
        <f t="shared" si="63"/>
        <v>4.2597500946611131E-4</v>
      </c>
      <c r="AO495" s="3"/>
      <c r="AP495">
        <v>0</v>
      </c>
      <c r="AR495" t="s">
        <v>0</v>
      </c>
      <c r="AT495" s="2" t="s">
        <v>126</v>
      </c>
      <c r="AU495" s="1">
        <f t="shared" si="59"/>
        <v>2.1373888442617202</v>
      </c>
      <c r="AV495" s="1">
        <f t="shared" si="60"/>
        <v>1.5388770318859748</v>
      </c>
      <c r="AW495" s="1">
        <f t="shared" si="61"/>
        <v>0.94036521951022944</v>
      </c>
    </row>
    <row r="496" spans="1:49" x14ac:dyDescent="0.2">
      <c r="A496">
        <v>494</v>
      </c>
      <c r="B496" t="s">
        <v>5416</v>
      </c>
      <c r="C496" t="s">
        <v>5415</v>
      </c>
      <c r="F496" t="s">
        <v>5414</v>
      </c>
      <c r="G496" t="s">
        <v>14</v>
      </c>
      <c r="H496" t="s">
        <v>13</v>
      </c>
      <c r="I496" t="s">
        <v>5413</v>
      </c>
      <c r="N496">
        <v>3</v>
      </c>
      <c r="O496" t="s">
        <v>5412</v>
      </c>
      <c r="P496" t="s">
        <v>5411</v>
      </c>
      <c r="Q496" t="s">
        <v>391</v>
      </c>
      <c r="R496" s="7">
        <v>32874</v>
      </c>
      <c r="S496" s="8">
        <f t="shared" si="56"/>
        <v>1990</v>
      </c>
      <c r="T496" s="8">
        <v>1990</v>
      </c>
      <c r="U496" s="8">
        <f t="shared" si="57"/>
        <v>32</v>
      </c>
      <c r="V496" s="7">
        <v>33117</v>
      </c>
      <c r="W496" t="s">
        <v>5410</v>
      </c>
      <c r="X496" s="2">
        <v>2.5459999999999998</v>
      </c>
      <c r="Y496" s="6">
        <f t="shared" si="62"/>
        <v>6.7964015909879605E-2</v>
      </c>
      <c r="AA496">
        <v>8908044</v>
      </c>
      <c r="AB496">
        <v>27239</v>
      </c>
      <c r="AD496" t="s">
        <v>5</v>
      </c>
      <c r="AE496">
        <v>4</v>
      </c>
      <c r="AF496">
        <v>5</v>
      </c>
      <c r="AH496" t="s">
        <v>5409</v>
      </c>
      <c r="AI496" t="s">
        <v>5408</v>
      </c>
      <c r="AK496" t="s">
        <v>5407</v>
      </c>
      <c r="AL496">
        <v>3</v>
      </c>
      <c r="AM496" s="5">
        <f t="shared" si="58"/>
        <v>9.375E-2</v>
      </c>
      <c r="AN496" s="4">
        <f t="shared" si="63"/>
        <v>1.4199166982203711E-4</v>
      </c>
      <c r="AO496" s="3"/>
      <c r="AP496">
        <v>0</v>
      </c>
      <c r="AR496" t="s">
        <v>0</v>
      </c>
      <c r="AT496" s="2">
        <v>10.693</v>
      </c>
      <c r="AU496" s="1">
        <f t="shared" si="59"/>
        <v>4.7617408637862333</v>
      </c>
      <c r="AV496" s="1">
        <f t="shared" si="60"/>
        <v>3.405300378985082</v>
      </c>
      <c r="AW496" s="1">
        <f t="shared" si="61"/>
        <v>2.0488598941839307</v>
      </c>
    </row>
    <row r="497" spans="1:49" x14ac:dyDescent="0.2">
      <c r="A497">
        <v>495</v>
      </c>
      <c r="B497" t="s">
        <v>5406</v>
      </c>
      <c r="C497" t="s">
        <v>5405</v>
      </c>
      <c r="F497" t="s">
        <v>5404</v>
      </c>
      <c r="G497" t="s">
        <v>14</v>
      </c>
      <c r="H497" t="s">
        <v>13</v>
      </c>
      <c r="I497" t="s">
        <v>5368</v>
      </c>
      <c r="J497">
        <v>60008928</v>
      </c>
      <c r="K497" t="s">
        <v>5367</v>
      </c>
      <c r="L497" t="s">
        <v>5366</v>
      </c>
      <c r="M497" t="s">
        <v>5365</v>
      </c>
      <c r="N497">
        <v>1</v>
      </c>
      <c r="O497" t="s">
        <v>5364</v>
      </c>
      <c r="P497">
        <v>7402101459</v>
      </c>
      <c r="Q497">
        <v>60008928</v>
      </c>
      <c r="R497" s="7">
        <v>32874</v>
      </c>
      <c r="S497" s="8">
        <f t="shared" si="56"/>
        <v>1990</v>
      </c>
      <c r="T497" s="8">
        <v>1990</v>
      </c>
      <c r="U497" s="8">
        <f t="shared" si="57"/>
        <v>32</v>
      </c>
      <c r="V497" s="7">
        <v>32874</v>
      </c>
      <c r="W497" t="s">
        <v>1380</v>
      </c>
      <c r="X497" s="2">
        <v>0.375</v>
      </c>
      <c r="Y497" s="6">
        <f t="shared" si="62"/>
        <v>1.0010410827260351E-2</v>
      </c>
      <c r="AA497">
        <v>135194</v>
      </c>
      <c r="AB497">
        <v>24918</v>
      </c>
      <c r="AD497" t="s">
        <v>5</v>
      </c>
      <c r="AE497">
        <v>26</v>
      </c>
      <c r="AF497">
        <v>20</v>
      </c>
      <c r="AH497" t="s">
        <v>5403</v>
      </c>
      <c r="AI497" t="s">
        <v>5402</v>
      </c>
      <c r="AJ497" t="s">
        <v>5401</v>
      </c>
      <c r="AK497" t="s">
        <v>5400</v>
      </c>
      <c r="AL497">
        <v>4</v>
      </c>
      <c r="AM497" s="5">
        <f t="shared" si="58"/>
        <v>0.125</v>
      </c>
      <c r="AN497" s="4">
        <f t="shared" si="63"/>
        <v>1.893222264293828E-4</v>
      </c>
      <c r="AO497" s="3"/>
      <c r="AP497">
        <v>0</v>
      </c>
      <c r="AR497" t="s">
        <v>0</v>
      </c>
      <c r="AT497" s="2">
        <v>1.3140000000000001</v>
      </c>
      <c r="AU497" s="1">
        <f t="shared" si="59"/>
        <v>0.7064084247011061</v>
      </c>
      <c r="AV497" s="1">
        <f t="shared" si="60"/>
        <v>0.50998665268448673</v>
      </c>
      <c r="AW497" s="1">
        <f t="shared" si="61"/>
        <v>0.31356488066786731</v>
      </c>
    </row>
    <row r="498" spans="1:49" x14ac:dyDescent="0.2">
      <c r="A498">
        <v>496</v>
      </c>
      <c r="B498" t="s">
        <v>5399</v>
      </c>
      <c r="C498" t="s">
        <v>5398</v>
      </c>
      <c r="F498" t="s">
        <v>5397</v>
      </c>
      <c r="G498" t="s">
        <v>14</v>
      </c>
      <c r="H498" t="s">
        <v>13</v>
      </c>
      <c r="I498" t="s">
        <v>5396</v>
      </c>
      <c r="J498">
        <v>60016418</v>
      </c>
      <c r="K498" t="s">
        <v>5395</v>
      </c>
      <c r="L498" t="s">
        <v>5394</v>
      </c>
      <c r="M498" t="s">
        <v>253</v>
      </c>
      <c r="N498">
        <v>1</v>
      </c>
      <c r="O498" t="s">
        <v>5393</v>
      </c>
      <c r="P498">
        <v>7006825949</v>
      </c>
      <c r="Q498">
        <v>60016418</v>
      </c>
      <c r="R498" s="7">
        <v>32874</v>
      </c>
      <c r="S498" s="8">
        <f t="shared" si="56"/>
        <v>1990</v>
      </c>
      <c r="T498" s="8">
        <v>1990</v>
      </c>
      <c r="U498" s="8">
        <f t="shared" si="57"/>
        <v>32</v>
      </c>
      <c r="V498" s="7">
        <v>32874</v>
      </c>
      <c r="W498" t="s">
        <v>1380</v>
      </c>
      <c r="X498" s="2">
        <v>0.375</v>
      </c>
      <c r="Y498" s="6">
        <f t="shared" si="62"/>
        <v>1.0010410827260351E-2</v>
      </c>
      <c r="AA498">
        <v>135194</v>
      </c>
      <c r="AB498">
        <v>24918</v>
      </c>
      <c r="AD498" t="s">
        <v>5</v>
      </c>
      <c r="AE498">
        <v>26</v>
      </c>
      <c r="AF498">
        <v>20</v>
      </c>
      <c r="AH498" t="s">
        <v>5392</v>
      </c>
      <c r="AI498" t="s">
        <v>5391</v>
      </c>
      <c r="AJ498" t="s">
        <v>5390</v>
      </c>
      <c r="AK498" t="s">
        <v>5389</v>
      </c>
      <c r="AL498">
        <v>8</v>
      </c>
      <c r="AM498" s="5">
        <f t="shared" si="58"/>
        <v>0.25</v>
      </c>
      <c r="AN498" s="4">
        <f t="shared" si="63"/>
        <v>3.786444528587656E-4</v>
      </c>
      <c r="AO498" s="3"/>
      <c r="AP498">
        <v>0</v>
      </c>
      <c r="AR498" t="s">
        <v>0</v>
      </c>
      <c r="AT498" s="2">
        <v>1.3140000000000001</v>
      </c>
      <c r="AU498" s="1">
        <f t="shared" si="59"/>
        <v>0.71208809149398755</v>
      </c>
      <c r="AV498" s="1">
        <f t="shared" si="60"/>
        <v>0.51945276400595586</v>
      </c>
      <c r="AW498" s="1">
        <f t="shared" si="61"/>
        <v>0.32681743651792411</v>
      </c>
    </row>
    <row r="499" spans="1:49" x14ac:dyDescent="0.2">
      <c r="A499">
        <v>497</v>
      </c>
      <c r="B499" t="s">
        <v>5388</v>
      </c>
      <c r="C499" t="s">
        <v>5387</v>
      </c>
      <c r="F499" t="s">
        <v>5386</v>
      </c>
      <c r="G499" t="s">
        <v>14</v>
      </c>
      <c r="H499" t="s">
        <v>13</v>
      </c>
      <c r="I499" t="s">
        <v>5385</v>
      </c>
      <c r="N499">
        <v>2</v>
      </c>
      <c r="O499" t="s">
        <v>5384</v>
      </c>
      <c r="P499" t="s">
        <v>5383</v>
      </c>
      <c r="Q499" t="s">
        <v>119</v>
      </c>
      <c r="R499" s="7">
        <v>32874</v>
      </c>
      <c r="S499" s="8">
        <f t="shared" si="56"/>
        <v>1990</v>
      </c>
      <c r="T499" s="8">
        <v>1990</v>
      </c>
      <c r="U499" s="8">
        <f t="shared" si="57"/>
        <v>32</v>
      </c>
      <c r="V499" s="7">
        <v>33117</v>
      </c>
      <c r="W499" t="s">
        <v>1222</v>
      </c>
      <c r="X499" s="2">
        <v>1.6379999999999999</v>
      </c>
      <c r="Y499" s="6">
        <f t="shared" si="62"/>
        <v>4.3725474493473214E-2</v>
      </c>
      <c r="AA499">
        <v>963518</v>
      </c>
      <c r="AB499">
        <v>31560</v>
      </c>
      <c r="AD499" t="s">
        <v>5</v>
      </c>
      <c r="AE499">
        <v>38</v>
      </c>
      <c r="AF499">
        <v>9</v>
      </c>
      <c r="AH499" t="s">
        <v>5382</v>
      </c>
      <c r="AI499" t="s">
        <v>5381</v>
      </c>
      <c r="AK499" t="s">
        <v>5380</v>
      </c>
      <c r="AL499">
        <v>174</v>
      </c>
      <c r="AM499" s="5">
        <f t="shared" si="58"/>
        <v>5.4375</v>
      </c>
      <c r="AN499" s="4">
        <f t="shared" si="63"/>
        <v>8.2355168496781525E-3</v>
      </c>
      <c r="AO499" s="3"/>
      <c r="AP499">
        <v>0</v>
      </c>
      <c r="AR499" t="s">
        <v>0</v>
      </c>
      <c r="AT499" s="2" t="s">
        <v>126</v>
      </c>
      <c r="AU499" s="1">
        <f t="shared" si="59"/>
        <v>3.3078487200334696</v>
      </c>
      <c r="AV499" s="1">
        <f t="shared" si="60"/>
        <v>2.5980495671575685</v>
      </c>
      <c r="AW499" s="1">
        <f t="shared" si="61"/>
        <v>1.888250414281667</v>
      </c>
    </row>
    <row r="500" spans="1:49" x14ac:dyDescent="0.2">
      <c r="A500">
        <v>498</v>
      </c>
      <c r="B500" t="s">
        <v>5379</v>
      </c>
      <c r="C500" t="s">
        <v>5378</v>
      </c>
      <c r="F500" t="s">
        <v>5377</v>
      </c>
      <c r="G500" t="s">
        <v>14</v>
      </c>
      <c r="H500" t="s">
        <v>13</v>
      </c>
      <c r="I500" t="s">
        <v>5050</v>
      </c>
      <c r="J500">
        <v>60030526</v>
      </c>
      <c r="K500" t="s">
        <v>1784</v>
      </c>
      <c r="L500" t="s">
        <v>466</v>
      </c>
      <c r="M500" t="s">
        <v>267</v>
      </c>
      <c r="N500">
        <v>4</v>
      </c>
      <c r="O500" t="s">
        <v>5376</v>
      </c>
      <c r="P500" t="s">
        <v>5375</v>
      </c>
      <c r="Q500" t="s">
        <v>3550</v>
      </c>
      <c r="R500" s="7">
        <v>32874</v>
      </c>
      <c r="S500" s="8">
        <f t="shared" si="56"/>
        <v>1990</v>
      </c>
      <c r="T500" s="8">
        <v>1990</v>
      </c>
      <c r="U500" s="8">
        <f t="shared" si="57"/>
        <v>32</v>
      </c>
      <c r="V500" s="7">
        <v>33117</v>
      </c>
      <c r="W500" t="s">
        <v>2288</v>
      </c>
      <c r="X500" s="2">
        <v>0.111</v>
      </c>
      <c r="Y500" s="6">
        <f t="shared" si="62"/>
        <v>2.9630816048690639E-3</v>
      </c>
      <c r="AA500">
        <v>87566621</v>
      </c>
      <c r="AB500">
        <v>24890</v>
      </c>
      <c r="AC500">
        <v>15206424</v>
      </c>
      <c r="AD500" t="s">
        <v>5</v>
      </c>
      <c r="AE500">
        <v>73</v>
      </c>
      <c r="AF500">
        <v>9</v>
      </c>
      <c r="AH500" t="s">
        <v>5374</v>
      </c>
      <c r="AI500" t="s">
        <v>5373</v>
      </c>
      <c r="AK500" t="s">
        <v>5372</v>
      </c>
      <c r="AL500">
        <v>2</v>
      </c>
      <c r="AM500" s="5">
        <f t="shared" si="58"/>
        <v>6.25E-2</v>
      </c>
      <c r="AN500" s="4">
        <f t="shared" si="63"/>
        <v>9.46611132146914E-5</v>
      </c>
      <c r="AO500" s="3"/>
      <c r="AP500">
        <v>0</v>
      </c>
      <c r="AR500" t="s">
        <v>0</v>
      </c>
      <c r="AT500" s="2" t="s">
        <v>126</v>
      </c>
      <c r="AU500" s="1">
        <f t="shared" si="59"/>
        <v>0.2102555457372752</v>
      </c>
      <c r="AV500" s="1">
        <f t="shared" si="60"/>
        <v>0.15288713590418776</v>
      </c>
      <c r="AW500" s="1">
        <f t="shared" si="61"/>
        <v>9.5518726071100304E-2</v>
      </c>
    </row>
    <row r="501" spans="1:49" x14ac:dyDescent="0.2">
      <c r="A501">
        <v>499</v>
      </c>
      <c r="B501" t="s">
        <v>5371</v>
      </c>
      <c r="C501" t="s">
        <v>5370</v>
      </c>
      <c r="F501" t="s">
        <v>5369</v>
      </c>
      <c r="G501" t="s">
        <v>14</v>
      </c>
      <c r="H501" t="s">
        <v>13</v>
      </c>
      <c r="I501" t="s">
        <v>5368</v>
      </c>
      <c r="J501">
        <v>60008928</v>
      </c>
      <c r="K501" t="s">
        <v>5367</v>
      </c>
      <c r="L501" t="s">
        <v>5366</v>
      </c>
      <c r="M501" t="s">
        <v>5365</v>
      </c>
      <c r="N501">
        <v>1</v>
      </c>
      <c r="O501" t="s">
        <v>5364</v>
      </c>
      <c r="P501">
        <v>7402101459</v>
      </c>
      <c r="Q501">
        <v>60008928</v>
      </c>
      <c r="R501" s="7">
        <v>32874</v>
      </c>
      <c r="S501" s="8">
        <f t="shared" si="56"/>
        <v>1990</v>
      </c>
      <c r="T501" s="8">
        <v>1990</v>
      </c>
      <c r="U501" s="8">
        <f t="shared" si="57"/>
        <v>32</v>
      </c>
      <c r="V501" s="7">
        <v>32874</v>
      </c>
      <c r="W501" t="s">
        <v>1380</v>
      </c>
      <c r="X501" s="2">
        <v>0.375</v>
      </c>
      <c r="Y501" s="6">
        <f t="shared" si="62"/>
        <v>1.0010410827260351E-2</v>
      </c>
      <c r="AA501">
        <v>135194</v>
      </c>
      <c r="AB501">
        <v>24918</v>
      </c>
      <c r="AD501" t="s">
        <v>5</v>
      </c>
      <c r="AE501">
        <v>26</v>
      </c>
      <c r="AF501">
        <v>20</v>
      </c>
      <c r="AH501" t="s">
        <v>5363</v>
      </c>
      <c r="AI501" t="s">
        <v>5362</v>
      </c>
      <c r="AJ501" t="s">
        <v>5361</v>
      </c>
      <c r="AK501" t="s">
        <v>5360</v>
      </c>
      <c r="AL501">
        <v>4</v>
      </c>
      <c r="AM501" s="5">
        <f t="shared" si="58"/>
        <v>0.125</v>
      </c>
      <c r="AN501" s="4">
        <f t="shared" si="63"/>
        <v>1.893222264293828E-4</v>
      </c>
      <c r="AO501" s="3"/>
      <c r="AP501">
        <v>0</v>
      </c>
      <c r="AR501" t="s">
        <v>0</v>
      </c>
      <c r="AT501" s="2">
        <v>1.3140000000000001</v>
      </c>
      <c r="AU501" s="1">
        <f t="shared" si="59"/>
        <v>0.7064084247011061</v>
      </c>
      <c r="AV501" s="1">
        <f t="shared" si="60"/>
        <v>0.50998665268448673</v>
      </c>
      <c r="AW501" s="1">
        <f t="shared" si="61"/>
        <v>0.31356488066786731</v>
      </c>
    </row>
    <row r="502" spans="1:49" x14ac:dyDescent="0.2">
      <c r="A502">
        <v>500</v>
      </c>
      <c r="B502" t="s">
        <v>5359</v>
      </c>
      <c r="C502" t="s">
        <v>5358</v>
      </c>
      <c r="F502" t="s">
        <v>5357</v>
      </c>
      <c r="G502" t="s">
        <v>14</v>
      </c>
      <c r="H502" t="s">
        <v>13</v>
      </c>
      <c r="I502" t="s">
        <v>5356</v>
      </c>
      <c r="J502">
        <v>60032320</v>
      </c>
      <c r="K502" t="s">
        <v>5355</v>
      </c>
      <c r="L502" t="s">
        <v>5354</v>
      </c>
      <c r="M502" t="s">
        <v>5353</v>
      </c>
      <c r="N502">
        <v>1</v>
      </c>
      <c r="O502" t="s">
        <v>5352</v>
      </c>
      <c r="P502">
        <v>56838538200</v>
      </c>
      <c r="Q502">
        <v>60032320</v>
      </c>
      <c r="R502" s="7">
        <v>32874</v>
      </c>
      <c r="S502" s="8">
        <f t="shared" si="56"/>
        <v>1990</v>
      </c>
      <c r="T502" s="8">
        <v>1990</v>
      </c>
      <c r="U502" s="8">
        <f t="shared" si="57"/>
        <v>32</v>
      </c>
      <c r="V502" s="7">
        <v>33117</v>
      </c>
      <c r="W502" t="s">
        <v>1222</v>
      </c>
      <c r="X502" s="2">
        <v>1.6379999999999999</v>
      </c>
      <c r="Y502" s="6">
        <f t="shared" si="62"/>
        <v>4.3725474493473214E-2</v>
      </c>
      <c r="AA502">
        <v>963518</v>
      </c>
      <c r="AB502">
        <v>31560</v>
      </c>
      <c r="AD502" t="s">
        <v>5</v>
      </c>
      <c r="AE502">
        <v>38</v>
      </c>
      <c r="AF502">
        <v>9</v>
      </c>
      <c r="AH502" t="s">
        <v>5351</v>
      </c>
      <c r="AI502" t="s">
        <v>5350</v>
      </c>
      <c r="AK502" t="s">
        <v>5349</v>
      </c>
      <c r="AL502">
        <v>1</v>
      </c>
      <c r="AM502" s="5">
        <f t="shared" si="58"/>
        <v>3.125E-2</v>
      </c>
      <c r="AN502" s="4">
        <f t="shared" si="63"/>
        <v>4.73305566073457E-5</v>
      </c>
      <c r="AO502" s="3"/>
      <c r="AP502">
        <v>0</v>
      </c>
      <c r="AR502" t="s">
        <v>0</v>
      </c>
      <c r="AT502" s="2" t="s">
        <v>126</v>
      </c>
      <c r="AU502" s="1">
        <f t="shared" si="59"/>
        <v>3.0622031312413456</v>
      </c>
      <c r="AV502" s="1">
        <f t="shared" si="60"/>
        <v>2.1886402525040283</v>
      </c>
      <c r="AW502" s="1">
        <f t="shared" si="61"/>
        <v>1.3150773737667105</v>
      </c>
    </row>
    <row r="503" spans="1:49" x14ac:dyDescent="0.2">
      <c r="A503">
        <v>501</v>
      </c>
      <c r="B503" t="s">
        <v>5348</v>
      </c>
      <c r="C503" t="s">
        <v>5347</v>
      </c>
      <c r="F503" t="s">
        <v>5346</v>
      </c>
      <c r="G503" t="s">
        <v>14</v>
      </c>
      <c r="H503" t="s">
        <v>13</v>
      </c>
      <c r="I503" t="s">
        <v>5345</v>
      </c>
      <c r="J503" t="s">
        <v>5344</v>
      </c>
      <c r="K503" t="s">
        <v>5343</v>
      </c>
      <c r="L503" t="s">
        <v>5342</v>
      </c>
      <c r="M503" t="s">
        <v>84</v>
      </c>
      <c r="N503">
        <v>3</v>
      </c>
      <c r="O503" t="s">
        <v>5341</v>
      </c>
      <c r="P503" t="s">
        <v>5340</v>
      </c>
      <c r="Q503" t="s">
        <v>5339</v>
      </c>
      <c r="R503" s="7">
        <v>32874</v>
      </c>
      <c r="S503" s="8">
        <f t="shared" si="56"/>
        <v>1990</v>
      </c>
      <c r="T503" s="8">
        <v>1990</v>
      </c>
      <c r="U503" s="8">
        <f t="shared" si="57"/>
        <v>32</v>
      </c>
      <c r="V503" s="7">
        <v>32874</v>
      </c>
      <c r="W503" t="s">
        <v>1380</v>
      </c>
      <c r="X503" s="2">
        <v>0.375</v>
      </c>
      <c r="Y503" s="6">
        <f t="shared" si="62"/>
        <v>1.0010410827260351E-2</v>
      </c>
      <c r="AA503">
        <v>135194</v>
      </c>
      <c r="AB503">
        <v>24918</v>
      </c>
      <c r="AD503" t="s">
        <v>5</v>
      </c>
      <c r="AE503">
        <v>26</v>
      </c>
      <c r="AF503">
        <v>20</v>
      </c>
      <c r="AH503" t="s">
        <v>5338</v>
      </c>
      <c r="AI503" t="s">
        <v>5337</v>
      </c>
      <c r="AJ503" t="s">
        <v>5336</v>
      </c>
      <c r="AK503" t="s">
        <v>5335</v>
      </c>
      <c r="AL503">
        <v>13</v>
      </c>
      <c r="AM503" s="5">
        <f t="shared" si="58"/>
        <v>0.40625</v>
      </c>
      <c r="AN503" s="4">
        <f t="shared" si="63"/>
        <v>6.1529723589549411E-4</v>
      </c>
      <c r="AO503" s="3"/>
      <c r="AP503">
        <v>0</v>
      </c>
      <c r="AR503" t="s">
        <v>0</v>
      </c>
      <c r="AT503" s="2">
        <v>1.3140000000000001</v>
      </c>
      <c r="AU503" s="1">
        <f t="shared" si="59"/>
        <v>0.7191876749850894</v>
      </c>
      <c r="AV503" s="1">
        <f t="shared" si="60"/>
        <v>0.53128540315779227</v>
      </c>
      <c r="AW503" s="1">
        <f t="shared" si="61"/>
        <v>0.34338313133049508</v>
      </c>
    </row>
    <row r="504" spans="1:49" x14ac:dyDescent="0.2">
      <c r="A504">
        <v>502</v>
      </c>
      <c r="B504" t="s">
        <v>5334</v>
      </c>
      <c r="C504" t="s">
        <v>5333</v>
      </c>
      <c r="F504" t="s">
        <v>5332</v>
      </c>
      <c r="G504" t="s">
        <v>14</v>
      </c>
      <c r="H504" t="s">
        <v>13</v>
      </c>
      <c r="I504" t="s">
        <v>5331</v>
      </c>
      <c r="J504">
        <v>60010261</v>
      </c>
      <c r="K504" t="s">
        <v>3173</v>
      </c>
      <c r="L504" t="s">
        <v>1717</v>
      </c>
      <c r="M504" t="s">
        <v>197</v>
      </c>
      <c r="N504">
        <v>2</v>
      </c>
      <c r="O504" t="s">
        <v>5330</v>
      </c>
      <c r="P504" t="s">
        <v>5329</v>
      </c>
      <c r="Q504" t="s">
        <v>5328</v>
      </c>
      <c r="R504" s="7">
        <v>32874</v>
      </c>
      <c r="S504" s="8">
        <f t="shared" si="56"/>
        <v>1990</v>
      </c>
      <c r="T504" s="8">
        <v>1990</v>
      </c>
      <c r="U504" s="8">
        <f t="shared" si="57"/>
        <v>32</v>
      </c>
      <c r="V504" s="7">
        <v>33117</v>
      </c>
      <c r="W504" t="s">
        <v>1222</v>
      </c>
      <c r="X504" s="2">
        <v>1.6379999999999999</v>
      </c>
      <c r="Y504" s="6">
        <f t="shared" si="62"/>
        <v>4.3725474493473214E-2</v>
      </c>
      <c r="AA504">
        <v>963518</v>
      </c>
      <c r="AB504">
        <v>31560</v>
      </c>
      <c r="AD504" t="s">
        <v>5</v>
      </c>
      <c r="AE504">
        <v>38</v>
      </c>
      <c r="AF504">
        <v>9</v>
      </c>
      <c r="AH504" t="s">
        <v>5327</v>
      </c>
      <c r="AI504" t="s">
        <v>5326</v>
      </c>
      <c r="AK504" t="s">
        <v>5325</v>
      </c>
      <c r="AL504">
        <v>156</v>
      </c>
      <c r="AM504" s="5">
        <f t="shared" si="58"/>
        <v>4.875</v>
      </c>
      <c r="AN504" s="4">
        <f t="shared" si="63"/>
        <v>7.3835668307459298E-3</v>
      </c>
      <c r="AO504" s="3"/>
      <c r="AP504">
        <v>0</v>
      </c>
      <c r="AQ504" t="s">
        <v>1454</v>
      </c>
      <c r="AR504" t="s">
        <v>5324</v>
      </c>
      <c r="AS504" t="s">
        <v>1452</v>
      </c>
      <c r="AT504" s="2" t="s">
        <v>126</v>
      </c>
      <c r="AU504" s="1">
        <f t="shared" si="59"/>
        <v>3.2822902194655028</v>
      </c>
      <c r="AV504" s="1">
        <f t="shared" si="60"/>
        <v>2.5554520662109574</v>
      </c>
      <c r="AW504" s="1">
        <f t="shared" si="61"/>
        <v>1.8286139129564116</v>
      </c>
    </row>
    <row r="505" spans="1:49" x14ac:dyDescent="0.2">
      <c r="A505">
        <v>503</v>
      </c>
      <c r="B505" t="s">
        <v>5323</v>
      </c>
      <c r="C505" t="s">
        <v>5322</v>
      </c>
      <c r="F505" t="s">
        <v>5321</v>
      </c>
      <c r="G505" t="s">
        <v>14</v>
      </c>
      <c r="H505" t="s">
        <v>13</v>
      </c>
      <c r="I505" t="s">
        <v>5320</v>
      </c>
      <c r="J505" t="s">
        <v>5315</v>
      </c>
      <c r="K505" t="s">
        <v>5319</v>
      </c>
      <c r="L505" t="s">
        <v>5318</v>
      </c>
      <c r="M505" t="s">
        <v>84</v>
      </c>
      <c r="N505">
        <v>2</v>
      </c>
      <c r="O505" t="s">
        <v>5317</v>
      </c>
      <c r="P505" t="s">
        <v>5316</v>
      </c>
      <c r="Q505" t="s">
        <v>5315</v>
      </c>
      <c r="R505" s="7">
        <v>32874</v>
      </c>
      <c r="S505" s="8">
        <f t="shared" si="56"/>
        <v>1990</v>
      </c>
      <c r="T505" s="8">
        <v>1990</v>
      </c>
      <c r="U505" s="8">
        <f t="shared" si="57"/>
        <v>32</v>
      </c>
      <c r="V505" s="7">
        <v>33117</v>
      </c>
      <c r="W505" t="s">
        <v>720</v>
      </c>
      <c r="X505" s="2">
        <v>1.137</v>
      </c>
      <c r="Y505" s="6">
        <f t="shared" si="62"/>
        <v>3.0351565628253384E-2</v>
      </c>
      <c r="AA505">
        <v>189251</v>
      </c>
      <c r="AB505">
        <v>17336</v>
      </c>
      <c r="AD505" t="s">
        <v>5</v>
      </c>
      <c r="AE505">
        <v>26</v>
      </c>
      <c r="AF505">
        <v>5</v>
      </c>
      <c r="AH505" t="s">
        <v>5314</v>
      </c>
      <c r="AI505" t="s">
        <v>5313</v>
      </c>
      <c r="AK505" t="s">
        <v>5312</v>
      </c>
      <c r="AL505">
        <v>2</v>
      </c>
      <c r="AM505" s="5">
        <f t="shared" si="58"/>
        <v>6.25E-2</v>
      </c>
      <c r="AN505" s="4">
        <f t="shared" si="63"/>
        <v>9.46611132146914E-5</v>
      </c>
      <c r="AO505" s="3"/>
      <c r="AP505">
        <v>0</v>
      </c>
      <c r="AR505" t="s">
        <v>0</v>
      </c>
      <c r="AT505" s="2" t="s">
        <v>126</v>
      </c>
      <c r="AU505" s="1">
        <f t="shared" si="59"/>
        <v>2.1274494273741773</v>
      </c>
      <c r="AV505" s="1">
        <f t="shared" si="60"/>
        <v>1.5223113370734036</v>
      </c>
      <c r="AW505" s="1">
        <f t="shared" si="61"/>
        <v>0.9171732467726299</v>
      </c>
    </row>
    <row r="506" spans="1:49" x14ac:dyDescent="0.2">
      <c r="A506">
        <v>504</v>
      </c>
      <c r="B506" t="s">
        <v>5311</v>
      </c>
      <c r="C506" t="s">
        <v>5310</v>
      </c>
      <c r="F506" t="s">
        <v>5309</v>
      </c>
      <c r="G506" t="s">
        <v>14</v>
      </c>
      <c r="H506" t="s">
        <v>13</v>
      </c>
      <c r="I506" t="s">
        <v>5308</v>
      </c>
      <c r="J506" t="s">
        <v>5307</v>
      </c>
      <c r="K506" t="s">
        <v>5306</v>
      </c>
      <c r="L506" t="s">
        <v>5305</v>
      </c>
      <c r="M506" t="s">
        <v>5304</v>
      </c>
      <c r="N506">
        <v>2</v>
      </c>
      <c r="O506" t="s">
        <v>5303</v>
      </c>
      <c r="P506" t="s">
        <v>5302</v>
      </c>
      <c r="Q506" t="s">
        <v>5301</v>
      </c>
      <c r="R506" s="7">
        <v>32874</v>
      </c>
      <c r="S506" s="8">
        <f t="shared" si="56"/>
        <v>1990</v>
      </c>
      <c r="T506" s="8">
        <v>1990</v>
      </c>
      <c r="U506" s="8">
        <f t="shared" si="57"/>
        <v>32</v>
      </c>
      <c r="V506" s="7">
        <v>33117</v>
      </c>
      <c r="W506" t="s">
        <v>1152</v>
      </c>
      <c r="X506" s="2">
        <v>0.30399999999999999</v>
      </c>
      <c r="Y506" s="6">
        <f t="shared" si="62"/>
        <v>8.115106377299057E-3</v>
      </c>
      <c r="AA506">
        <v>8952477</v>
      </c>
      <c r="AB506">
        <v>12250</v>
      </c>
      <c r="AC506">
        <v>10982760</v>
      </c>
      <c r="AD506" t="s">
        <v>5</v>
      </c>
      <c r="AE506">
        <v>3</v>
      </c>
      <c r="AF506">
        <v>9</v>
      </c>
      <c r="AH506" t="s">
        <v>5300</v>
      </c>
      <c r="AI506" t="s">
        <v>5299</v>
      </c>
      <c r="AJ506" t="s">
        <v>5298</v>
      </c>
      <c r="AK506" t="s">
        <v>5297</v>
      </c>
      <c r="AL506">
        <v>0</v>
      </c>
      <c r="AM506" s="5">
        <f t="shared" si="58"/>
        <v>0</v>
      </c>
      <c r="AN506" s="4">
        <f t="shared" si="63"/>
        <v>0</v>
      </c>
      <c r="AO506" s="3"/>
      <c r="AP506">
        <v>0</v>
      </c>
      <c r="AR506" t="s">
        <v>0</v>
      </c>
      <c r="AT506" s="2" t="s">
        <v>126</v>
      </c>
      <c r="AU506" s="1">
        <f t="shared" si="59"/>
        <v>0.56805744641093392</v>
      </c>
      <c r="AV506" s="1">
        <f t="shared" si="60"/>
        <v>0.40575531886495286</v>
      </c>
      <c r="AW506" s="1">
        <f t="shared" si="61"/>
        <v>0.24345319131897172</v>
      </c>
    </row>
    <row r="507" spans="1:49" x14ac:dyDescent="0.2">
      <c r="A507">
        <v>505</v>
      </c>
      <c r="B507" t="s">
        <v>5296</v>
      </c>
      <c r="C507" t="s">
        <v>5295</v>
      </c>
      <c r="D507" t="s">
        <v>5294</v>
      </c>
      <c r="F507" t="s">
        <v>5293</v>
      </c>
      <c r="G507" t="s">
        <v>14</v>
      </c>
      <c r="H507" t="s">
        <v>13</v>
      </c>
      <c r="I507" t="s">
        <v>5292</v>
      </c>
      <c r="J507" t="s">
        <v>5287</v>
      </c>
      <c r="K507" t="s">
        <v>5291</v>
      </c>
      <c r="L507" t="s">
        <v>5290</v>
      </c>
      <c r="M507" t="s">
        <v>2774</v>
      </c>
      <c r="N507">
        <v>2</v>
      </c>
      <c r="O507" t="s">
        <v>5289</v>
      </c>
      <c r="P507" t="s">
        <v>5288</v>
      </c>
      <c r="Q507" t="s">
        <v>5287</v>
      </c>
      <c r="R507" s="7">
        <v>32874</v>
      </c>
      <c r="S507" s="8">
        <f t="shared" si="56"/>
        <v>1990</v>
      </c>
      <c r="T507" s="8">
        <v>1990</v>
      </c>
      <c r="U507" s="8">
        <f t="shared" si="57"/>
        <v>32</v>
      </c>
      <c r="V507" s="7">
        <v>33117</v>
      </c>
      <c r="W507" t="s">
        <v>5286</v>
      </c>
      <c r="X507" s="2">
        <v>3.0990000000000002</v>
      </c>
      <c r="Y507" s="6">
        <f t="shared" si="62"/>
        <v>8.2726035076479548E-2</v>
      </c>
      <c r="AA507">
        <v>431354</v>
      </c>
      <c r="AB507">
        <v>18795</v>
      </c>
      <c r="AD507" t="s">
        <v>5</v>
      </c>
      <c r="AE507">
        <v>24</v>
      </c>
      <c r="AF507">
        <v>9</v>
      </c>
      <c r="AH507" t="s">
        <v>5285</v>
      </c>
      <c r="AI507" t="s">
        <v>5284</v>
      </c>
      <c r="AJ507" t="s">
        <v>5283</v>
      </c>
      <c r="AK507" t="s">
        <v>5282</v>
      </c>
      <c r="AL507">
        <v>302</v>
      </c>
      <c r="AM507" s="5">
        <f t="shared" si="58"/>
        <v>9.4375</v>
      </c>
      <c r="AN507" s="4">
        <f t="shared" si="63"/>
        <v>1.4293828095418402E-2</v>
      </c>
      <c r="AO507" s="3"/>
      <c r="AP507">
        <v>0</v>
      </c>
      <c r="AR507" t="s">
        <v>5281</v>
      </c>
      <c r="AS507" t="s">
        <v>5280</v>
      </c>
      <c r="AT507" s="2">
        <v>11.236000000000001</v>
      </c>
      <c r="AU507" s="1">
        <f t="shared" si="59"/>
        <v>6.2196372982161199</v>
      </c>
      <c r="AV507" s="1">
        <f t="shared" si="60"/>
        <v>4.850993158594898</v>
      </c>
      <c r="AW507" s="1">
        <f t="shared" si="61"/>
        <v>3.4823490189736748</v>
      </c>
    </row>
    <row r="508" spans="1:49" x14ac:dyDescent="0.2">
      <c r="A508">
        <v>506</v>
      </c>
      <c r="B508" t="s">
        <v>5279</v>
      </c>
      <c r="C508" t="s">
        <v>5278</v>
      </c>
      <c r="F508" t="s">
        <v>5277</v>
      </c>
      <c r="G508" t="s">
        <v>14</v>
      </c>
      <c r="H508" t="s">
        <v>13</v>
      </c>
      <c r="I508" t="s">
        <v>5276</v>
      </c>
      <c r="J508">
        <v>60068504</v>
      </c>
      <c r="K508" t="s">
        <v>5275</v>
      </c>
      <c r="L508" t="s">
        <v>5274</v>
      </c>
      <c r="M508" t="s">
        <v>5273</v>
      </c>
      <c r="N508">
        <v>3</v>
      </c>
      <c r="O508" t="s">
        <v>5272</v>
      </c>
      <c r="P508" t="s">
        <v>5271</v>
      </c>
      <c r="Q508" t="s">
        <v>5270</v>
      </c>
      <c r="R508" s="7">
        <v>32874</v>
      </c>
      <c r="S508" s="8">
        <f t="shared" si="56"/>
        <v>1990</v>
      </c>
      <c r="T508" s="8">
        <v>1990</v>
      </c>
      <c r="U508" s="8">
        <f t="shared" si="57"/>
        <v>32</v>
      </c>
      <c r="V508" s="7">
        <v>33117</v>
      </c>
      <c r="W508" t="s">
        <v>38</v>
      </c>
      <c r="X508" s="2">
        <v>0.251</v>
      </c>
      <c r="Y508" s="6">
        <f t="shared" si="62"/>
        <v>6.7003016470462617E-3</v>
      </c>
      <c r="AA508">
        <v>207217</v>
      </c>
      <c r="AB508">
        <v>26145</v>
      </c>
      <c r="AC508">
        <v>13623060</v>
      </c>
      <c r="AD508" t="s">
        <v>5</v>
      </c>
      <c r="AE508">
        <v>69</v>
      </c>
      <c r="AF508">
        <v>3</v>
      </c>
      <c r="AH508" t="s">
        <v>5269</v>
      </c>
      <c r="AI508" t="s">
        <v>5268</v>
      </c>
      <c r="AK508" t="s">
        <v>5267</v>
      </c>
      <c r="AL508">
        <v>4</v>
      </c>
      <c r="AM508" s="5">
        <f t="shared" si="58"/>
        <v>0.125</v>
      </c>
      <c r="AN508" s="4">
        <f t="shared" si="63"/>
        <v>1.893222264293828E-4</v>
      </c>
      <c r="AO508" s="3"/>
      <c r="AP508">
        <v>0</v>
      </c>
      <c r="AR508" t="s">
        <v>0</v>
      </c>
      <c r="AT508" s="2">
        <v>1.3360000000000001</v>
      </c>
      <c r="AU508" s="1">
        <f t="shared" si="59"/>
        <v>0.47470078208611977</v>
      </c>
      <c r="AV508" s="1">
        <f t="shared" si="60"/>
        <v>0.34448119367378222</v>
      </c>
      <c r="AW508" s="1">
        <f t="shared" si="61"/>
        <v>0.21426160526144461</v>
      </c>
    </row>
    <row r="509" spans="1:49" x14ac:dyDescent="0.2">
      <c r="A509">
        <v>507</v>
      </c>
      <c r="B509" t="s">
        <v>5266</v>
      </c>
      <c r="C509" t="s">
        <v>5265</v>
      </c>
      <c r="F509" t="s">
        <v>5264</v>
      </c>
      <c r="G509" t="s">
        <v>14</v>
      </c>
      <c r="H509" t="s">
        <v>13</v>
      </c>
      <c r="I509" t="s">
        <v>5263</v>
      </c>
      <c r="J509">
        <v>60030000</v>
      </c>
      <c r="K509" t="s">
        <v>1901</v>
      </c>
      <c r="L509" t="s">
        <v>1900</v>
      </c>
      <c r="M509" t="s">
        <v>1224</v>
      </c>
      <c r="N509">
        <v>1</v>
      </c>
      <c r="O509" t="s">
        <v>5262</v>
      </c>
      <c r="P509">
        <v>6701860648</v>
      </c>
      <c r="Q509">
        <v>60030000</v>
      </c>
      <c r="R509" s="7">
        <v>32874</v>
      </c>
      <c r="S509" s="8">
        <f t="shared" ref="S509:S572" si="64">YEAR(R509)</f>
        <v>1990</v>
      </c>
      <c r="T509" s="8">
        <v>1990</v>
      </c>
      <c r="U509" s="8">
        <f t="shared" ref="U509:U572" si="65">2022-T509</f>
        <v>32</v>
      </c>
      <c r="V509" s="7">
        <v>33117</v>
      </c>
      <c r="W509" t="s">
        <v>1152</v>
      </c>
      <c r="X509" s="2">
        <v>0.30399999999999999</v>
      </c>
      <c r="Y509" s="6">
        <f t="shared" si="62"/>
        <v>8.115106377299057E-3</v>
      </c>
      <c r="AA509">
        <v>8952477</v>
      </c>
      <c r="AB509">
        <v>12250</v>
      </c>
      <c r="AC509">
        <v>10982760</v>
      </c>
      <c r="AD509" t="s">
        <v>5</v>
      </c>
      <c r="AE509">
        <v>3</v>
      </c>
      <c r="AF509">
        <v>9</v>
      </c>
      <c r="AH509" t="s">
        <v>5261</v>
      </c>
      <c r="AI509" t="s">
        <v>5260</v>
      </c>
      <c r="AJ509" t="s">
        <v>5259</v>
      </c>
      <c r="AK509" t="s">
        <v>5258</v>
      </c>
      <c r="AL509">
        <v>4</v>
      </c>
      <c r="AM509" s="5">
        <f t="shared" ref="AM509:AM572" si="66">AL509/U509</f>
        <v>0.125</v>
      </c>
      <c r="AN509" s="4">
        <f t="shared" si="63"/>
        <v>1.893222264293828E-4</v>
      </c>
      <c r="AO509" s="3"/>
      <c r="AP509">
        <v>0</v>
      </c>
      <c r="AR509" t="s">
        <v>0</v>
      </c>
      <c r="AT509" s="2" t="s">
        <v>126</v>
      </c>
      <c r="AU509" s="1">
        <f t="shared" ref="AU509:AU572" si="67">(Y509*0.7+AN509*0.3)*100</f>
        <v>0.57373711320381549</v>
      </c>
      <c r="AV509" s="1">
        <f t="shared" ref="AV509:AV572" si="68">(Y509*0.5+AN509*0.5)*100</f>
        <v>0.41522143018642199</v>
      </c>
      <c r="AW509" s="1">
        <f t="shared" ref="AW509:AW572" si="69">(Y509*0.3+AN509*0.7)*100</f>
        <v>0.2567057471690285</v>
      </c>
    </row>
    <row r="510" spans="1:49" x14ac:dyDescent="0.2">
      <c r="A510">
        <v>508</v>
      </c>
      <c r="B510" t="s">
        <v>5257</v>
      </c>
      <c r="C510" t="s">
        <v>5256</v>
      </c>
      <c r="F510" t="s">
        <v>5255</v>
      </c>
      <c r="G510" t="s">
        <v>14</v>
      </c>
      <c r="H510" t="s">
        <v>13</v>
      </c>
      <c r="I510" t="s">
        <v>5254</v>
      </c>
      <c r="J510">
        <v>60013372</v>
      </c>
      <c r="K510" t="s">
        <v>787</v>
      </c>
      <c r="L510" t="s">
        <v>786</v>
      </c>
      <c r="M510" t="s">
        <v>197</v>
      </c>
      <c r="N510">
        <v>1</v>
      </c>
      <c r="O510" t="s">
        <v>5246</v>
      </c>
      <c r="P510">
        <v>57194991071</v>
      </c>
      <c r="Q510">
        <v>60013372</v>
      </c>
      <c r="R510" s="7">
        <v>32874</v>
      </c>
      <c r="S510" s="8">
        <f t="shared" si="64"/>
        <v>1990</v>
      </c>
      <c r="T510" s="8">
        <v>1990</v>
      </c>
      <c r="U510" s="8">
        <f t="shared" si="65"/>
        <v>32</v>
      </c>
      <c r="V510" s="7">
        <v>33117</v>
      </c>
      <c r="W510" t="s">
        <v>5245</v>
      </c>
      <c r="X510" s="2">
        <v>0.52800000000000002</v>
      </c>
      <c r="Y510" s="6">
        <f t="shared" si="62"/>
        <v>1.4094658444782575E-2</v>
      </c>
      <c r="AA510">
        <v>220434</v>
      </c>
      <c r="AB510">
        <v>21141</v>
      </c>
      <c r="AC510">
        <v>15289028</v>
      </c>
      <c r="AD510" t="s">
        <v>5</v>
      </c>
      <c r="AE510">
        <v>112</v>
      </c>
      <c r="AF510">
        <v>3</v>
      </c>
      <c r="AH510" t="s">
        <v>5253</v>
      </c>
      <c r="AI510" t="s">
        <v>5252</v>
      </c>
      <c r="AK510" t="s">
        <v>5251</v>
      </c>
      <c r="AL510">
        <v>8</v>
      </c>
      <c r="AM510" s="5">
        <f t="shared" si="66"/>
        <v>0.25</v>
      </c>
      <c r="AN510" s="4">
        <f t="shared" si="63"/>
        <v>3.786444528587656E-4</v>
      </c>
      <c r="AO510" s="3"/>
      <c r="AP510">
        <v>0</v>
      </c>
      <c r="AR510" t="s">
        <v>0</v>
      </c>
      <c r="AT510" s="2" t="s">
        <v>126</v>
      </c>
      <c r="AU510" s="1">
        <f t="shared" si="67"/>
        <v>0.99798542472054308</v>
      </c>
      <c r="AV510" s="1">
        <f t="shared" si="68"/>
        <v>0.72366514488206701</v>
      </c>
      <c r="AW510" s="1">
        <f t="shared" si="69"/>
        <v>0.44934486504359078</v>
      </c>
    </row>
    <row r="511" spans="1:49" x14ac:dyDescent="0.2">
      <c r="A511">
        <v>509</v>
      </c>
      <c r="B511" t="s">
        <v>5250</v>
      </c>
      <c r="C511" t="s">
        <v>5249</v>
      </c>
      <c r="F511" t="s">
        <v>5248</v>
      </c>
      <c r="G511" t="s">
        <v>14</v>
      </c>
      <c r="H511" t="s">
        <v>13</v>
      </c>
      <c r="I511" t="s">
        <v>5247</v>
      </c>
      <c r="J511">
        <v>60013372</v>
      </c>
      <c r="K511" t="s">
        <v>787</v>
      </c>
      <c r="L511" t="s">
        <v>786</v>
      </c>
      <c r="M511" t="s">
        <v>197</v>
      </c>
      <c r="N511">
        <v>1</v>
      </c>
      <c r="O511" t="s">
        <v>5246</v>
      </c>
      <c r="P511">
        <v>57194991071</v>
      </c>
      <c r="Q511">
        <v>60013372</v>
      </c>
      <c r="R511" s="7">
        <v>32874</v>
      </c>
      <c r="S511" s="8">
        <f t="shared" si="64"/>
        <v>1990</v>
      </c>
      <c r="T511" s="8">
        <v>1990</v>
      </c>
      <c r="U511" s="8">
        <f t="shared" si="65"/>
        <v>32</v>
      </c>
      <c r="V511" s="7">
        <v>33117</v>
      </c>
      <c r="W511" t="s">
        <v>5245</v>
      </c>
      <c r="X511" s="2">
        <v>0.52800000000000002</v>
      </c>
      <c r="Y511" s="6">
        <f t="shared" si="62"/>
        <v>1.4094658444782575E-2</v>
      </c>
      <c r="AA511">
        <v>220434</v>
      </c>
      <c r="AB511">
        <v>21141</v>
      </c>
      <c r="AC511">
        <v>15289028</v>
      </c>
      <c r="AD511" t="s">
        <v>5</v>
      </c>
      <c r="AE511">
        <v>112</v>
      </c>
      <c r="AF511">
        <v>3</v>
      </c>
      <c r="AH511" t="s">
        <v>5244</v>
      </c>
      <c r="AI511" t="s">
        <v>5243</v>
      </c>
      <c r="AK511" t="s">
        <v>5242</v>
      </c>
      <c r="AL511">
        <v>1</v>
      </c>
      <c r="AM511" s="5">
        <f t="shared" si="66"/>
        <v>3.125E-2</v>
      </c>
      <c r="AN511" s="4">
        <f t="shared" si="63"/>
        <v>4.73305566073457E-5</v>
      </c>
      <c r="AO511" s="3"/>
      <c r="AP511">
        <v>0</v>
      </c>
      <c r="AR511" t="s">
        <v>0</v>
      </c>
      <c r="AT511" s="2" t="s">
        <v>126</v>
      </c>
      <c r="AU511" s="1">
        <f t="shared" si="67"/>
        <v>0.98804600783300045</v>
      </c>
      <c r="AV511" s="1">
        <f t="shared" si="68"/>
        <v>0.70709945006949604</v>
      </c>
      <c r="AW511" s="1">
        <f t="shared" si="69"/>
        <v>0.4261528923059914</v>
      </c>
    </row>
    <row r="512" spans="1:49" x14ac:dyDescent="0.2">
      <c r="A512">
        <v>510</v>
      </c>
      <c r="B512" t="s">
        <v>5241</v>
      </c>
      <c r="C512" t="s">
        <v>5240</v>
      </c>
      <c r="F512" t="s">
        <v>5239</v>
      </c>
      <c r="G512" t="s">
        <v>14</v>
      </c>
      <c r="H512" t="s">
        <v>13</v>
      </c>
      <c r="I512" t="s">
        <v>5238</v>
      </c>
      <c r="J512" t="s">
        <v>5237</v>
      </c>
      <c r="K512" t="s">
        <v>5236</v>
      </c>
      <c r="L512" t="s">
        <v>5235</v>
      </c>
      <c r="M512" t="s">
        <v>2827</v>
      </c>
      <c r="N512">
        <v>3</v>
      </c>
      <c r="O512" t="s">
        <v>5234</v>
      </c>
      <c r="P512" t="s">
        <v>5233</v>
      </c>
      <c r="Q512" t="s">
        <v>5232</v>
      </c>
      <c r="R512" s="7">
        <v>32874</v>
      </c>
      <c r="S512" s="8">
        <f t="shared" si="64"/>
        <v>1990</v>
      </c>
      <c r="T512" s="8">
        <v>1990</v>
      </c>
      <c r="U512" s="8">
        <f t="shared" si="65"/>
        <v>32</v>
      </c>
      <c r="V512" s="7">
        <v>33117</v>
      </c>
      <c r="W512" t="s">
        <v>38</v>
      </c>
      <c r="X512" s="2">
        <v>0.251</v>
      </c>
      <c r="Y512" s="6">
        <f t="shared" si="62"/>
        <v>6.7003016470462617E-3</v>
      </c>
      <c r="AA512">
        <v>207217</v>
      </c>
      <c r="AB512">
        <v>26145</v>
      </c>
      <c r="AC512">
        <v>13623060</v>
      </c>
      <c r="AD512" t="s">
        <v>5</v>
      </c>
      <c r="AE512">
        <v>69</v>
      </c>
      <c r="AF512">
        <v>3</v>
      </c>
      <c r="AH512" t="s">
        <v>5231</v>
      </c>
      <c r="AI512" t="s">
        <v>5230</v>
      </c>
      <c r="AK512" t="s">
        <v>5229</v>
      </c>
      <c r="AL512">
        <v>2</v>
      </c>
      <c r="AM512" s="5">
        <f t="shared" si="66"/>
        <v>6.25E-2</v>
      </c>
      <c r="AN512" s="4">
        <f t="shared" si="63"/>
        <v>9.46611132146914E-5</v>
      </c>
      <c r="AO512" s="3"/>
      <c r="AP512">
        <v>0</v>
      </c>
      <c r="AR512" t="s">
        <v>0</v>
      </c>
      <c r="AT512" s="2">
        <v>1.3360000000000001</v>
      </c>
      <c r="AU512" s="1">
        <f t="shared" si="67"/>
        <v>0.47186094868967898</v>
      </c>
      <c r="AV512" s="1">
        <f t="shared" si="68"/>
        <v>0.33974813801304765</v>
      </c>
      <c r="AW512" s="1">
        <f t="shared" si="69"/>
        <v>0.20763532733641624</v>
      </c>
    </row>
    <row r="513" spans="1:49" x14ac:dyDescent="0.2">
      <c r="A513">
        <v>511</v>
      </c>
      <c r="B513" t="s">
        <v>5228</v>
      </c>
      <c r="C513" t="s">
        <v>5227</v>
      </c>
      <c r="F513" t="s">
        <v>5226</v>
      </c>
      <c r="G513" t="s">
        <v>14</v>
      </c>
      <c r="H513" t="s">
        <v>13</v>
      </c>
      <c r="I513" t="s">
        <v>5225</v>
      </c>
      <c r="J513">
        <v>60013183</v>
      </c>
      <c r="K513" t="s">
        <v>4070</v>
      </c>
      <c r="L513" t="s">
        <v>4069</v>
      </c>
      <c r="M513" t="s">
        <v>4068</v>
      </c>
      <c r="N513">
        <v>1</v>
      </c>
      <c r="O513" t="s">
        <v>5147</v>
      </c>
      <c r="P513">
        <v>7005535394</v>
      </c>
      <c r="Q513">
        <v>60013183</v>
      </c>
      <c r="R513" s="7">
        <v>32874</v>
      </c>
      <c r="S513" s="8">
        <f t="shared" si="64"/>
        <v>1990</v>
      </c>
      <c r="T513" s="8">
        <v>1990</v>
      </c>
      <c r="U513" s="8">
        <f t="shared" si="65"/>
        <v>32</v>
      </c>
      <c r="V513" s="7" t="s">
        <v>5224</v>
      </c>
      <c r="W513" t="s">
        <v>1211</v>
      </c>
      <c r="X513" s="2">
        <v>0.33800000000000002</v>
      </c>
      <c r="Y513" s="6">
        <f t="shared" si="62"/>
        <v>9.0227169589706634E-3</v>
      </c>
      <c r="AA513">
        <v>7372884</v>
      </c>
      <c r="AB513">
        <v>70506</v>
      </c>
      <c r="AC513">
        <v>10991247</v>
      </c>
      <c r="AD513" t="s">
        <v>5</v>
      </c>
      <c r="AE513">
        <v>8</v>
      </c>
      <c r="AF513">
        <v>5</v>
      </c>
      <c r="AH513" t="s">
        <v>5223</v>
      </c>
      <c r="AI513" t="s">
        <v>5222</v>
      </c>
      <c r="AJ513" t="s">
        <v>5221</v>
      </c>
      <c r="AK513" t="s">
        <v>5220</v>
      </c>
      <c r="AL513">
        <v>0</v>
      </c>
      <c r="AM513" s="5">
        <f t="shared" si="66"/>
        <v>0</v>
      </c>
      <c r="AN513" s="4">
        <f t="shared" si="63"/>
        <v>0</v>
      </c>
      <c r="AO513" s="3"/>
      <c r="AP513">
        <v>0</v>
      </c>
      <c r="AR513" t="s">
        <v>0</v>
      </c>
      <c r="AT513" s="2" t="s">
        <v>126</v>
      </c>
      <c r="AU513" s="1">
        <f t="shared" si="67"/>
        <v>0.63159018712794635</v>
      </c>
      <c r="AV513" s="1">
        <f t="shared" si="68"/>
        <v>0.45113584794853318</v>
      </c>
      <c r="AW513" s="1">
        <f t="shared" si="69"/>
        <v>0.27068150876911989</v>
      </c>
    </row>
    <row r="514" spans="1:49" x14ac:dyDescent="0.2">
      <c r="A514">
        <v>512</v>
      </c>
      <c r="B514" t="s">
        <v>5219</v>
      </c>
      <c r="C514" t="s">
        <v>5218</v>
      </c>
      <c r="F514" t="s">
        <v>5217</v>
      </c>
      <c r="G514" t="s">
        <v>14</v>
      </c>
      <c r="H514" t="s">
        <v>13</v>
      </c>
      <c r="I514" t="s">
        <v>5216</v>
      </c>
      <c r="J514" t="s">
        <v>5215</v>
      </c>
      <c r="K514" t="s">
        <v>5214</v>
      </c>
      <c r="L514" t="s">
        <v>5213</v>
      </c>
      <c r="M514" t="s">
        <v>1972</v>
      </c>
      <c r="N514">
        <v>2</v>
      </c>
      <c r="O514" t="s">
        <v>5212</v>
      </c>
      <c r="P514" t="s">
        <v>5211</v>
      </c>
      <c r="Q514" t="s">
        <v>5210</v>
      </c>
      <c r="R514" s="7">
        <v>32874</v>
      </c>
      <c r="S514" s="8">
        <f t="shared" si="64"/>
        <v>1990</v>
      </c>
      <c r="T514" s="8">
        <v>1990</v>
      </c>
      <c r="U514" s="8">
        <f t="shared" si="65"/>
        <v>32</v>
      </c>
      <c r="V514" s="7">
        <v>33086</v>
      </c>
      <c r="W514" t="s">
        <v>2288</v>
      </c>
      <c r="X514" s="2">
        <v>0.111</v>
      </c>
      <c r="Y514" s="6">
        <f t="shared" ref="Y514:Y577" si="70">(X514-$Z$4)/($Z$3-$Z$4)</f>
        <v>2.9630816048690639E-3</v>
      </c>
      <c r="AA514">
        <v>87566621</v>
      </c>
      <c r="AB514">
        <v>24890</v>
      </c>
      <c r="AC514">
        <v>15206424</v>
      </c>
      <c r="AD514" t="s">
        <v>5</v>
      </c>
      <c r="AE514">
        <v>73</v>
      </c>
      <c r="AF514">
        <v>8</v>
      </c>
      <c r="AH514" t="s">
        <v>5209</v>
      </c>
      <c r="AI514" t="s">
        <v>5208</v>
      </c>
      <c r="AK514" t="s">
        <v>5207</v>
      </c>
      <c r="AL514">
        <v>0</v>
      </c>
      <c r="AM514" s="5">
        <f t="shared" si="66"/>
        <v>0</v>
      </c>
      <c r="AN514" s="4">
        <f t="shared" ref="AN514:AN577" si="71">(AM514-$AO$4)/($AO$3-$AO$4)</f>
        <v>0</v>
      </c>
      <c r="AO514" s="3"/>
      <c r="AP514">
        <v>0</v>
      </c>
      <c r="AR514" t="s">
        <v>0</v>
      </c>
      <c r="AT514" s="2" t="s">
        <v>126</v>
      </c>
      <c r="AU514" s="1">
        <f t="shared" si="67"/>
        <v>0.20741571234083445</v>
      </c>
      <c r="AV514" s="1">
        <f t="shared" si="68"/>
        <v>0.1481540802434532</v>
      </c>
      <c r="AW514" s="1">
        <f t="shared" si="69"/>
        <v>8.8892448146071903E-2</v>
      </c>
    </row>
    <row r="515" spans="1:49" x14ac:dyDescent="0.2">
      <c r="A515">
        <v>513</v>
      </c>
      <c r="B515" t="s">
        <v>5206</v>
      </c>
      <c r="C515" t="s">
        <v>5205</v>
      </c>
      <c r="D515" t="s">
        <v>5204</v>
      </c>
      <c r="F515" t="s">
        <v>5203</v>
      </c>
      <c r="G515" t="s">
        <v>14</v>
      </c>
      <c r="H515" t="s">
        <v>13</v>
      </c>
      <c r="I515" t="s">
        <v>5202</v>
      </c>
      <c r="J515" t="s">
        <v>2652</v>
      </c>
      <c r="K515" t="s">
        <v>2651</v>
      </c>
      <c r="L515" t="s">
        <v>2650</v>
      </c>
      <c r="M515" t="s">
        <v>2528</v>
      </c>
      <c r="N515">
        <v>4</v>
      </c>
      <c r="O515" t="s">
        <v>5201</v>
      </c>
      <c r="P515" t="s">
        <v>5200</v>
      </c>
      <c r="Q515" t="s">
        <v>5199</v>
      </c>
      <c r="R515" s="7">
        <v>32874</v>
      </c>
      <c r="S515" s="8">
        <f t="shared" si="64"/>
        <v>1990</v>
      </c>
      <c r="T515" s="8">
        <v>1990</v>
      </c>
      <c r="U515" s="8">
        <f t="shared" si="65"/>
        <v>32</v>
      </c>
      <c r="V515" s="7">
        <v>33086</v>
      </c>
      <c r="W515" t="s">
        <v>1563</v>
      </c>
      <c r="X515" s="2">
        <v>0.90700000000000003</v>
      </c>
      <c r="Y515" s="6">
        <f t="shared" si="70"/>
        <v>2.4211846987533703E-2</v>
      </c>
      <c r="AA515">
        <v>1651684</v>
      </c>
      <c r="AB515">
        <v>25548</v>
      </c>
      <c r="AD515" t="s">
        <v>5</v>
      </c>
      <c r="AE515">
        <v>20</v>
      </c>
      <c r="AF515">
        <v>4</v>
      </c>
      <c r="AH515" t="s">
        <v>5198</v>
      </c>
      <c r="AI515" t="s">
        <v>5197</v>
      </c>
      <c r="AJ515" t="s">
        <v>5196</v>
      </c>
      <c r="AK515" t="s">
        <v>5195</v>
      </c>
      <c r="AL515">
        <v>14</v>
      </c>
      <c r="AM515" s="5">
        <f t="shared" si="66"/>
        <v>0.4375</v>
      </c>
      <c r="AN515" s="4">
        <f t="shared" si="71"/>
        <v>6.6262779250283988E-4</v>
      </c>
      <c r="AO515" s="3"/>
      <c r="AP515">
        <v>0</v>
      </c>
      <c r="AR515" t="s">
        <v>0</v>
      </c>
      <c r="AT515" s="2">
        <v>4.6619999999999999</v>
      </c>
      <c r="AU515" s="1">
        <f t="shared" si="67"/>
        <v>1.7147081229024443</v>
      </c>
      <c r="AV515" s="1">
        <f t="shared" si="68"/>
        <v>1.2437237390018272</v>
      </c>
      <c r="AW515" s="1">
        <f t="shared" si="69"/>
        <v>0.77273935510120983</v>
      </c>
    </row>
    <row r="516" spans="1:49" x14ac:dyDescent="0.2">
      <c r="A516">
        <v>514</v>
      </c>
      <c r="B516" t="s">
        <v>5194</v>
      </c>
      <c r="C516" t="s">
        <v>5193</v>
      </c>
      <c r="F516" t="s">
        <v>5192</v>
      </c>
      <c r="G516" t="s">
        <v>14</v>
      </c>
      <c r="H516" t="s">
        <v>13</v>
      </c>
      <c r="I516" t="s">
        <v>5191</v>
      </c>
      <c r="J516">
        <v>115568013</v>
      </c>
      <c r="K516" t="s">
        <v>5190</v>
      </c>
      <c r="M516" t="s">
        <v>135</v>
      </c>
      <c r="N516">
        <v>4</v>
      </c>
      <c r="O516" t="s">
        <v>5189</v>
      </c>
      <c r="P516" t="s">
        <v>5188</v>
      </c>
      <c r="Q516" t="s">
        <v>5187</v>
      </c>
      <c r="R516" s="7">
        <v>32874</v>
      </c>
      <c r="S516" s="8">
        <f t="shared" si="64"/>
        <v>1990</v>
      </c>
      <c r="T516" s="8">
        <v>1990</v>
      </c>
      <c r="U516" s="8">
        <f t="shared" si="65"/>
        <v>32</v>
      </c>
      <c r="V516" s="7">
        <v>33086</v>
      </c>
      <c r="W516" t="s">
        <v>5186</v>
      </c>
      <c r="X516" s="2">
        <v>0.76700000000000002</v>
      </c>
      <c r="Y516" s="6">
        <f t="shared" si="70"/>
        <v>2.0474626945356504E-2</v>
      </c>
      <c r="AA516">
        <v>983063</v>
      </c>
      <c r="AB516">
        <v>26048</v>
      </c>
      <c r="AD516" t="s">
        <v>5</v>
      </c>
      <c r="AE516">
        <v>36</v>
      </c>
      <c r="AF516">
        <v>3</v>
      </c>
      <c r="AH516" t="s">
        <v>5185</v>
      </c>
      <c r="AI516" t="s">
        <v>5184</v>
      </c>
      <c r="AK516" t="s">
        <v>5183</v>
      </c>
      <c r="AL516">
        <v>0</v>
      </c>
      <c r="AM516" s="5">
        <f t="shared" si="66"/>
        <v>0</v>
      </c>
      <c r="AN516" s="4">
        <f t="shared" si="71"/>
        <v>0</v>
      </c>
      <c r="AO516" s="3"/>
      <c r="AP516">
        <v>0</v>
      </c>
      <c r="AR516" t="s">
        <v>0</v>
      </c>
      <c r="AT516" s="2" t="s">
        <v>126</v>
      </c>
      <c r="AU516" s="1">
        <f t="shared" si="67"/>
        <v>1.4332238861749553</v>
      </c>
      <c r="AV516" s="1">
        <f t="shared" si="68"/>
        <v>1.0237313472678251</v>
      </c>
      <c r="AW516" s="1">
        <f t="shared" si="69"/>
        <v>0.61423880836069511</v>
      </c>
    </row>
    <row r="517" spans="1:49" x14ac:dyDescent="0.2">
      <c r="A517">
        <v>515</v>
      </c>
      <c r="B517" t="s">
        <v>5182</v>
      </c>
      <c r="C517" t="s">
        <v>5181</v>
      </c>
      <c r="F517" t="s">
        <v>5180</v>
      </c>
      <c r="G517" t="s">
        <v>14</v>
      </c>
      <c r="H517" t="s">
        <v>13</v>
      </c>
      <c r="I517" t="s">
        <v>5179</v>
      </c>
      <c r="J517">
        <v>60027090</v>
      </c>
      <c r="K517" t="s">
        <v>2332</v>
      </c>
      <c r="L517" t="s">
        <v>2331</v>
      </c>
      <c r="M517" t="s">
        <v>197</v>
      </c>
      <c r="N517">
        <v>2</v>
      </c>
      <c r="O517" t="s">
        <v>5178</v>
      </c>
      <c r="P517" t="s">
        <v>5177</v>
      </c>
      <c r="Q517" t="s">
        <v>2328</v>
      </c>
      <c r="R517" s="7">
        <v>32874</v>
      </c>
      <c r="S517" s="8">
        <f t="shared" si="64"/>
        <v>1990</v>
      </c>
      <c r="T517" s="8">
        <v>1990</v>
      </c>
      <c r="U517" s="8">
        <f t="shared" si="65"/>
        <v>32</v>
      </c>
      <c r="V517" s="7">
        <v>33086</v>
      </c>
      <c r="W517" t="s">
        <v>1968</v>
      </c>
      <c r="X517" s="2">
        <v>0.82799999999999996</v>
      </c>
      <c r="Y517" s="6">
        <f t="shared" si="70"/>
        <v>2.2102987106590855E-2</v>
      </c>
      <c r="AA517">
        <v>11452</v>
      </c>
      <c r="AB517">
        <v>29964</v>
      </c>
      <c r="AD517" t="s">
        <v>5</v>
      </c>
      <c r="AE517">
        <v>28</v>
      </c>
      <c r="AF517">
        <v>8</v>
      </c>
      <c r="AH517" t="s">
        <v>5176</v>
      </c>
      <c r="AI517" t="s">
        <v>5175</v>
      </c>
      <c r="AK517" t="s">
        <v>5174</v>
      </c>
      <c r="AL517">
        <v>23</v>
      </c>
      <c r="AM517" s="5">
        <f t="shared" si="66"/>
        <v>0.71875</v>
      </c>
      <c r="AN517" s="4">
        <f t="shared" si="71"/>
        <v>1.0886028019689512E-3</v>
      </c>
      <c r="AO517" s="3"/>
      <c r="AP517">
        <v>0</v>
      </c>
      <c r="AQ517" t="s">
        <v>1279</v>
      </c>
      <c r="AR517" t="s">
        <v>5173</v>
      </c>
      <c r="AS517" t="s">
        <v>1278</v>
      </c>
      <c r="AT517" s="2">
        <v>2.1269999999999998</v>
      </c>
      <c r="AU517" s="1">
        <f t="shared" si="67"/>
        <v>1.5798671815204284</v>
      </c>
      <c r="AV517" s="1">
        <f t="shared" si="68"/>
        <v>1.1595794954279903</v>
      </c>
      <c r="AW517" s="1">
        <f t="shared" si="69"/>
        <v>0.73929180933555216</v>
      </c>
    </row>
    <row r="518" spans="1:49" x14ac:dyDescent="0.2">
      <c r="A518">
        <v>516</v>
      </c>
      <c r="B518" t="s">
        <v>5172</v>
      </c>
      <c r="C518" t="s">
        <v>5171</v>
      </c>
      <c r="F518" t="s">
        <v>5170</v>
      </c>
      <c r="G518" t="s">
        <v>14</v>
      </c>
      <c r="H518" t="s">
        <v>13</v>
      </c>
      <c r="I518" t="s">
        <v>5169</v>
      </c>
      <c r="J518">
        <v>60030480</v>
      </c>
      <c r="K518" t="s">
        <v>973</v>
      </c>
      <c r="L518" t="s">
        <v>972</v>
      </c>
      <c r="M518" t="s">
        <v>253</v>
      </c>
      <c r="N518">
        <v>3</v>
      </c>
      <c r="O518" t="s">
        <v>5168</v>
      </c>
      <c r="P518" t="s">
        <v>5167</v>
      </c>
      <c r="Q518" t="s">
        <v>5166</v>
      </c>
      <c r="R518" s="7">
        <v>32874</v>
      </c>
      <c r="S518" s="8">
        <f t="shared" si="64"/>
        <v>1990</v>
      </c>
      <c r="T518" s="8">
        <v>1990</v>
      </c>
      <c r="U518" s="8">
        <f t="shared" si="65"/>
        <v>32</v>
      </c>
      <c r="V518" s="7" t="s">
        <v>5023</v>
      </c>
      <c r="W518" s="11" t="s">
        <v>1933</v>
      </c>
      <c r="X518" s="2">
        <v>2.383</v>
      </c>
      <c r="Y518" s="6">
        <f t="shared" si="70"/>
        <v>6.3612824003630442E-2</v>
      </c>
      <c r="AA518" t="s">
        <v>1932</v>
      </c>
      <c r="AB518">
        <v>101151</v>
      </c>
      <c r="AD518" t="s">
        <v>5</v>
      </c>
      <c r="AE518">
        <v>137</v>
      </c>
      <c r="AF518">
        <v>4</v>
      </c>
      <c r="AH518" t="s">
        <v>5165</v>
      </c>
      <c r="AI518" t="s">
        <v>5164</v>
      </c>
      <c r="AK518" t="s">
        <v>5163</v>
      </c>
      <c r="AL518">
        <v>6</v>
      </c>
      <c r="AM518" s="5">
        <f t="shared" si="66"/>
        <v>0.1875</v>
      </c>
      <c r="AN518" s="4">
        <f t="shared" si="71"/>
        <v>2.8398333964407423E-4</v>
      </c>
      <c r="AO518" s="3"/>
      <c r="AP518">
        <v>0</v>
      </c>
      <c r="AR518" t="s">
        <v>0</v>
      </c>
      <c r="AT518" s="2" t="s">
        <v>126</v>
      </c>
      <c r="AU518" s="1">
        <f t="shared" si="67"/>
        <v>4.461417180443453</v>
      </c>
      <c r="AV518" s="1">
        <f t="shared" si="68"/>
        <v>3.1948403671637262</v>
      </c>
      <c r="AW518" s="1">
        <f t="shared" si="69"/>
        <v>1.9282635538839985</v>
      </c>
    </row>
    <row r="519" spans="1:49" x14ac:dyDescent="0.2">
      <c r="A519">
        <v>517</v>
      </c>
      <c r="B519" t="s">
        <v>5162</v>
      </c>
      <c r="C519" t="s">
        <v>5161</v>
      </c>
      <c r="F519" t="s">
        <v>5160</v>
      </c>
      <c r="G519" t="s">
        <v>14</v>
      </c>
      <c r="H519" t="s">
        <v>13</v>
      </c>
      <c r="I519" t="s">
        <v>5159</v>
      </c>
      <c r="J519">
        <v>60027666</v>
      </c>
      <c r="K519" t="s">
        <v>5158</v>
      </c>
      <c r="L519" t="s">
        <v>5157</v>
      </c>
      <c r="M519" t="s">
        <v>5156</v>
      </c>
      <c r="N519">
        <v>1</v>
      </c>
      <c r="O519" t="s">
        <v>5155</v>
      </c>
      <c r="P519">
        <v>7005484229</v>
      </c>
      <c r="Q519">
        <v>60027666</v>
      </c>
      <c r="R519" s="7">
        <v>32874</v>
      </c>
      <c r="S519" s="8">
        <f t="shared" si="64"/>
        <v>1990</v>
      </c>
      <c r="T519" s="8">
        <v>1990</v>
      </c>
      <c r="U519" s="8">
        <f t="shared" si="65"/>
        <v>32</v>
      </c>
      <c r="V519" s="7">
        <v>33086</v>
      </c>
      <c r="W519" t="s">
        <v>1883</v>
      </c>
      <c r="X519" s="2">
        <v>1.365</v>
      </c>
      <c r="Y519" s="6">
        <f t="shared" si="70"/>
        <v>3.6437895411227675E-2</v>
      </c>
      <c r="AA519">
        <v>189545</v>
      </c>
      <c r="AB519">
        <v>17393</v>
      </c>
      <c r="AC519">
        <v>19399359</v>
      </c>
      <c r="AD519" t="s">
        <v>5</v>
      </c>
      <c r="AE519">
        <v>39</v>
      </c>
      <c r="AF519">
        <v>3</v>
      </c>
      <c r="AH519" t="s">
        <v>5154</v>
      </c>
      <c r="AI519" t="s">
        <v>5153</v>
      </c>
      <c r="AK519" t="s">
        <v>5152</v>
      </c>
      <c r="AL519">
        <v>0</v>
      </c>
      <c r="AM519" s="5">
        <f t="shared" si="66"/>
        <v>0</v>
      </c>
      <c r="AN519" s="4">
        <f t="shared" si="71"/>
        <v>0</v>
      </c>
      <c r="AO519" s="3"/>
      <c r="AP519">
        <v>0</v>
      </c>
      <c r="AR519" t="s">
        <v>0</v>
      </c>
      <c r="AT519" s="2" t="s">
        <v>126</v>
      </c>
      <c r="AU519" s="1">
        <f t="shared" si="67"/>
        <v>2.5506526787859372</v>
      </c>
      <c r="AV519" s="1">
        <f t="shared" si="68"/>
        <v>1.8218947705613837</v>
      </c>
      <c r="AW519" s="1">
        <f t="shared" si="69"/>
        <v>1.0931368623368303</v>
      </c>
    </row>
    <row r="520" spans="1:49" x14ac:dyDescent="0.2">
      <c r="A520">
        <v>518</v>
      </c>
      <c r="B520" t="s">
        <v>5151</v>
      </c>
      <c r="C520" t="s">
        <v>5150</v>
      </c>
      <c r="F520" t="s">
        <v>5149</v>
      </c>
      <c r="G520" t="s">
        <v>14</v>
      </c>
      <c r="H520" t="s">
        <v>13</v>
      </c>
      <c r="I520" t="s">
        <v>5148</v>
      </c>
      <c r="J520">
        <v>60013183</v>
      </c>
      <c r="K520" t="s">
        <v>4070</v>
      </c>
      <c r="L520" t="s">
        <v>4069</v>
      </c>
      <c r="M520" t="s">
        <v>4068</v>
      </c>
      <c r="N520">
        <v>1</v>
      </c>
      <c r="O520" t="s">
        <v>5147</v>
      </c>
      <c r="P520">
        <v>7005535394</v>
      </c>
      <c r="Q520">
        <v>60013183</v>
      </c>
      <c r="R520" s="7">
        <v>32874</v>
      </c>
      <c r="S520" s="8">
        <f t="shared" si="64"/>
        <v>1990</v>
      </c>
      <c r="T520" s="8">
        <v>1990</v>
      </c>
      <c r="U520" s="8">
        <f t="shared" si="65"/>
        <v>32</v>
      </c>
      <c r="V520" s="7">
        <v>33086</v>
      </c>
      <c r="W520" t="s">
        <v>2249</v>
      </c>
      <c r="X520" s="2">
        <v>1.6519999999999999</v>
      </c>
      <c r="Y520" s="6">
        <f t="shared" si="70"/>
        <v>4.409919649769093E-2</v>
      </c>
      <c r="AA520" t="s">
        <v>2248</v>
      </c>
      <c r="AB520">
        <v>17337</v>
      </c>
      <c r="AC520">
        <v>15582221</v>
      </c>
      <c r="AD520" t="s">
        <v>5</v>
      </c>
      <c r="AE520">
        <v>38</v>
      </c>
      <c r="AF520">
        <v>8</v>
      </c>
      <c r="AH520" t="s">
        <v>5146</v>
      </c>
      <c r="AI520" t="s">
        <v>5145</v>
      </c>
      <c r="AK520" t="s">
        <v>5144</v>
      </c>
      <c r="AL520">
        <v>1</v>
      </c>
      <c r="AM520" s="5">
        <f t="shared" si="66"/>
        <v>3.125E-2</v>
      </c>
      <c r="AN520" s="4">
        <f t="shared" si="71"/>
        <v>4.73305566073457E-5</v>
      </c>
      <c r="AO520" s="3"/>
      <c r="AP520">
        <v>0</v>
      </c>
      <c r="AR520" t="s">
        <v>0</v>
      </c>
      <c r="AT520" s="2" t="s">
        <v>126</v>
      </c>
      <c r="AU520" s="1">
        <f t="shared" si="67"/>
        <v>3.0883636715365856</v>
      </c>
      <c r="AV520" s="1">
        <f t="shared" si="68"/>
        <v>2.2073263527149138</v>
      </c>
      <c r="AW520" s="1">
        <f t="shared" si="69"/>
        <v>1.326289033893242</v>
      </c>
    </row>
    <row r="521" spans="1:49" x14ac:dyDescent="0.2">
      <c r="A521">
        <v>519</v>
      </c>
      <c r="B521" t="s">
        <v>5143</v>
      </c>
      <c r="C521" t="s">
        <v>5142</v>
      </c>
      <c r="F521" t="s">
        <v>5141</v>
      </c>
      <c r="G521" t="s">
        <v>14</v>
      </c>
      <c r="H521" t="s">
        <v>13</v>
      </c>
      <c r="I521" t="s">
        <v>4139</v>
      </c>
      <c r="N521">
        <v>2</v>
      </c>
      <c r="O521" t="s">
        <v>5140</v>
      </c>
      <c r="P521" t="s">
        <v>4137</v>
      </c>
      <c r="Q521" t="s">
        <v>119</v>
      </c>
      <c r="R521" s="7">
        <v>32874</v>
      </c>
      <c r="S521" s="8">
        <f t="shared" si="64"/>
        <v>1990</v>
      </c>
      <c r="T521" s="8">
        <v>1990</v>
      </c>
      <c r="U521" s="8">
        <f t="shared" si="65"/>
        <v>32</v>
      </c>
      <c r="V521" s="7">
        <v>33086</v>
      </c>
      <c r="W521" t="s">
        <v>2249</v>
      </c>
      <c r="X521" s="2">
        <v>1.6519999999999999</v>
      </c>
      <c r="Y521" s="6">
        <f t="shared" si="70"/>
        <v>4.409919649769093E-2</v>
      </c>
      <c r="AA521" t="s">
        <v>2248</v>
      </c>
      <c r="AB521">
        <v>17337</v>
      </c>
      <c r="AC521">
        <v>15582221</v>
      </c>
      <c r="AD521" t="s">
        <v>5</v>
      </c>
      <c r="AE521">
        <v>38</v>
      </c>
      <c r="AF521">
        <v>8</v>
      </c>
      <c r="AH521" t="s">
        <v>5139</v>
      </c>
      <c r="AI521" t="s">
        <v>5138</v>
      </c>
      <c r="AK521" t="s">
        <v>5137</v>
      </c>
      <c r="AL521">
        <v>162</v>
      </c>
      <c r="AM521" s="5">
        <f t="shared" si="66"/>
        <v>5.0625</v>
      </c>
      <c r="AN521" s="4">
        <f t="shared" si="71"/>
        <v>7.6675501703900037E-3</v>
      </c>
      <c r="AO521" s="3"/>
      <c r="AP521">
        <v>0</v>
      </c>
      <c r="AR521" t="s">
        <v>0</v>
      </c>
      <c r="AT521" s="2" t="s">
        <v>126</v>
      </c>
      <c r="AU521" s="1">
        <f t="shared" si="67"/>
        <v>3.3169702599500654</v>
      </c>
      <c r="AV521" s="1">
        <f t="shared" si="68"/>
        <v>2.5883373334040467</v>
      </c>
      <c r="AW521" s="1">
        <f t="shared" si="69"/>
        <v>1.859704406858028</v>
      </c>
    </row>
    <row r="522" spans="1:49" x14ac:dyDescent="0.2">
      <c r="A522">
        <v>520</v>
      </c>
      <c r="B522" t="s">
        <v>5136</v>
      </c>
      <c r="C522" t="s">
        <v>5135</v>
      </c>
      <c r="F522" t="s">
        <v>5134</v>
      </c>
      <c r="G522" t="s">
        <v>14</v>
      </c>
      <c r="H522" t="s">
        <v>13</v>
      </c>
      <c r="I522" t="s">
        <v>5133</v>
      </c>
      <c r="J522">
        <v>60019000</v>
      </c>
      <c r="K522" t="s">
        <v>2468</v>
      </c>
      <c r="L522" t="s">
        <v>2467</v>
      </c>
      <c r="M522" t="s">
        <v>1937</v>
      </c>
      <c r="N522">
        <v>2</v>
      </c>
      <c r="O522" t="s">
        <v>5132</v>
      </c>
      <c r="P522" t="s">
        <v>5131</v>
      </c>
      <c r="Q522" t="s">
        <v>2464</v>
      </c>
      <c r="R522" s="7">
        <v>32874</v>
      </c>
      <c r="S522" s="8">
        <f t="shared" si="64"/>
        <v>1990</v>
      </c>
      <c r="T522" s="8">
        <v>1990</v>
      </c>
      <c r="U522" s="8">
        <f t="shared" si="65"/>
        <v>32</v>
      </c>
      <c r="V522" s="7">
        <v>33086</v>
      </c>
      <c r="W522" t="s">
        <v>2249</v>
      </c>
      <c r="X522" s="2">
        <v>1.6519999999999999</v>
      </c>
      <c r="Y522" s="6">
        <f t="shared" si="70"/>
        <v>4.409919649769093E-2</v>
      </c>
      <c r="AA522" t="s">
        <v>2248</v>
      </c>
      <c r="AB522">
        <v>17337</v>
      </c>
      <c r="AC522">
        <v>15582221</v>
      </c>
      <c r="AD522" t="s">
        <v>5</v>
      </c>
      <c r="AE522">
        <v>38</v>
      </c>
      <c r="AF522">
        <v>8</v>
      </c>
      <c r="AH522" t="s">
        <v>5130</v>
      </c>
      <c r="AI522" t="s">
        <v>5129</v>
      </c>
      <c r="AK522" t="s">
        <v>5128</v>
      </c>
      <c r="AL522">
        <v>11</v>
      </c>
      <c r="AM522" s="5">
        <f t="shared" si="66"/>
        <v>0.34375</v>
      </c>
      <c r="AN522" s="4">
        <f t="shared" si="71"/>
        <v>5.2063612268080268E-4</v>
      </c>
      <c r="AO522" s="3"/>
      <c r="AP522">
        <v>0</v>
      </c>
      <c r="AR522" t="s">
        <v>0</v>
      </c>
      <c r="AT522" s="2" t="s">
        <v>126</v>
      </c>
      <c r="AU522" s="1">
        <f t="shared" si="67"/>
        <v>3.1025628385187893</v>
      </c>
      <c r="AV522" s="1">
        <f t="shared" si="68"/>
        <v>2.2309916310185867</v>
      </c>
      <c r="AW522" s="1">
        <f t="shared" si="69"/>
        <v>1.359420423518384</v>
      </c>
    </row>
    <row r="523" spans="1:49" x14ac:dyDescent="0.2">
      <c r="A523">
        <v>521</v>
      </c>
      <c r="B523" t="s">
        <v>5127</v>
      </c>
      <c r="C523" t="s">
        <v>5126</v>
      </c>
      <c r="F523" t="s">
        <v>5125</v>
      </c>
      <c r="G523" t="s">
        <v>14</v>
      </c>
      <c r="H523" t="s">
        <v>13</v>
      </c>
      <c r="I523" t="s">
        <v>5124</v>
      </c>
      <c r="J523">
        <v>60000305</v>
      </c>
      <c r="K523" t="s">
        <v>5123</v>
      </c>
      <c r="L523" t="s">
        <v>5122</v>
      </c>
      <c r="M523" t="s">
        <v>197</v>
      </c>
      <c r="N523">
        <v>1</v>
      </c>
      <c r="O523" t="s">
        <v>5121</v>
      </c>
      <c r="P523">
        <v>7007033594</v>
      </c>
      <c r="Q523">
        <v>60000305</v>
      </c>
      <c r="R523" s="7">
        <v>32874</v>
      </c>
      <c r="S523" s="8">
        <f t="shared" si="64"/>
        <v>1990</v>
      </c>
      <c r="T523" s="8">
        <v>1990</v>
      </c>
      <c r="U523" s="8">
        <f t="shared" si="65"/>
        <v>32</v>
      </c>
      <c r="V523" s="7">
        <v>33086</v>
      </c>
      <c r="W523" t="s">
        <v>1858</v>
      </c>
      <c r="X523" s="2">
        <v>0.88100000000000001</v>
      </c>
      <c r="Y523" s="6">
        <f t="shared" si="70"/>
        <v>2.3517791836843653E-2</v>
      </c>
      <c r="AA523">
        <v>10459243</v>
      </c>
      <c r="AB523">
        <v>17248</v>
      </c>
      <c r="AD523" t="s">
        <v>5</v>
      </c>
      <c r="AE523">
        <v>32</v>
      </c>
      <c r="AF523">
        <v>4</v>
      </c>
      <c r="AH523" t="s">
        <v>1868</v>
      </c>
      <c r="AI523" t="s">
        <v>5120</v>
      </c>
      <c r="AK523" t="s">
        <v>5119</v>
      </c>
      <c r="AL523">
        <v>3</v>
      </c>
      <c r="AM523" s="5">
        <f t="shared" si="66"/>
        <v>9.375E-2</v>
      </c>
      <c r="AN523" s="4">
        <f t="shared" si="71"/>
        <v>1.4199166982203711E-4</v>
      </c>
      <c r="AO523" s="3"/>
      <c r="AP523">
        <v>0</v>
      </c>
      <c r="AR523" t="s">
        <v>0</v>
      </c>
      <c r="AT523" s="2" t="s">
        <v>126</v>
      </c>
      <c r="AU523" s="1">
        <f t="shared" si="67"/>
        <v>1.6505051786737168</v>
      </c>
      <c r="AV523" s="1">
        <f t="shared" si="68"/>
        <v>1.1829891753332844</v>
      </c>
      <c r="AW523" s="1">
        <f t="shared" si="69"/>
        <v>0.7154731719928521</v>
      </c>
    </row>
    <row r="524" spans="1:49" x14ac:dyDescent="0.2">
      <c r="A524">
        <v>522</v>
      </c>
      <c r="B524" t="s">
        <v>5118</v>
      </c>
      <c r="C524" t="s">
        <v>5117</v>
      </c>
      <c r="F524" t="s">
        <v>5116</v>
      </c>
      <c r="G524" t="s">
        <v>14</v>
      </c>
      <c r="H524" t="s">
        <v>13</v>
      </c>
      <c r="I524" t="s">
        <v>5115</v>
      </c>
      <c r="J524">
        <v>60085693</v>
      </c>
      <c r="K524" t="s">
        <v>5114</v>
      </c>
      <c r="L524" t="s">
        <v>2493</v>
      </c>
      <c r="M524" t="s">
        <v>197</v>
      </c>
      <c r="N524">
        <v>3</v>
      </c>
      <c r="O524" t="s">
        <v>5113</v>
      </c>
      <c r="P524" t="s">
        <v>5112</v>
      </c>
      <c r="Q524" t="s">
        <v>5111</v>
      </c>
      <c r="R524" s="7">
        <v>32874</v>
      </c>
      <c r="S524" s="8">
        <f t="shared" si="64"/>
        <v>1990</v>
      </c>
      <c r="T524" s="8">
        <v>1990</v>
      </c>
      <c r="U524" s="8">
        <f t="shared" si="65"/>
        <v>32</v>
      </c>
      <c r="V524" s="7">
        <v>33086</v>
      </c>
      <c r="W524" t="s">
        <v>2249</v>
      </c>
      <c r="X524" s="2">
        <v>1.6519999999999999</v>
      </c>
      <c r="Y524" s="6">
        <f t="shared" si="70"/>
        <v>4.409919649769093E-2</v>
      </c>
      <c r="AA524" t="s">
        <v>2248</v>
      </c>
      <c r="AB524">
        <v>17337</v>
      </c>
      <c r="AC524">
        <v>15582221</v>
      </c>
      <c r="AD524" t="s">
        <v>5</v>
      </c>
      <c r="AE524">
        <v>38</v>
      </c>
      <c r="AF524">
        <v>8</v>
      </c>
      <c r="AH524" t="s">
        <v>5110</v>
      </c>
      <c r="AI524" t="s">
        <v>5109</v>
      </c>
      <c r="AK524" t="s">
        <v>5108</v>
      </c>
      <c r="AL524">
        <v>46</v>
      </c>
      <c r="AM524" s="5">
        <f t="shared" si="66"/>
        <v>1.4375</v>
      </c>
      <c r="AN524" s="4">
        <f t="shared" si="71"/>
        <v>2.1772056039379025E-3</v>
      </c>
      <c r="AO524" s="3"/>
      <c r="AP524">
        <v>0</v>
      </c>
      <c r="AR524" t="s">
        <v>0</v>
      </c>
      <c r="AT524" s="2" t="s">
        <v>126</v>
      </c>
      <c r="AU524" s="1">
        <f t="shared" si="67"/>
        <v>3.1522599229565018</v>
      </c>
      <c r="AV524" s="1">
        <f t="shared" si="68"/>
        <v>2.3138201050814415</v>
      </c>
      <c r="AW524" s="1">
        <f t="shared" si="69"/>
        <v>1.475380287206381</v>
      </c>
    </row>
    <row r="525" spans="1:49" x14ac:dyDescent="0.2">
      <c r="A525">
        <v>523</v>
      </c>
      <c r="B525" t="s">
        <v>5107</v>
      </c>
      <c r="C525" t="s">
        <v>5106</v>
      </c>
      <c r="F525" t="s">
        <v>5105</v>
      </c>
      <c r="G525" t="s">
        <v>14</v>
      </c>
      <c r="H525" t="s">
        <v>13</v>
      </c>
      <c r="I525" t="s">
        <v>5104</v>
      </c>
      <c r="N525">
        <v>2</v>
      </c>
      <c r="O525" t="s">
        <v>5103</v>
      </c>
      <c r="P525" t="s">
        <v>5102</v>
      </c>
      <c r="Q525" t="s">
        <v>119</v>
      </c>
      <c r="R525" s="7">
        <v>32874</v>
      </c>
      <c r="S525" s="8">
        <f t="shared" si="64"/>
        <v>1990</v>
      </c>
      <c r="T525" s="8">
        <v>1990</v>
      </c>
      <c r="U525" s="8">
        <f t="shared" si="65"/>
        <v>32</v>
      </c>
      <c r="V525" s="7">
        <v>33086</v>
      </c>
      <c r="W525" t="s">
        <v>2249</v>
      </c>
      <c r="X525" s="2">
        <v>1.6519999999999999</v>
      </c>
      <c r="Y525" s="6">
        <f t="shared" si="70"/>
        <v>4.409919649769093E-2</v>
      </c>
      <c r="AA525" t="s">
        <v>2248</v>
      </c>
      <c r="AB525">
        <v>17337</v>
      </c>
      <c r="AC525">
        <v>15582221</v>
      </c>
      <c r="AD525" t="s">
        <v>5</v>
      </c>
      <c r="AE525">
        <v>38</v>
      </c>
      <c r="AF525">
        <v>8</v>
      </c>
      <c r="AH525" t="s">
        <v>5101</v>
      </c>
      <c r="AI525" t="s">
        <v>5100</v>
      </c>
      <c r="AK525" t="s">
        <v>5099</v>
      </c>
      <c r="AL525">
        <v>16</v>
      </c>
      <c r="AM525" s="5">
        <f t="shared" si="66"/>
        <v>0.5</v>
      </c>
      <c r="AN525" s="4">
        <f t="shared" si="71"/>
        <v>7.572889057175312E-4</v>
      </c>
      <c r="AO525" s="3"/>
      <c r="AP525">
        <v>0</v>
      </c>
      <c r="AR525" t="s">
        <v>0</v>
      </c>
      <c r="AT525" s="2" t="s">
        <v>126</v>
      </c>
      <c r="AU525" s="1">
        <f t="shared" si="67"/>
        <v>3.1096624220098912</v>
      </c>
      <c r="AV525" s="1">
        <f t="shared" si="68"/>
        <v>2.2428242701704231</v>
      </c>
      <c r="AW525" s="1">
        <f t="shared" si="69"/>
        <v>1.375986118330955</v>
      </c>
    </row>
    <row r="526" spans="1:49" x14ac:dyDescent="0.2">
      <c r="A526">
        <v>524</v>
      </c>
      <c r="B526" t="s">
        <v>5098</v>
      </c>
      <c r="C526" t="s">
        <v>5097</v>
      </c>
      <c r="F526" t="s">
        <v>5096</v>
      </c>
      <c r="G526" t="s">
        <v>14</v>
      </c>
      <c r="H526" t="s">
        <v>13</v>
      </c>
      <c r="I526" t="s">
        <v>3608</v>
      </c>
      <c r="J526">
        <v>60015186</v>
      </c>
      <c r="K526" t="s">
        <v>3607</v>
      </c>
      <c r="L526" t="s">
        <v>3606</v>
      </c>
      <c r="M526" t="s">
        <v>1937</v>
      </c>
      <c r="N526">
        <v>1</v>
      </c>
      <c r="O526" t="s">
        <v>3605</v>
      </c>
      <c r="P526">
        <v>7402673635</v>
      </c>
      <c r="Q526">
        <v>60015186</v>
      </c>
      <c r="R526" s="7">
        <v>32874</v>
      </c>
      <c r="S526" s="8">
        <f t="shared" si="64"/>
        <v>1990</v>
      </c>
      <c r="T526" s="8">
        <v>1990</v>
      </c>
      <c r="U526" s="8">
        <f t="shared" si="65"/>
        <v>32</v>
      </c>
      <c r="V526" s="7">
        <v>33086</v>
      </c>
      <c r="W526" t="s">
        <v>2249</v>
      </c>
      <c r="X526" s="2">
        <v>1.6519999999999999</v>
      </c>
      <c r="Y526" s="6">
        <f t="shared" si="70"/>
        <v>4.409919649769093E-2</v>
      </c>
      <c r="AA526" t="s">
        <v>2248</v>
      </c>
      <c r="AB526">
        <v>17337</v>
      </c>
      <c r="AC526">
        <v>15582221</v>
      </c>
      <c r="AD526" t="s">
        <v>5</v>
      </c>
      <c r="AE526">
        <v>38</v>
      </c>
      <c r="AF526">
        <v>8</v>
      </c>
      <c r="AH526" t="s">
        <v>5095</v>
      </c>
      <c r="AI526" t="s">
        <v>5094</v>
      </c>
      <c r="AK526" t="s">
        <v>5093</v>
      </c>
      <c r="AL526">
        <v>71</v>
      </c>
      <c r="AM526" s="5">
        <f t="shared" si="66"/>
        <v>2.21875</v>
      </c>
      <c r="AN526" s="4">
        <f t="shared" si="71"/>
        <v>3.3604695191215448E-3</v>
      </c>
      <c r="AO526" s="3"/>
      <c r="AP526">
        <v>0</v>
      </c>
      <c r="AR526" t="s">
        <v>0</v>
      </c>
      <c r="AT526" s="2" t="s">
        <v>126</v>
      </c>
      <c r="AU526" s="1">
        <f t="shared" si="67"/>
        <v>3.1877578404120115</v>
      </c>
      <c r="AV526" s="1">
        <f t="shared" si="68"/>
        <v>2.3729833008406236</v>
      </c>
      <c r="AW526" s="1">
        <f t="shared" si="69"/>
        <v>1.5582087612692359</v>
      </c>
    </row>
    <row r="527" spans="1:49" x14ac:dyDescent="0.2">
      <c r="A527">
        <v>525</v>
      </c>
      <c r="B527" t="s">
        <v>5092</v>
      </c>
      <c r="C527" t="s">
        <v>5091</v>
      </c>
      <c r="F527" t="s">
        <v>5090</v>
      </c>
      <c r="G527" t="s">
        <v>14</v>
      </c>
      <c r="H527" t="s">
        <v>13</v>
      </c>
      <c r="I527" t="s">
        <v>3022</v>
      </c>
      <c r="J527">
        <v>60014313</v>
      </c>
      <c r="K527" t="s">
        <v>607</v>
      </c>
      <c r="L527" t="s">
        <v>606</v>
      </c>
      <c r="M527" t="s">
        <v>197</v>
      </c>
      <c r="N527">
        <v>2</v>
      </c>
      <c r="O527" t="s">
        <v>5089</v>
      </c>
      <c r="P527" t="s">
        <v>5088</v>
      </c>
      <c r="Q527" t="s">
        <v>2878</v>
      </c>
      <c r="R527" s="7">
        <v>32874</v>
      </c>
      <c r="S527" s="8">
        <f t="shared" si="64"/>
        <v>1990</v>
      </c>
      <c r="T527" s="8">
        <v>1990</v>
      </c>
      <c r="U527" s="8">
        <f t="shared" si="65"/>
        <v>32</v>
      </c>
      <c r="V527" s="7">
        <v>33086</v>
      </c>
      <c r="W527" t="s">
        <v>2249</v>
      </c>
      <c r="X527" s="2">
        <v>1.6519999999999999</v>
      </c>
      <c r="Y527" s="6">
        <f t="shared" si="70"/>
        <v>4.409919649769093E-2</v>
      </c>
      <c r="AA527" t="s">
        <v>2248</v>
      </c>
      <c r="AB527">
        <v>17337</v>
      </c>
      <c r="AC527">
        <v>15582221</v>
      </c>
      <c r="AD527" t="s">
        <v>5</v>
      </c>
      <c r="AE527">
        <v>38</v>
      </c>
      <c r="AF527">
        <v>8</v>
      </c>
      <c r="AH527" t="s">
        <v>5087</v>
      </c>
      <c r="AI527" t="s">
        <v>5086</v>
      </c>
      <c r="AK527" t="s">
        <v>5085</v>
      </c>
      <c r="AL527">
        <v>92</v>
      </c>
      <c r="AM527" s="5">
        <f t="shared" si="66"/>
        <v>2.875</v>
      </c>
      <c r="AN527" s="4">
        <f t="shared" si="71"/>
        <v>4.354411207875805E-3</v>
      </c>
      <c r="AO527" s="3"/>
      <c r="AP527">
        <v>0</v>
      </c>
      <c r="AR527" t="s">
        <v>0</v>
      </c>
      <c r="AT527" s="2" t="s">
        <v>126</v>
      </c>
      <c r="AU527" s="1">
        <f t="shared" si="67"/>
        <v>3.2175760910746392</v>
      </c>
      <c r="AV527" s="1">
        <f t="shared" si="68"/>
        <v>2.4226803852783365</v>
      </c>
      <c r="AW527" s="1">
        <f t="shared" si="69"/>
        <v>1.6277846794820341</v>
      </c>
    </row>
    <row r="528" spans="1:49" x14ac:dyDescent="0.2">
      <c r="A528">
        <v>526</v>
      </c>
      <c r="B528" t="s">
        <v>5084</v>
      </c>
      <c r="C528" t="s">
        <v>5083</v>
      </c>
      <c r="F528" t="s">
        <v>5082</v>
      </c>
      <c r="G528" t="s">
        <v>14</v>
      </c>
      <c r="H528" t="s">
        <v>13</v>
      </c>
      <c r="I528" t="s">
        <v>5081</v>
      </c>
      <c r="J528" t="s">
        <v>5080</v>
      </c>
      <c r="K528" t="s">
        <v>5079</v>
      </c>
      <c r="L528" t="s">
        <v>5078</v>
      </c>
      <c r="M528" t="s">
        <v>84</v>
      </c>
      <c r="N528">
        <v>3</v>
      </c>
      <c r="O528" t="s">
        <v>5077</v>
      </c>
      <c r="P528" t="s">
        <v>5076</v>
      </c>
      <c r="Q528" t="s">
        <v>5075</v>
      </c>
      <c r="R528" s="7">
        <v>32874</v>
      </c>
      <c r="S528" s="8">
        <f t="shared" si="64"/>
        <v>1990</v>
      </c>
      <c r="T528" s="8">
        <v>1990</v>
      </c>
      <c r="U528" s="8">
        <f t="shared" si="65"/>
        <v>32</v>
      </c>
      <c r="V528" s="7">
        <v>33086</v>
      </c>
      <c r="W528" t="s">
        <v>2249</v>
      </c>
      <c r="X528" s="2">
        <v>1.6519999999999999</v>
      </c>
      <c r="Y528" s="6">
        <f t="shared" si="70"/>
        <v>4.409919649769093E-2</v>
      </c>
      <c r="AA528" t="s">
        <v>2248</v>
      </c>
      <c r="AB528">
        <v>17337</v>
      </c>
      <c r="AC528">
        <v>15582221</v>
      </c>
      <c r="AD528" t="s">
        <v>5</v>
      </c>
      <c r="AE528">
        <v>38</v>
      </c>
      <c r="AF528">
        <v>8</v>
      </c>
      <c r="AH528" t="s">
        <v>5074</v>
      </c>
      <c r="AI528" t="s">
        <v>5073</v>
      </c>
      <c r="AK528" t="s">
        <v>5072</v>
      </c>
      <c r="AL528">
        <v>13</v>
      </c>
      <c r="AM528" s="5">
        <f t="shared" si="66"/>
        <v>0.40625</v>
      </c>
      <c r="AN528" s="4">
        <f t="shared" si="71"/>
        <v>6.1529723589549411E-4</v>
      </c>
      <c r="AO528" s="3"/>
      <c r="AP528">
        <v>0</v>
      </c>
      <c r="AR528" t="s">
        <v>0</v>
      </c>
      <c r="AT528" s="2" t="s">
        <v>126</v>
      </c>
      <c r="AU528" s="1">
        <f t="shared" si="67"/>
        <v>3.1054026719152299</v>
      </c>
      <c r="AV528" s="1">
        <f t="shared" si="68"/>
        <v>2.2357246866793212</v>
      </c>
      <c r="AW528" s="1">
        <f t="shared" si="69"/>
        <v>1.3660467014434123</v>
      </c>
    </row>
    <row r="529" spans="1:49" x14ac:dyDescent="0.2">
      <c r="A529">
        <v>527</v>
      </c>
      <c r="B529" t="s">
        <v>5071</v>
      </c>
      <c r="C529" t="s">
        <v>5070</v>
      </c>
      <c r="F529" t="s">
        <v>5069</v>
      </c>
      <c r="G529" t="s">
        <v>14</v>
      </c>
      <c r="H529" t="s">
        <v>13</v>
      </c>
      <c r="I529" t="s">
        <v>5068</v>
      </c>
      <c r="J529">
        <v>60007843</v>
      </c>
      <c r="K529" t="s">
        <v>4910</v>
      </c>
      <c r="L529" t="s">
        <v>4909</v>
      </c>
      <c r="M529" t="s">
        <v>197</v>
      </c>
      <c r="N529">
        <v>2</v>
      </c>
      <c r="O529" t="s">
        <v>4908</v>
      </c>
      <c r="P529" t="s">
        <v>4907</v>
      </c>
      <c r="Q529" t="s">
        <v>4906</v>
      </c>
      <c r="R529" s="7">
        <v>32874</v>
      </c>
      <c r="S529" s="8">
        <f t="shared" si="64"/>
        <v>1990</v>
      </c>
      <c r="T529" s="8">
        <v>1990</v>
      </c>
      <c r="U529" s="8">
        <f t="shared" si="65"/>
        <v>32</v>
      </c>
      <c r="V529" s="7">
        <v>33086</v>
      </c>
      <c r="W529" t="s">
        <v>2156</v>
      </c>
      <c r="X529" s="2">
        <v>0.65500000000000003</v>
      </c>
      <c r="Y529" s="6">
        <f t="shared" si="70"/>
        <v>1.7484850911614749E-2</v>
      </c>
      <c r="AA529">
        <v>189375</v>
      </c>
      <c r="AB529">
        <v>26051</v>
      </c>
      <c r="AC529" t="s">
        <v>2155</v>
      </c>
      <c r="AD529" t="s">
        <v>5</v>
      </c>
      <c r="AE529">
        <v>32</v>
      </c>
      <c r="AF529">
        <v>3</v>
      </c>
      <c r="AH529" t="s">
        <v>2077</v>
      </c>
      <c r="AI529" t="s">
        <v>5067</v>
      </c>
      <c r="AK529" t="s">
        <v>5066</v>
      </c>
      <c r="AL529">
        <v>8</v>
      </c>
      <c r="AM529" s="5">
        <f t="shared" si="66"/>
        <v>0.25</v>
      </c>
      <c r="AN529" s="4">
        <f t="shared" si="71"/>
        <v>3.786444528587656E-4</v>
      </c>
      <c r="AO529" s="3"/>
      <c r="AP529">
        <v>0</v>
      </c>
      <c r="AR529" t="s">
        <v>0</v>
      </c>
      <c r="AT529" s="2" t="s">
        <v>126</v>
      </c>
      <c r="AU529" s="1">
        <f t="shared" si="67"/>
        <v>1.2352988973987953</v>
      </c>
      <c r="AV529" s="1">
        <f t="shared" si="68"/>
        <v>0.8931747682236757</v>
      </c>
      <c r="AW529" s="1">
        <f t="shared" si="69"/>
        <v>0.55105063904855611</v>
      </c>
    </row>
    <row r="530" spans="1:49" x14ac:dyDescent="0.2">
      <c r="A530">
        <v>528</v>
      </c>
      <c r="B530" t="s">
        <v>5065</v>
      </c>
      <c r="C530" t="s">
        <v>5064</v>
      </c>
      <c r="F530" t="s">
        <v>5063</v>
      </c>
      <c r="G530" t="s">
        <v>14</v>
      </c>
      <c r="H530" t="s">
        <v>13</v>
      </c>
      <c r="I530" t="s">
        <v>5062</v>
      </c>
      <c r="J530" t="s">
        <v>5057</v>
      </c>
      <c r="K530" t="s">
        <v>5061</v>
      </c>
      <c r="L530" t="s">
        <v>5060</v>
      </c>
      <c r="M530" t="s">
        <v>580</v>
      </c>
      <c r="N530">
        <v>2</v>
      </c>
      <c r="O530" t="s">
        <v>5059</v>
      </c>
      <c r="P530" t="s">
        <v>5058</v>
      </c>
      <c r="Q530" t="s">
        <v>5057</v>
      </c>
      <c r="R530" s="7">
        <v>32874</v>
      </c>
      <c r="S530" s="8">
        <f t="shared" si="64"/>
        <v>1990</v>
      </c>
      <c r="T530" s="8">
        <v>1990</v>
      </c>
      <c r="U530" s="8">
        <f t="shared" si="65"/>
        <v>32</v>
      </c>
      <c r="V530" s="7">
        <v>32874</v>
      </c>
      <c r="W530" t="s">
        <v>1380</v>
      </c>
      <c r="X530" s="2">
        <v>0.375</v>
      </c>
      <c r="Y530" s="6">
        <f t="shared" si="70"/>
        <v>1.0010410827260351E-2</v>
      </c>
      <c r="AA530">
        <v>135194</v>
      </c>
      <c r="AB530">
        <v>24918</v>
      </c>
      <c r="AD530" t="s">
        <v>5</v>
      </c>
      <c r="AE530">
        <v>26</v>
      </c>
      <c r="AF530">
        <v>18</v>
      </c>
      <c r="AH530" t="s">
        <v>5056</v>
      </c>
      <c r="AI530" t="s">
        <v>5055</v>
      </c>
      <c r="AJ530" t="s">
        <v>3432</v>
      </c>
      <c r="AK530" t="s">
        <v>5054</v>
      </c>
      <c r="AL530">
        <v>3</v>
      </c>
      <c r="AM530" s="5">
        <f t="shared" si="66"/>
        <v>9.375E-2</v>
      </c>
      <c r="AN530" s="4">
        <f t="shared" si="71"/>
        <v>1.4199166982203711E-4</v>
      </c>
      <c r="AO530" s="3"/>
      <c r="AP530">
        <v>0</v>
      </c>
      <c r="AR530" t="s">
        <v>0</v>
      </c>
      <c r="AT530" s="2">
        <v>1.3140000000000001</v>
      </c>
      <c r="AU530" s="1">
        <f t="shared" si="67"/>
        <v>0.70498850800288559</v>
      </c>
      <c r="AV530" s="1">
        <f t="shared" si="68"/>
        <v>0.50762012485411945</v>
      </c>
      <c r="AW530" s="1">
        <f t="shared" si="69"/>
        <v>0.31025174170535308</v>
      </c>
    </row>
    <row r="531" spans="1:49" x14ac:dyDescent="0.2">
      <c r="A531">
        <v>529</v>
      </c>
      <c r="B531" t="s">
        <v>5053</v>
      </c>
      <c r="C531" t="s">
        <v>5052</v>
      </c>
      <c r="F531" t="s">
        <v>5051</v>
      </c>
      <c r="G531" t="s">
        <v>14</v>
      </c>
      <c r="H531" t="s">
        <v>13</v>
      </c>
      <c r="I531" t="s">
        <v>5050</v>
      </c>
      <c r="J531">
        <v>60030526</v>
      </c>
      <c r="K531" t="s">
        <v>1784</v>
      </c>
      <c r="L531" t="s">
        <v>466</v>
      </c>
      <c r="M531" t="s">
        <v>267</v>
      </c>
      <c r="N531">
        <v>2</v>
      </c>
      <c r="O531" t="s">
        <v>5049</v>
      </c>
      <c r="P531" t="s">
        <v>5048</v>
      </c>
      <c r="Q531" t="s">
        <v>5047</v>
      </c>
      <c r="R531" s="7">
        <v>32874</v>
      </c>
      <c r="S531" s="8">
        <f t="shared" si="64"/>
        <v>1990</v>
      </c>
      <c r="T531" s="8">
        <v>1990</v>
      </c>
      <c r="U531" s="8">
        <f t="shared" si="65"/>
        <v>32</v>
      </c>
      <c r="V531" s="7">
        <v>32874</v>
      </c>
      <c r="W531" t="s">
        <v>1380</v>
      </c>
      <c r="X531" s="2">
        <v>0.375</v>
      </c>
      <c r="Y531" s="6">
        <f t="shared" si="70"/>
        <v>1.0010410827260351E-2</v>
      </c>
      <c r="AA531">
        <v>135194</v>
      </c>
      <c r="AB531">
        <v>24918</v>
      </c>
      <c r="AD531" t="s">
        <v>5</v>
      </c>
      <c r="AE531">
        <v>26</v>
      </c>
      <c r="AF531">
        <v>17</v>
      </c>
      <c r="AH531" t="s">
        <v>5046</v>
      </c>
      <c r="AI531" t="s">
        <v>5045</v>
      </c>
      <c r="AJ531" t="s">
        <v>3432</v>
      </c>
      <c r="AK531" t="s">
        <v>5044</v>
      </c>
      <c r="AL531">
        <v>2</v>
      </c>
      <c r="AM531" s="5">
        <f t="shared" si="66"/>
        <v>6.25E-2</v>
      </c>
      <c r="AN531" s="4">
        <f t="shared" si="71"/>
        <v>9.46611132146914E-5</v>
      </c>
      <c r="AO531" s="3"/>
      <c r="AP531">
        <v>0</v>
      </c>
      <c r="AR531" t="s">
        <v>0</v>
      </c>
      <c r="AT531" s="2">
        <v>1.3140000000000001</v>
      </c>
      <c r="AU531" s="1">
        <f t="shared" si="67"/>
        <v>0.70356859130466531</v>
      </c>
      <c r="AV531" s="1">
        <f t="shared" si="68"/>
        <v>0.50525359702375217</v>
      </c>
      <c r="AW531" s="1">
        <f t="shared" si="69"/>
        <v>0.30693860274283891</v>
      </c>
    </row>
    <row r="532" spans="1:49" x14ac:dyDescent="0.2">
      <c r="A532">
        <v>530</v>
      </c>
      <c r="B532" t="s">
        <v>5043</v>
      </c>
      <c r="C532" t="s">
        <v>5042</v>
      </c>
      <c r="F532" t="s">
        <v>5041</v>
      </c>
      <c r="G532" t="s">
        <v>14</v>
      </c>
      <c r="H532" t="s">
        <v>13</v>
      </c>
      <c r="I532" t="s">
        <v>5040</v>
      </c>
      <c r="J532">
        <v>60013506</v>
      </c>
      <c r="K532" t="s">
        <v>4021</v>
      </c>
      <c r="L532" t="s">
        <v>4020</v>
      </c>
      <c r="M532" t="s">
        <v>1937</v>
      </c>
      <c r="N532">
        <v>3</v>
      </c>
      <c r="O532" t="s">
        <v>5039</v>
      </c>
      <c r="P532" t="s">
        <v>5038</v>
      </c>
      <c r="Q532" t="s">
        <v>5037</v>
      </c>
      <c r="R532" s="7">
        <v>32874</v>
      </c>
      <c r="S532" s="8">
        <f t="shared" si="64"/>
        <v>1990</v>
      </c>
      <c r="T532" s="8">
        <v>1990</v>
      </c>
      <c r="U532" s="8">
        <f t="shared" si="65"/>
        <v>32</v>
      </c>
      <c r="V532" s="7">
        <v>33086</v>
      </c>
      <c r="W532" t="s">
        <v>1152</v>
      </c>
      <c r="X532" s="2">
        <v>0.30399999999999999</v>
      </c>
      <c r="Y532" s="6">
        <f t="shared" si="70"/>
        <v>8.115106377299057E-3</v>
      </c>
      <c r="AA532">
        <v>8952477</v>
      </c>
      <c r="AB532">
        <v>12250</v>
      </c>
      <c r="AC532">
        <v>10982760</v>
      </c>
      <c r="AD532" t="s">
        <v>5</v>
      </c>
      <c r="AE532">
        <v>3</v>
      </c>
      <c r="AF532">
        <v>8</v>
      </c>
      <c r="AH532" t="s">
        <v>5036</v>
      </c>
      <c r="AI532" t="s">
        <v>5035</v>
      </c>
      <c r="AJ532" t="s">
        <v>5034</v>
      </c>
      <c r="AK532" t="s">
        <v>5033</v>
      </c>
      <c r="AL532">
        <v>1</v>
      </c>
      <c r="AM532" s="5">
        <f t="shared" si="66"/>
        <v>3.125E-2</v>
      </c>
      <c r="AN532" s="4">
        <f t="shared" si="71"/>
        <v>4.73305566073457E-5</v>
      </c>
      <c r="AO532" s="3"/>
      <c r="AP532">
        <v>0</v>
      </c>
      <c r="AR532" t="s">
        <v>0</v>
      </c>
      <c r="AT532" s="2" t="s">
        <v>126</v>
      </c>
      <c r="AU532" s="1">
        <f t="shared" si="67"/>
        <v>0.56947736310915431</v>
      </c>
      <c r="AV532" s="1">
        <f t="shared" si="68"/>
        <v>0.40812184669532009</v>
      </c>
      <c r="AW532" s="1">
        <f t="shared" si="69"/>
        <v>0.24676633028148592</v>
      </c>
    </row>
    <row r="533" spans="1:49" x14ac:dyDescent="0.2">
      <c r="A533">
        <v>531</v>
      </c>
      <c r="B533" t="s">
        <v>5032</v>
      </c>
      <c r="C533" t="s">
        <v>5031</v>
      </c>
      <c r="F533" t="s">
        <v>5030</v>
      </c>
      <c r="G533" t="s">
        <v>14</v>
      </c>
      <c r="H533" t="s">
        <v>13</v>
      </c>
      <c r="I533" t="s">
        <v>5029</v>
      </c>
      <c r="J533">
        <v>60000854</v>
      </c>
      <c r="K533" t="s">
        <v>5028</v>
      </c>
      <c r="L533" t="s">
        <v>5027</v>
      </c>
      <c r="M533" t="s">
        <v>197</v>
      </c>
      <c r="N533">
        <v>2</v>
      </c>
      <c r="O533" t="s">
        <v>5026</v>
      </c>
      <c r="P533" t="s">
        <v>5025</v>
      </c>
      <c r="Q533" t="s">
        <v>5024</v>
      </c>
      <c r="R533" s="7">
        <v>32874</v>
      </c>
      <c r="S533" s="8">
        <f t="shared" si="64"/>
        <v>1990</v>
      </c>
      <c r="T533" s="8">
        <v>1990</v>
      </c>
      <c r="U533" s="8">
        <f t="shared" si="65"/>
        <v>32</v>
      </c>
      <c r="V533" s="7" t="s">
        <v>5023</v>
      </c>
      <c r="W533" s="11" t="s">
        <v>1933</v>
      </c>
      <c r="X533" s="2">
        <v>2.383</v>
      </c>
      <c r="Y533" s="6">
        <f t="shared" si="70"/>
        <v>6.3612824003630442E-2</v>
      </c>
      <c r="AA533" t="s">
        <v>1932</v>
      </c>
      <c r="AB533">
        <v>101151</v>
      </c>
      <c r="AD533" t="s">
        <v>5</v>
      </c>
      <c r="AE533">
        <v>137</v>
      </c>
      <c r="AF533">
        <v>4</v>
      </c>
      <c r="AH533" t="s">
        <v>5022</v>
      </c>
      <c r="AI533" t="s">
        <v>5021</v>
      </c>
      <c r="AK533" t="s">
        <v>5020</v>
      </c>
      <c r="AL533">
        <v>16</v>
      </c>
      <c r="AM533" s="5">
        <f t="shared" si="66"/>
        <v>0.5</v>
      </c>
      <c r="AN533" s="4">
        <f t="shared" si="71"/>
        <v>7.572889057175312E-4</v>
      </c>
      <c r="AO533" s="3"/>
      <c r="AP533">
        <v>0</v>
      </c>
      <c r="AR533" t="s">
        <v>0</v>
      </c>
      <c r="AT533" s="2" t="s">
        <v>126</v>
      </c>
      <c r="AU533" s="1">
        <f t="shared" si="67"/>
        <v>4.4756163474256567</v>
      </c>
      <c r="AV533" s="1">
        <f t="shared" si="68"/>
        <v>3.218505645467399</v>
      </c>
      <c r="AW533" s="1">
        <f t="shared" si="69"/>
        <v>1.9613949435091407</v>
      </c>
    </row>
    <row r="534" spans="1:49" x14ac:dyDescent="0.2">
      <c r="A534">
        <v>532</v>
      </c>
      <c r="B534" t="s">
        <v>5019</v>
      </c>
      <c r="C534" t="s">
        <v>5018</v>
      </c>
      <c r="F534" t="s">
        <v>5017</v>
      </c>
      <c r="G534" t="s">
        <v>14</v>
      </c>
      <c r="H534" t="s">
        <v>13</v>
      </c>
      <c r="I534" t="s">
        <v>5016</v>
      </c>
      <c r="N534">
        <v>3</v>
      </c>
      <c r="O534" t="s">
        <v>5015</v>
      </c>
      <c r="P534" t="s">
        <v>5014</v>
      </c>
      <c r="Q534" t="s">
        <v>391</v>
      </c>
      <c r="R534" s="7">
        <v>32874</v>
      </c>
      <c r="S534" s="8">
        <f t="shared" si="64"/>
        <v>1990</v>
      </c>
      <c r="T534" s="8">
        <v>1990</v>
      </c>
      <c r="U534" s="8">
        <f t="shared" si="65"/>
        <v>32</v>
      </c>
      <c r="V534" s="7">
        <v>33086</v>
      </c>
      <c r="W534" t="s">
        <v>2249</v>
      </c>
      <c r="X534" s="2">
        <v>1.6519999999999999</v>
      </c>
      <c r="Y534" s="6">
        <f t="shared" si="70"/>
        <v>4.409919649769093E-2</v>
      </c>
      <c r="AA534" t="s">
        <v>2248</v>
      </c>
      <c r="AB534">
        <v>17337</v>
      </c>
      <c r="AC534">
        <v>15582221</v>
      </c>
      <c r="AD534" t="s">
        <v>5</v>
      </c>
      <c r="AE534">
        <v>38</v>
      </c>
      <c r="AF534">
        <v>8</v>
      </c>
      <c r="AH534" t="s">
        <v>5013</v>
      </c>
      <c r="AI534" t="s">
        <v>5012</v>
      </c>
      <c r="AK534" t="s">
        <v>5011</v>
      </c>
      <c r="AL534">
        <v>2</v>
      </c>
      <c r="AM534" s="5">
        <f t="shared" si="66"/>
        <v>6.25E-2</v>
      </c>
      <c r="AN534" s="4">
        <f t="shared" si="71"/>
        <v>9.46611132146914E-5</v>
      </c>
      <c r="AO534" s="3"/>
      <c r="AP534">
        <v>0</v>
      </c>
      <c r="AR534" t="s">
        <v>0</v>
      </c>
      <c r="AT534" s="2" t="s">
        <v>126</v>
      </c>
      <c r="AU534" s="1">
        <f t="shared" si="67"/>
        <v>3.0897835882348059</v>
      </c>
      <c r="AV534" s="1">
        <f t="shared" si="68"/>
        <v>2.2096928805452811</v>
      </c>
      <c r="AW534" s="1">
        <f t="shared" si="69"/>
        <v>1.3296021728557561</v>
      </c>
    </row>
    <row r="535" spans="1:49" x14ac:dyDescent="0.2">
      <c r="A535">
        <v>533</v>
      </c>
      <c r="B535" t="s">
        <v>5010</v>
      </c>
      <c r="C535" t="s">
        <v>5009</v>
      </c>
      <c r="F535" t="s">
        <v>5008</v>
      </c>
      <c r="G535" t="s">
        <v>14</v>
      </c>
      <c r="H535" t="s">
        <v>13</v>
      </c>
      <c r="I535" t="s">
        <v>5007</v>
      </c>
      <c r="J535">
        <v>60000745</v>
      </c>
      <c r="K535" t="s">
        <v>2214</v>
      </c>
      <c r="L535" t="s">
        <v>2213</v>
      </c>
      <c r="M535" t="s">
        <v>197</v>
      </c>
      <c r="N535">
        <v>3</v>
      </c>
      <c r="O535" t="s">
        <v>5006</v>
      </c>
      <c r="P535" t="s">
        <v>5005</v>
      </c>
      <c r="Q535" t="s">
        <v>2409</v>
      </c>
      <c r="R535" s="7">
        <v>32874</v>
      </c>
      <c r="S535" s="8">
        <f t="shared" si="64"/>
        <v>1990</v>
      </c>
      <c r="T535" s="8">
        <v>1990</v>
      </c>
      <c r="U535" s="8">
        <f t="shared" si="65"/>
        <v>32</v>
      </c>
      <c r="V535" s="7">
        <v>33086</v>
      </c>
      <c r="W535" t="s">
        <v>2249</v>
      </c>
      <c r="X535" s="2">
        <v>1.6519999999999999</v>
      </c>
      <c r="Y535" s="6">
        <f t="shared" si="70"/>
        <v>4.409919649769093E-2</v>
      </c>
      <c r="AA535" t="s">
        <v>2248</v>
      </c>
      <c r="AB535">
        <v>17337</v>
      </c>
      <c r="AC535">
        <v>15582221</v>
      </c>
      <c r="AD535" t="s">
        <v>5</v>
      </c>
      <c r="AE535">
        <v>38</v>
      </c>
      <c r="AF535">
        <v>8</v>
      </c>
      <c r="AH535" t="s">
        <v>5004</v>
      </c>
      <c r="AI535" t="s">
        <v>5003</v>
      </c>
      <c r="AK535" t="s">
        <v>5002</v>
      </c>
      <c r="AL535">
        <v>57</v>
      </c>
      <c r="AM535" s="5">
        <f t="shared" si="66"/>
        <v>1.78125</v>
      </c>
      <c r="AN535" s="4">
        <f t="shared" si="71"/>
        <v>2.6978417266187052E-3</v>
      </c>
      <c r="AO535" s="3"/>
      <c r="AP535">
        <v>0</v>
      </c>
      <c r="AR535" t="s">
        <v>0</v>
      </c>
      <c r="AT535" s="2" t="s">
        <v>126</v>
      </c>
      <c r="AU535" s="1">
        <f t="shared" si="67"/>
        <v>3.1678790066369262</v>
      </c>
      <c r="AV535" s="1">
        <f t="shared" si="68"/>
        <v>2.3398519112154816</v>
      </c>
      <c r="AW535" s="1">
        <f t="shared" si="69"/>
        <v>1.5118248157940373</v>
      </c>
    </row>
    <row r="536" spans="1:49" x14ac:dyDescent="0.2">
      <c r="A536">
        <v>534</v>
      </c>
      <c r="B536" t="s">
        <v>5001</v>
      </c>
      <c r="C536" t="s">
        <v>5000</v>
      </c>
      <c r="F536" t="s">
        <v>4999</v>
      </c>
      <c r="G536" t="s">
        <v>14</v>
      </c>
      <c r="H536" t="s">
        <v>13</v>
      </c>
      <c r="I536" t="s">
        <v>4998</v>
      </c>
      <c r="N536">
        <v>2</v>
      </c>
      <c r="O536" t="s">
        <v>4997</v>
      </c>
      <c r="P536" t="s">
        <v>4996</v>
      </c>
      <c r="Q536" t="s">
        <v>119</v>
      </c>
      <c r="R536" s="7">
        <v>32874</v>
      </c>
      <c r="S536" s="8">
        <f t="shared" si="64"/>
        <v>1990</v>
      </c>
      <c r="T536" s="8">
        <v>1990</v>
      </c>
      <c r="U536" s="8">
        <f t="shared" si="65"/>
        <v>32</v>
      </c>
      <c r="V536" s="7">
        <v>33086</v>
      </c>
      <c r="W536" t="s">
        <v>2249</v>
      </c>
      <c r="X536" s="2">
        <v>1.6519999999999999</v>
      </c>
      <c r="Y536" s="6">
        <f t="shared" si="70"/>
        <v>4.409919649769093E-2</v>
      </c>
      <c r="AA536" t="s">
        <v>2248</v>
      </c>
      <c r="AB536">
        <v>17337</v>
      </c>
      <c r="AC536">
        <v>15582221</v>
      </c>
      <c r="AD536" t="s">
        <v>5</v>
      </c>
      <c r="AE536">
        <v>38</v>
      </c>
      <c r="AF536">
        <v>8</v>
      </c>
      <c r="AH536" t="s">
        <v>4995</v>
      </c>
      <c r="AI536" t="s">
        <v>4994</v>
      </c>
      <c r="AK536" t="s">
        <v>4993</v>
      </c>
      <c r="AL536">
        <v>29</v>
      </c>
      <c r="AM536" s="5">
        <f t="shared" si="66"/>
        <v>0.90625</v>
      </c>
      <c r="AN536" s="4">
        <f t="shared" si="71"/>
        <v>1.3725861416130254E-3</v>
      </c>
      <c r="AO536" s="3"/>
      <c r="AP536">
        <v>0</v>
      </c>
      <c r="AR536" t="s">
        <v>0</v>
      </c>
      <c r="AT536" s="2" t="s">
        <v>126</v>
      </c>
      <c r="AU536" s="1">
        <f t="shared" si="67"/>
        <v>3.1281213390867557</v>
      </c>
      <c r="AV536" s="1">
        <f t="shared" si="68"/>
        <v>2.2735891319651982</v>
      </c>
      <c r="AW536" s="1">
        <f t="shared" si="69"/>
        <v>1.4190569248436398</v>
      </c>
    </row>
    <row r="537" spans="1:49" x14ac:dyDescent="0.2">
      <c r="A537">
        <v>535</v>
      </c>
      <c r="B537" t="s">
        <v>4992</v>
      </c>
      <c r="C537" t="s">
        <v>4991</v>
      </c>
      <c r="F537" t="s">
        <v>4990</v>
      </c>
      <c r="G537" t="s">
        <v>14</v>
      </c>
      <c r="H537" t="s">
        <v>13</v>
      </c>
      <c r="I537" t="s">
        <v>4989</v>
      </c>
      <c r="J537">
        <v>60016302</v>
      </c>
      <c r="K537" t="s">
        <v>4988</v>
      </c>
      <c r="M537" t="s">
        <v>1872</v>
      </c>
      <c r="N537">
        <v>1</v>
      </c>
      <c r="O537" t="s">
        <v>4987</v>
      </c>
      <c r="P537">
        <v>7201481830</v>
      </c>
      <c r="Q537">
        <v>60016302</v>
      </c>
      <c r="R537" s="7">
        <v>32874</v>
      </c>
      <c r="S537" s="8">
        <f t="shared" si="64"/>
        <v>1990</v>
      </c>
      <c r="T537" s="8">
        <v>1990</v>
      </c>
      <c r="U537" s="8">
        <f t="shared" si="65"/>
        <v>32</v>
      </c>
      <c r="V537" s="7">
        <v>33086</v>
      </c>
      <c r="W537" t="s">
        <v>1883</v>
      </c>
      <c r="X537" s="2">
        <v>1.365</v>
      </c>
      <c r="Y537" s="6">
        <f t="shared" si="70"/>
        <v>3.6437895411227675E-2</v>
      </c>
      <c r="AA537">
        <v>189545</v>
      </c>
      <c r="AB537">
        <v>17393</v>
      </c>
      <c r="AC537">
        <v>19399359</v>
      </c>
      <c r="AD537" t="s">
        <v>5</v>
      </c>
      <c r="AE537">
        <v>39</v>
      </c>
      <c r="AF537">
        <v>3</v>
      </c>
      <c r="AH537" t="s">
        <v>4986</v>
      </c>
      <c r="AI537" t="s">
        <v>4985</v>
      </c>
      <c r="AK537" t="s">
        <v>4984</v>
      </c>
      <c r="AL537">
        <v>358</v>
      </c>
      <c r="AM537" s="5">
        <f t="shared" si="66"/>
        <v>11.1875</v>
      </c>
      <c r="AN537" s="4">
        <f t="shared" si="71"/>
        <v>1.6944339265429761E-2</v>
      </c>
      <c r="AO537" s="3"/>
      <c r="AP537">
        <v>0</v>
      </c>
      <c r="AR537" t="s">
        <v>0</v>
      </c>
      <c r="AT537" s="2" t="s">
        <v>126</v>
      </c>
      <c r="AU537" s="1">
        <f t="shared" si="67"/>
        <v>3.05898285674883</v>
      </c>
      <c r="AV537" s="1">
        <f t="shared" si="68"/>
        <v>2.6691117338328718</v>
      </c>
      <c r="AW537" s="1">
        <f t="shared" si="69"/>
        <v>2.2792406109169132</v>
      </c>
    </row>
    <row r="538" spans="1:49" x14ac:dyDescent="0.2">
      <c r="A538">
        <v>536</v>
      </c>
      <c r="B538" t="s">
        <v>4983</v>
      </c>
      <c r="C538" t="s">
        <v>4982</v>
      </c>
      <c r="F538" t="s">
        <v>4981</v>
      </c>
      <c r="G538" t="s">
        <v>14</v>
      </c>
      <c r="H538" t="s">
        <v>13</v>
      </c>
      <c r="I538" t="s">
        <v>4980</v>
      </c>
      <c r="J538">
        <v>60005837</v>
      </c>
      <c r="K538" t="s">
        <v>2977</v>
      </c>
      <c r="L538" t="s">
        <v>640</v>
      </c>
      <c r="M538" t="s">
        <v>197</v>
      </c>
      <c r="N538">
        <v>2</v>
      </c>
      <c r="O538" t="s">
        <v>4979</v>
      </c>
      <c r="P538" t="s">
        <v>4978</v>
      </c>
      <c r="Q538" t="s">
        <v>2974</v>
      </c>
      <c r="R538" s="7">
        <v>32874</v>
      </c>
      <c r="S538" s="8">
        <f t="shared" si="64"/>
        <v>1990</v>
      </c>
      <c r="T538" s="8">
        <v>1990</v>
      </c>
      <c r="U538" s="8">
        <f t="shared" si="65"/>
        <v>32</v>
      </c>
      <c r="V538" s="7">
        <v>33086</v>
      </c>
      <c r="W538" t="s">
        <v>1858</v>
      </c>
      <c r="X538" s="2">
        <v>0.88100000000000001</v>
      </c>
      <c r="Y538" s="6">
        <f t="shared" si="70"/>
        <v>2.3517791836843653E-2</v>
      </c>
      <c r="AA538">
        <v>10459243</v>
      </c>
      <c r="AB538">
        <v>17248</v>
      </c>
      <c r="AD538" t="s">
        <v>5</v>
      </c>
      <c r="AE538">
        <v>32</v>
      </c>
      <c r="AF538">
        <v>4</v>
      </c>
      <c r="AH538" s="10">
        <v>43282</v>
      </c>
      <c r="AI538" t="s">
        <v>4977</v>
      </c>
      <c r="AK538" t="s">
        <v>4976</v>
      </c>
      <c r="AL538">
        <v>6</v>
      </c>
      <c r="AM538" s="5">
        <f t="shared" si="66"/>
        <v>0.1875</v>
      </c>
      <c r="AN538" s="4">
        <f t="shared" si="71"/>
        <v>2.8398333964407423E-4</v>
      </c>
      <c r="AO538" s="3"/>
      <c r="AP538">
        <v>0</v>
      </c>
      <c r="AR538" t="s">
        <v>0</v>
      </c>
      <c r="AT538" s="2" t="s">
        <v>126</v>
      </c>
      <c r="AU538" s="1">
        <f t="shared" si="67"/>
        <v>1.6547649287683777</v>
      </c>
      <c r="AV538" s="1">
        <f t="shared" si="68"/>
        <v>1.1900887588243865</v>
      </c>
      <c r="AW538" s="1">
        <f t="shared" si="69"/>
        <v>0.72541258888039473</v>
      </c>
    </row>
    <row r="539" spans="1:49" x14ac:dyDescent="0.2">
      <c r="A539">
        <v>537</v>
      </c>
      <c r="B539" t="s">
        <v>4975</v>
      </c>
      <c r="C539" t="s">
        <v>4974</v>
      </c>
      <c r="F539" t="s">
        <v>4973</v>
      </c>
      <c r="G539" t="s">
        <v>14</v>
      </c>
      <c r="H539" t="s">
        <v>13</v>
      </c>
      <c r="I539" t="s">
        <v>4972</v>
      </c>
      <c r="J539">
        <v>60014264</v>
      </c>
      <c r="K539" t="s">
        <v>4971</v>
      </c>
      <c r="L539" t="s">
        <v>4970</v>
      </c>
      <c r="M539" t="s">
        <v>135</v>
      </c>
      <c r="N539">
        <v>2</v>
      </c>
      <c r="O539" t="s">
        <v>4969</v>
      </c>
      <c r="P539" t="s">
        <v>4968</v>
      </c>
      <c r="Q539" t="s">
        <v>4967</v>
      </c>
      <c r="R539" s="7">
        <v>32874</v>
      </c>
      <c r="S539" s="8">
        <f t="shared" si="64"/>
        <v>1990</v>
      </c>
      <c r="T539" s="8">
        <v>1990</v>
      </c>
      <c r="U539" s="8">
        <f t="shared" si="65"/>
        <v>32</v>
      </c>
      <c r="V539" s="7">
        <v>32874</v>
      </c>
      <c r="W539" t="s">
        <v>1380</v>
      </c>
      <c r="X539" s="2">
        <v>0.375</v>
      </c>
      <c r="Y539" s="6">
        <f t="shared" si="70"/>
        <v>1.0010410827260351E-2</v>
      </c>
      <c r="AA539">
        <v>135194</v>
      </c>
      <c r="AB539">
        <v>24918</v>
      </c>
      <c r="AD539" t="s">
        <v>5</v>
      </c>
      <c r="AE539">
        <v>26</v>
      </c>
      <c r="AF539">
        <v>18</v>
      </c>
      <c r="AH539" t="s">
        <v>4966</v>
      </c>
      <c r="AI539" t="s">
        <v>4965</v>
      </c>
      <c r="AJ539" t="s">
        <v>4964</v>
      </c>
      <c r="AK539" t="s">
        <v>4963</v>
      </c>
      <c r="AL539">
        <v>3</v>
      </c>
      <c r="AM539" s="5">
        <f t="shared" si="66"/>
        <v>9.375E-2</v>
      </c>
      <c r="AN539" s="4">
        <f t="shared" si="71"/>
        <v>1.4199166982203711E-4</v>
      </c>
      <c r="AO539" s="3"/>
      <c r="AP539">
        <v>0</v>
      </c>
      <c r="AR539" t="s">
        <v>0</v>
      </c>
      <c r="AT539" s="2">
        <v>1.3140000000000001</v>
      </c>
      <c r="AU539" s="1">
        <f t="shared" si="67"/>
        <v>0.70498850800288559</v>
      </c>
      <c r="AV539" s="1">
        <f t="shared" si="68"/>
        <v>0.50762012485411945</v>
      </c>
      <c r="AW539" s="1">
        <f t="shared" si="69"/>
        <v>0.31025174170535308</v>
      </c>
    </row>
    <row r="540" spans="1:49" x14ac:dyDescent="0.2">
      <c r="A540">
        <v>538</v>
      </c>
      <c r="B540" t="s">
        <v>4962</v>
      </c>
      <c r="C540" t="s">
        <v>4961</v>
      </c>
      <c r="F540" t="s">
        <v>4960</v>
      </c>
      <c r="G540" t="s">
        <v>14</v>
      </c>
      <c r="H540" t="s">
        <v>13</v>
      </c>
      <c r="I540" t="s">
        <v>4959</v>
      </c>
      <c r="J540" t="s">
        <v>4958</v>
      </c>
      <c r="K540" t="s">
        <v>4957</v>
      </c>
      <c r="L540" t="s">
        <v>4956</v>
      </c>
      <c r="M540" t="s">
        <v>1702</v>
      </c>
      <c r="N540">
        <v>4</v>
      </c>
      <c r="O540" t="s">
        <v>4955</v>
      </c>
      <c r="P540" t="s">
        <v>4954</v>
      </c>
      <c r="Q540" t="s">
        <v>4953</v>
      </c>
      <c r="R540" s="7">
        <v>32874</v>
      </c>
      <c r="S540" s="8">
        <f t="shared" si="64"/>
        <v>1990</v>
      </c>
      <c r="T540" s="8">
        <v>1990</v>
      </c>
      <c r="U540" s="8">
        <f t="shared" si="65"/>
        <v>32</v>
      </c>
      <c r="V540" s="7">
        <v>33086</v>
      </c>
      <c r="W540" t="s">
        <v>2249</v>
      </c>
      <c r="X540" s="2">
        <v>1.6519999999999999</v>
      </c>
      <c r="Y540" s="6">
        <f t="shared" si="70"/>
        <v>4.409919649769093E-2</v>
      </c>
      <c r="AA540" t="s">
        <v>2248</v>
      </c>
      <c r="AB540">
        <v>17337</v>
      </c>
      <c r="AC540">
        <v>15582221</v>
      </c>
      <c r="AD540" t="s">
        <v>5</v>
      </c>
      <c r="AE540">
        <v>38</v>
      </c>
      <c r="AF540">
        <v>8</v>
      </c>
      <c r="AH540" t="s">
        <v>4952</v>
      </c>
      <c r="AI540" t="s">
        <v>4951</v>
      </c>
      <c r="AK540" t="s">
        <v>4950</v>
      </c>
      <c r="AL540">
        <v>64</v>
      </c>
      <c r="AM540" s="5">
        <f t="shared" si="66"/>
        <v>2</v>
      </c>
      <c r="AN540" s="4">
        <f t="shared" si="71"/>
        <v>3.0291556228701248E-3</v>
      </c>
      <c r="AO540" s="3"/>
      <c r="AP540">
        <v>0</v>
      </c>
      <c r="AR540" t="s">
        <v>0</v>
      </c>
      <c r="AT540" s="2" t="s">
        <v>126</v>
      </c>
      <c r="AU540" s="1">
        <f t="shared" si="67"/>
        <v>3.1778184235244686</v>
      </c>
      <c r="AV540" s="1">
        <f t="shared" si="68"/>
        <v>2.3564176060280526</v>
      </c>
      <c r="AW540" s="1">
        <f t="shared" si="69"/>
        <v>1.5350167885316366</v>
      </c>
    </row>
    <row r="541" spans="1:49" x14ac:dyDescent="0.2">
      <c r="A541">
        <v>539</v>
      </c>
      <c r="B541" t="s">
        <v>4949</v>
      </c>
      <c r="C541" t="s">
        <v>4948</v>
      </c>
      <c r="F541" t="s">
        <v>4947</v>
      </c>
      <c r="G541" t="s">
        <v>14</v>
      </c>
      <c r="H541" t="s">
        <v>13</v>
      </c>
      <c r="I541" t="s">
        <v>4946</v>
      </c>
      <c r="J541">
        <v>60028186</v>
      </c>
      <c r="K541" t="s">
        <v>3098</v>
      </c>
      <c r="L541" t="s">
        <v>3097</v>
      </c>
      <c r="M541" t="s">
        <v>3096</v>
      </c>
      <c r="N541">
        <v>5</v>
      </c>
      <c r="O541" t="s">
        <v>4945</v>
      </c>
      <c r="P541" t="s">
        <v>4944</v>
      </c>
      <c r="Q541" t="s">
        <v>4943</v>
      </c>
      <c r="R541" s="7">
        <v>32874</v>
      </c>
      <c r="S541" s="8">
        <f t="shared" si="64"/>
        <v>1990</v>
      </c>
      <c r="T541" s="8">
        <v>1990</v>
      </c>
      <c r="U541" s="8">
        <f t="shared" si="65"/>
        <v>32</v>
      </c>
      <c r="V541" s="7">
        <v>33086</v>
      </c>
      <c r="W541" t="s">
        <v>1844</v>
      </c>
      <c r="X541" s="2">
        <v>1.774</v>
      </c>
      <c r="Y541" s="6">
        <f t="shared" si="70"/>
        <v>4.7355916820159633E-2</v>
      </c>
      <c r="AA541">
        <v>295515</v>
      </c>
      <c r="AB541">
        <v>29066</v>
      </c>
      <c r="AC541">
        <v>17414326</v>
      </c>
      <c r="AD541" t="s">
        <v>5</v>
      </c>
      <c r="AE541">
        <v>30</v>
      </c>
      <c r="AF541">
        <v>8</v>
      </c>
      <c r="AH541" t="s">
        <v>4942</v>
      </c>
      <c r="AI541" t="s">
        <v>4941</v>
      </c>
      <c r="AK541" t="s">
        <v>4940</v>
      </c>
      <c r="AL541">
        <v>1</v>
      </c>
      <c r="AM541" s="5">
        <f t="shared" si="66"/>
        <v>3.125E-2</v>
      </c>
      <c r="AN541" s="4">
        <f t="shared" si="71"/>
        <v>4.73305566073457E-5</v>
      </c>
      <c r="AO541" s="3"/>
      <c r="AP541">
        <v>0</v>
      </c>
      <c r="AR541" t="s">
        <v>0</v>
      </c>
      <c r="AT541" s="2">
        <v>3.1789999999999998</v>
      </c>
      <c r="AU541" s="1">
        <f t="shared" si="67"/>
        <v>3.3163340941093944</v>
      </c>
      <c r="AV541" s="1">
        <f t="shared" si="68"/>
        <v>2.3701623688383489</v>
      </c>
      <c r="AW541" s="1">
        <f t="shared" si="69"/>
        <v>1.4239906435673031</v>
      </c>
    </row>
    <row r="542" spans="1:49" x14ac:dyDescent="0.2">
      <c r="A542">
        <v>540</v>
      </c>
      <c r="B542" t="s">
        <v>4939</v>
      </c>
      <c r="C542" t="s">
        <v>4938</v>
      </c>
      <c r="F542" t="s">
        <v>4937</v>
      </c>
      <c r="G542" t="s">
        <v>14</v>
      </c>
      <c r="H542" t="s">
        <v>13</v>
      </c>
      <c r="I542" t="s">
        <v>4936</v>
      </c>
      <c r="J542">
        <v>60010491</v>
      </c>
      <c r="K542" t="s">
        <v>4935</v>
      </c>
      <c r="L542" t="s">
        <v>4934</v>
      </c>
      <c r="M542" t="s">
        <v>197</v>
      </c>
      <c r="N542">
        <v>2</v>
      </c>
      <c r="O542" t="s">
        <v>4933</v>
      </c>
      <c r="P542" t="s">
        <v>4932</v>
      </c>
      <c r="Q542" t="s">
        <v>4931</v>
      </c>
      <c r="R542" s="7">
        <v>32874</v>
      </c>
      <c r="S542" s="8">
        <f t="shared" si="64"/>
        <v>1990</v>
      </c>
      <c r="T542" s="8">
        <v>1990</v>
      </c>
      <c r="U542" s="8">
        <f t="shared" si="65"/>
        <v>32</v>
      </c>
      <c r="V542" s="7">
        <v>33086</v>
      </c>
      <c r="W542" t="s">
        <v>2249</v>
      </c>
      <c r="X542" s="2">
        <v>1.6519999999999999</v>
      </c>
      <c r="Y542" s="6">
        <f t="shared" si="70"/>
        <v>4.409919649769093E-2</v>
      </c>
      <c r="AA542" t="s">
        <v>2248</v>
      </c>
      <c r="AB542">
        <v>17337</v>
      </c>
      <c r="AC542">
        <v>15582221</v>
      </c>
      <c r="AD542" t="s">
        <v>5</v>
      </c>
      <c r="AE542">
        <v>38</v>
      </c>
      <c r="AF542">
        <v>8</v>
      </c>
      <c r="AH542" t="s">
        <v>4930</v>
      </c>
      <c r="AI542" t="s">
        <v>4929</v>
      </c>
      <c r="AK542" t="s">
        <v>4928</v>
      </c>
      <c r="AL542">
        <v>2</v>
      </c>
      <c r="AM542" s="5">
        <f t="shared" si="66"/>
        <v>6.25E-2</v>
      </c>
      <c r="AN542" s="4">
        <f t="shared" si="71"/>
        <v>9.46611132146914E-5</v>
      </c>
      <c r="AO542" s="3"/>
      <c r="AP542">
        <v>0</v>
      </c>
      <c r="AR542" t="s">
        <v>0</v>
      </c>
      <c r="AT542" s="2" t="s">
        <v>126</v>
      </c>
      <c r="AU542" s="1">
        <f t="shared" si="67"/>
        <v>3.0897835882348059</v>
      </c>
      <c r="AV542" s="1">
        <f t="shared" si="68"/>
        <v>2.2096928805452811</v>
      </c>
      <c r="AW542" s="1">
        <f t="shared" si="69"/>
        <v>1.3296021728557561</v>
      </c>
    </row>
    <row r="543" spans="1:49" x14ac:dyDescent="0.2">
      <c r="A543">
        <v>541</v>
      </c>
      <c r="B543" t="s">
        <v>4927</v>
      </c>
      <c r="C543" t="s">
        <v>4926</v>
      </c>
      <c r="F543" t="s">
        <v>4925</v>
      </c>
      <c r="G543" t="s">
        <v>14</v>
      </c>
      <c r="H543" t="s">
        <v>13</v>
      </c>
      <c r="I543" t="s">
        <v>4924</v>
      </c>
      <c r="J543">
        <v>60005244</v>
      </c>
      <c r="K543" t="s">
        <v>4923</v>
      </c>
      <c r="L543" t="s">
        <v>4922</v>
      </c>
      <c r="M543" t="s">
        <v>854</v>
      </c>
      <c r="N543">
        <v>2</v>
      </c>
      <c r="O543" t="s">
        <v>4921</v>
      </c>
      <c r="P543" t="s">
        <v>4920</v>
      </c>
      <c r="Q543" t="s">
        <v>4919</v>
      </c>
      <c r="R543" s="7">
        <v>32874</v>
      </c>
      <c r="S543" s="8">
        <f t="shared" si="64"/>
        <v>1990</v>
      </c>
      <c r="T543" s="8">
        <v>1990</v>
      </c>
      <c r="U543" s="8">
        <f t="shared" si="65"/>
        <v>32</v>
      </c>
      <c r="V543" s="7">
        <v>32874</v>
      </c>
      <c r="W543" t="s">
        <v>1380</v>
      </c>
      <c r="X543" s="2">
        <v>0.375</v>
      </c>
      <c r="Y543" s="6">
        <f t="shared" si="70"/>
        <v>1.0010410827260351E-2</v>
      </c>
      <c r="AA543">
        <v>135194</v>
      </c>
      <c r="AB543">
        <v>24918</v>
      </c>
      <c r="AD543" t="s">
        <v>5</v>
      </c>
      <c r="AE543">
        <v>26</v>
      </c>
      <c r="AF543">
        <v>18</v>
      </c>
      <c r="AH543" t="s">
        <v>4918</v>
      </c>
      <c r="AI543" t="s">
        <v>4917</v>
      </c>
      <c r="AJ543" t="s">
        <v>4916</v>
      </c>
      <c r="AK543" t="s">
        <v>4915</v>
      </c>
      <c r="AL543">
        <v>14</v>
      </c>
      <c r="AM543" s="5">
        <f t="shared" si="66"/>
        <v>0.4375</v>
      </c>
      <c r="AN543" s="4">
        <f t="shared" si="71"/>
        <v>6.6262779250283988E-4</v>
      </c>
      <c r="AO543" s="3"/>
      <c r="AP543">
        <v>0</v>
      </c>
      <c r="AR543" t="s">
        <v>0</v>
      </c>
      <c r="AT543" s="2">
        <v>1.3140000000000001</v>
      </c>
      <c r="AU543" s="1">
        <f t="shared" si="67"/>
        <v>0.72060759168330979</v>
      </c>
      <c r="AV543" s="1">
        <f t="shared" si="68"/>
        <v>0.53365193098815955</v>
      </c>
      <c r="AW543" s="1">
        <f t="shared" si="69"/>
        <v>0.34669627029300931</v>
      </c>
    </row>
    <row r="544" spans="1:49" x14ac:dyDescent="0.2">
      <c r="A544">
        <v>542</v>
      </c>
      <c r="B544" t="s">
        <v>4914</v>
      </c>
      <c r="C544" t="s">
        <v>4913</v>
      </c>
      <c r="F544" t="s">
        <v>4912</v>
      </c>
      <c r="G544" t="s">
        <v>14</v>
      </c>
      <c r="H544" t="s">
        <v>13</v>
      </c>
      <c r="I544" t="s">
        <v>4911</v>
      </c>
      <c r="J544">
        <v>60007843</v>
      </c>
      <c r="K544" t="s">
        <v>4910</v>
      </c>
      <c r="L544" t="s">
        <v>4909</v>
      </c>
      <c r="M544" t="s">
        <v>197</v>
      </c>
      <c r="N544">
        <v>2</v>
      </c>
      <c r="O544" t="s">
        <v>4908</v>
      </c>
      <c r="P544" t="s">
        <v>4907</v>
      </c>
      <c r="Q544" t="s">
        <v>4906</v>
      </c>
      <c r="R544" s="7">
        <v>32874</v>
      </c>
      <c r="S544" s="8">
        <f t="shared" si="64"/>
        <v>1990</v>
      </c>
      <c r="T544" s="8">
        <v>1990</v>
      </c>
      <c r="U544" s="8">
        <f t="shared" si="65"/>
        <v>32</v>
      </c>
      <c r="V544" s="7">
        <v>33086</v>
      </c>
      <c r="W544" t="s">
        <v>2156</v>
      </c>
      <c r="X544" s="2">
        <v>0.65500000000000003</v>
      </c>
      <c r="Y544" s="6">
        <f t="shared" si="70"/>
        <v>1.7484850911614749E-2</v>
      </c>
      <c r="AA544">
        <v>189375</v>
      </c>
      <c r="AB544">
        <v>26051</v>
      </c>
      <c r="AC544" t="s">
        <v>2155</v>
      </c>
      <c r="AD544" t="s">
        <v>5</v>
      </c>
      <c r="AE544">
        <v>32</v>
      </c>
      <c r="AF544">
        <v>3</v>
      </c>
      <c r="AH544" t="s">
        <v>4905</v>
      </c>
      <c r="AI544" t="s">
        <v>4904</v>
      </c>
      <c r="AK544" t="s">
        <v>4903</v>
      </c>
      <c r="AL544">
        <v>22</v>
      </c>
      <c r="AM544" s="5">
        <f t="shared" si="66"/>
        <v>0.6875</v>
      </c>
      <c r="AN544" s="4">
        <f t="shared" si="71"/>
        <v>1.0412722453616054E-3</v>
      </c>
      <c r="AO544" s="3"/>
      <c r="AP544">
        <v>0</v>
      </c>
      <c r="AR544" t="s">
        <v>0</v>
      </c>
      <c r="AT544" s="2" t="s">
        <v>126</v>
      </c>
      <c r="AU544" s="1">
        <f t="shared" si="67"/>
        <v>1.2551777311738805</v>
      </c>
      <c r="AV544" s="1">
        <f t="shared" si="68"/>
        <v>0.92630615784881765</v>
      </c>
      <c r="AW544" s="1">
        <f t="shared" si="69"/>
        <v>0.59743458452375486</v>
      </c>
    </row>
    <row r="545" spans="1:49" x14ac:dyDescent="0.2">
      <c r="A545">
        <v>543</v>
      </c>
      <c r="B545" t="s">
        <v>4902</v>
      </c>
      <c r="C545" t="s">
        <v>4901</v>
      </c>
      <c r="F545" t="s">
        <v>4900</v>
      </c>
      <c r="G545" t="s">
        <v>14</v>
      </c>
      <c r="H545" t="s">
        <v>13</v>
      </c>
      <c r="I545" t="s">
        <v>4899</v>
      </c>
      <c r="J545" t="s">
        <v>4898</v>
      </c>
      <c r="K545" t="s">
        <v>4897</v>
      </c>
      <c r="L545" t="s">
        <v>4896</v>
      </c>
      <c r="M545" t="s">
        <v>4895</v>
      </c>
      <c r="N545">
        <v>3</v>
      </c>
      <c r="O545" t="s">
        <v>4894</v>
      </c>
      <c r="P545" t="s">
        <v>4893</v>
      </c>
      <c r="Q545" t="s">
        <v>4892</v>
      </c>
      <c r="R545" s="7">
        <v>32874</v>
      </c>
      <c r="S545" s="8">
        <f t="shared" si="64"/>
        <v>1990</v>
      </c>
      <c r="T545" s="8">
        <v>1990</v>
      </c>
      <c r="U545" s="8">
        <f t="shared" si="65"/>
        <v>32</v>
      </c>
      <c r="V545" s="7">
        <v>32874</v>
      </c>
      <c r="W545" t="s">
        <v>1380</v>
      </c>
      <c r="X545" s="2">
        <v>0.375</v>
      </c>
      <c r="Y545" s="6">
        <f t="shared" si="70"/>
        <v>1.0010410827260351E-2</v>
      </c>
      <c r="AA545">
        <v>135194</v>
      </c>
      <c r="AB545">
        <v>24918</v>
      </c>
      <c r="AD545" t="s">
        <v>5</v>
      </c>
      <c r="AE545">
        <v>26</v>
      </c>
      <c r="AF545">
        <v>18</v>
      </c>
      <c r="AH545" t="s">
        <v>4891</v>
      </c>
      <c r="AI545" t="s">
        <v>4890</v>
      </c>
      <c r="AJ545" t="s">
        <v>4889</v>
      </c>
      <c r="AK545" t="s">
        <v>4888</v>
      </c>
      <c r="AL545">
        <v>4</v>
      </c>
      <c r="AM545" s="5">
        <f t="shared" si="66"/>
        <v>0.125</v>
      </c>
      <c r="AN545" s="4">
        <f t="shared" si="71"/>
        <v>1.893222264293828E-4</v>
      </c>
      <c r="AO545" s="3"/>
      <c r="AP545">
        <v>0</v>
      </c>
      <c r="AR545" t="s">
        <v>0</v>
      </c>
      <c r="AT545" s="2">
        <v>1.3140000000000001</v>
      </c>
      <c r="AU545" s="1">
        <f t="shared" si="67"/>
        <v>0.7064084247011061</v>
      </c>
      <c r="AV545" s="1">
        <f t="shared" si="68"/>
        <v>0.50998665268448673</v>
      </c>
      <c r="AW545" s="1">
        <f t="shared" si="69"/>
        <v>0.31356488066786731</v>
      </c>
    </row>
    <row r="546" spans="1:49" x14ac:dyDescent="0.2">
      <c r="A546">
        <v>544</v>
      </c>
      <c r="B546" t="s">
        <v>4887</v>
      </c>
      <c r="C546" t="s">
        <v>4886</v>
      </c>
      <c r="F546" t="s">
        <v>4885</v>
      </c>
      <c r="G546" t="s">
        <v>14</v>
      </c>
      <c r="H546" t="s">
        <v>13</v>
      </c>
      <c r="I546" t="s">
        <v>4884</v>
      </c>
      <c r="N546">
        <v>3</v>
      </c>
      <c r="O546" t="s">
        <v>4883</v>
      </c>
      <c r="P546" t="s">
        <v>4882</v>
      </c>
      <c r="Q546" t="s">
        <v>391</v>
      </c>
      <c r="R546" s="7">
        <v>32874</v>
      </c>
      <c r="S546" s="8">
        <f t="shared" si="64"/>
        <v>1990</v>
      </c>
      <c r="T546" s="8">
        <v>1990</v>
      </c>
      <c r="U546" s="8">
        <f t="shared" si="65"/>
        <v>32</v>
      </c>
      <c r="V546" s="7">
        <v>33086</v>
      </c>
      <c r="W546" t="s">
        <v>2249</v>
      </c>
      <c r="X546" s="2">
        <v>1.6519999999999999</v>
      </c>
      <c r="Y546" s="6">
        <f t="shared" si="70"/>
        <v>4.409919649769093E-2</v>
      </c>
      <c r="AA546" t="s">
        <v>2248</v>
      </c>
      <c r="AB546">
        <v>17337</v>
      </c>
      <c r="AC546">
        <v>15582221</v>
      </c>
      <c r="AD546" t="s">
        <v>5</v>
      </c>
      <c r="AE546">
        <v>38</v>
      </c>
      <c r="AF546">
        <v>8</v>
      </c>
      <c r="AH546" t="s">
        <v>4881</v>
      </c>
      <c r="AI546" t="s">
        <v>4880</v>
      </c>
      <c r="AK546" t="s">
        <v>4879</v>
      </c>
      <c r="AL546">
        <v>6</v>
      </c>
      <c r="AM546" s="5">
        <f t="shared" si="66"/>
        <v>0.1875</v>
      </c>
      <c r="AN546" s="4">
        <f t="shared" si="71"/>
        <v>2.8398333964407423E-4</v>
      </c>
      <c r="AO546" s="3"/>
      <c r="AP546">
        <v>0</v>
      </c>
      <c r="AR546" t="s">
        <v>0</v>
      </c>
      <c r="AT546" s="2" t="s">
        <v>126</v>
      </c>
      <c r="AU546" s="1">
        <f t="shared" si="67"/>
        <v>3.095463255027687</v>
      </c>
      <c r="AV546" s="1">
        <f t="shared" si="68"/>
        <v>2.2191589918667503</v>
      </c>
      <c r="AW546" s="1">
        <f t="shared" si="69"/>
        <v>1.342854728705813</v>
      </c>
    </row>
    <row r="547" spans="1:49" x14ac:dyDescent="0.2">
      <c r="A547">
        <v>545</v>
      </c>
      <c r="B547" t="s">
        <v>4878</v>
      </c>
      <c r="C547" t="s">
        <v>4877</v>
      </c>
      <c r="F547" t="s">
        <v>4876</v>
      </c>
      <c r="G547" t="s">
        <v>14</v>
      </c>
      <c r="H547" t="s">
        <v>13</v>
      </c>
      <c r="I547" t="s">
        <v>4875</v>
      </c>
      <c r="J547">
        <v>60019141</v>
      </c>
      <c r="K547" t="s">
        <v>4874</v>
      </c>
      <c r="L547" t="s">
        <v>2085</v>
      </c>
      <c r="M547" t="s">
        <v>1937</v>
      </c>
      <c r="N547">
        <v>2</v>
      </c>
      <c r="O547" t="s">
        <v>4873</v>
      </c>
      <c r="P547" t="s">
        <v>4872</v>
      </c>
      <c r="Q547" t="s">
        <v>4871</v>
      </c>
      <c r="R547" s="7">
        <v>32874</v>
      </c>
      <c r="S547" s="8">
        <f t="shared" si="64"/>
        <v>1990</v>
      </c>
      <c r="T547" s="8">
        <v>1990</v>
      </c>
      <c r="U547" s="8">
        <f t="shared" si="65"/>
        <v>32</v>
      </c>
      <c r="V547" s="7">
        <v>33086</v>
      </c>
      <c r="W547" t="s">
        <v>2109</v>
      </c>
      <c r="X547" s="2">
        <v>0.46</v>
      </c>
      <c r="Y547" s="6">
        <f t="shared" si="70"/>
        <v>1.2279437281439364E-2</v>
      </c>
      <c r="AA547">
        <v>933813</v>
      </c>
      <c r="AB547">
        <v>28031</v>
      </c>
      <c r="AC547">
        <v>19399375</v>
      </c>
      <c r="AD547" t="s">
        <v>5</v>
      </c>
      <c r="AE547">
        <v>18</v>
      </c>
      <c r="AF547">
        <v>4</v>
      </c>
      <c r="AH547" t="s">
        <v>4870</v>
      </c>
      <c r="AI547" t="s">
        <v>4869</v>
      </c>
      <c r="AK547" t="s">
        <v>4868</v>
      </c>
      <c r="AL547">
        <v>0</v>
      </c>
      <c r="AM547" s="5">
        <f t="shared" si="66"/>
        <v>0</v>
      </c>
      <c r="AN547" s="4">
        <f t="shared" si="71"/>
        <v>0</v>
      </c>
      <c r="AO547" s="3"/>
      <c r="AP547">
        <v>0</v>
      </c>
      <c r="AR547" t="s">
        <v>0</v>
      </c>
      <c r="AT547" s="2">
        <v>1.222</v>
      </c>
      <c r="AU547" s="1">
        <f t="shared" si="67"/>
        <v>0.85956060970075532</v>
      </c>
      <c r="AV547" s="1">
        <f t="shared" si="68"/>
        <v>0.61397186407196824</v>
      </c>
      <c r="AW547" s="1">
        <f t="shared" si="69"/>
        <v>0.36838311844318089</v>
      </c>
    </row>
    <row r="548" spans="1:49" x14ac:dyDescent="0.2">
      <c r="A548">
        <v>546</v>
      </c>
      <c r="B548" t="s">
        <v>4867</v>
      </c>
      <c r="C548" t="s">
        <v>4866</v>
      </c>
      <c r="F548" t="s">
        <v>4865</v>
      </c>
      <c r="G548" t="s">
        <v>14</v>
      </c>
      <c r="H548" t="s">
        <v>13</v>
      </c>
      <c r="I548" t="s">
        <v>4864</v>
      </c>
      <c r="J548" t="s">
        <v>4859</v>
      </c>
      <c r="K548" t="s">
        <v>4863</v>
      </c>
      <c r="L548" t="s">
        <v>4862</v>
      </c>
      <c r="M548" t="s">
        <v>1090</v>
      </c>
      <c r="N548">
        <v>2</v>
      </c>
      <c r="O548" t="s">
        <v>4861</v>
      </c>
      <c r="P548" t="s">
        <v>4860</v>
      </c>
      <c r="Q548" t="s">
        <v>4859</v>
      </c>
      <c r="R548" s="7">
        <v>32874</v>
      </c>
      <c r="S548" s="8">
        <f t="shared" si="64"/>
        <v>1990</v>
      </c>
      <c r="T548" s="8">
        <v>1990</v>
      </c>
      <c r="U548" s="8">
        <f t="shared" si="65"/>
        <v>32</v>
      </c>
      <c r="V548" s="7">
        <v>32874</v>
      </c>
      <c r="W548" t="s">
        <v>1380</v>
      </c>
      <c r="X548" s="2">
        <v>0.375</v>
      </c>
      <c r="Y548" s="6">
        <f t="shared" si="70"/>
        <v>1.0010410827260351E-2</v>
      </c>
      <c r="AA548">
        <v>135194</v>
      </c>
      <c r="AB548">
        <v>24918</v>
      </c>
      <c r="AD548" t="s">
        <v>5</v>
      </c>
      <c r="AE548">
        <v>26</v>
      </c>
      <c r="AF548">
        <v>18</v>
      </c>
      <c r="AH548" t="s">
        <v>4858</v>
      </c>
      <c r="AI548" t="s">
        <v>4857</v>
      </c>
      <c r="AJ548" t="s">
        <v>3370</v>
      </c>
      <c r="AK548" t="s">
        <v>4856</v>
      </c>
      <c r="AL548">
        <v>2</v>
      </c>
      <c r="AM548" s="5">
        <f t="shared" si="66"/>
        <v>6.25E-2</v>
      </c>
      <c r="AN548" s="4">
        <f t="shared" si="71"/>
        <v>9.46611132146914E-5</v>
      </c>
      <c r="AO548" s="3"/>
      <c r="AP548">
        <v>0</v>
      </c>
      <c r="AR548" t="s">
        <v>0</v>
      </c>
      <c r="AT548" s="2">
        <v>1.3140000000000001</v>
      </c>
      <c r="AU548" s="1">
        <f t="shared" si="67"/>
        <v>0.70356859130466531</v>
      </c>
      <c r="AV548" s="1">
        <f t="shared" si="68"/>
        <v>0.50525359702375217</v>
      </c>
      <c r="AW548" s="1">
        <f t="shared" si="69"/>
        <v>0.30693860274283891</v>
      </c>
    </row>
    <row r="549" spans="1:49" x14ac:dyDescent="0.2">
      <c r="A549">
        <v>547</v>
      </c>
      <c r="B549" t="s">
        <v>4855</v>
      </c>
      <c r="C549" t="s">
        <v>4854</v>
      </c>
      <c r="F549" t="s">
        <v>4853</v>
      </c>
      <c r="G549" t="s">
        <v>14</v>
      </c>
      <c r="H549" t="s">
        <v>13</v>
      </c>
      <c r="I549" t="s">
        <v>4852</v>
      </c>
      <c r="J549" t="s">
        <v>4851</v>
      </c>
      <c r="K549" t="s">
        <v>4850</v>
      </c>
      <c r="L549" t="s">
        <v>4849</v>
      </c>
      <c r="M549" t="s">
        <v>1702</v>
      </c>
      <c r="N549">
        <v>3</v>
      </c>
      <c r="O549" t="s">
        <v>4848</v>
      </c>
      <c r="P549" t="s">
        <v>4847</v>
      </c>
      <c r="Q549" t="s">
        <v>4846</v>
      </c>
      <c r="R549" s="7">
        <v>32874</v>
      </c>
      <c r="S549" s="8">
        <f t="shared" si="64"/>
        <v>1990</v>
      </c>
      <c r="T549" s="8">
        <v>1990</v>
      </c>
      <c r="U549" s="8">
        <f t="shared" si="65"/>
        <v>32</v>
      </c>
      <c r="V549" s="7">
        <v>33086</v>
      </c>
      <c r="W549" t="s">
        <v>1844</v>
      </c>
      <c r="X549" s="2">
        <v>1.774</v>
      </c>
      <c r="Y549" s="6">
        <f t="shared" si="70"/>
        <v>4.7355916820159633E-2</v>
      </c>
      <c r="AA549">
        <v>295515</v>
      </c>
      <c r="AB549">
        <v>29066</v>
      </c>
      <c r="AC549">
        <v>17414326</v>
      </c>
      <c r="AD549" t="s">
        <v>5</v>
      </c>
      <c r="AE549">
        <v>30</v>
      </c>
      <c r="AF549">
        <v>8</v>
      </c>
      <c r="AH549" t="s">
        <v>4845</v>
      </c>
      <c r="AI549" t="s">
        <v>4844</v>
      </c>
      <c r="AK549" t="s">
        <v>4843</v>
      </c>
      <c r="AL549">
        <v>1</v>
      </c>
      <c r="AM549" s="5">
        <f t="shared" si="66"/>
        <v>3.125E-2</v>
      </c>
      <c r="AN549" s="4">
        <f t="shared" si="71"/>
        <v>4.73305566073457E-5</v>
      </c>
      <c r="AO549" s="3"/>
      <c r="AP549">
        <v>0</v>
      </c>
      <c r="AR549" t="s">
        <v>0</v>
      </c>
      <c r="AT549" s="2">
        <v>3.1789999999999998</v>
      </c>
      <c r="AU549" s="1">
        <f t="shared" si="67"/>
        <v>3.3163340941093944</v>
      </c>
      <c r="AV549" s="1">
        <f t="shared" si="68"/>
        <v>2.3701623688383489</v>
      </c>
      <c r="AW549" s="1">
        <f t="shared" si="69"/>
        <v>1.4239906435673031</v>
      </c>
    </row>
    <row r="550" spans="1:49" x14ac:dyDescent="0.2">
      <c r="A550">
        <v>548</v>
      </c>
      <c r="B550" t="s">
        <v>4842</v>
      </c>
      <c r="C550" t="s">
        <v>4841</v>
      </c>
      <c r="F550" t="s">
        <v>4840</v>
      </c>
      <c r="G550" t="s">
        <v>14</v>
      </c>
      <c r="H550" t="s">
        <v>13</v>
      </c>
      <c r="I550" t="s">
        <v>4839</v>
      </c>
      <c r="J550">
        <v>60027550</v>
      </c>
      <c r="K550" t="s">
        <v>3438</v>
      </c>
      <c r="L550" t="s">
        <v>280</v>
      </c>
      <c r="M550" t="s">
        <v>197</v>
      </c>
      <c r="N550">
        <v>1</v>
      </c>
      <c r="O550" t="s">
        <v>4838</v>
      </c>
      <c r="P550">
        <v>7102110120</v>
      </c>
      <c r="Q550">
        <v>60027550</v>
      </c>
      <c r="R550" s="7">
        <v>32874</v>
      </c>
      <c r="S550" s="8">
        <f t="shared" si="64"/>
        <v>1990</v>
      </c>
      <c r="T550" s="8">
        <v>1990</v>
      </c>
      <c r="U550" s="8">
        <f t="shared" si="65"/>
        <v>32</v>
      </c>
      <c r="V550" s="7">
        <v>33086</v>
      </c>
      <c r="W550" t="s">
        <v>1858</v>
      </c>
      <c r="X550" s="2">
        <v>0.88100000000000001</v>
      </c>
      <c r="Y550" s="6">
        <f t="shared" si="70"/>
        <v>2.3517791836843653E-2</v>
      </c>
      <c r="AA550">
        <v>10459243</v>
      </c>
      <c r="AB550">
        <v>17248</v>
      </c>
      <c r="AD550" t="s">
        <v>5</v>
      </c>
      <c r="AE550">
        <v>32</v>
      </c>
      <c r="AF550">
        <v>4</v>
      </c>
      <c r="AH550" t="s">
        <v>4837</v>
      </c>
      <c r="AI550" t="s">
        <v>4836</v>
      </c>
      <c r="AK550" t="s">
        <v>4835</v>
      </c>
      <c r="AL550">
        <v>48</v>
      </c>
      <c r="AM550" s="5">
        <f t="shared" si="66"/>
        <v>1.5</v>
      </c>
      <c r="AN550" s="4">
        <f t="shared" si="71"/>
        <v>2.2718667171525938E-3</v>
      </c>
      <c r="AO550" s="3"/>
      <c r="AP550">
        <v>0</v>
      </c>
      <c r="AR550" t="s">
        <v>0</v>
      </c>
      <c r="AT550" s="2" t="s">
        <v>126</v>
      </c>
      <c r="AU550" s="1">
        <f t="shared" si="67"/>
        <v>1.7144014300936334</v>
      </c>
      <c r="AV550" s="1">
        <f t="shared" si="68"/>
        <v>1.2894829276998123</v>
      </c>
      <c r="AW550" s="1">
        <f t="shared" si="69"/>
        <v>0.86456442530599109</v>
      </c>
    </row>
    <row r="551" spans="1:49" x14ac:dyDescent="0.2">
      <c r="A551">
        <v>549</v>
      </c>
      <c r="B551" t="s">
        <v>4834</v>
      </c>
      <c r="C551" t="s">
        <v>4833</v>
      </c>
      <c r="F551" t="s">
        <v>4832</v>
      </c>
      <c r="G551" t="s">
        <v>14</v>
      </c>
      <c r="H551" t="s">
        <v>13</v>
      </c>
      <c r="I551" t="s">
        <v>4831</v>
      </c>
      <c r="J551">
        <v>60025371</v>
      </c>
      <c r="K551" t="s">
        <v>4830</v>
      </c>
      <c r="L551" t="s">
        <v>4829</v>
      </c>
      <c r="M551" t="s">
        <v>197</v>
      </c>
      <c r="N551">
        <v>1</v>
      </c>
      <c r="O551" t="s">
        <v>4828</v>
      </c>
      <c r="P551">
        <v>6603766888</v>
      </c>
      <c r="Q551">
        <v>60025371</v>
      </c>
      <c r="R551" s="7">
        <v>32874</v>
      </c>
      <c r="S551" s="8">
        <f t="shared" si="64"/>
        <v>1990</v>
      </c>
      <c r="T551" s="8">
        <v>1990</v>
      </c>
      <c r="U551" s="8">
        <f t="shared" si="65"/>
        <v>32</v>
      </c>
      <c r="V551" s="7">
        <v>33086</v>
      </c>
      <c r="W551" t="s">
        <v>2249</v>
      </c>
      <c r="X551" s="2">
        <v>1.6519999999999999</v>
      </c>
      <c r="Y551" s="6">
        <f t="shared" si="70"/>
        <v>4.409919649769093E-2</v>
      </c>
      <c r="AA551" t="s">
        <v>2248</v>
      </c>
      <c r="AB551">
        <v>17337</v>
      </c>
      <c r="AC551">
        <v>15582221</v>
      </c>
      <c r="AD551" t="s">
        <v>5</v>
      </c>
      <c r="AE551">
        <v>38</v>
      </c>
      <c r="AF551">
        <v>8</v>
      </c>
      <c r="AH551" t="s">
        <v>4827</v>
      </c>
      <c r="AI551" t="s">
        <v>4826</v>
      </c>
      <c r="AK551" t="s">
        <v>4825</v>
      </c>
      <c r="AL551">
        <v>24</v>
      </c>
      <c r="AM551" s="5">
        <f t="shared" si="66"/>
        <v>0.75</v>
      </c>
      <c r="AN551" s="4">
        <f t="shared" si="71"/>
        <v>1.1359333585762969E-3</v>
      </c>
      <c r="AO551" s="3"/>
      <c r="AP551">
        <v>0</v>
      </c>
      <c r="AR551" t="s">
        <v>0</v>
      </c>
      <c r="AT551" s="2" t="s">
        <v>126</v>
      </c>
      <c r="AU551" s="1">
        <f t="shared" si="67"/>
        <v>3.1210217555956539</v>
      </c>
      <c r="AV551" s="1">
        <f t="shared" si="68"/>
        <v>2.2617564928133613</v>
      </c>
      <c r="AW551" s="1">
        <f t="shared" si="69"/>
        <v>1.4024912300310686</v>
      </c>
    </row>
    <row r="552" spans="1:49" x14ac:dyDescent="0.2">
      <c r="A552">
        <v>550</v>
      </c>
      <c r="B552" t="s">
        <v>4824</v>
      </c>
      <c r="C552" t="s">
        <v>4823</v>
      </c>
      <c r="F552" t="s">
        <v>4822</v>
      </c>
      <c r="G552" t="s">
        <v>14</v>
      </c>
      <c r="H552" t="s">
        <v>13</v>
      </c>
      <c r="I552" t="s">
        <v>4821</v>
      </c>
      <c r="J552">
        <v>60010365</v>
      </c>
      <c r="K552" t="s">
        <v>2541</v>
      </c>
      <c r="L552" t="s">
        <v>2540</v>
      </c>
      <c r="M552" t="s">
        <v>1937</v>
      </c>
      <c r="N552">
        <v>2</v>
      </c>
      <c r="O552" t="s">
        <v>4820</v>
      </c>
      <c r="P552" t="s">
        <v>4819</v>
      </c>
      <c r="Q552" t="s">
        <v>4818</v>
      </c>
      <c r="R552" s="7">
        <v>32874</v>
      </c>
      <c r="S552" s="8">
        <f t="shared" si="64"/>
        <v>1990</v>
      </c>
      <c r="T552" s="8">
        <v>1990</v>
      </c>
      <c r="U552" s="8">
        <f t="shared" si="65"/>
        <v>32</v>
      </c>
      <c r="V552" s="7">
        <v>33086</v>
      </c>
      <c r="W552" t="s">
        <v>1883</v>
      </c>
      <c r="X552" s="2">
        <v>1.365</v>
      </c>
      <c r="Y552" s="6">
        <f t="shared" si="70"/>
        <v>3.6437895411227675E-2</v>
      </c>
      <c r="AA552">
        <v>189545</v>
      </c>
      <c r="AB552">
        <v>17393</v>
      </c>
      <c r="AC552">
        <v>19399359</v>
      </c>
      <c r="AD552" t="s">
        <v>5</v>
      </c>
      <c r="AE552">
        <v>39</v>
      </c>
      <c r="AF552">
        <v>3</v>
      </c>
      <c r="AH552" t="s">
        <v>4817</v>
      </c>
      <c r="AI552" t="s">
        <v>4816</v>
      </c>
      <c r="AK552" t="s">
        <v>4815</v>
      </c>
      <c r="AL552">
        <v>16</v>
      </c>
      <c r="AM552" s="5">
        <f t="shared" si="66"/>
        <v>0.5</v>
      </c>
      <c r="AN552" s="4">
        <f t="shared" si="71"/>
        <v>7.572889057175312E-4</v>
      </c>
      <c r="AO552" s="3"/>
      <c r="AP552">
        <v>0</v>
      </c>
      <c r="AQ552" t="s">
        <v>4814</v>
      </c>
      <c r="AR552" t="s">
        <v>4813</v>
      </c>
      <c r="AS552" t="s">
        <v>4812</v>
      </c>
      <c r="AT552" s="2" t="s">
        <v>126</v>
      </c>
      <c r="AU552" s="1">
        <f t="shared" si="67"/>
        <v>2.573371345957463</v>
      </c>
      <c r="AV552" s="1">
        <f t="shared" si="68"/>
        <v>1.8597592158472602</v>
      </c>
      <c r="AW552" s="1">
        <f t="shared" si="69"/>
        <v>1.1461470857370573</v>
      </c>
    </row>
    <row r="553" spans="1:49" x14ac:dyDescent="0.2">
      <c r="A553">
        <v>551</v>
      </c>
      <c r="B553" t="s">
        <v>4811</v>
      </c>
      <c r="C553" t="s">
        <v>4810</v>
      </c>
      <c r="F553" t="s">
        <v>4809</v>
      </c>
      <c r="G553" t="s">
        <v>14</v>
      </c>
      <c r="H553" t="s">
        <v>13</v>
      </c>
      <c r="I553" t="s">
        <v>4808</v>
      </c>
      <c r="J553">
        <v>60008447</v>
      </c>
      <c r="K553" t="s">
        <v>4807</v>
      </c>
      <c r="L553" t="s">
        <v>4806</v>
      </c>
      <c r="M553" t="s">
        <v>1637</v>
      </c>
      <c r="N553">
        <v>4</v>
      </c>
      <c r="O553" t="s">
        <v>4805</v>
      </c>
      <c r="P553" t="s">
        <v>4804</v>
      </c>
      <c r="Q553" t="s">
        <v>4803</v>
      </c>
      <c r="R553" s="7">
        <v>32874</v>
      </c>
      <c r="S553" s="8">
        <f t="shared" si="64"/>
        <v>1990</v>
      </c>
      <c r="T553" s="8">
        <v>1990</v>
      </c>
      <c r="U553" s="8">
        <f t="shared" si="65"/>
        <v>32</v>
      </c>
      <c r="V553" s="7">
        <v>33086</v>
      </c>
      <c r="W553" t="s">
        <v>2249</v>
      </c>
      <c r="X553" s="2">
        <v>1.6519999999999999</v>
      </c>
      <c r="Y553" s="6">
        <f t="shared" si="70"/>
        <v>4.409919649769093E-2</v>
      </c>
      <c r="AA553" t="s">
        <v>2248</v>
      </c>
      <c r="AB553">
        <v>17337</v>
      </c>
      <c r="AC553">
        <v>15582221</v>
      </c>
      <c r="AD553" t="s">
        <v>5</v>
      </c>
      <c r="AE553">
        <v>38</v>
      </c>
      <c r="AF553">
        <v>8</v>
      </c>
      <c r="AH553" t="s">
        <v>4802</v>
      </c>
      <c r="AI553" t="s">
        <v>4801</v>
      </c>
      <c r="AK553" t="s">
        <v>4800</v>
      </c>
      <c r="AL553">
        <v>6</v>
      </c>
      <c r="AM553" s="5">
        <f t="shared" si="66"/>
        <v>0.1875</v>
      </c>
      <c r="AN553" s="4">
        <f t="shared" si="71"/>
        <v>2.8398333964407423E-4</v>
      </c>
      <c r="AO553" s="3"/>
      <c r="AP553">
        <v>0</v>
      </c>
      <c r="AR553" t="s">
        <v>0</v>
      </c>
      <c r="AT553" s="2" t="s">
        <v>126</v>
      </c>
      <c r="AU553" s="1">
        <f t="shared" si="67"/>
        <v>3.095463255027687</v>
      </c>
      <c r="AV553" s="1">
        <f t="shared" si="68"/>
        <v>2.2191589918667503</v>
      </c>
      <c r="AW553" s="1">
        <f t="shared" si="69"/>
        <v>1.342854728705813</v>
      </c>
    </row>
    <row r="554" spans="1:49" x14ac:dyDescent="0.2">
      <c r="A554">
        <v>552</v>
      </c>
      <c r="B554" t="s">
        <v>4799</v>
      </c>
      <c r="C554" t="s">
        <v>4798</v>
      </c>
      <c r="F554" t="s">
        <v>4797</v>
      </c>
      <c r="G554" t="s">
        <v>14</v>
      </c>
      <c r="H554" t="s">
        <v>13</v>
      </c>
      <c r="I554" t="s">
        <v>4796</v>
      </c>
      <c r="J554">
        <v>60024592</v>
      </c>
      <c r="K554" t="s">
        <v>4795</v>
      </c>
      <c r="L554" t="s">
        <v>4794</v>
      </c>
      <c r="M554" t="s">
        <v>197</v>
      </c>
      <c r="N554">
        <v>2</v>
      </c>
      <c r="O554" t="s">
        <v>4793</v>
      </c>
      <c r="P554" t="s">
        <v>4792</v>
      </c>
      <c r="Q554" t="s">
        <v>4791</v>
      </c>
      <c r="R554" s="7">
        <v>32874</v>
      </c>
      <c r="S554" s="8">
        <f t="shared" si="64"/>
        <v>1990</v>
      </c>
      <c r="T554" s="8">
        <v>1990</v>
      </c>
      <c r="U554" s="8">
        <f t="shared" si="65"/>
        <v>32</v>
      </c>
      <c r="V554" s="7">
        <v>33086</v>
      </c>
      <c r="W554" t="s">
        <v>2249</v>
      </c>
      <c r="X554" s="2">
        <v>1.6519999999999999</v>
      </c>
      <c r="Y554" s="6">
        <f t="shared" si="70"/>
        <v>4.409919649769093E-2</v>
      </c>
      <c r="AA554" t="s">
        <v>2248</v>
      </c>
      <c r="AB554">
        <v>17337</v>
      </c>
      <c r="AC554">
        <v>15582221</v>
      </c>
      <c r="AD554" t="s">
        <v>5</v>
      </c>
      <c r="AE554">
        <v>38</v>
      </c>
      <c r="AF554">
        <v>8</v>
      </c>
      <c r="AH554" t="s">
        <v>4790</v>
      </c>
      <c r="AI554" t="s">
        <v>4789</v>
      </c>
      <c r="AK554" t="s">
        <v>4788</v>
      </c>
      <c r="AL554">
        <v>8</v>
      </c>
      <c r="AM554" s="5">
        <f t="shared" si="66"/>
        <v>0.25</v>
      </c>
      <c r="AN554" s="4">
        <f t="shared" si="71"/>
        <v>3.786444528587656E-4</v>
      </c>
      <c r="AO554" s="3"/>
      <c r="AP554">
        <v>0</v>
      </c>
      <c r="AR554" t="s">
        <v>0</v>
      </c>
      <c r="AT554" s="2" t="s">
        <v>126</v>
      </c>
      <c r="AU554" s="1">
        <f t="shared" si="67"/>
        <v>3.098303088424128</v>
      </c>
      <c r="AV554" s="1">
        <f t="shared" si="68"/>
        <v>2.2238920475274848</v>
      </c>
      <c r="AW554" s="1">
        <f t="shared" si="69"/>
        <v>1.3494810066308416</v>
      </c>
    </row>
    <row r="555" spans="1:49" x14ac:dyDescent="0.2">
      <c r="A555">
        <v>553</v>
      </c>
      <c r="B555" t="s">
        <v>4787</v>
      </c>
      <c r="C555" t="s">
        <v>4786</v>
      </c>
      <c r="D555" t="s">
        <v>4785</v>
      </c>
      <c r="F555" t="s">
        <v>4784</v>
      </c>
      <c r="G555" t="s">
        <v>14</v>
      </c>
      <c r="H555" t="s">
        <v>13</v>
      </c>
      <c r="I555" t="s">
        <v>4783</v>
      </c>
      <c r="J555">
        <v>60031806</v>
      </c>
      <c r="K555" t="s">
        <v>4782</v>
      </c>
      <c r="L555" t="s">
        <v>4781</v>
      </c>
      <c r="M555" t="s">
        <v>1224</v>
      </c>
      <c r="N555">
        <v>6</v>
      </c>
      <c r="O555" t="s">
        <v>4780</v>
      </c>
      <c r="P555" t="s">
        <v>4779</v>
      </c>
      <c r="Q555" t="s">
        <v>4778</v>
      </c>
      <c r="R555" s="7">
        <v>32874</v>
      </c>
      <c r="S555" s="8">
        <f t="shared" si="64"/>
        <v>1990</v>
      </c>
      <c r="T555" s="8">
        <v>1990</v>
      </c>
      <c r="U555" s="8">
        <f t="shared" si="65"/>
        <v>32</v>
      </c>
      <c r="V555" s="7">
        <v>33086</v>
      </c>
      <c r="W555" t="s">
        <v>4777</v>
      </c>
      <c r="X555" s="2" t="s">
        <v>126</v>
      </c>
      <c r="Y555" s="6" t="e">
        <f t="shared" si="70"/>
        <v>#VALUE!</v>
      </c>
      <c r="AA555">
        <v>9214526</v>
      </c>
      <c r="AB555">
        <v>29118</v>
      </c>
      <c r="AD555" t="s">
        <v>5</v>
      </c>
      <c r="AE555" t="s">
        <v>1803</v>
      </c>
      <c r="AF555" t="s">
        <v>4776</v>
      </c>
      <c r="AH555" s="9">
        <v>44478</v>
      </c>
      <c r="AI555" t="s">
        <v>4775</v>
      </c>
      <c r="AK555" t="s">
        <v>4774</v>
      </c>
      <c r="AL555">
        <v>5</v>
      </c>
      <c r="AM555" s="5">
        <f t="shared" si="66"/>
        <v>0.15625</v>
      </c>
      <c r="AN555" s="4">
        <f t="shared" si="71"/>
        <v>2.3665278303672851E-4</v>
      </c>
      <c r="AO555" s="3"/>
      <c r="AP555">
        <v>0</v>
      </c>
      <c r="AQ555" t="s">
        <v>34</v>
      </c>
      <c r="AR555" t="s">
        <v>0</v>
      </c>
      <c r="AS555" t="s">
        <v>33</v>
      </c>
      <c r="AT555" s="2" t="s">
        <v>126</v>
      </c>
      <c r="AU555" s="1" t="e">
        <f t="shared" si="67"/>
        <v>#VALUE!</v>
      </c>
      <c r="AV555" s="1" t="e">
        <f t="shared" si="68"/>
        <v>#VALUE!</v>
      </c>
      <c r="AW555" s="1" t="e">
        <f t="shared" si="69"/>
        <v>#VALUE!</v>
      </c>
    </row>
    <row r="556" spans="1:49" x14ac:dyDescent="0.2">
      <c r="A556">
        <v>554</v>
      </c>
      <c r="B556" t="s">
        <v>4773</v>
      </c>
      <c r="C556" t="s">
        <v>4772</v>
      </c>
      <c r="F556" t="s">
        <v>4771</v>
      </c>
      <c r="G556" t="s">
        <v>14</v>
      </c>
      <c r="H556" t="s">
        <v>13</v>
      </c>
      <c r="I556" t="s">
        <v>4770</v>
      </c>
      <c r="J556">
        <v>60102558</v>
      </c>
      <c r="K556" t="s">
        <v>4769</v>
      </c>
      <c r="L556" t="s">
        <v>4768</v>
      </c>
      <c r="M556" t="s">
        <v>197</v>
      </c>
      <c r="N556">
        <v>1</v>
      </c>
      <c r="O556" t="s">
        <v>4767</v>
      </c>
      <c r="P556">
        <v>7006637880</v>
      </c>
      <c r="Q556">
        <v>60102558</v>
      </c>
      <c r="R556" s="7">
        <v>32874</v>
      </c>
      <c r="S556" s="8">
        <f t="shared" si="64"/>
        <v>1990</v>
      </c>
      <c r="T556" s="8">
        <v>1990</v>
      </c>
      <c r="U556" s="8">
        <f t="shared" si="65"/>
        <v>32</v>
      </c>
      <c r="V556" s="7">
        <v>33055</v>
      </c>
      <c r="W556" t="s">
        <v>1152</v>
      </c>
      <c r="X556" s="2">
        <v>0.30399999999999999</v>
      </c>
      <c r="Y556" s="6">
        <f t="shared" si="70"/>
        <v>8.115106377299057E-3</v>
      </c>
      <c r="AA556">
        <v>8952477</v>
      </c>
      <c r="AB556">
        <v>12250</v>
      </c>
      <c r="AC556">
        <v>10982760</v>
      </c>
      <c r="AD556" t="s">
        <v>5</v>
      </c>
      <c r="AE556">
        <v>3</v>
      </c>
      <c r="AF556">
        <v>7</v>
      </c>
      <c r="AH556" t="s">
        <v>4766</v>
      </c>
      <c r="AI556" t="s">
        <v>4765</v>
      </c>
      <c r="AJ556" t="s">
        <v>4764</v>
      </c>
      <c r="AK556" t="s">
        <v>4763</v>
      </c>
      <c r="AL556">
        <v>0</v>
      </c>
      <c r="AM556" s="5">
        <f t="shared" si="66"/>
        <v>0</v>
      </c>
      <c r="AN556" s="4">
        <f t="shared" si="71"/>
        <v>0</v>
      </c>
      <c r="AO556" s="3"/>
      <c r="AP556">
        <v>0</v>
      </c>
      <c r="AR556" t="s">
        <v>0</v>
      </c>
      <c r="AT556" s="2" t="s">
        <v>126</v>
      </c>
      <c r="AU556" s="1">
        <f t="shared" si="67"/>
        <v>0.56805744641093392</v>
      </c>
      <c r="AV556" s="1">
        <f t="shared" si="68"/>
        <v>0.40575531886495286</v>
      </c>
      <c r="AW556" s="1">
        <f t="shared" si="69"/>
        <v>0.24345319131897172</v>
      </c>
    </row>
    <row r="557" spans="1:49" x14ac:dyDescent="0.2">
      <c r="A557">
        <v>555</v>
      </c>
      <c r="B557" t="s">
        <v>4762</v>
      </c>
      <c r="C557" t="s">
        <v>4761</v>
      </c>
      <c r="F557" t="s">
        <v>4760</v>
      </c>
      <c r="G557" t="s">
        <v>14</v>
      </c>
      <c r="H557" t="s">
        <v>13</v>
      </c>
      <c r="I557" t="s">
        <v>4759</v>
      </c>
      <c r="J557" t="s">
        <v>4758</v>
      </c>
      <c r="K557" t="s">
        <v>4757</v>
      </c>
      <c r="L557" t="s">
        <v>4756</v>
      </c>
      <c r="M557" t="s">
        <v>1702</v>
      </c>
      <c r="N557">
        <v>5</v>
      </c>
      <c r="O557" t="s">
        <v>4755</v>
      </c>
      <c r="P557" t="s">
        <v>4754</v>
      </c>
      <c r="Q557" t="s">
        <v>4753</v>
      </c>
      <c r="R557" s="7">
        <v>32874</v>
      </c>
      <c r="S557" s="8">
        <f t="shared" si="64"/>
        <v>1990</v>
      </c>
      <c r="T557" s="8">
        <v>1990</v>
      </c>
      <c r="U557" s="8">
        <f t="shared" si="65"/>
        <v>32</v>
      </c>
      <c r="V557" s="7">
        <v>33055</v>
      </c>
      <c r="W557" t="s">
        <v>1152</v>
      </c>
      <c r="X557" s="2">
        <v>0.30399999999999999</v>
      </c>
      <c r="Y557" s="6">
        <f t="shared" si="70"/>
        <v>8.115106377299057E-3</v>
      </c>
      <c r="AA557">
        <v>8952477</v>
      </c>
      <c r="AB557">
        <v>12250</v>
      </c>
      <c r="AC557">
        <v>10982760</v>
      </c>
      <c r="AD557" t="s">
        <v>5</v>
      </c>
      <c r="AE557">
        <v>3</v>
      </c>
      <c r="AF557">
        <v>7</v>
      </c>
      <c r="AH557" t="s">
        <v>4752</v>
      </c>
      <c r="AI557" t="s">
        <v>4751</v>
      </c>
      <c r="AJ557" t="s">
        <v>4750</v>
      </c>
      <c r="AK557" t="s">
        <v>4749</v>
      </c>
      <c r="AL557">
        <v>4</v>
      </c>
      <c r="AM557" s="5">
        <f t="shared" si="66"/>
        <v>0.125</v>
      </c>
      <c r="AN557" s="4">
        <f t="shared" si="71"/>
        <v>1.893222264293828E-4</v>
      </c>
      <c r="AO557" s="3"/>
      <c r="AP557">
        <v>0</v>
      </c>
      <c r="AR557" t="s">
        <v>0</v>
      </c>
      <c r="AT557" s="2" t="s">
        <v>126</v>
      </c>
      <c r="AU557" s="1">
        <f t="shared" si="67"/>
        <v>0.57373711320381549</v>
      </c>
      <c r="AV557" s="1">
        <f t="shared" si="68"/>
        <v>0.41522143018642199</v>
      </c>
      <c r="AW557" s="1">
        <f t="shared" si="69"/>
        <v>0.2567057471690285</v>
      </c>
    </row>
    <row r="558" spans="1:49" x14ac:dyDescent="0.2">
      <c r="A558">
        <v>556</v>
      </c>
      <c r="B558" t="s">
        <v>4748</v>
      </c>
      <c r="C558" t="s">
        <v>4747</v>
      </c>
      <c r="F558" t="s">
        <v>4746</v>
      </c>
      <c r="G558" t="s">
        <v>14</v>
      </c>
      <c r="H558" t="s">
        <v>13</v>
      </c>
      <c r="I558" t="s">
        <v>4745</v>
      </c>
      <c r="J558">
        <v>60021902</v>
      </c>
      <c r="K558" t="s">
        <v>11</v>
      </c>
      <c r="L558" t="s">
        <v>10</v>
      </c>
      <c r="M558" t="s">
        <v>9</v>
      </c>
      <c r="N558">
        <v>2</v>
      </c>
      <c r="O558" t="s">
        <v>4744</v>
      </c>
      <c r="P558" t="s">
        <v>4743</v>
      </c>
      <c r="Q558" t="s">
        <v>2301</v>
      </c>
      <c r="R558" s="7">
        <v>32874</v>
      </c>
      <c r="S558" s="8">
        <f t="shared" si="64"/>
        <v>1990</v>
      </c>
      <c r="T558" s="8">
        <v>1990</v>
      </c>
      <c r="U558" s="8">
        <f t="shared" si="65"/>
        <v>32</v>
      </c>
      <c r="V558" s="7">
        <v>33055</v>
      </c>
      <c r="W558" t="s">
        <v>1152</v>
      </c>
      <c r="X558" s="2">
        <v>0.30399999999999999</v>
      </c>
      <c r="Y558" s="6">
        <f t="shared" si="70"/>
        <v>8.115106377299057E-3</v>
      </c>
      <c r="AA558">
        <v>8952477</v>
      </c>
      <c r="AB558">
        <v>12250</v>
      </c>
      <c r="AC558">
        <v>10982760</v>
      </c>
      <c r="AD558" t="s">
        <v>5</v>
      </c>
      <c r="AE558">
        <v>3</v>
      </c>
      <c r="AF558">
        <v>7</v>
      </c>
      <c r="AH558" t="s">
        <v>4742</v>
      </c>
      <c r="AI558" t="s">
        <v>4741</v>
      </c>
      <c r="AJ558" t="s">
        <v>4740</v>
      </c>
      <c r="AK558" t="s">
        <v>4739</v>
      </c>
      <c r="AL558">
        <v>1</v>
      </c>
      <c r="AM558" s="5">
        <f t="shared" si="66"/>
        <v>3.125E-2</v>
      </c>
      <c r="AN558" s="4">
        <f t="shared" si="71"/>
        <v>4.73305566073457E-5</v>
      </c>
      <c r="AO558" s="3"/>
      <c r="AP558">
        <v>0</v>
      </c>
      <c r="AR558" t="s">
        <v>0</v>
      </c>
      <c r="AT558" s="2" t="s">
        <v>126</v>
      </c>
      <c r="AU558" s="1">
        <f t="shared" si="67"/>
        <v>0.56947736310915431</v>
      </c>
      <c r="AV558" s="1">
        <f t="shared" si="68"/>
        <v>0.40812184669532009</v>
      </c>
      <c r="AW558" s="1">
        <f t="shared" si="69"/>
        <v>0.24676633028148592</v>
      </c>
    </row>
    <row r="559" spans="1:49" x14ac:dyDescent="0.2">
      <c r="A559">
        <v>557</v>
      </c>
      <c r="B559" t="s">
        <v>4738</v>
      </c>
      <c r="C559" t="s">
        <v>4737</v>
      </c>
      <c r="F559" t="s">
        <v>4736</v>
      </c>
      <c r="G559" t="s">
        <v>14</v>
      </c>
      <c r="H559" t="s">
        <v>13</v>
      </c>
      <c r="I559" t="s">
        <v>4735</v>
      </c>
      <c r="J559">
        <v>60021032</v>
      </c>
      <c r="K559" t="s">
        <v>1492</v>
      </c>
      <c r="L559" t="s">
        <v>629</v>
      </c>
      <c r="M559" t="s">
        <v>197</v>
      </c>
      <c r="N559">
        <v>3</v>
      </c>
      <c r="O559" t="s">
        <v>4734</v>
      </c>
      <c r="P559" t="s">
        <v>4733</v>
      </c>
      <c r="Q559" t="s">
        <v>4732</v>
      </c>
      <c r="R559" s="7">
        <v>32874</v>
      </c>
      <c r="S559" s="8">
        <f t="shared" si="64"/>
        <v>1990</v>
      </c>
      <c r="T559" s="8">
        <v>1990</v>
      </c>
      <c r="U559" s="8">
        <f t="shared" si="65"/>
        <v>32</v>
      </c>
      <c r="V559" s="7">
        <v>33055</v>
      </c>
      <c r="W559" t="s">
        <v>2249</v>
      </c>
      <c r="X559" s="2">
        <v>1.6519999999999999</v>
      </c>
      <c r="Y559" s="6">
        <f t="shared" si="70"/>
        <v>4.409919649769093E-2</v>
      </c>
      <c r="AA559" t="s">
        <v>2248</v>
      </c>
      <c r="AB559">
        <v>17337</v>
      </c>
      <c r="AC559">
        <v>15582221</v>
      </c>
      <c r="AD559" t="s">
        <v>5</v>
      </c>
      <c r="AE559">
        <v>38</v>
      </c>
      <c r="AF559">
        <v>7</v>
      </c>
      <c r="AH559" t="s">
        <v>4731</v>
      </c>
      <c r="AI559" t="s">
        <v>4730</v>
      </c>
      <c r="AK559" t="s">
        <v>4729</v>
      </c>
      <c r="AL559">
        <v>195</v>
      </c>
      <c r="AM559" s="5">
        <f t="shared" si="66"/>
        <v>6.09375</v>
      </c>
      <c r="AN559" s="4">
        <f t="shared" si="71"/>
        <v>9.2294585384324127E-3</v>
      </c>
      <c r="AO559" s="3"/>
      <c r="AP559">
        <v>0</v>
      </c>
      <c r="AR559" t="s">
        <v>0</v>
      </c>
      <c r="AT559" s="2" t="s">
        <v>126</v>
      </c>
      <c r="AU559" s="1">
        <f t="shared" si="67"/>
        <v>3.3638275109913374</v>
      </c>
      <c r="AV559" s="1">
        <f t="shared" si="68"/>
        <v>2.666432751806167</v>
      </c>
      <c r="AW559" s="1">
        <f t="shared" si="69"/>
        <v>1.9690379926209967</v>
      </c>
    </row>
    <row r="560" spans="1:49" x14ac:dyDescent="0.2">
      <c r="A560">
        <v>558</v>
      </c>
      <c r="B560" t="s">
        <v>4728</v>
      </c>
      <c r="C560" t="s">
        <v>4727</v>
      </c>
      <c r="F560" t="s">
        <v>4726</v>
      </c>
      <c r="G560" t="s">
        <v>14</v>
      </c>
      <c r="H560" t="s">
        <v>13</v>
      </c>
      <c r="I560" t="s">
        <v>4725</v>
      </c>
      <c r="J560">
        <v>60033012</v>
      </c>
      <c r="K560" t="s">
        <v>2159</v>
      </c>
      <c r="L560" t="s">
        <v>2158</v>
      </c>
      <c r="M560" t="s">
        <v>197</v>
      </c>
      <c r="N560">
        <v>3</v>
      </c>
      <c r="O560" t="s">
        <v>4724</v>
      </c>
      <c r="P560" t="s">
        <v>4723</v>
      </c>
      <c r="Q560" t="s">
        <v>4722</v>
      </c>
      <c r="R560" s="7">
        <v>32874</v>
      </c>
      <c r="S560" s="8">
        <f t="shared" si="64"/>
        <v>1990</v>
      </c>
      <c r="T560" s="8">
        <v>1990</v>
      </c>
      <c r="U560" s="8">
        <f t="shared" si="65"/>
        <v>32</v>
      </c>
      <c r="V560" s="7">
        <v>33055</v>
      </c>
      <c r="W560" t="s">
        <v>2249</v>
      </c>
      <c r="X560" s="2">
        <v>1.6519999999999999</v>
      </c>
      <c r="Y560" s="6">
        <f t="shared" si="70"/>
        <v>4.409919649769093E-2</v>
      </c>
      <c r="AA560" t="s">
        <v>2248</v>
      </c>
      <c r="AB560">
        <v>17337</v>
      </c>
      <c r="AC560">
        <v>15582221</v>
      </c>
      <c r="AD560" t="s">
        <v>5</v>
      </c>
      <c r="AE560">
        <v>38</v>
      </c>
      <c r="AF560">
        <v>7</v>
      </c>
      <c r="AH560" t="s">
        <v>4721</v>
      </c>
      <c r="AI560" t="s">
        <v>4720</v>
      </c>
      <c r="AK560" t="s">
        <v>4719</v>
      </c>
      <c r="AL560">
        <v>21</v>
      </c>
      <c r="AM560" s="5">
        <f t="shared" si="66"/>
        <v>0.65625</v>
      </c>
      <c r="AN560" s="4">
        <f t="shared" si="71"/>
        <v>9.9394168875425971E-4</v>
      </c>
      <c r="AO560" s="3"/>
      <c r="AP560">
        <v>0</v>
      </c>
      <c r="AR560" t="s">
        <v>0</v>
      </c>
      <c r="AT560" s="2" t="s">
        <v>126</v>
      </c>
      <c r="AU560" s="1">
        <f t="shared" si="67"/>
        <v>3.1167620055009926</v>
      </c>
      <c r="AV560" s="1">
        <f t="shared" si="68"/>
        <v>2.2546569093222595</v>
      </c>
      <c r="AW560" s="1">
        <f t="shared" si="69"/>
        <v>1.3925518131435259</v>
      </c>
    </row>
    <row r="561" spans="1:49" x14ac:dyDescent="0.2">
      <c r="A561">
        <v>559</v>
      </c>
      <c r="B561" t="s">
        <v>4718</v>
      </c>
      <c r="C561" t="s">
        <v>4717</v>
      </c>
      <c r="F561" t="s">
        <v>4716</v>
      </c>
      <c r="G561" t="s">
        <v>14</v>
      </c>
      <c r="H561" t="s">
        <v>13</v>
      </c>
      <c r="I561" t="s">
        <v>4715</v>
      </c>
      <c r="N561">
        <v>3</v>
      </c>
      <c r="O561" t="s">
        <v>4714</v>
      </c>
      <c r="P561" t="s">
        <v>4713</v>
      </c>
      <c r="Q561" t="s">
        <v>391</v>
      </c>
      <c r="R561" s="7">
        <v>32874</v>
      </c>
      <c r="S561" s="8">
        <f t="shared" si="64"/>
        <v>1990</v>
      </c>
      <c r="T561" s="8">
        <v>1990</v>
      </c>
      <c r="U561" s="8">
        <f t="shared" si="65"/>
        <v>32</v>
      </c>
      <c r="V561" s="7">
        <v>33055</v>
      </c>
      <c r="W561" t="s">
        <v>2249</v>
      </c>
      <c r="X561" s="2">
        <v>1.6519999999999999</v>
      </c>
      <c r="Y561" s="6">
        <f t="shared" si="70"/>
        <v>4.409919649769093E-2</v>
      </c>
      <c r="AA561" t="s">
        <v>2248</v>
      </c>
      <c r="AB561">
        <v>17337</v>
      </c>
      <c r="AC561">
        <v>15582221</v>
      </c>
      <c r="AD561" t="s">
        <v>5</v>
      </c>
      <c r="AE561">
        <v>38</v>
      </c>
      <c r="AF561">
        <v>7</v>
      </c>
      <c r="AH561" t="s">
        <v>4712</v>
      </c>
      <c r="AI561" t="s">
        <v>4711</v>
      </c>
      <c r="AK561" t="s">
        <v>4710</v>
      </c>
      <c r="AL561">
        <v>32</v>
      </c>
      <c r="AM561" s="5">
        <f t="shared" si="66"/>
        <v>1</v>
      </c>
      <c r="AN561" s="4">
        <f t="shared" si="71"/>
        <v>1.5145778114350624E-3</v>
      </c>
      <c r="AO561" s="3"/>
      <c r="AP561">
        <v>0</v>
      </c>
      <c r="AR561" t="s">
        <v>0</v>
      </c>
      <c r="AT561" s="2" t="s">
        <v>126</v>
      </c>
      <c r="AU561" s="1">
        <f t="shared" si="67"/>
        <v>3.132381089181417</v>
      </c>
      <c r="AV561" s="1">
        <f t="shared" si="68"/>
        <v>2.2806887154562996</v>
      </c>
      <c r="AW561" s="1">
        <f t="shared" si="69"/>
        <v>1.4289963417311822</v>
      </c>
    </row>
    <row r="562" spans="1:49" x14ac:dyDescent="0.2">
      <c r="A562">
        <v>560</v>
      </c>
      <c r="B562" t="s">
        <v>4709</v>
      </c>
      <c r="C562" t="s">
        <v>4708</v>
      </c>
      <c r="F562" t="s">
        <v>4707</v>
      </c>
      <c r="G562" t="s">
        <v>14</v>
      </c>
      <c r="H562" t="s">
        <v>13</v>
      </c>
      <c r="I562" t="s">
        <v>4706</v>
      </c>
      <c r="J562">
        <v>60028897</v>
      </c>
      <c r="K562" t="s">
        <v>4705</v>
      </c>
      <c r="L562" t="s">
        <v>4704</v>
      </c>
      <c r="M562" t="s">
        <v>1937</v>
      </c>
      <c r="N562">
        <v>2</v>
      </c>
      <c r="O562" t="s">
        <v>4703</v>
      </c>
      <c r="P562" t="s">
        <v>4702</v>
      </c>
      <c r="Q562" t="s">
        <v>4701</v>
      </c>
      <c r="R562" s="7">
        <v>32874</v>
      </c>
      <c r="S562" s="8">
        <f t="shared" si="64"/>
        <v>1990</v>
      </c>
      <c r="T562" s="8">
        <v>1990</v>
      </c>
      <c r="U562" s="8">
        <f t="shared" si="65"/>
        <v>32</v>
      </c>
      <c r="V562" s="7">
        <v>33055</v>
      </c>
      <c r="W562" t="s">
        <v>2249</v>
      </c>
      <c r="X562" s="2">
        <v>1.6519999999999999</v>
      </c>
      <c r="Y562" s="6">
        <f t="shared" si="70"/>
        <v>4.409919649769093E-2</v>
      </c>
      <c r="AA562" t="s">
        <v>2248</v>
      </c>
      <c r="AB562">
        <v>17337</v>
      </c>
      <c r="AC562">
        <v>15582221</v>
      </c>
      <c r="AD562" t="s">
        <v>5</v>
      </c>
      <c r="AE562">
        <v>38</v>
      </c>
      <c r="AF562">
        <v>7</v>
      </c>
      <c r="AH562" t="s">
        <v>4700</v>
      </c>
      <c r="AI562" t="s">
        <v>4699</v>
      </c>
      <c r="AK562" t="s">
        <v>4698</v>
      </c>
      <c r="AL562">
        <v>18</v>
      </c>
      <c r="AM562" s="5">
        <f t="shared" si="66"/>
        <v>0.5625</v>
      </c>
      <c r="AN562" s="4">
        <f t="shared" si="71"/>
        <v>8.5195001893222262E-4</v>
      </c>
      <c r="AO562" s="3"/>
      <c r="AP562">
        <v>0</v>
      </c>
      <c r="AR562" t="s">
        <v>0</v>
      </c>
      <c r="AT562" s="2" t="s">
        <v>126</v>
      </c>
      <c r="AU562" s="1">
        <f t="shared" si="67"/>
        <v>3.1125022554063317</v>
      </c>
      <c r="AV562" s="1">
        <f t="shared" si="68"/>
        <v>2.2475573258311576</v>
      </c>
      <c r="AW562" s="1">
        <f t="shared" si="69"/>
        <v>1.3826123962559833</v>
      </c>
    </row>
    <row r="563" spans="1:49" x14ac:dyDescent="0.2">
      <c r="A563">
        <v>561</v>
      </c>
      <c r="B563" t="s">
        <v>4697</v>
      </c>
      <c r="C563" t="s">
        <v>4696</v>
      </c>
      <c r="F563" t="s">
        <v>4695</v>
      </c>
      <c r="G563" t="s">
        <v>14</v>
      </c>
      <c r="H563" t="s">
        <v>13</v>
      </c>
      <c r="I563" t="s">
        <v>4694</v>
      </c>
      <c r="J563" t="s">
        <v>4693</v>
      </c>
      <c r="K563" t="s">
        <v>4692</v>
      </c>
      <c r="L563" t="s">
        <v>4691</v>
      </c>
      <c r="M563" t="s">
        <v>4690</v>
      </c>
      <c r="N563">
        <v>2</v>
      </c>
      <c r="O563" t="s">
        <v>4689</v>
      </c>
      <c r="P563" t="s">
        <v>4688</v>
      </c>
      <c r="Q563" t="s">
        <v>4687</v>
      </c>
      <c r="R563" s="7">
        <v>32874</v>
      </c>
      <c r="S563" s="8">
        <f t="shared" si="64"/>
        <v>1990</v>
      </c>
      <c r="T563" s="8">
        <v>1990</v>
      </c>
      <c r="U563" s="8">
        <f t="shared" si="65"/>
        <v>32</v>
      </c>
      <c r="V563" s="7">
        <v>33055</v>
      </c>
      <c r="W563" t="s">
        <v>2249</v>
      </c>
      <c r="X563" s="2">
        <v>1.6519999999999999</v>
      </c>
      <c r="Y563" s="6">
        <f t="shared" si="70"/>
        <v>4.409919649769093E-2</v>
      </c>
      <c r="AA563" t="s">
        <v>2248</v>
      </c>
      <c r="AB563">
        <v>17337</v>
      </c>
      <c r="AC563">
        <v>15582221</v>
      </c>
      <c r="AD563" t="s">
        <v>5</v>
      </c>
      <c r="AE563">
        <v>38</v>
      </c>
      <c r="AF563">
        <v>7</v>
      </c>
      <c r="AH563" t="s">
        <v>4686</v>
      </c>
      <c r="AI563" t="s">
        <v>4685</v>
      </c>
      <c r="AK563" t="s">
        <v>4684</v>
      </c>
      <c r="AL563">
        <v>22</v>
      </c>
      <c r="AM563" s="5">
        <f t="shared" si="66"/>
        <v>0.6875</v>
      </c>
      <c r="AN563" s="4">
        <f t="shared" si="71"/>
        <v>1.0412722453616054E-3</v>
      </c>
      <c r="AO563" s="3"/>
      <c r="AP563">
        <v>0</v>
      </c>
      <c r="AR563" t="s">
        <v>0</v>
      </c>
      <c r="AT563" s="2" t="s">
        <v>126</v>
      </c>
      <c r="AU563" s="1">
        <f t="shared" si="67"/>
        <v>3.1181819221992133</v>
      </c>
      <c r="AV563" s="1">
        <f t="shared" si="68"/>
        <v>2.2570234371526268</v>
      </c>
      <c r="AW563" s="1">
        <f t="shared" si="69"/>
        <v>1.3958649521060402</v>
      </c>
    </row>
    <row r="564" spans="1:49" x14ac:dyDescent="0.2">
      <c r="A564">
        <v>562</v>
      </c>
      <c r="B564" t="s">
        <v>4683</v>
      </c>
      <c r="C564" t="s">
        <v>4682</v>
      </c>
      <c r="F564" t="s">
        <v>4681</v>
      </c>
      <c r="G564" t="s">
        <v>14</v>
      </c>
      <c r="H564" t="s">
        <v>13</v>
      </c>
      <c r="I564" t="s">
        <v>4680</v>
      </c>
      <c r="J564">
        <v>60015186</v>
      </c>
      <c r="K564" t="s">
        <v>3607</v>
      </c>
      <c r="L564" t="s">
        <v>3606</v>
      </c>
      <c r="M564" t="s">
        <v>1937</v>
      </c>
      <c r="N564">
        <v>1</v>
      </c>
      <c r="O564" t="s">
        <v>3605</v>
      </c>
      <c r="P564">
        <v>7402673635</v>
      </c>
      <c r="Q564">
        <v>60015186</v>
      </c>
      <c r="R564" s="7">
        <v>32874</v>
      </c>
      <c r="S564" s="8">
        <f t="shared" si="64"/>
        <v>1990</v>
      </c>
      <c r="T564" s="8">
        <v>1990</v>
      </c>
      <c r="U564" s="8">
        <f t="shared" si="65"/>
        <v>32</v>
      </c>
      <c r="V564" s="7">
        <v>33055</v>
      </c>
      <c r="W564" t="s">
        <v>2249</v>
      </c>
      <c r="X564" s="2">
        <v>1.6519999999999999</v>
      </c>
      <c r="Y564" s="6">
        <f t="shared" si="70"/>
        <v>4.409919649769093E-2</v>
      </c>
      <c r="AA564" t="s">
        <v>2248</v>
      </c>
      <c r="AB564">
        <v>17337</v>
      </c>
      <c r="AC564">
        <v>15582221</v>
      </c>
      <c r="AD564" t="s">
        <v>5</v>
      </c>
      <c r="AE564">
        <v>38</v>
      </c>
      <c r="AF564">
        <v>7</v>
      </c>
      <c r="AH564" t="s">
        <v>4679</v>
      </c>
      <c r="AI564" t="s">
        <v>4678</v>
      </c>
      <c r="AK564" t="s">
        <v>4677</v>
      </c>
      <c r="AL564">
        <v>27</v>
      </c>
      <c r="AM564" s="5">
        <f t="shared" si="66"/>
        <v>0.84375</v>
      </c>
      <c r="AN564" s="4">
        <f t="shared" si="71"/>
        <v>1.2779250283983339E-3</v>
      </c>
      <c r="AO564" s="3"/>
      <c r="AP564">
        <v>0</v>
      </c>
      <c r="AR564" t="s">
        <v>0</v>
      </c>
      <c r="AT564" s="2" t="s">
        <v>126</v>
      </c>
      <c r="AU564" s="1">
        <f t="shared" si="67"/>
        <v>3.1252815056903152</v>
      </c>
      <c r="AV564" s="1">
        <f t="shared" si="68"/>
        <v>2.2688560763044632</v>
      </c>
      <c r="AW564" s="1">
        <f t="shared" si="69"/>
        <v>1.4124306469186112</v>
      </c>
    </row>
    <row r="565" spans="1:49" x14ac:dyDescent="0.2">
      <c r="A565">
        <v>563</v>
      </c>
      <c r="B565" t="s">
        <v>4676</v>
      </c>
      <c r="C565" t="s">
        <v>4675</v>
      </c>
      <c r="F565" t="s">
        <v>4674</v>
      </c>
      <c r="G565" t="s">
        <v>14</v>
      </c>
      <c r="H565" t="s">
        <v>13</v>
      </c>
      <c r="I565" t="s">
        <v>1227</v>
      </c>
      <c r="J565" t="s">
        <v>4673</v>
      </c>
      <c r="K565" t="s">
        <v>4672</v>
      </c>
      <c r="L565" t="s">
        <v>4671</v>
      </c>
      <c r="M565" t="s">
        <v>4670</v>
      </c>
      <c r="N565">
        <v>1</v>
      </c>
      <c r="O565" t="s">
        <v>4669</v>
      </c>
      <c r="P565">
        <v>7003446625</v>
      </c>
      <c r="Q565" t="s">
        <v>4668</v>
      </c>
      <c r="R565" s="7">
        <v>32874</v>
      </c>
      <c r="S565" s="8">
        <f t="shared" si="64"/>
        <v>1990</v>
      </c>
      <c r="T565" s="8">
        <v>1990</v>
      </c>
      <c r="U565" s="8">
        <f t="shared" si="65"/>
        <v>32</v>
      </c>
      <c r="V565" s="7">
        <v>33055</v>
      </c>
      <c r="W565" t="s">
        <v>2249</v>
      </c>
      <c r="X565" s="2">
        <v>1.6519999999999999</v>
      </c>
      <c r="Y565" s="6">
        <f t="shared" si="70"/>
        <v>4.409919649769093E-2</v>
      </c>
      <c r="AA565" t="s">
        <v>2248</v>
      </c>
      <c r="AB565">
        <v>17337</v>
      </c>
      <c r="AC565">
        <v>15582221</v>
      </c>
      <c r="AD565" t="s">
        <v>5</v>
      </c>
      <c r="AE565">
        <v>38</v>
      </c>
      <c r="AF565">
        <v>7</v>
      </c>
      <c r="AH565" t="s">
        <v>4667</v>
      </c>
      <c r="AI565" t="s">
        <v>4666</v>
      </c>
      <c r="AK565" t="s">
        <v>4665</v>
      </c>
      <c r="AL565">
        <v>10</v>
      </c>
      <c r="AM565" s="5">
        <f t="shared" si="66"/>
        <v>0.3125</v>
      </c>
      <c r="AN565" s="4">
        <f t="shared" si="71"/>
        <v>4.7330556607345703E-4</v>
      </c>
      <c r="AO565" s="3"/>
      <c r="AP565">
        <v>0</v>
      </c>
      <c r="AR565" t="s">
        <v>0</v>
      </c>
      <c r="AT565" s="2" t="s">
        <v>126</v>
      </c>
      <c r="AU565" s="1">
        <f t="shared" si="67"/>
        <v>3.1011429218205686</v>
      </c>
      <c r="AV565" s="1">
        <f t="shared" si="68"/>
        <v>2.2286251031882194</v>
      </c>
      <c r="AW565" s="1">
        <f t="shared" si="69"/>
        <v>1.3561072845558697</v>
      </c>
    </row>
    <row r="566" spans="1:49" x14ac:dyDescent="0.2">
      <c r="A566">
        <v>564</v>
      </c>
      <c r="B566" t="s">
        <v>4664</v>
      </c>
      <c r="C566" t="s">
        <v>4663</v>
      </c>
      <c r="F566" t="s">
        <v>4662</v>
      </c>
      <c r="G566" t="s">
        <v>14</v>
      </c>
      <c r="H566" t="s">
        <v>13</v>
      </c>
      <c r="I566" t="s">
        <v>4661</v>
      </c>
      <c r="J566" t="s">
        <v>3739</v>
      </c>
      <c r="K566" t="s">
        <v>3738</v>
      </c>
      <c r="L566" t="s">
        <v>3737</v>
      </c>
      <c r="M566" t="s">
        <v>84</v>
      </c>
      <c r="N566">
        <v>2</v>
      </c>
      <c r="O566" t="s">
        <v>4660</v>
      </c>
      <c r="P566" t="s">
        <v>4659</v>
      </c>
      <c r="Q566" t="s">
        <v>4658</v>
      </c>
      <c r="R566" s="7">
        <v>32874</v>
      </c>
      <c r="S566" s="8">
        <f t="shared" si="64"/>
        <v>1990</v>
      </c>
      <c r="T566" s="8">
        <v>1990</v>
      </c>
      <c r="U566" s="8">
        <f t="shared" si="65"/>
        <v>32</v>
      </c>
      <c r="V566" s="7">
        <v>33055</v>
      </c>
      <c r="W566" t="s">
        <v>2249</v>
      </c>
      <c r="X566" s="2">
        <v>1.6519999999999999</v>
      </c>
      <c r="Y566" s="6">
        <f t="shared" si="70"/>
        <v>4.409919649769093E-2</v>
      </c>
      <c r="AA566" t="s">
        <v>2248</v>
      </c>
      <c r="AB566">
        <v>17337</v>
      </c>
      <c r="AC566">
        <v>15582221</v>
      </c>
      <c r="AD566" t="s">
        <v>5</v>
      </c>
      <c r="AE566">
        <v>38</v>
      </c>
      <c r="AF566">
        <v>7</v>
      </c>
      <c r="AH566" t="s">
        <v>4657</v>
      </c>
      <c r="AI566" t="s">
        <v>4656</v>
      </c>
      <c r="AK566" t="s">
        <v>4655</v>
      </c>
      <c r="AL566">
        <v>8</v>
      </c>
      <c r="AM566" s="5">
        <f t="shared" si="66"/>
        <v>0.25</v>
      </c>
      <c r="AN566" s="4">
        <f t="shared" si="71"/>
        <v>3.786444528587656E-4</v>
      </c>
      <c r="AO566" s="3"/>
      <c r="AP566">
        <v>0</v>
      </c>
      <c r="AR566" t="s">
        <v>0</v>
      </c>
      <c r="AT566" s="2" t="s">
        <v>126</v>
      </c>
      <c r="AU566" s="1">
        <f t="shared" si="67"/>
        <v>3.098303088424128</v>
      </c>
      <c r="AV566" s="1">
        <f t="shared" si="68"/>
        <v>2.2238920475274848</v>
      </c>
      <c r="AW566" s="1">
        <f t="shared" si="69"/>
        <v>1.3494810066308416</v>
      </c>
    </row>
    <row r="567" spans="1:49" x14ac:dyDescent="0.2">
      <c r="A567">
        <v>565</v>
      </c>
      <c r="B567" t="s">
        <v>4654</v>
      </c>
      <c r="C567" t="s">
        <v>4653</v>
      </c>
      <c r="F567" t="s">
        <v>4652</v>
      </c>
      <c r="G567" t="s">
        <v>14</v>
      </c>
      <c r="H567" t="s">
        <v>13</v>
      </c>
      <c r="I567" t="s">
        <v>4651</v>
      </c>
      <c r="J567">
        <v>60008435</v>
      </c>
      <c r="K567" t="s">
        <v>4650</v>
      </c>
      <c r="L567" t="s">
        <v>1517</v>
      </c>
      <c r="M567" t="s">
        <v>267</v>
      </c>
      <c r="N567">
        <v>3</v>
      </c>
      <c r="O567" t="s">
        <v>4649</v>
      </c>
      <c r="P567" t="s">
        <v>4648</v>
      </c>
      <c r="Q567" t="s">
        <v>4647</v>
      </c>
      <c r="R567" s="7">
        <v>32874</v>
      </c>
      <c r="S567" s="8">
        <f t="shared" si="64"/>
        <v>1990</v>
      </c>
      <c r="T567" s="8">
        <v>1990</v>
      </c>
      <c r="U567" s="8">
        <f t="shared" si="65"/>
        <v>32</v>
      </c>
      <c r="V567" s="7">
        <v>1990</v>
      </c>
      <c r="W567" t="s">
        <v>3748</v>
      </c>
      <c r="X567" s="2">
        <v>0.13900000000000001</v>
      </c>
      <c r="Y567" s="6">
        <f t="shared" si="70"/>
        <v>3.7105256133045036E-3</v>
      </c>
      <c r="AA567" t="s">
        <v>3747</v>
      </c>
      <c r="AB567">
        <v>24891</v>
      </c>
      <c r="AC567">
        <v>15206432</v>
      </c>
      <c r="AD567" t="s">
        <v>5</v>
      </c>
      <c r="AE567">
        <v>73</v>
      </c>
      <c r="AF567">
        <v>7</v>
      </c>
      <c r="AH567" t="s">
        <v>4646</v>
      </c>
      <c r="AI567" t="s">
        <v>4645</v>
      </c>
      <c r="AK567" t="s">
        <v>4644</v>
      </c>
      <c r="AL567">
        <v>0</v>
      </c>
      <c r="AM567" s="5">
        <f t="shared" si="66"/>
        <v>0</v>
      </c>
      <c r="AN567" s="4">
        <f t="shared" si="71"/>
        <v>0</v>
      </c>
      <c r="AO567" s="3"/>
      <c r="AP567">
        <v>0</v>
      </c>
      <c r="AR567" t="s">
        <v>0</v>
      </c>
      <c r="AT567" s="2" t="s">
        <v>126</v>
      </c>
      <c r="AU567" s="1">
        <f t="shared" si="67"/>
        <v>0.25973679293131524</v>
      </c>
      <c r="AV567" s="1">
        <f t="shared" si="68"/>
        <v>0.1855262806652252</v>
      </c>
      <c r="AW567" s="1">
        <f t="shared" si="69"/>
        <v>0.1113157683991351</v>
      </c>
    </row>
    <row r="568" spans="1:49" x14ac:dyDescent="0.2">
      <c r="A568">
        <v>566</v>
      </c>
      <c r="B568" t="s">
        <v>4643</v>
      </c>
      <c r="C568" t="s">
        <v>4642</v>
      </c>
      <c r="F568" t="s">
        <v>4641</v>
      </c>
      <c r="G568" t="s">
        <v>14</v>
      </c>
      <c r="H568" t="s">
        <v>13</v>
      </c>
      <c r="I568" t="s">
        <v>4177</v>
      </c>
      <c r="J568">
        <v>60011226</v>
      </c>
      <c r="K568" t="s">
        <v>4640</v>
      </c>
      <c r="L568" t="s">
        <v>4639</v>
      </c>
      <c r="M568" t="s">
        <v>135</v>
      </c>
      <c r="N568">
        <v>2</v>
      </c>
      <c r="O568" t="s">
        <v>4638</v>
      </c>
      <c r="P568" t="s">
        <v>4637</v>
      </c>
      <c r="Q568" t="s">
        <v>4636</v>
      </c>
      <c r="R568" s="7">
        <v>32874</v>
      </c>
      <c r="S568" s="8">
        <f t="shared" si="64"/>
        <v>1990</v>
      </c>
      <c r="T568" s="8">
        <v>1990</v>
      </c>
      <c r="U568" s="8">
        <f t="shared" si="65"/>
        <v>32</v>
      </c>
      <c r="V568" s="7">
        <v>1990</v>
      </c>
      <c r="W568" t="s">
        <v>1477</v>
      </c>
      <c r="X568" s="2">
        <v>0.2</v>
      </c>
      <c r="Y568" s="6">
        <f t="shared" si="70"/>
        <v>5.3388857745388539E-3</v>
      </c>
      <c r="AA568">
        <v>161136</v>
      </c>
      <c r="AB568">
        <v>16718</v>
      </c>
      <c r="AC568">
        <v>21916349</v>
      </c>
      <c r="AD568" t="s">
        <v>5</v>
      </c>
      <c r="AE568">
        <v>44</v>
      </c>
      <c r="AF568" s="9">
        <v>44415</v>
      </c>
      <c r="AH568" t="s">
        <v>4635</v>
      </c>
      <c r="AI568" t="s">
        <v>4634</v>
      </c>
      <c r="AK568" t="s">
        <v>4633</v>
      </c>
      <c r="AL568">
        <v>0</v>
      </c>
      <c r="AM568" s="5">
        <f t="shared" si="66"/>
        <v>0</v>
      </c>
      <c r="AN568" s="4">
        <f t="shared" si="71"/>
        <v>0</v>
      </c>
      <c r="AO568" s="3"/>
      <c r="AP568">
        <v>0</v>
      </c>
      <c r="AR568" t="s">
        <v>0</v>
      </c>
      <c r="AT568" s="2">
        <v>0.72599999999999998</v>
      </c>
      <c r="AU568" s="1">
        <f t="shared" si="67"/>
        <v>0.37372200421771973</v>
      </c>
      <c r="AV568" s="1">
        <f t="shared" si="68"/>
        <v>0.2669442887269427</v>
      </c>
      <c r="AW568" s="1">
        <f t="shared" si="69"/>
        <v>0.16016657323616562</v>
      </c>
    </row>
    <row r="569" spans="1:49" x14ac:dyDescent="0.2">
      <c r="A569">
        <v>567</v>
      </c>
      <c r="B569" t="s">
        <v>4632</v>
      </c>
      <c r="C569" t="s">
        <v>4631</v>
      </c>
      <c r="F569" t="s">
        <v>4630</v>
      </c>
      <c r="G569" t="s">
        <v>14</v>
      </c>
      <c r="H569" t="s">
        <v>13</v>
      </c>
      <c r="I569" t="s">
        <v>4629</v>
      </c>
      <c r="J569" t="s">
        <v>4628</v>
      </c>
      <c r="K569" t="s">
        <v>4627</v>
      </c>
      <c r="L569" t="s">
        <v>4626</v>
      </c>
      <c r="M569" t="s">
        <v>84</v>
      </c>
      <c r="N569">
        <v>4</v>
      </c>
      <c r="O569" t="s">
        <v>4625</v>
      </c>
      <c r="P569" t="s">
        <v>4624</v>
      </c>
      <c r="Q569" t="s">
        <v>4623</v>
      </c>
      <c r="R569" s="7">
        <v>32874</v>
      </c>
      <c r="S569" s="8">
        <f t="shared" si="64"/>
        <v>1990</v>
      </c>
      <c r="T569" s="8">
        <v>1990</v>
      </c>
      <c r="U569" s="8">
        <f t="shared" si="65"/>
        <v>32</v>
      </c>
      <c r="V569" s="7">
        <v>33055</v>
      </c>
      <c r="W569" t="s">
        <v>1309</v>
      </c>
      <c r="X569" s="2">
        <v>1.3720000000000001</v>
      </c>
      <c r="Y569" s="6">
        <f t="shared" si="70"/>
        <v>3.662475641333654E-2</v>
      </c>
      <c r="AA569">
        <v>189480</v>
      </c>
      <c r="AB569">
        <v>17366</v>
      </c>
      <c r="AC569">
        <v>15579670</v>
      </c>
      <c r="AD569" t="s">
        <v>5</v>
      </c>
      <c r="AE569">
        <v>38</v>
      </c>
      <c r="AF569">
        <v>7</v>
      </c>
      <c r="AH569" t="s">
        <v>4622</v>
      </c>
      <c r="AI569" t="s">
        <v>4621</v>
      </c>
      <c r="AK569" t="s">
        <v>4620</v>
      </c>
      <c r="AL569">
        <v>514</v>
      </c>
      <c r="AM569" s="5">
        <f t="shared" si="66"/>
        <v>16.0625</v>
      </c>
      <c r="AN569" s="4">
        <f t="shared" si="71"/>
        <v>2.4327906096175692E-2</v>
      </c>
      <c r="AO569" s="3"/>
      <c r="AP569">
        <v>0</v>
      </c>
      <c r="AQ569" t="s">
        <v>1454</v>
      </c>
      <c r="AR569" t="s">
        <v>4619</v>
      </c>
      <c r="AS569" t="s">
        <v>1452</v>
      </c>
      <c r="AT569" s="2" t="s">
        <v>126</v>
      </c>
      <c r="AU569" s="1">
        <f t="shared" si="67"/>
        <v>3.2935701318188286</v>
      </c>
      <c r="AV569" s="1">
        <f t="shared" si="68"/>
        <v>3.0476331254756115</v>
      </c>
      <c r="AW569" s="1">
        <f t="shared" si="69"/>
        <v>2.8016961191323944</v>
      </c>
    </row>
    <row r="570" spans="1:49" x14ac:dyDescent="0.2">
      <c r="A570">
        <v>568</v>
      </c>
      <c r="B570" t="s">
        <v>4618</v>
      </c>
      <c r="C570" t="s">
        <v>4617</v>
      </c>
      <c r="F570" t="s">
        <v>4616</v>
      </c>
      <c r="G570" t="s">
        <v>14</v>
      </c>
      <c r="H570" t="s">
        <v>13</v>
      </c>
      <c r="I570" t="s">
        <v>4615</v>
      </c>
      <c r="J570" t="s">
        <v>4609</v>
      </c>
      <c r="K570" t="s">
        <v>4614</v>
      </c>
      <c r="L570" t="s">
        <v>4613</v>
      </c>
      <c r="M570" t="s">
        <v>4612</v>
      </c>
      <c r="N570">
        <v>2</v>
      </c>
      <c r="O570" t="s">
        <v>4611</v>
      </c>
      <c r="P570" t="s">
        <v>4610</v>
      </c>
      <c r="Q570" t="s">
        <v>4609</v>
      </c>
      <c r="R570" s="7">
        <v>32874</v>
      </c>
      <c r="S570" s="8">
        <f t="shared" si="64"/>
        <v>1990</v>
      </c>
      <c r="T570" s="8">
        <v>1990</v>
      </c>
      <c r="U570" s="8">
        <f t="shared" si="65"/>
        <v>32</v>
      </c>
      <c r="V570" s="7" t="s">
        <v>7</v>
      </c>
      <c r="W570" t="s">
        <v>4608</v>
      </c>
      <c r="X570" s="2">
        <v>0.75800000000000001</v>
      </c>
      <c r="Y570" s="6">
        <f t="shared" si="70"/>
        <v>2.0234377085502256E-2</v>
      </c>
      <c r="AA570">
        <v>224650</v>
      </c>
      <c r="AB570">
        <v>29589</v>
      </c>
      <c r="AD570" t="s">
        <v>5</v>
      </c>
      <c r="AE570">
        <v>27</v>
      </c>
      <c r="AF570">
        <v>4</v>
      </c>
      <c r="AH570" t="s">
        <v>2726</v>
      </c>
      <c r="AI570" t="s">
        <v>4607</v>
      </c>
      <c r="AK570" t="s">
        <v>4606</v>
      </c>
      <c r="AL570">
        <v>1</v>
      </c>
      <c r="AM570" s="5">
        <f t="shared" si="66"/>
        <v>3.125E-2</v>
      </c>
      <c r="AN570" s="4">
        <f t="shared" si="71"/>
        <v>4.73305566073457E-5</v>
      </c>
      <c r="AO570" s="3"/>
      <c r="AP570">
        <v>0</v>
      </c>
      <c r="AR570" t="s">
        <v>0</v>
      </c>
      <c r="AT570" s="2">
        <v>1.282</v>
      </c>
      <c r="AU570" s="1">
        <f t="shared" si="67"/>
        <v>1.4178263126833781</v>
      </c>
      <c r="AV570" s="1">
        <f t="shared" si="68"/>
        <v>1.01408538210548</v>
      </c>
      <c r="AW570" s="1">
        <f t="shared" si="69"/>
        <v>0.61034445152758177</v>
      </c>
    </row>
    <row r="571" spans="1:49" x14ac:dyDescent="0.2">
      <c r="A571">
        <v>569</v>
      </c>
      <c r="B571" t="s">
        <v>4605</v>
      </c>
      <c r="C571" t="s">
        <v>4604</v>
      </c>
      <c r="F571" t="s">
        <v>4603</v>
      </c>
      <c r="G571" t="s">
        <v>14</v>
      </c>
      <c r="H571" t="s">
        <v>13</v>
      </c>
      <c r="I571" t="s">
        <v>4602</v>
      </c>
      <c r="J571" t="s">
        <v>4601</v>
      </c>
      <c r="K571" t="s">
        <v>4600</v>
      </c>
      <c r="L571" t="s">
        <v>4599</v>
      </c>
      <c r="M571" t="s">
        <v>4598</v>
      </c>
      <c r="N571">
        <v>2</v>
      </c>
      <c r="O571" t="s">
        <v>4597</v>
      </c>
      <c r="P571" t="s">
        <v>4596</v>
      </c>
      <c r="Q571" t="s">
        <v>4595</v>
      </c>
      <c r="R571" s="7">
        <v>32874</v>
      </c>
      <c r="S571" s="8">
        <f t="shared" si="64"/>
        <v>1990</v>
      </c>
      <c r="T571" s="8">
        <v>1990</v>
      </c>
      <c r="U571" s="8">
        <f t="shared" si="65"/>
        <v>32</v>
      </c>
      <c r="V571" s="7">
        <v>33055</v>
      </c>
      <c r="W571" t="s">
        <v>2249</v>
      </c>
      <c r="X571" s="2">
        <v>1.6519999999999999</v>
      </c>
      <c r="Y571" s="6">
        <f t="shared" si="70"/>
        <v>4.409919649769093E-2</v>
      </c>
      <c r="AA571" t="s">
        <v>2248</v>
      </c>
      <c r="AB571">
        <v>17337</v>
      </c>
      <c r="AC571">
        <v>15582221</v>
      </c>
      <c r="AD571" t="s">
        <v>5</v>
      </c>
      <c r="AE571">
        <v>38</v>
      </c>
      <c r="AF571">
        <v>7</v>
      </c>
      <c r="AH571" t="s">
        <v>4594</v>
      </c>
      <c r="AI571" t="s">
        <v>4593</v>
      </c>
      <c r="AK571" t="s">
        <v>4592</v>
      </c>
      <c r="AL571">
        <v>62</v>
      </c>
      <c r="AM571" s="5">
        <f t="shared" si="66"/>
        <v>1.9375</v>
      </c>
      <c r="AN571" s="4">
        <f t="shared" si="71"/>
        <v>2.9344945096554335E-3</v>
      </c>
      <c r="AO571" s="3"/>
      <c r="AP571">
        <v>0</v>
      </c>
      <c r="AR571" t="s">
        <v>0</v>
      </c>
      <c r="AT571" s="2" t="s">
        <v>126</v>
      </c>
      <c r="AU571" s="1">
        <f t="shared" si="67"/>
        <v>3.1749785901280281</v>
      </c>
      <c r="AV571" s="1">
        <f t="shared" si="68"/>
        <v>2.351684550367318</v>
      </c>
      <c r="AW571" s="1">
        <f t="shared" si="69"/>
        <v>1.5283905106066082</v>
      </c>
    </row>
    <row r="572" spans="1:49" x14ac:dyDescent="0.2">
      <c r="A572">
        <v>570</v>
      </c>
      <c r="B572" t="s">
        <v>4591</v>
      </c>
      <c r="C572" t="s">
        <v>4590</v>
      </c>
      <c r="F572" t="s">
        <v>4589</v>
      </c>
      <c r="G572" t="s">
        <v>14</v>
      </c>
      <c r="H572" t="s">
        <v>13</v>
      </c>
      <c r="I572" t="s">
        <v>4588</v>
      </c>
      <c r="J572">
        <v>60027090</v>
      </c>
      <c r="K572" t="s">
        <v>2332</v>
      </c>
      <c r="L572" t="s">
        <v>2331</v>
      </c>
      <c r="M572" t="s">
        <v>197</v>
      </c>
      <c r="N572">
        <v>2</v>
      </c>
      <c r="O572" t="s">
        <v>4587</v>
      </c>
      <c r="P572" t="s">
        <v>4586</v>
      </c>
      <c r="Q572" t="s">
        <v>2328</v>
      </c>
      <c r="R572" s="7">
        <v>32874</v>
      </c>
      <c r="S572" s="8">
        <f t="shared" si="64"/>
        <v>1990</v>
      </c>
      <c r="T572" s="8">
        <v>1990</v>
      </c>
      <c r="U572" s="8">
        <f t="shared" si="65"/>
        <v>32</v>
      </c>
      <c r="V572" s="7">
        <v>33055</v>
      </c>
      <c r="W572" t="s">
        <v>2249</v>
      </c>
      <c r="X572" s="2">
        <v>1.6519999999999999</v>
      </c>
      <c r="Y572" s="6">
        <f t="shared" si="70"/>
        <v>4.409919649769093E-2</v>
      </c>
      <c r="AA572" t="s">
        <v>2248</v>
      </c>
      <c r="AB572">
        <v>17337</v>
      </c>
      <c r="AC572">
        <v>15582221</v>
      </c>
      <c r="AD572" t="s">
        <v>5</v>
      </c>
      <c r="AE572">
        <v>38</v>
      </c>
      <c r="AF572">
        <v>7</v>
      </c>
      <c r="AH572" t="s">
        <v>4585</v>
      </c>
      <c r="AI572" t="s">
        <v>4584</v>
      </c>
      <c r="AK572" t="s">
        <v>4583</v>
      </c>
      <c r="AL572">
        <v>2</v>
      </c>
      <c r="AM572" s="5">
        <f t="shared" si="66"/>
        <v>6.25E-2</v>
      </c>
      <c r="AN572" s="4">
        <f t="shared" si="71"/>
        <v>9.46611132146914E-5</v>
      </c>
      <c r="AO572" s="3"/>
      <c r="AP572">
        <v>0</v>
      </c>
      <c r="AR572" t="s">
        <v>0</v>
      </c>
      <c r="AT572" s="2" t="s">
        <v>126</v>
      </c>
      <c r="AU572" s="1">
        <f t="shared" si="67"/>
        <v>3.0897835882348059</v>
      </c>
      <c r="AV572" s="1">
        <f t="shared" si="68"/>
        <v>2.2096928805452811</v>
      </c>
      <c r="AW572" s="1">
        <f t="shared" si="69"/>
        <v>1.3296021728557561</v>
      </c>
    </row>
    <row r="573" spans="1:49" x14ac:dyDescent="0.2">
      <c r="A573">
        <v>571</v>
      </c>
      <c r="B573" t="s">
        <v>4582</v>
      </c>
      <c r="C573" t="s">
        <v>4581</v>
      </c>
      <c r="F573" t="s">
        <v>4580</v>
      </c>
      <c r="G573" t="s">
        <v>14</v>
      </c>
      <c r="H573" t="s">
        <v>13</v>
      </c>
      <c r="I573" t="s">
        <v>4579</v>
      </c>
      <c r="J573">
        <v>60025555</v>
      </c>
      <c r="K573" t="s">
        <v>1448</v>
      </c>
      <c r="L573" t="s">
        <v>466</v>
      </c>
      <c r="M573" t="s">
        <v>267</v>
      </c>
      <c r="N573">
        <v>3</v>
      </c>
      <c r="O573" t="s">
        <v>4578</v>
      </c>
      <c r="P573" t="s">
        <v>4577</v>
      </c>
      <c r="Q573" t="s">
        <v>4576</v>
      </c>
      <c r="R573" s="7">
        <v>32874</v>
      </c>
      <c r="S573" s="8">
        <f t="shared" ref="S573:S636" si="72">YEAR(R573)</f>
        <v>1990</v>
      </c>
      <c r="T573" s="8">
        <v>1990</v>
      </c>
      <c r="U573" s="8">
        <f t="shared" ref="U573:U636" si="73">2022-T573</f>
        <v>32</v>
      </c>
      <c r="V573" s="7" t="s">
        <v>4575</v>
      </c>
      <c r="W573" t="s">
        <v>1190</v>
      </c>
      <c r="X573" s="2">
        <v>1.573</v>
      </c>
      <c r="Y573" s="6">
        <f t="shared" si="70"/>
        <v>4.1990336616748086E-2</v>
      </c>
      <c r="AA573">
        <v>7315090</v>
      </c>
      <c r="AB573">
        <v>29586</v>
      </c>
      <c r="AD573" t="s">
        <v>5</v>
      </c>
      <c r="AE573">
        <v>13</v>
      </c>
      <c r="AF573">
        <v>4</v>
      </c>
      <c r="AH573" t="s">
        <v>4574</v>
      </c>
      <c r="AI573" t="s">
        <v>4573</v>
      </c>
      <c r="AK573" t="s">
        <v>4572</v>
      </c>
      <c r="AL573">
        <v>3</v>
      </c>
      <c r="AM573" s="5">
        <f t="shared" ref="AM573:AM636" si="74">AL573/U573</f>
        <v>9.375E-2</v>
      </c>
      <c r="AN573" s="4">
        <f t="shared" si="71"/>
        <v>1.4199166982203711E-4</v>
      </c>
      <c r="AO573" s="3"/>
      <c r="AP573">
        <v>0</v>
      </c>
      <c r="AR573" t="s">
        <v>0</v>
      </c>
      <c r="AT573" s="2" t="s">
        <v>126</v>
      </c>
      <c r="AU573" s="1">
        <f t="shared" ref="AU573:AU636" si="75">(Y573*0.7+AN573*0.3)*100</f>
        <v>2.9435833132670273</v>
      </c>
      <c r="AV573" s="1">
        <f t="shared" ref="AV573:AV636" si="76">(Y573*0.5+AN573*0.5)*100</f>
        <v>2.1066164143285064</v>
      </c>
      <c r="AW573" s="1">
        <f t="shared" ref="AW573:AW636" si="77">(Y573*0.3+AN573*0.7)*100</f>
        <v>1.2696495153899852</v>
      </c>
    </row>
    <row r="574" spans="1:49" x14ac:dyDescent="0.2">
      <c r="A574">
        <v>572</v>
      </c>
      <c r="B574" t="s">
        <v>4571</v>
      </c>
      <c r="C574" t="s">
        <v>4570</v>
      </c>
      <c r="F574" t="s">
        <v>4569</v>
      </c>
      <c r="G574" t="s">
        <v>14</v>
      </c>
      <c r="H574" t="s">
        <v>13</v>
      </c>
      <c r="I574" t="s">
        <v>4568</v>
      </c>
      <c r="J574" t="s">
        <v>4567</v>
      </c>
      <c r="K574" t="s">
        <v>4566</v>
      </c>
      <c r="L574" t="s">
        <v>4565</v>
      </c>
      <c r="M574" t="s">
        <v>84</v>
      </c>
      <c r="N574">
        <v>2</v>
      </c>
      <c r="O574" t="s">
        <v>4564</v>
      </c>
      <c r="P574" t="s">
        <v>4563</v>
      </c>
      <c r="Q574" t="s">
        <v>4562</v>
      </c>
      <c r="R574" s="7">
        <v>32874</v>
      </c>
      <c r="S574" s="8">
        <f t="shared" si="72"/>
        <v>1990</v>
      </c>
      <c r="T574" s="8">
        <v>1990</v>
      </c>
      <c r="U574" s="8">
        <f t="shared" si="73"/>
        <v>32</v>
      </c>
      <c r="V574" s="7">
        <v>33055</v>
      </c>
      <c r="W574" t="s">
        <v>2249</v>
      </c>
      <c r="X574" s="2">
        <v>1.6519999999999999</v>
      </c>
      <c r="Y574" s="6">
        <f t="shared" si="70"/>
        <v>4.409919649769093E-2</v>
      </c>
      <c r="AA574" t="s">
        <v>2248</v>
      </c>
      <c r="AB574">
        <v>17337</v>
      </c>
      <c r="AC574">
        <v>15582221</v>
      </c>
      <c r="AD574" t="s">
        <v>5</v>
      </c>
      <c r="AE574">
        <v>38</v>
      </c>
      <c r="AF574">
        <v>7</v>
      </c>
      <c r="AH574" t="s">
        <v>4561</v>
      </c>
      <c r="AI574" t="s">
        <v>4560</v>
      </c>
      <c r="AK574" t="s">
        <v>4559</v>
      </c>
      <c r="AL574">
        <v>7</v>
      </c>
      <c r="AM574" s="5">
        <f t="shared" si="74"/>
        <v>0.21875</v>
      </c>
      <c r="AN574" s="4">
        <f t="shared" si="71"/>
        <v>3.3131389625141994E-4</v>
      </c>
      <c r="AO574" s="3"/>
      <c r="AP574">
        <v>0</v>
      </c>
      <c r="AR574" t="s">
        <v>0</v>
      </c>
      <c r="AT574" s="2" t="s">
        <v>126</v>
      </c>
      <c r="AU574" s="1">
        <f t="shared" si="75"/>
        <v>3.0968831717259078</v>
      </c>
      <c r="AV574" s="1">
        <f t="shared" si="76"/>
        <v>2.2215255196971175</v>
      </c>
      <c r="AW574" s="1">
        <f t="shared" si="77"/>
        <v>1.3461678676683271</v>
      </c>
    </row>
    <row r="575" spans="1:49" x14ac:dyDescent="0.2">
      <c r="A575">
        <v>573</v>
      </c>
      <c r="B575" t="s">
        <v>4558</v>
      </c>
      <c r="C575" t="s">
        <v>4557</v>
      </c>
      <c r="F575" t="s">
        <v>4556</v>
      </c>
      <c r="G575" t="s">
        <v>14</v>
      </c>
      <c r="H575" t="s">
        <v>13</v>
      </c>
      <c r="I575" t="s">
        <v>4555</v>
      </c>
      <c r="J575">
        <v>60015099</v>
      </c>
      <c r="K575" t="s">
        <v>630</v>
      </c>
      <c r="L575" t="s">
        <v>629</v>
      </c>
      <c r="M575" t="s">
        <v>197</v>
      </c>
      <c r="N575">
        <v>3</v>
      </c>
      <c r="O575" t="s">
        <v>4554</v>
      </c>
      <c r="P575" t="s">
        <v>4553</v>
      </c>
      <c r="Q575" t="s">
        <v>4552</v>
      </c>
      <c r="R575" s="7">
        <v>32874</v>
      </c>
      <c r="S575" s="8">
        <f t="shared" si="72"/>
        <v>1990</v>
      </c>
      <c r="T575" s="8">
        <v>1990</v>
      </c>
      <c r="U575" s="8">
        <f t="shared" si="73"/>
        <v>32</v>
      </c>
      <c r="V575" s="7">
        <v>33055</v>
      </c>
      <c r="W575" t="s">
        <v>2249</v>
      </c>
      <c r="X575" s="2">
        <v>1.6519999999999999</v>
      </c>
      <c r="Y575" s="6">
        <f t="shared" si="70"/>
        <v>4.409919649769093E-2</v>
      </c>
      <c r="AA575" t="s">
        <v>2248</v>
      </c>
      <c r="AB575">
        <v>17337</v>
      </c>
      <c r="AC575">
        <v>15582221</v>
      </c>
      <c r="AD575" t="s">
        <v>5</v>
      </c>
      <c r="AE575">
        <v>38</v>
      </c>
      <c r="AF575">
        <v>7</v>
      </c>
      <c r="AH575" t="s">
        <v>4551</v>
      </c>
      <c r="AI575" t="s">
        <v>4550</v>
      </c>
      <c r="AK575" t="s">
        <v>4549</v>
      </c>
      <c r="AL575">
        <v>8</v>
      </c>
      <c r="AM575" s="5">
        <f t="shared" si="74"/>
        <v>0.25</v>
      </c>
      <c r="AN575" s="4">
        <f t="shared" si="71"/>
        <v>3.786444528587656E-4</v>
      </c>
      <c r="AO575" s="3"/>
      <c r="AP575">
        <v>0</v>
      </c>
      <c r="AR575" t="s">
        <v>0</v>
      </c>
      <c r="AT575" s="2" t="s">
        <v>126</v>
      </c>
      <c r="AU575" s="1">
        <f t="shared" si="75"/>
        <v>3.098303088424128</v>
      </c>
      <c r="AV575" s="1">
        <f t="shared" si="76"/>
        <v>2.2238920475274848</v>
      </c>
      <c r="AW575" s="1">
        <f t="shared" si="77"/>
        <v>1.3494810066308416</v>
      </c>
    </row>
    <row r="576" spans="1:49" x14ac:dyDescent="0.2">
      <c r="A576">
        <v>574</v>
      </c>
      <c r="B576" t="s">
        <v>4548</v>
      </c>
      <c r="C576" t="s">
        <v>4547</v>
      </c>
      <c r="F576" t="s">
        <v>4546</v>
      </c>
      <c r="G576" t="s">
        <v>14</v>
      </c>
      <c r="H576" t="s">
        <v>13</v>
      </c>
      <c r="I576" t="s">
        <v>4545</v>
      </c>
      <c r="J576" t="s">
        <v>4544</v>
      </c>
      <c r="K576" t="s">
        <v>4543</v>
      </c>
      <c r="L576" t="s">
        <v>4542</v>
      </c>
      <c r="M576" t="s">
        <v>1972</v>
      </c>
      <c r="N576">
        <v>4</v>
      </c>
      <c r="O576" t="s">
        <v>4541</v>
      </c>
      <c r="P576" t="s">
        <v>4540</v>
      </c>
      <c r="Q576" t="s">
        <v>4539</v>
      </c>
      <c r="R576" s="7">
        <v>32874</v>
      </c>
      <c r="S576" s="8">
        <f t="shared" si="72"/>
        <v>1990</v>
      </c>
      <c r="T576" s="8">
        <v>1990</v>
      </c>
      <c r="U576" s="8">
        <f t="shared" si="73"/>
        <v>32</v>
      </c>
      <c r="V576" s="7">
        <v>1990</v>
      </c>
      <c r="W576" t="s">
        <v>3748</v>
      </c>
      <c r="X576" s="2">
        <v>0.13900000000000001</v>
      </c>
      <c r="Y576" s="6">
        <f t="shared" si="70"/>
        <v>3.7105256133045036E-3</v>
      </c>
      <c r="AA576" t="s">
        <v>3747</v>
      </c>
      <c r="AB576">
        <v>24891</v>
      </c>
      <c r="AC576">
        <v>15206432</v>
      </c>
      <c r="AD576" t="s">
        <v>5</v>
      </c>
      <c r="AE576">
        <v>73</v>
      </c>
      <c r="AF576">
        <v>7</v>
      </c>
      <c r="AH576" t="s">
        <v>3252</v>
      </c>
      <c r="AI576" t="s">
        <v>4538</v>
      </c>
      <c r="AK576" t="s">
        <v>4537</v>
      </c>
      <c r="AL576">
        <v>0</v>
      </c>
      <c r="AM576" s="5">
        <f t="shared" si="74"/>
        <v>0</v>
      </c>
      <c r="AN576" s="4">
        <f t="shared" si="71"/>
        <v>0</v>
      </c>
      <c r="AO576" s="3"/>
      <c r="AP576">
        <v>0</v>
      </c>
      <c r="AR576" t="s">
        <v>0</v>
      </c>
      <c r="AT576" s="2" t="s">
        <v>126</v>
      </c>
      <c r="AU576" s="1">
        <f t="shared" si="75"/>
        <v>0.25973679293131524</v>
      </c>
      <c r="AV576" s="1">
        <f t="shared" si="76"/>
        <v>0.1855262806652252</v>
      </c>
      <c r="AW576" s="1">
        <f t="shared" si="77"/>
        <v>0.1113157683991351</v>
      </c>
    </row>
    <row r="577" spans="1:49" x14ac:dyDescent="0.2">
      <c r="A577">
        <v>575</v>
      </c>
      <c r="B577" t="s">
        <v>4536</v>
      </c>
      <c r="C577" t="s">
        <v>4535</v>
      </c>
      <c r="F577" t="s">
        <v>4534</v>
      </c>
      <c r="G577" t="s">
        <v>14</v>
      </c>
      <c r="H577" t="s">
        <v>13</v>
      </c>
      <c r="I577" t="s">
        <v>4533</v>
      </c>
      <c r="J577">
        <v>60007951</v>
      </c>
      <c r="K577" t="s">
        <v>4532</v>
      </c>
      <c r="L577" t="s">
        <v>4531</v>
      </c>
      <c r="M577" t="s">
        <v>267</v>
      </c>
      <c r="N577">
        <v>4</v>
      </c>
      <c r="O577" t="s">
        <v>4530</v>
      </c>
      <c r="P577" t="s">
        <v>4529</v>
      </c>
      <c r="Q577" t="s">
        <v>4528</v>
      </c>
      <c r="R577" s="7">
        <v>32874</v>
      </c>
      <c r="S577" s="8">
        <f t="shared" si="72"/>
        <v>1990</v>
      </c>
      <c r="T577" s="8">
        <v>1990</v>
      </c>
      <c r="U577" s="8">
        <f t="shared" si="73"/>
        <v>32</v>
      </c>
      <c r="V577" s="7">
        <v>1990</v>
      </c>
      <c r="W577" t="s">
        <v>3748</v>
      </c>
      <c r="X577" s="2">
        <v>0.13900000000000001</v>
      </c>
      <c r="Y577" s="6">
        <f t="shared" si="70"/>
        <v>3.7105256133045036E-3</v>
      </c>
      <c r="AA577" t="s">
        <v>3747</v>
      </c>
      <c r="AB577">
        <v>24891</v>
      </c>
      <c r="AC577">
        <v>15206432</v>
      </c>
      <c r="AD577" t="s">
        <v>5</v>
      </c>
      <c r="AE577">
        <v>73</v>
      </c>
      <c r="AF577">
        <v>7</v>
      </c>
      <c r="AH577" t="s">
        <v>1127</v>
      </c>
      <c r="AI577" t="s">
        <v>4527</v>
      </c>
      <c r="AK577" t="s">
        <v>4526</v>
      </c>
      <c r="AL577">
        <v>0</v>
      </c>
      <c r="AM577" s="5">
        <f t="shared" si="74"/>
        <v>0</v>
      </c>
      <c r="AN577" s="4">
        <f t="shared" si="71"/>
        <v>0</v>
      </c>
      <c r="AO577" s="3"/>
      <c r="AP577">
        <v>0</v>
      </c>
      <c r="AR577" t="s">
        <v>0</v>
      </c>
      <c r="AT577" s="2" t="s">
        <v>126</v>
      </c>
      <c r="AU577" s="1">
        <f t="shared" si="75"/>
        <v>0.25973679293131524</v>
      </c>
      <c r="AV577" s="1">
        <f t="shared" si="76"/>
        <v>0.1855262806652252</v>
      </c>
      <c r="AW577" s="1">
        <f t="shared" si="77"/>
        <v>0.1113157683991351</v>
      </c>
    </row>
    <row r="578" spans="1:49" x14ac:dyDescent="0.2">
      <c r="A578">
        <v>576</v>
      </c>
      <c r="B578" t="s">
        <v>4525</v>
      </c>
      <c r="C578" t="s">
        <v>4524</v>
      </c>
      <c r="F578" t="s">
        <v>4523</v>
      </c>
      <c r="G578" t="s">
        <v>14</v>
      </c>
      <c r="H578" t="s">
        <v>13</v>
      </c>
      <c r="I578" t="s">
        <v>4522</v>
      </c>
      <c r="J578">
        <v>60011754</v>
      </c>
      <c r="K578" t="s">
        <v>4521</v>
      </c>
      <c r="L578" t="s">
        <v>4520</v>
      </c>
      <c r="M578" t="s">
        <v>197</v>
      </c>
      <c r="N578">
        <v>2</v>
      </c>
      <c r="O578" t="s">
        <v>4519</v>
      </c>
      <c r="P578" t="s">
        <v>4518</v>
      </c>
      <c r="Q578" t="s">
        <v>4517</v>
      </c>
      <c r="R578" s="7">
        <v>32874</v>
      </c>
      <c r="S578" s="8">
        <f t="shared" si="72"/>
        <v>1990</v>
      </c>
      <c r="T578" s="8">
        <v>1990</v>
      </c>
      <c r="U578" s="8">
        <f t="shared" si="73"/>
        <v>32</v>
      </c>
      <c r="V578" s="7">
        <v>33055</v>
      </c>
      <c r="W578" t="s">
        <v>2249</v>
      </c>
      <c r="X578" s="2">
        <v>1.6519999999999999</v>
      </c>
      <c r="Y578" s="6">
        <f t="shared" ref="Y578:Y641" si="78">(X578-$Z$4)/($Z$3-$Z$4)</f>
        <v>4.409919649769093E-2</v>
      </c>
      <c r="AA578" t="s">
        <v>2248</v>
      </c>
      <c r="AB578">
        <v>17337</v>
      </c>
      <c r="AC578">
        <v>15582221</v>
      </c>
      <c r="AD578" t="s">
        <v>5</v>
      </c>
      <c r="AE578">
        <v>38</v>
      </c>
      <c r="AF578">
        <v>7</v>
      </c>
      <c r="AH578" t="s">
        <v>4516</v>
      </c>
      <c r="AI578" t="s">
        <v>4515</v>
      </c>
      <c r="AK578" t="s">
        <v>4514</v>
      </c>
      <c r="AL578">
        <v>10</v>
      </c>
      <c r="AM578" s="5">
        <f t="shared" si="74"/>
        <v>0.3125</v>
      </c>
      <c r="AN578" s="4">
        <f t="shared" ref="AN578:AN641" si="79">(AM578-$AO$4)/($AO$3-$AO$4)</f>
        <v>4.7330556607345703E-4</v>
      </c>
      <c r="AO578" s="3"/>
      <c r="AP578">
        <v>0</v>
      </c>
      <c r="AR578" t="s">
        <v>0</v>
      </c>
      <c r="AT578" s="2" t="s">
        <v>126</v>
      </c>
      <c r="AU578" s="1">
        <f t="shared" si="75"/>
        <v>3.1011429218205686</v>
      </c>
      <c r="AV578" s="1">
        <f t="shared" si="76"/>
        <v>2.2286251031882194</v>
      </c>
      <c r="AW578" s="1">
        <f t="shared" si="77"/>
        <v>1.3561072845558697</v>
      </c>
    </row>
    <row r="579" spans="1:49" x14ac:dyDescent="0.2">
      <c r="A579">
        <v>577</v>
      </c>
      <c r="B579" t="s">
        <v>4513</v>
      </c>
      <c r="C579" t="s">
        <v>4512</v>
      </c>
      <c r="F579" t="s">
        <v>4511</v>
      </c>
      <c r="G579" t="s">
        <v>14</v>
      </c>
      <c r="H579" t="s">
        <v>13</v>
      </c>
      <c r="I579" t="s">
        <v>4510</v>
      </c>
      <c r="J579">
        <v>60026340</v>
      </c>
      <c r="K579" t="s">
        <v>4509</v>
      </c>
      <c r="L579" t="s">
        <v>4508</v>
      </c>
      <c r="M579" t="s">
        <v>536</v>
      </c>
      <c r="N579">
        <v>2</v>
      </c>
      <c r="O579" t="s">
        <v>4507</v>
      </c>
      <c r="P579" t="s">
        <v>4506</v>
      </c>
      <c r="Q579" t="s">
        <v>4505</v>
      </c>
      <c r="R579" s="7">
        <v>32874</v>
      </c>
      <c r="S579" s="8">
        <f t="shared" si="72"/>
        <v>1990</v>
      </c>
      <c r="T579" s="8">
        <v>1990</v>
      </c>
      <c r="U579" s="8">
        <f t="shared" si="73"/>
        <v>32</v>
      </c>
      <c r="V579" s="7">
        <v>33055</v>
      </c>
      <c r="W579" t="s">
        <v>2249</v>
      </c>
      <c r="X579" s="2">
        <v>1.6519999999999999</v>
      </c>
      <c r="Y579" s="6">
        <f t="shared" si="78"/>
        <v>4.409919649769093E-2</v>
      </c>
      <c r="AA579" t="s">
        <v>2248</v>
      </c>
      <c r="AB579">
        <v>17337</v>
      </c>
      <c r="AC579">
        <v>15582221</v>
      </c>
      <c r="AD579" t="s">
        <v>5</v>
      </c>
      <c r="AE579">
        <v>38</v>
      </c>
      <c r="AF579">
        <v>7</v>
      </c>
      <c r="AH579" t="s">
        <v>4504</v>
      </c>
      <c r="AI579" t="s">
        <v>4503</v>
      </c>
      <c r="AK579" t="s">
        <v>4502</v>
      </c>
      <c r="AL579">
        <v>58</v>
      </c>
      <c r="AM579" s="5">
        <f t="shared" si="74"/>
        <v>1.8125</v>
      </c>
      <c r="AN579" s="4">
        <f t="shared" si="79"/>
        <v>2.7451722832260508E-3</v>
      </c>
      <c r="AO579" s="3"/>
      <c r="AP579">
        <v>0</v>
      </c>
      <c r="AR579" t="s">
        <v>0</v>
      </c>
      <c r="AT579" s="2" t="s">
        <v>126</v>
      </c>
      <c r="AU579" s="1">
        <f t="shared" si="75"/>
        <v>3.169298923335147</v>
      </c>
      <c r="AV579" s="1">
        <f t="shared" si="76"/>
        <v>2.3422184390458489</v>
      </c>
      <c r="AW579" s="1">
        <f t="shared" si="77"/>
        <v>1.5151379547565513</v>
      </c>
    </row>
    <row r="580" spans="1:49" x14ac:dyDescent="0.2">
      <c r="A580">
        <v>578</v>
      </c>
      <c r="B580" t="s">
        <v>4501</v>
      </c>
      <c r="C580" t="s">
        <v>4500</v>
      </c>
      <c r="F580" t="s">
        <v>4499</v>
      </c>
      <c r="G580" t="s">
        <v>14</v>
      </c>
      <c r="H580" t="s">
        <v>13</v>
      </c>
      <c r="I580" t="s">
        <v>4498</v>
      </c>
      <c r="J580" t="s">
        <v>4493</v>
      </c>
      <c r="K580" t="s">
        <v>4497</v>
      </c>
      <c r="L580" t="s">
        <v>4496</v>
      </c>
      <c r="M580" t="s">
        <v>84</v>
      </c>
      <c r="N580">
        <v>2</v>
      </c>
      <c r="O580" t="s">
        <v>4495</v>
      </c>
      <c r="P580" t="s">
        <v>4494</v>
      </c>
      <c r="Q580" t="s">
        <v>4493</v>
      </c>
      <c r="R580" s="7">
        <v>32874</v>
      </c>
      <c r="S580" s="8">
        <f t="shared" si="72"/>
        <v>1990</v>
      </c>
      <c r="T580" s="8">
        <v>1990</v>
      </c>
      <c r="U580" s="8">
        <f t="shared" si="73"/>
        <v>32</v>
      </c>
      <c r="V580" s="7">
        <v>33055</v>
      </c>
      <c r="W580" t="s">
        <v>2249</v>
      </c>
      <c r="X580" s="2">
        <v>1.6519999999999999</v>
      </c>
      <c r="Y580" s="6">
        <f t="shared" si="78"/>
        <v>4.409919649769093E-2</v>
      </c>
      <c r="AA580" t="s">
        <v>2248</v>
      </c>
      <c r="AB580">
        <v>17337</v>
      </c>
      <c r="AC580">
        <v>15582221</v>
      </c>
      <c r="AD580" t="s">
        <v>5</v>
      </c>
      <c r="AE580">
        <v>38</v>
      </c>
      <c r="AF580">
        <v>7</v>
      </c>
      <c r="AH580" t="s">
        <v>4492</v>
      </c>
      <c r="AI580" t="s">
        <v>4491</v>
      </c>
      <c r="AK580" t="s">
        <v>4490</v>
      </c>
      <c r="AL580">
        <v>8</v>
      </c>
      <c r="AM580" s="5">
        <f t="shared" si="74"/>
        <v>0.25</v>
      </c>
      <c r="AN580" s="4">
        <f t="shared" si="79"/>
        <v>3.786444528587656E-4</v>
      </c>
      <c r="AO580" s="3"/>
      <c r="AP580">
        <v>0</v>
      </c>
      <c r="AR580" t="s">
        <v>0</v>
      </c>
      <c r="AT580" s="2" t="s">
        <v>126</v>
      </c>
      <c r="AU580" s="1">
        <f t="shared" si="75"/>
        <v>3.098303088424128</v>
      </c>
      <c r="AV580" s="1">
        <f t="shared" si="76"/>
        <v>2.2238920475274848</v>
      </c>
      <c r="AW580" s="1">
        <f t="shared" si="77"/>
        <v>1.3494810066308416</v>
      </c>
    </row>
    <row r="581" spans="1:49" x14ac:dyDescent="0.2">
      <c r="A581">
        <v>579</v>
      </c>
      <c r="B581" t="s">
        <v>4489</v>
      </c>
      <c r="C581" t="s">
        <v>4488</v>
      </c>
      <c r="F581" t="s">
        <v>4487</v>
      </c>
      <c r="G581" t="s">
        <v>14</v>
      </c>
      <c r="H581" t="s">
        <v>13</v>
      </c>
      <c r="I581" t="s">
        <v>4486</v>
      </c>
      <c r="J581" t="s">
        <v>4485</v>
      </c>
      <c r="K581" t="s">
        <v>4484</v>
      </c>
      <c r="L581" t="s">
        <v>4483</v>
      </c>
      <c r="M581" t="s">
        <v>84</v>
      </c>
      <c r="N581">
        <v>4</v>
      </c>
      <c r="O581" t="s">
        <v>4482</v>
      </c>
      <c r="P581" t="s">
        <v>4481</v>
      </c>
      <c r="Q581" t="s">
        <v>4480</v>
      </c>
      <c r="R581" s="7">
        <v>32874</v>
      </c>
      <c r="S581" s="8">
        <f t="shared" si="72"/>
        <v>1990</v>
      </c>
      <c r="T581" s="8">
        <v>1990</v>
      </c>
      <c r="U581" s="8">
        <f t="shared" si="73"/>
        <v>32</v>
      </c>
      <c r="V581" s="7">
        <v>33055</v>
      </c>
      <c r="W581" t="s">
        <v>2249</v>
      </c>
      <c r="X581" s="2">
        <v>1.6519999999999999</v>
      </c>
      <c r="Y581" s="6">
        <f t="shared" si="78"/>
        <v>4.409919649769093E-2</v>
      </c>
      <c r="AA581" t="s">
        <v>2248</v>
      </c>
      <c r="AB581">
        <v>17337</v>
      </c>
      <c r="AC581">
        <v>15582221</v>
      </c>
      <c r="AD581" t="s">
        <v>5</v>
      </c>
      <c r="AE581">
        <v>38</v>
      </c>
      <c r="AF581">
        <v>7</v>
      </c>
      <c r="AH581" t="s">
        <v>4479</v>
      </c>
      <c r="AI581" t="s">
        <v>4478</v>
      </c>
      <c r="AK581" t="s">
        <v>4477</v>
      </c>
      <c r="AL581">
        <v>2</v>
      </c>
      <c r="AM581" s="5">
        <f t="shared" si="74"/>
        <v>6.25E-2</v>
      </c>
      <c r="AN581" s="4">
        <f t="shared" si="79"/>
        <v>9.46611132146914E-5</v>
      </c>
      <c r="AO581" s="3"/>
      <c r="AP581">
        <v>0</v>
      </c>
      <c r="AR581" t="s">
        <v>0</v>
      </c>
      <c r="AT581" s="2" t="s">
        <v>126</v>
      </c>
      <c r="AU581" s="1">
        <f t="shared" si="75"/>
        <v>3.0897835882348059</v>
      </c>
      <c r="AV581" s="1">
        <f t="shared" si="76"/>
        <v>2.2096928805452811</v>
      </c>
      <c r="AW581" s="1">
        <f t="shared" si="77"/>
        <v>1.3296021728557561</v>
      </c>
    </row>
    <row r="582" spans="1:49" x14ac:dyDescent="0.2">
      <c r="A582">
        <v>580</v>
      </c>
      <c r="B582" t="s">
        <v>4476</v>
      </c>
      <c r="C582" t="s">
        <v>4475</v>
      </c>
      <c r="F582" t="s">
        <v>4474</v>
      </c>
      <c r="G582" t="s">
        <v>14</v>
      </c>
      <c r="H582" t="s">
        <v>13</v>
      </c>
      <c r="I582" t="s">
        <v>4473</v>
      </c>
      <c r="J582">
        <v>60030551</v>
      </c>
      <c r="K582" t="s">
        <v>2494</v>
      </c>
      <c r="L582" t="s">
        <v>2493</v>
      </c>
      <c r="M582" t="s">
        <v>197</v>
      </c>
      <c r="N582">
        <v>2</v>
      </c>
      <c r="O582" t="s">
        <v>4472</v>
      </c>
      <c r="P582" t="s">
        <v>4471</v>
      </c>
      <c r="Q582" t="s">
        <v>2490</v>
      </c>
      <c r="R582" s="7">
        <v>32874</v>
      </c>
      <c r="S582" s="8">
        <f t="shared" si="72"/>
        <v>1990</v>
      </c>
      <c r="T582" s="8">
        <v>1990</v>
      </c>
      <c r="U582" s="8">
        <f t="shared" si="73"/>
        <v>32</v>
      </c>
      <c r="V582" s="7">
        <v>33055</v>
      </c>
      <c r="W582" t="s">
        <v>2249</v>
      </c>
      <c r="X582" s="2">
        <v>1.6519999999999999</v>
      </c>
      <c r="Y582" s="6">
        <f t="shared" si="78"/>
        <v>4.409919649769093E-2</v>
      </c>
      <c r="AA582" t="s">
        <v>2248</v>
      </c>
      <c r="AB582">
        <v>17337</v>
      </c>
      <c r="AC582">
        <v>15582221</v>
      </c>
      <c r="AD582" t="s">
        <v>5</v>
      </c>
      <c r="AE582">
        <v>38</v>
      </c>
      <c r="AF582">
        <v>7</v>
      </c>
      <c r="AH582" t="s">
        <v>4470</v>
      </c>
      <c r="AI582" t="s">
        <v>4469</v>
      </c>
      <c r="AK582" t="s">
        <v>4468</v>
      </c>
      <c r="AL582">
        <v>4</v>
      </c>
      <c r="AM582" s="5">
        <f t="shared" si="74"/>
        <v>0.125</v>
      </c>
      <c r="AN582" s="4">
        <f t="shared" si="79"/>
        <v>1.893222264293828E-4</v>
      </c>
      <c r="AO582" s="3"/>
      <c r="AP582">
        <v>0</v>
      </c>
      <c r="AR582" t="s">
        <v>0</v>
      </c>
      <c r="AT582" s="2" t="s">
        <v>126</v>
      </c>
      <c r="AU582" s="1">
        <f t="shared" si="75"/>
        <v>3.0926234216312465</v>
      </c>
      <c r="AV582" s="1">
        <f t="shared" si="76"/>
        <v>2.2144259362060157</v>
      </c>
      <c r="AW582" s="1">
        <f t="shared" si="77"/>
        <v>1.3362284507807847</v>
      </c>
    </row>
    <row r="583" spans="1:49" x14ac:dyDescent="0.2">
      <c r="A583">
        <v>581</v>
      </c>
      <c r="B583" t="s">
        <v>4467</v>
      </c>
      <c r="C583" t="s">
        <v>4466</v>
      </c>
      <c r="F583" t="s">
        <v>4465</v>
      </c>
      <c r="G583" t="s">
        <v>14</v>
      </c>
      <c r="H583" t="s">
        <v>13</v>
      </c>
      <c r="I583" t="s">
        <v>4464</v>
      </c>
      <c r="J583" t="s">
        <v>4458</v>
      </c>
      <c r="K583" t="s">
        <v>4463</v>
      </c>
      <c r="L583" t="s">
        <v>4462</v>
      </c>
      <c r="M583" t="s">
        <v>4461</v>
      </c>
      <c r="N583">
        <v>3</v>
      </c>
      <c r="O583" t="s">
        <v>4460</v>
      </c>
      <c r="P583" t="s">
        <v>4459</v>
      </c>
      <c r="Q583" t="s">
        <v>4458</v>
      </c>
      <c r="R583" s="7">
        <v>32874</v>
      </c>
      <c r="S583" s="8">
        <f t="shared" si="72"/>
        <v>1990</v>
      </c>
      <c r="T583" s="8">
        <v>1990</v>
      </c>
      <c r="U583" s="8">
        <f t="shared" si="73"/>
        <v>32</v>
      </c>
      <c r="V583" s="7">
        <v>33055</v>
      </c>
      <c r="W583" t="s">
        <v>2249</v>
      </c>
      <c r="X583" s="2">
        <v>1.6519999999999999</v>
      </c>
      <c r="Y583" s="6">
        <f t="shared" si="78"/>
        <v>4.409919649769093E-2</v>
      </c>
      <c r="AA583" t="s">
        <v>2248</v>
      </c>
      <c r="AB583">
        <v>17337</v>
      </c>
      <c r="AC583">
        <v>15582221</v>
      </c>
      <c r="AD583" t="s">
        <v>5</v>
      </c>
      <c r="AE583">
        <v>38</v>
      </c>
      <c r="AF583">
        <v>7</v>
      </c>
      <c r="AH583" t="s">
        <v>4457</v>
      </c>
      <c r="AI583" t="s">
        <v>4456</v>
      </c>
      <c r="AK583" t="s">
        <v>4455</v>
      </c>
      <c r="AL583">
        <v>67</v>
      </c>
      <c r="AM583" s="5">
        <f t="shared" si="74"/>
        <v>2.09375</v>
      </c>
      <c r="AN583" s="4">
        <f t="shared" si="79"/>
        <v>3.1711472926921622E-3</v>
      </c>
      <c r="AO583" s="3"/>
      <c r="AP583">
        <v>0</v>
      </c>
      <c r="AR583" t="s">
        <v>0</v>
      </c>
      <c r="AT583" s="2" t="s">
        <v>126</v>
      </c>
      <c r="AU583" s="1">
        <f t="shared" si="75"/>
        <v>3.1820781736191304</v>
      </c>
      <c r="AV583" s="1">
        <f t="shared" si="76"/>
        <v>2.3635171895191545</v>
      </c>
      <c r="AW583" s="1">
        <f t="shared" si="77"/>
        <v>1.5449562054191792</v>
      </c>
    </row>
    <row r="584" spans="1:49" x14ac:dyDescent="0.2">
      <c r="A584">
        <v>582</v>
      </c>
      <c r="B584" t="s">
        <v>4454</v>
      </c>
      <c r="C584" t="s">
        <v>4453</v>
      </c>
      <c r="F584" t="s">
        <v>4452</v>
      </c>
      <c r="G584" t="s">
        <v>14</v>
      </c>
      <c r="H584" t="s">
        <v>13</v>
      </c>
      <c r="I584" t="s">
        <v>4451</v>
      </c>
      <c r="J584">
        <v>60025778</v>
      </c>
      <c r="K584" t="s">
        <v>436</v>
      </c>
      <c r="L584" t="s">
        <v>435</v>
      </c>
      <c r="M584" t="s">
        <v>197</v>
      </c>
      <c r="N584">
        <v>1</v>
      </c>
      <c r="O584" t="s">
        <v>4450</v>
      </c>
      <c r="P584">
        <v>7004624580</v>
      </c>
      <c r="Q584">
        <v>60025778</v>
      </c>
      <c r="R584" s="7">
        <v>32874</v>
      </c>
      <c r="S584" s="8">
        <f t="shared" si="72"/>
        <v>1990</v>
      </c>
      <c r="T584" s="8">
        <v>1990</v>
      </c>
      <c r="U584" s="8">
        <f t="shared" si="73"/>
        <v>32</v>
      </c>
      <c r="V584" s="7">
        <v>33055</v>
      </c>
      <c r="W584" t="s">
        <v>2249</v>
      </c>
      <c r="X584" s="2">
        <v>1.6519999999999999</v>
      </c>
      <c r="Y584" s="6">
        <f t="shared" si="78"/>
        <v>4.409919649769093E-2</v>
      </c>
      <c r="AA584" t="s">
        <v>2248</v>
      </c>
      <c r="AB584">
        <v>17337</v>
      </c>
      <c r="AC584">
        <v>15582221</v>
      </c>
      <c r="AD584" t="s">
        <v>5</v>
      </c>
      <c r="AE584">
        <v>38</v>
      </c>
      <c r="AF584">
        <v>7</v>
      </c>
      <c r="AH584" t="s">
        <v>4449</v>
      </c>
      <c r="AI584" t="s">
        <v>4448</v>
      </c>
      <c r="AK584" t="s">
        <v>4447</v>
      </c>
      <c r="AL584">
        <v>27</v>
      </c>
      <c r="AM584" s="5">
        <f t="shared" si="74"/>
        <v>0.84375</v>
      </c>
      <c r="AN584" s="4">
        <f t="shared" si="79"/>
        <v>1.2779250283983339E-3</v>
      </c>
      <c r="AO584" s="3"/>
      <c r="AP584">
        <v>0</v>
      </c>
      <c r="AR584" t="s">
        <v>0</v>
      </c>
      <c r="AT584" s="2" t="s">
        <v>126</v>
      </c>
      <c r="AU584" s="1">
        <f t="shared" si="75"/>
        <v>3.1252815056903152</v>
      </c>
      <c r="AV584" s="1">
        <f t="shared" si="76"/>
        <v>2.2688560763044632</v>
      </c>
      <c r="AW584" s="1">
        <f t="shared" si="77"/>
        <v>1.4124306469186112</v>
      </c>
    </row>
    <row r="585" spans="1:49" x14ac:dyDescent="0.2">
      <c r="A585">
        <v>583</v>
      </c>
      <c r="B585" t="s">
        <v>4446</v>
      </c>
      <c r="C585" t="s">
        <v>4445</v>
      </c>
      <c r="F585" t="s">
        <v>4444</v>
      </c>
      <c r="G585" t="s">
        <v>14</v>
      </c>
      <c r="H585" t="s">
        <v>13</v>
      </c>
      <c r="I585" t="s">
        <v>4443</v>
      </c>
      <c r="N585">
        <v>2</v>
      </c>
      <c r="O585" t="s">
        <v>4442</v>
      </c>
      <c r="P585" t="s">
        <v>4441</v>
      </c>
      <c r="Q585" t="s">
        <v>119</v>
      </c>
      <c r="R585" s="7">
        <v>32874</v>
      </c>
      <c r="S585" s="8">
        <f t="shared" si="72"/>
        <v>1990</v>
      </c>
      <c r="T585" s="8">
        <v>1990</v>
      </c>
      <c r="U585" s="8">
        <f t="shared" si="73"/>
        <v>32</v>
      </c>
      <c r="V585" s="7">
        <v>33055</v>
      </c>
      <c r="W585" t="s">
        <v>720</v>
      </c>
      <c r="X585" s="2">
        <v>1.137</v>
      </c>
      <c r="Y585" s="6">
        <f t="shared" si="78"/>
        <v>3.0351565628253384E-2</v>
      </c>
      <c r="AA585">
        <v>189251</v>
      </c>
      <c r="AB585">
        <v>17336</v>
      </c>
      <c r="AD585" t="s">
        <v>5</v>
      </c>
      <c r="AE585">
        <v>26</v>
      </c>
      <c r="AF585">
        <v>4</v>
      </c>
      <c r="AH585" t="s">
        <v>4440</v>
      </c>
      <c r="AI585" t="s">
        <v>4439</v>
      </c>
      <c r="AK585" t="s">
        <v>4438</v>
      </c>
      <c r="AL585">
        <v>1</v>
      </c>
      <c r="AM585" s="5">
        <f t="shared" si="74"/>
        <v>3.125E-2</v>
      </c>
      <c r="AN585" s="4">
        <f t="shared" si="79"/>
        <v>4.73305566073457E-5</v>
      </c>
      <c r="AO585" s="3"/>
      <c r="AP585">
        <v>0</v>
      </c>
      <c r="AR585" t="s">
        <v>0</v>
      </c>
      <c r="AT585" s="2" t="s">
        <v>126</v>
      </c>
      <c r="AU585" s="1">
        <f t="shared" si="75"/>
        <v>2.126029510675957</v>
      </c>
      <c r="AV585" s="1">
        <f t="shared" si="76"/>
        <v>1.5199448092430365</v>
      </c>
      <c r="AW585" s="1">
        <f t="shared" si="77"/>
        <v>0.91386010781011573</v>
      </c>
    </row>
    <row r="586" spans="1:49" x14ac:dyDescent="0.2">
      <c r="A586">
        <v>584</v>
      </c>
      <c r="B586" t="s">
        <v>4437</v>
      </c>
      <c r="C586" t="s">
        <v>4436</v>
      </c>
      <c r="D586" t="s">
        <v>4435</v>
      </c>
      <c r="F586" t="s">
        <v>4434</v>
      </c>
      <c r="G586" t="s">
        <v>14</v>
      </c>
      <c r="H586" t="s">
        <v>13</v>
      </c>
      <c r="I586" t="s">
        <v>4433</v>
      </c>
      <c r="J586" t="s">
        <v>4432</v>
      </c>
      <c r="K586" t="s">
        <v>4431</v>
      </c>
      <c r="L586" t="s">
        <v>4430</v>
      </c>
      <c r="M586" t="s">
        <v>4429</v>
      </c>
      <c r="N586">
        <v>3</v>
      </c>
      <c r="O586" t="s">
        <v>4428</v>
      </c>
      <c r="P586" t="s">
        <v>4427</v>
      </c>
      <c r="Q586" t="s">
        <v>4426</v>
      </c>
      <c r="R586" s="7">
        <v>32874</v>
      </c>
      <c r="S586" s="8">
        <f t="shared" si="72"/>
        <v>1990</v>
      </c>
      <c r="T586" s="8">
        <v>1990</v>
      </c>
      <c r="U586" s="8">
        <f t="shared" si="73"/>
        <v>32</v>
      </c>
      <c r="V586" s="7">
        <v>33055</v>
      </c>
      <c r="W586" t="s">
        <v>4425</v>
      </c>
      <c r="X586" s="2">
        <v>1.6439999999999999</v>
      </c>
      <c r="Y586" s="6">
        <f t="shared" si="78"/>
        <v>4.3885641066709377E-2</v>
      </c>
      <c r="AA586">
        <v>1674730</v>
      </c>
      <c r="AB586">
        <v>17470</v>
      </c>
      <c r="AD586" t="s">
        <v>5</v>
      </c>
      <c r="AE586">
        <v>8</v>
      </c>
      <c r="AF586" s="9">
        <v>44287</v>
      </c>
      <c r="AH586" t="s">
        <v>4424</v>
      </c>
      <c r="AI586" t="s">
        <v>4423</v>
      </c>
      <c r="AJ586" t="s">
        <v>4422</v>
      </c>
      <c r="AK586" t="s">
        <v>4421</v>
      </c>
      <c r="AL586">
        <v>13</v>
      </c>
      <c r="AM586" s="5">
        <f t="shared" si="74"/>
        <v>0.40625</v>
      </c>
      <c r="AN586" s="4">
        <f t="shared" si="79"/>
        <v>6.1529723589549411E-4</v>
      </c>
      <c r="AO586" s="3"/>
      <c r="AP586">
        <v>0</v>
      </c>
      <c r="AQ586" t="s">
        <v>4420</v>
      </c>
      <c r="AR586" t="s">
        <v>0</v>
      </c>
      <c r="AS586" t="s">
        <v>186</v>
      </c>
      <c r="AT586" s="2">
        <v>5.0469999999999997</v>
      </c>
      <c r="AU586" s="1">
        <f t="shared" si="75"/>
        <v>3.0904537917465209</v>
      </c>
      <c r="AV586" s="1">
        <f t="shared" si="76"/>
        <v>2.2250469151302434</v>
      </c>
      <c r="AW586" s="1">
        <f t="shared" si="77"/>
        <v>1.3596400385139658</v>
      </c>
    </row>
    <row r="587" spans="1:49" x14ac:dyDescent="0.2">
      <c r="A587">
        <v>585</v>
      </c>
      <c r="B587" t="s">
        <v>4419</v>
      </c>
      <c r="C587" t="s">
        <v>4418</v>
      </c>
      <c r="F587" t="s">
        <v>4417</v>
      </c>
      <c r="G587" t="s">
        <v>14</v>
      </c>
      <c r="H587" t="s">
        <v>13</v>
      </c>
      <c r="I587" t="s">
        <v>4416</v>
      </c>
      <c r="J587" t="s">
        <v>4415</v>
      </c>
      <c r="K587" t="s">
        <v>4414</v>
      </c>
      <c r="L587" t="s">
        <v>4413</v>
      </c>
      <c r="M587" t="s">
        <v>4412</v>
      </c>
      <c r="N587">
        <v>4</v>
      </c>
      <c r="O587" t="s">
        <v>4411</v>
      </c>
      <c r="P587" t="s">
        <v>4410</v>
      </c>
      <c r="Q587" t="s">
        <v>4409</v>
      </c>
      <c r="R587" s="7">
        <v>32874</v>
      </c>
      <c r="S587" s="8">
        <f t="shared" si="72"/>
        <v>1990</v>
      </c>
      <c r="T587" s="8">
        <v>1990</v>
      </c>
      <c r="U587" s="8">
        <f t="shared" si="73"/>
        <v>32</v>
      </c>
      <c r="V587" s="7">
        <v>33055</v>
      </c>
      <c r="W587" t="s">
        <v>1458</v>
      </c>
      <c r="X587" s="2">
        <v>2.383</v>
      </c>
      <c r="Y587" s="6">
        <f t="shared" si="78"/>
        <v>6.3612824003630442E-2</v>
      </c>
      <c r="AA587">
        <v>189219</v>
      </c>
      <c r="AB587">
        <v>17915</v>
      </c>
      <c r="AC587">
        <v>15582256</v>
      </c>
      <c r="AD587" t="s">
        <v>5</v>
      </c>
      <c r="AE587">
        <v>78</v>
      </c>
      <c r="AF587">
        <v>7</v>
      </c>
      <c r="AH587" t="s">
        <v>4408</v>
      </c>
      <c r="AI587" t="s">
        <v>4407</v>
      </c>
      <c r="AK587" t="s">
        <v>4406</v>
      </c>
      <c r="AL587">
        <v>7</v>
      </c>
      <c r="AM587" s="5">
        <f t="shared" si="74"/>
        <v>0.21875</v>
      </c>
      <c r="AN587" s="4">
        <f t="shared" si="79"/>
        <v>3.3131389625141994E-4</v>
      </c>
      <c r="AO587" s="3"/>
      <c r="AP587">
        <v>0</v>
      </c>
      <c r="AR587" t="s">
        <v>0</v>
      </c>
      <c r="AT587" s="2">
        <v>10.961</v>
      </c>
      <c r="AU587" s="1">
        <f t="shared" si="75"/>
        <v>4.4628370971416729</v>
      </c>
      <c r="AV587" s="1">
        <f t="shared" si="76"/>
        <v>3.1972068949940931</v>
      </c>
      <c r="AW587" s="1">
        <f t="shared" si="77"/>
        <v>1.9315766928465126</v>
      </c>
    </row>
    <row r="588" spans="1:49" x14ac:dyDescent="0.2">
      <c r="A588">
        <v>586</v>
      </c>
      <c r="B588" t="s">
        <v>4405</v>
      </c>
      <c r="C588" t="s">
        <v>4404</v>
      </c>
      <c r="F588" t="s">
        <v>4403</v>
      </c>
      <c r="G588" t="s">
        <v>14</v>
      </c>
      <c r="H588" t="s">
        <v>13</v>
      </c>
      <c r="I588" t="s">
        <v>4402</v>
      </c>
      <c r="J588" t="s">
        <v>4401</v>
      </c>
      <c r="K588" t="s">
        <v>4400</v>
      </c>
      <c r="L588" t="s">
        <v>4399</v>
      </c>
      <c r="M588" t="s">
        <v>84</v>
      </c>
      <c r="N588">
        <v>4</v>
      </c>
      <c r="O588" t="s">
        <v>4398</v>
      </c>
      <c r="P588" t="s">
        <v>4397</v>
      </c>
      <c r="Q588" t="s">
        <v>4396</v>
      </c>
      <c r="R588" s="7">
        <v>32874</v>
      </c>
      <c r="S588" s="8">
        <f t="shared" si="72"/>
        <v>1990</v>
      </c>
      <c r="T588" s="8">
        <v>1990</v>
      </c>
      <c r="U588" s="8">
        <f t="shared" si="73"/>
        <v>32</v>
      </c>
      <c r="V588" s="7">
        <v>33055</v>
      </c>
      <c r="W588" t="s">
        <v>1458</v>
      </c>
      <c r="X588" s="2">
        <v>2.383</v>
      </c>
      <c r="Y588" s="6">
        <f t="shared" si="78"/>
        <v>6.3612824003630442E-2</v>
      </c>
      <c r="AA588">
        <v>189219</v>
      </c>
      <c r="AB588">
        <v>17915</v>
      </c>
      <c r="AC588">
        <v>15582256</v>
      </c>
      <c r="AD588" t="s">
        <v>5</v>
      </c>
      <c r="AE588">
        <v>78</v>
      </c>
      <c r="AF588">
        <v>7</v>
      </c>
      <c r="AH588" t="s">
        <v>4395</v>
      </c>
      <c r="AI588" t="s">
        <v>4394</v>
      </c>
      <c r="AK588" t="s">
        <v>4393</v>
      </c>
      <c r="AL588">
        <v>31</v>
      </c>
      <c r="AM588" s="5">
        <f t="shared" si="74"/>
        <v>0.96875</v>
      </c>
      <c r="AN588" s="4">
        <f t="shared" si="79"/>
        <v>1.4672472548277167E-3</v>
      </c>
      <c r="AO588" s="3"/>
      <c r="AP588">
        <v>0</v>
      </c>
      <c r="AR588" t="s">
        <v>0</v>
      </c>
      <c r="AT588" s="2">
        <v>10.961</v>
      </c>
      <c r="AU588" s="1">
        <f t="shared" si="75"/>
        <v>4.4969150978989623</v>
      </c>
      <c r="AV588" s="1">
        <f t="shared" si="76"/>
        <v>3.2540035629229083</v>
      </c>
      <c r="AW588" s="1">
        <f t="shared" si="77"/>
        <v>2.0110920279468534</v>
      </c>
    </row>
    <row r="589" spans="1:49" x14ac:dyDescent="0.2">
      <c r="A589">
        <v>587</v>
      </c>
      <c r="B589" t="s">
        <v>4392</v>
      </c>
      <c r="C589" t="s">
        <v>4391</v>
      </c>
      <c r="F589" t="s">
        <v>4390</v>
      </c>
      <c r="G589" t="s">
        <v>14</v>
      </c>
      <c r="H589" t="s">
        <v>13</v>
      </c>
      <c r="I589" t="s">
        <v>4071</v>
      </c>
      <c r="J589">
        <v>60013183</v>
      </c>
      <c r="K589" t="s">
        <v>4070</v>
      </c>
      <c r="L589" t="s">
        <v>4069</v>
      </c>
      <c r="M589" t="s">
        <v>4068</v>
      </c>
      <c r="N589">
        <v>1</v>
      </c>
      <c r="O589" t="s">
        <v>4389</v>
      </c>
      <c r="P589">
        <v>57203737489</v>
      </c>
      <c r="Q589">
        <v>60013183</v>
      </c>
      <c r="R589" s="7">
        <v>32874</v>
      </c>
      <c r="S589" s="8">
        <f t="shared" si="72"/>
        <v>1990</v>
      </c>
      <c r="T589" s="8">
        <v>1990</v>
      </c>
      <c r="U589" s="8">
        <f t="shared" si="73"/>
        <v>32</v>
      </c>
      <c r="V589" s="7">
        <v>33055</v>
      </c>
      <c r="W589" t="s">
        <v>4388</v>
      </c>
      <c r="X589" s="2">
        <v>0.371</v>
      </c>
      <c r="Y589" s="6">
        <f t="shared" si="78"/>
        <v>9.9036331117695747E-3</v>
      </c>
      <c r="AA589">
        <v>214922</v>
      </c>
      <c r="AB589">
        <v>130262</v>
      </c>
      <c r="AC589">
        <v>13474065</v>
      </c>
      <c r="AD589" t="s">
        <v>5</v>
      </c>
      <c r="AE589">
        <v>29</v>
      </c>
      <c r="AF589">
        <v>7</v>
      </c>
      <c r="AH589" t="s">
        <v>4387</v>
      </c>
      <c r="AI589" t="s">
        <v>4386</v>
      </c>
      <c r="AJ589" t="s">
        <v>4385</v>
      </c>
      <c r="AK589" t="s">
        <v>4384</v>
      </c>
      <c r="AL589">
        <v>0</v>
      </c>
      <c r="AM589" s="5">
        <f t="shared" si="74"/>
        <v>0</v>
      </c>
      <c r="AN589" s="4">
        <f t="shared" si="79"/>
        <v>0</v>
      </c>
      <c r="AO589" s="3"/>
      <c r="AP589">
        <v>0</v>
      </c>
      <c r="AR589" t="s">
        <v>0</v>
      </c>
      <c r="AT589" s="2">
        <v>1.48</v>
      </c>
      <c r="AU589" s="1">
        <f t="shared" si="75"/>
        <v>0.69325431782387015</v>
      </c>
      <c r="AV589" s="1">
        <f t="shared" si="76"/>
        <v>0.49518165558847871</v>
      </c>
      <c r="AW589" s="1">
        <f t="shared" si="77"/>
        <v>0.29710899335308727</v>
      </c>
    </row>
    <row r="590" spans="1:49" x14ac:dyDescent="0.2">
      <c r="A590">
        <v>588</v>
      </c>
      <c r="B590" t="s">
        <v>4383</v>
      </c>
      <c r="C590" t="s">
        <v>4382</v>
      </c>
      <c r="F590" t="s">
        <v>4381</v>
      </c>
      <c r="G590" t="s">
        <v>14</v>
      </c>
      <c r="H590" t="s">
        <v>13</v>
      </c>
      <c r="I590" t="s">
        <v>4380</v>
      </c>
      <c r="N590">
        <v>1</v>
      </c>
      <c r="O590" t="s">
        <v>4379</v>
      </c>
      <c r="P590">
        <v>7402520557</v>
      </c>
      <c r="R590" s="7">
        <v>32874</v>
      </c>
      <c r="S590" s="8">
        <f t="shared" si="72"/>
        <v>1990</v>
      </c>
      <c r="T590" s="8">
        <v>1990</v>
      </c>
      <c r="U590" s="8">
        <f t="shared" si="73"/>
        <v>32</v>
      </c>
      <c r="V590" s="7">
        <v>33055</v>
      </c>
      <c r="W590" t="s">
        <v>1458</v>
      </c>
      <c r="X590" s="2">
        <v>2.383</v>
      </c>
      <c r="Y590" s="6">
        <f t="shared" si="78"/>
        <v>6.3612824003630442E-2</v>
      </c>
      <c r="AA590">
        <v>189219</v>
      </c>
      <c r="AB590">
        <v>17915</v>
      </c>
      <c r="AC590">
        <v>15582256</v>
      </c>
      <c r="AD590" t="s">
        <v>5</v>
      </c>
      <c r="AE590">
        <v>78</v>
      </c>
      <c r="AF590">
        <v>7</v>
      </c>
      <c r="AH590" t="s">
        <v>4378</v>
      </c>
      <c r="AI590" t="s">
        <v>4377</v>
      </c>
      <c r="AK590" t="s">
        <v>4376</v>
      </c>
      <c r="AL590">
        <v>9</v>
      </c>
      <c r="AM590" s="5">
        <f t="shared" si="74"/>
        <v>0.28125</v>
      </c>
      <c r="AN590" s="4">
        <f t="shared" si="79"/>
        <v>4.2597500946611131E-4</v>
      </c>
      <c r="AO590" s="3"/>
      <c r="AP590">
        <v>0</v>
      </c>
      <c r="AR590" t="s">
        <v>0</v>
      </c>
      <c r="AT590" s="2">
        <v>10.961</v>
      </c>
      <c r="AU590" s="1">
        <f t="shared" si="75"/>
        <v>4.4656769305381143</v>
      </c>
      <c r="AV590" s="1">
        <f t="shared" si="76"/>
        <v>3.2019399506548281</v>
      </c>
      <c r="AW590" s="1">
        <f t="shared" si="77"/>
        <v>1.9382029707715409</v>
      </c>
    </row>
    <row r="591" spans="1:49" x14ac:dyDescent="0.2">
      <c r="A591">
        <v>589</v>
      </c>
      <c r="B591" t="s">
        <v>4375</v>
      </c>
      <c r="C591" t="s">
        <v>4374</v>
      </c>
      <c r="F591" t="s">
        <v>4373</v>
      </c>
      <c r="G591" t="s">
        <v>14</v>
      </c>
      <c r="H591" t="s">
        <v>13</v>
      </c>
      <c r="I591" t="s">
        <v>4372</v>
      </c>
      <c r="J591">
        <v>60015623</v>
      </c>
      <c r="K591" t="s">
        <v>685</v>
      </c>
      <c r="L591" t="s">
        <v>684</v>
      </c>
      <c r="M591" t="s">
        <v>197</v>
      </c>
      <c r="N591">
        <v>1</v>
      </c>
      <c r="O591" t="s">
        <v>4371</v>
      </c>
      <c r="P591">
        <v>7006807417</v>
      </c>
      <c r="Q591">
        <v>60015623</v>
      </c>
      <c r="R591" s="7">
        <v>32874</v>
      </c>
      <c r="S591" s="8">
        <f t="shared" si="72"/>
        <v>1990</v>
      </c>
      <c r="T591" s="8">
        <v>1990</v>
      </c>
      <c r="U591" s="8">
        <f t="shared" si="73"/>
        <v>32</v>
      </c>
      <c r="V591" s="7">
        <v>33055</v>
      </c>
      <c r="W591" t="s">
        <v>1283</v>
      </c>
      <c r="X591" s="2">
        <v>2.141</v>
      </c>
      <c r="Y591" s="6">
        <f t="shared" si="78"/>
        <v>5.7152772216438434E-2</v>
      </c>
      <c r="AA591">
        <v>1962892</v>
      </c>
      <c r="AB591">
        <v>17360</v>
      </c>
      <c r="AC591">
        <v>15580644</v>
      </c>
      <c r="AD591" t="s">
        <v>5</v>
      </c>
      <c r="AE591">
        <v>28</v>
      </c>
      <c r="AF591">
        <v>4</v>
      </c>
      <c r="AH591" t="s">
        <v>4370</v>
      </c>
      <c r="AI591" t="s">
        <v>4369</v>
      </c>
      <c r="AK591" t="s">
        <v>4368</v>
      </c>
      <c r="AL591">
        <v>11</v>
      </c>
      <c r="AM591" s="5">
        <f t="shared" si="74"/>
        <v>0.34375</v>
      </c>
      <c r="AN591" s="4">
        <f t="shared" si="79"/>
        <v>5.2063612268080268E-4</v>
      </c>
      <c r="AO591" s="3"/>
      <c r="AP591">
        <v>0</v>
      </c>
      <c r="AR591" t="s">
        <v>0</v>
      </c>
      <c r="AT591" s="2" t="s">
        <v>126</v>
      </c>
      <c r="AU591" s="1">
        <f t="shared" si="75"/>
        <v>4.016313138831114</v>
      </c>
      <c r="AV591" s="1">
        <f t="shared" si="76"/>
        <v>2.8836704169559617</v>
      </c>
      <c r="AW591" s="1">
        <f t="shared" si="77"/>
        <v>1.7510276950808095</v>
      </c>
    </row>
    <row r="592" spans="1:49" x14ac:dyDescent="0.2">
      <c r="A592">
        <v>590</v>
      </c>
      <c r="B592" t="s">
        <v>4367</v>
      </c>
      <c r="C592" t="s">
        <v>4366</v>
      </c>
      <c r="F592" t="s">
        <v>4365</v>
      </c>
      <c r="G592" t="s">
        <v>14</v>
      </c>
      <c r="H592" t="s">
        <v>13</v>
      </c>
      <c r="I592" t="s">
        <v>4364</v>
      </c>
      <c r="J592" t="s">
        <v>4363</v>
      </c>
      <c r="K592" t="s">
        <v>4362</v>
      </c>
      <c r="L592" t="s">
        <v>4361</v>
      </c>
      <c r="M592" t="s">
        <v>84</v>
      </c>
      <c r="N592">
        <v>5</v>
      </c>
      <c r="O592" t="s">
        <v>4360</v>
      </c>
      <c r="P592" t="s">
        <v>4359</v>
      </c>
      <c r="Q592" t="s">
        <v>4358</v>
      </c>
      <c r="R592" s="7">
        <v>32874</v>
      </c>
      <c r="S592" s="8">
        <f t="shared" si="72"/>
        <v>1990</v>
      </c>
      <c r="T592" s="8">
        <v>1990</v>
      </c>
      <c r="U592" s="8">
        <f t="shared" si="73"/>
        <v>32</v>
      </c>
      <c r="V592" s="7">
        <v>33055</v>
      </c>
      <c r="W592" t="s">
        <v>1283</v>
      </c>
      <c r="X592" s="2">
        <v>2.141</v>
      </c>
      <c r="Y592" s="6">
        <f t="shared" si="78"/>
        <v>5.7152772216438434E-2</v>
      </c>
      <c r="AA592">
        <v>1962892</v>
      </c>
      <c r="AB592">
        <v>17360</v>
      </c>
      <c r="AC592">
        <v>15580644</v>
      </c>
      <c r="AD592" t="s">
        <v>5</v>
      </c>
      <c r="AE592">
        <v>28</v>
      </c>
      <c r="AF592">
        <v>4</v>
      </c>
      <c r="AH592" t="s">
        <v>4357</v>
      </c>
      <c r="AI592" t="s">
        <v>4356</v>
      </c>
      <c r="AK592" t="s">
        <v>4355</v>
      </c>
      <c r="AL592">
        <v>57</v>
      </c>
      <c r="AM592" s="5">
        <f t="shared" si="74"/>
        <v>1.78125</v>
      </c>
      <c r="AN592" s="4">
        <f t="shared" si="79"/>
        <v>2.6978417266187052E-3</v>
      </c>
      <c r="AO592" s="3"/>
      <c r="AP592">
        <v>0</v>
      </c>
      <c r="AQ592" t="s">
        <v>1279</v>
      </c>
      <c r="AR592" t="s">
        <v>4354</v>
      </c>
      <c r="AS592" t="s">
        <v>1278</v>
      </c>
      <c r="AT592" s="2" t="s">
        <v>126</v>
      </c>
      <c r="AU592" s="1">
        <f t="shared" si="75"/>
        <v>4.0816293069492513</v>
      </c>
      <c r="AV592" s="1">
        <f t="shared" si="76"/>
        <v>2.9925306971528567</v>
      </c>
      <c r="AW592" s="1">
        <f t="shared" si="77"/>
        <v>1.9034320873564623</v>
      </c>
    </row>
    <row r="593" spans="1:49" x14ac:dyDescent="0.2">
      <c r="A593">
        <v>591</v>
      </c>
      <c r="B593" t="s">
        <v>4353</v>
      </c>
      <c r="C593" t="s">
        <v>4352</v>
      </c>
      <c r="F593" t="s">
        <v>4351</v>
      </c>
      <c r="G593" t="s">
        <v>14</v>
      </c>
      <c r="H593" t="s">
        <v>13</v>
      </c>
      <c r="I593" t="s">
        <v>4350</v>
      </c>
      <c r="J593" t="s">
        <v>4349</v>
      </c>
      <c r="K593" t="s">
        <v>4348</v>
      </c>
      <c r="L593" t="s">
        <v>4347</v>
      </c>
      <c r="M593" t="s">
        <v>4346</v>
      </c>
      <c r="N593">
        <v>3</v>
      </c>
      <c r="O593" t="s">
        <v>4345</v>
      </c>
      <c r="P593" t="s">
        <v>4344</v>
      </c>
      <c r="Q593" t="s">
        <v>4343</v>
      </c>
      <c r="R593" s="7">
        <v>32874</v>
      </c>
      <c r="S593" s="8">
        <f t="shared" si="72"/>
        <v>1990</v>
      </c>
      <c r="T593" s="8">
        <v>1990</v>
      </c>
      <c r="U593" s="8">
        <f t="shared" si="73"/>
        <v>32</v>
      </c>
      <c r="V593" s="7">
        <v>33055</v>
      </c>
      <c r="W593" t="s">
        <v>1458</v>
      </c>
      <c r="X593" s="2">
        <v>2.383</v>
      </c>
      <c r="Y593" s="6">
        <f t="shared" si="78"/>
        <v>6.3612824003630442E-2</v>
      </c>
      <c r="AA593">
        <v>189219</v>
      </c>
      <c r="AB593">
        <v>17915</v>
      </c>
      <c r="AC593">
        <v>15582256</v>
      </c>
      <c r="AD593" t="s">
        <v>5</v>
      </c>
      <c r="AE593">
        <v>78</v>
      </c>
      <c r="AF593">
        <v>7</v>
      </c>
      <c r="AH593" t="s">
        <v>4342</v>
      </c>
      <c r="AI593" t="s">
        <v>4341</v>
      </c>
      <c r="AK593" t="s">
        <v>4340</v>
      </c>
      <c r="AL593">
        <v>7</v>
      </c>
      <c r="AM593" s="5">
        <f t="shared" si="74"/>
        <v>0.21875</v>
      </c>
      <c r="AN593" s="4">
        <f t="shared" si="79"/>
        <v>3.3131389625141994E-4</v>
      </c>
      <c r="AO593" s="3"/>
      <c r="AP593">
        <v>0</v>
      </c>
      <c r="AR593" t="s">
        <v>0</v>
      </c>
      <c r="AT593" s="2">
        <v>10.961</v>
      </c>
      <c r="AU593" s="1">
        <f t="shared" si="75"/>
        <v>4.4628370971416729</v>
      </c>
      <c r="AV593" s="1">
        <f t="shared" si="76"/>
        <v>3.1972068949940931</v>
      </c>
      <c r="AW593" s="1">
        <f t="shared" si="77"/>
        <v>1.9315766928465126</v>
      </c>
    </row>
    <row r="594" spans="1:49" x14ac:dyDescent="0.2">
      <c r="A594">
        <v>592</v>
      </c>
      <c r="B594" t="s">
        <v>4339</v>
      </c>
      <c r="C594" t="s">
        <v>4338</v>
      </c>
      <c r="F594" t="s">
        <v>4337</v>
      </c>
      <c r="G594" t="s">
        <v>14</v>
      </c>
      <c r="H594" t="s">
        <v>13</v>
      </c>
      <c r="I594" t="s">
        <v>4336</v>
      </c>
      <c r="J594" t="s">
        <v>4331</v>
      </c>
      <c r="K594" t="s">
        <v>4335</v>
      </c>
      <c r="L594" t="s">
        <v>4334</v>
      </c>
      <c r="M594" t="s">
        <v>84</v>
      </c>
      <c r="N594">
        <v>2</v>
      </c>
      <c r="O594" t="s">
        <v>4333</v>
      </c>
      <c r="P594" t="s">
        <v>4332</v>
      </c>
      <c r="Q594" t="s">
        <v>4331</v>
      </c>
      <c r="R594" s="7">
        <v>32874</v>
      </c>
      <c r="S594" s="8">
        <f t="shared" si="72"/>
        <v>1990</v>
      </c>
      <c r="T594" s="8">
        <v>1990</v>
      </c>
      <c r="U594" s="8">
        <f t="shared" si="73"/>
        <v>32</v>
      </c>
      <c r="V594" s="7">
        <v>33055</v>
      </c>
      <c r="W594" t="s">
        <v>1458</v>
      </c>
      <c r="X594" s="2">
        <v>2.383</v>
      </c>
      <c r="Y594" s="6">
        <f t="shared" si="78"/>
        <v>6.3612824003630442E-2</v>
      </c>
      <c r="AA594">
        <v>189219</v>
      </c>
      <c r="AB594">
        <v>17915</v>
      </c>
      <c r="AC594">
        <v>15582256</v>
      </c>
      <c r="AD594" t="s">
        <v>5</v>
      </c>
      <c r="AE594">
        <v>78</v>
      </c>
      <c r="AF594">
        <v>7</v>
      </c>
      <c r="AH594" t="s">
        <v>4330</v>
      </c>
      <c r="AI594" t="s">
        <v>4329</v>
      </c>
      <c r="AK594" t="s">
        <v>4328</v>
      </c>
      <c r="AL594">
        <v>2</v>
      </c>
      <c r="AM594" s="5">
        <f t="shared" si="74"/>
        <v>6.25E-2</v>
      </c>
      <c r="AN594" s="4">
        <f t="shared" si="79"/>
        <v>9.46611132146914E-5</v>
      </c>
      <c r="AO594" s="3"/>
      <c r="AP594">
        <v>0</v>
      </c>
      <c r="AR594" t="s">
        <v>0</v>
      </c>
      <c r="AT594" s="2">
        <v>10.961</v>
      </c>
      <c r="AU594" s="1">
        <f t="shared" si="75"/>
        <v>4.4557375136505719</v>
      </c>
      <c r="AV594" s="1">
        <f t="shared" si="76"/>
        <v>3.1853742558422571</v>
      </c>
      <c r="AW594" s="1">
        <f t="shared" si="77"/>
        <v>1.9150109980339416</v>
      </c>
    </row>
    <row r="595" spans="1:49" x14ac:dyDescent="0.2">
      <c r="A595">
        <v>593</v>
      </c>
      <c r="B595" t="s">
        <v>4327</v>
      </c>
      <c r="C595" t="s">
        <v>4326</v>
      </c>
      <c r="F595" t="s">
        <v>4325</v>
      </c>
      <c r="G595" t="s">
        <v>14</v>
      </c>
      <c r="H595" t="s">
        <v>13</v>
      </c>
      <c r="I595" t="s">
        <v>4324</v>
      </c>
      <c r="N595">
        <v>1</v>
      </c>
      <c r="O595" t="s">
        <v>4323</v>
      </c>
      <c r="P595">
        <v>6602165581</v>
      </c>
      <c r="R595" s="7">
        <v>32874</v>
      </c>
      <c r="S595" s="8">
        <f t="shared" si="72"/>
        <v>1990</v>
      </c>
      <c r="T595" s="8">
        <v>1990</v>
      </c>
      <c r="U595" s="8">
        <f t="shared" si="73"/>
        <v>32</v>
      </c>
      <c r="V595" s="7">
        <v>33055</v>
      </c>
      <c r="W595" t="s">
        <v>1458</v>
      </c>
      <c r="X595" s="2">
        <v>2.383</v>
      </c>
      <c r="Y595" s="6">
        <f t="shared" si="78"/>
        <v>6.3612824003630442E-2</v>
      </c>
      <c r="AA595">
        <v>189219</v>
      </c>
      <c r="AB595">
        <v>17915</v>
      </c>
      <c r="AC595">
        <v>15582256</v>
      </c>
      <c r="AD595" t="s">
        <v>5</v>
      </c>
      <c r="AE595">
        <v>78</v>
      </c>
      <c r="AF595">
        <v>7</v>
      </c>
      <c r="AH595" t="s">
        <v>4322</v>
      </c>
      <c r="AI595" t="s">
        <v>4321</v>
      </c>
      <c r="AK595" t="s">
        <v>4320</v>
      </c>
      <c r="AL595">
        <v>19</v>
      </c>
      <c r="AM595" s="5">
        <f t="shared" si="74"/>
        <v>0.59375</v>
      </c>
      <c r="AN595" s="4">
        <f t="shared" si="79"/>
        <v>8.9928057553956839E-4</v>
      </c>
      <c r="AO595" s="3"/>
      <c r="AP595">
        <v>0</v>
      </c>
      <c r="AR595" t="s">
        <v>0</v>
      </c>
      <c r="AT595" s="2">
        <v>10.961</v>
      </c>
      <c r="AU595" s="1">
        <f t="shared" si="75"/>
        <v>4.479876097520318</v>
      </c>
      <c r="AV595" s="1">
        <f t="shared" si="76"/>
        <v>3.2256052289585</v>
      </c>
      <c r="AW595" s="1">
        <f t="shared" si="77"/>
        <v>1.9713343603966829</v>
      </c>
    </row>
    <row r="596" spans="1:49" x14ac:dyDescent="0.2">
      <c r="A596">
        <v>594</v>
      </c>
      <c r="B596" t="s">
        <v>4319</v>
      </c>
      <c r="C596" t="s">
        <v>4318</v>
      </c>
      <c r="F596" t="s">
        <v>4317</v>
      </c>
      <c r="G596" t="s">
        <v>14</v>
      </c>
      <c r="H596" t="s">
        <v>13</v>
      </c>
      <c r="I596" t="s">
        <v>4316</v>
      </c>
      <c r="J596">
        <v>60015457</v>
      </c>
      <c r="K596" t="s">
        <v>1581</v>
      </c>
      <c r="L596" t="s">
        <v>2032</v>
      </c>
      <c r="M596" t="s">
        <v>197</v>
      </c>
      <c r="N596">
        <v>3</v>
      </c>
      <c r="O596" t="s">
        <v>4315</v>
      </c>
      <c r="P596" t="s">
        <v>4314</v>
      </c>
      <c r="Q596" t="s">
        <v>2029</v>
      </c>
      <c r="R596" s="7">
        <v>32874</v>
      </c>
      <c r="S596" s="8">
        <f t="shared" si="72"/>
        <v>1990</v>
      </c>
      <c r="T596" s="8">
        <v>1990</v>
      </c>
      <c r="U596" s="8">
        <f t="shared" si="73"/>
        <v>32</v>
      </c>
      <c r="V596" s="7">
        <v>33055</v>
      </c>
      <c r="W596" t="s">
        <v>1283</v>
      </c>
      <c r="X596" s="2">
        <v>2.141</v>
      </c>
      <c r="Y596" s="6">
        <f t="shared" si="78"/>
        <v>5.7152772216438434E-2</v>
      </c>
      <c r="AA596">
        <v>1962892</v>
      </c>
      <c r="AB596">
        <v>17360</v>
      </c>
      <c r="AC596">
        <v>15580644</v>
      </c>
      <c r="AD596" t="s">
        <v>5</v>
      </c>
      <c r="AE596">
        <v>28</v>
      </c>
      <c r="AF596">
        <v>4</v>
      </c>
      <c r="AH596" t="s">
        <v>2877</v>
      </c>
      <c r="AI596" t="s">
        <v>4313</v>
      </c>
      <c r="AK596" t="s">
        <v>4312</v>
      </c>
      <c r="AL596">
        <v>7</v>
      </c>
      <c r="AM596" s="5">
        <f t="shared" si="74"/>
        <v>0.21875</v>
      </c>
      <c r="AN596" s="4">
        <f t="shared" si="79"/>
        <v>3.3131389625141994E-4</v>
      </c>
      <c r="AO596" s="3"/>
      <c r="AP596">
        <v>0</v>
      </c>
      <c r="AQ596" t="s">
        <v>4311</v>
      </c>
      <c r="AR596">
        <v>9036091</v>
      </c>
      <c r="AS596" t="s">
        <v>4310</v>
      </c>
      <c r="AT596" s="2" t="s">
        <v>126</v>
      </c>
      <c r="AU596" s="1">
        <f t="shared" si="75"/>
        <v>4.010633472038232</v>
      </c>
      <c r="AV596" s="1">
        <f t="shared" si="76"/>
        <v>2.8742043056344926</v>
      </c>
      <c r="AW596" s="1">
        <f t="shared" si="77"/>
        <v>1.7377751392307523</v>
      </c>
    </row>
    <row r="597" spans="1:49" x14ac:dyDescent="0.2">
      <c r="A597">
        <v>595</v>
      </c>
      <c r="B597" t="s">
        <v>4309</v>
      </c>
      <c r="C597" t="s">
        <v>4308</v>
      </c>
      <c r="F597" t="s">
        <v>4307</v>
      </c>
      <c r="G597" t="s">
        <v>14</v>
      </c>
      <c r="H597" t="s">
        <v>13</v>
      </c>
      <c r="I597" t="s">
        <v>4306</v>
      </c>
      <c r="J597" t="s">
        <v>4305</v>
      </c>
      <c r="K597" t="s">
        <v>4304</v>
      </c>
      <c r="L597" t="s">
        <v>4303</v>
      </c>
      <c r="M597" t="s">
        <v>4302</v>
      </c>
      <c r="N597">
        <v>2</v>
      </c>
      <c r="O597" t="s">
        <v>4301</v>
      </c>
      <c r="P597" t="s">
        <v>4300</v>
      </c>
      <c r="Q597" t="s">
        <v>4299</v>
      </c>
      <c r="R597" s="7">
        <v>32874</v>
      </c>
      <c r="S597" s="8">
        <f t="shared" si="72"/>
        <v>1990</v>
      </c>
      <c r="T597" s="8">
        <v>1990</v>
      </c>
      <c r="U597" s="8">
        <f t="shared" si="73"/>
        <v>32</v>
      </c>
      <c r="V597" s="7">
        <v>33055</v>
      </c>
      <c r="W597" t="s">
        <v>720</v>
      </c>
      <c r="X597" s="2">
        <v>1.137</v>
      </c>
      <c r="Y597" s="6">
        <f t="shared" si="78"/>
        <v>3.0351565628253384E-2</v>
      </c>
      <c r="AA597">
        <v>189251</v>
      </c>
      <c r="AB597">
        <v>17336</v>
      </c>
      <c r="AD597" t="s">
        <v>5</v>
      </c>
      <c r="AE597">
        <v>26</v>
      </c>
      <c r="AF597">
        <v>4</v>
      </c>
      <c r="AH597" t="s">
        <v>4298</v>
      </c>
      <c r="AI597" t="s">
        <v>4297</v>
      </c>
      <c r="AK597" t="s">
        <v>4296</v>
      </c>
      <c r="AL597">
        <v>40</v>
      </c>
      <c r="AM597" s="5">
        <f t="shared" si="74"/>
        <v>1.25</v>
      </c>
      <c r="AN597" s="4">
        <f t="shared" si="79"/>
        <v>1.8932222642938281E-3</v>
      </c>
      <c r="AO597" s="3"/>
      <c r="AP597">
        <v>0</v>
      </c>
      <c r="AR597" t="s">
        <v>0</v>
      </c>
      <c r="AT597" s="2" t="s">
        <v>126</v>
      </c>
      <c r="AU597" s="1">
        <f t="shared" si="75"/>
        <v>2.1814062619065515</v>
      </c>
      <c r="AV597" s="1">
        <f t="shared" si="76"/>
        <v>1.6122393946273608</v>
      </c>
      <c r="AW597" s="1">
        <f t="shared" si="77"/>
        <v>1.0430725273481696</v>
      </c>
    </row>
    <row r="598" spans="1:49" x14ac:dyDescent="0.2">
      <c r="A598">
        <v>596</v>
      </c>
      <c r="B598" t="s">
        <v>4295</v>
      </c>
      <c r="C598" t="s">
        <v>4294</v>
      </c>
      <c r="F598" t="s">
        <v>4293</v>
      </c>
      <c r="G598" t="s">
        <v>14</v>
      </c>
      <c r="H598" t="s">
        <v>13</v>
      </c>
      <c r="I598" t="s">
        <v>4292</v>
      </c>
      <c r="J598">
        <v>60110693</v>
      </c>
      <c r="K598" t="s">
        <v>4291</v>
      </c>
      <c r="L598" t="s">
        <v>4290</v>
      </c>
      <c r="M598" t="s">
        <v>1637</v>
      </c>
      <c r="N598">
        <v>3</v>
      </c>
      <c r="O598" t="s">
        <v>4289</v>
      </c>
      <c r="P598" t="s">
        <v>4288</v>
      </c>
      <c r="Q598" t="s">
        <v>4287</v>
      </c>
      <c r="R598" s="7">
        <v>32874</v>
      </c>
      <c r="S598" s="8">
        <f t="shared" si="72"/>
        <v>1990</v>
      </c>
      <c r="T598" s="8">
        <v>1990</v>
      </c>
      <c r="U598" s="8">
        <f t="shared" si="73"/>
        <v>32</v>
      </c>
      <c r="V598" s="7" t="s">
        <v>3887</v>
      </c>
      <c r="W598" s="11" t="s">
        <v>1933</v>
      </c>
      <c r="X598" s="2">
        <v>2.383</v>
      </c>
      <c r="Y598" s="6">
        <f t="shared" si="78"/>
        <v>6.3612824003630442E-2</v>
      </c>
      <c r="AA598" t="s">
        <v>1932</v>
      </c>
      <c r="AB598">
        <v>101151</v>
      </c>
      <c r="AD598" t="s">
        <v>5</v>
      </c>
      <c r="AE598">
        <v>137</v>
      </c>
      <c r="AF598">
        <v>3</v>
      </c>
      <c r="AH598" t="s">
        <v>4286</v>
      </c>
      <c r="AI598" t="s">
        <v>4285</v>
      </c>
      <c r="AK598" t="s">
        <v>4284</v>
      </c>
      <c r="AL598">
        <v>49</v>
      </c>
      <c r="AM598" s="5">
        <f t="shared" si="74"/>
        <v>1.53125</v>
      </c>
      <c r="AN598" s="4">
        <f t="shared" si="79"/>
        <v>2.3191972737599395E-3</v>
      </c>
      <c r="AO598" s="3"/>
      <c r="AP598">
        <v>0</v>
      </c>
      <c r="AR598" t="s">
        <v>0</v>
      </c>
      <c r="AT598" s="2" t="s">
        <v>126</v>
      </c>
      <c r="AU598" s="1">
        <f t="shared" si="75"/>
        <v>4.5224735984669291</v>
      </c>
      <c r="AV598" s="1">
        <f t="shared" si="76"/>
        <v>3.2966010638695189</v>
      </c>
      <c r="AW598" s="1">
        <f t="shared" si="77"/>
        <v>2.0707285292721087</v>
      </c>
    </row>
    <row r="599" spans="1:49" x14ac:dyDescent="0.2">
      <c r="A599">
        <v>597</v>
      </c>
      <c r="B599" t="s">
        <v>4283</v>
      </c>
      <c r="C599" t="s">
        <v>4282</v>
      </c>
      <c r="F599" t="s">
        <v>4281</v>
      </c>
      <c r="G599" t="s">
        <v>14</v>
      </c>
      <c r="H599" t="s">
        <v>13</v>
      </c>
      <c r="I599" t="s">
        <v>4280</v>
      </c>
      <c r="J599" t="s">
        <v>4279</v>
      </c>
      <c r="K599" t="s">
        <v>4278</v>
      </c>
      <c r="L599" t="s">
        <v>4277</v>
      </c>
      <c r="M599" t="s">
        <v>4276</v>
      </c>
      <c r="N599">
        <v>3</v>
      </c>
      <c r="O599" t="s">
        <v>4275</v>
      </c>
      <c r="P599" t="s">
        <v>4274</v>
      </c>
      <c r="Q599" t="s">
        <v>4273</v>
      </c>
      <c r="R599" s="7">
        <v>32874</v>
      </c>
      <c r="S599" s="8">
        <f t="shared" si="72"/>
        <v>1990</v>
      </c>
      <c r="T599" s="8">
        <v>1990</v>
      </c>
      <c r="U599" s="8">
        <f t="shared" si="73"/>
        <v>32</v>
      </c>
      <c r="V599" s="7">
        <v>33025</v>
      </c>
      <c r="W599" t="s">
        <v>2249</v>
      </c>
      <c r="X599" s="2">
        <v>1.6519999999999999</v>
      </c>
      <c r="Y599" s="6">
        <f t="shared" si="78"/>
        <v>4.409919649769093E-2</v>
      </c>
      <c r="AA599" t="s">
        <v>2248</v>
      </c>
      <c r="AB599">
        <v>17337</v>
      </c>
      <c r="AC599">
        <v>15582221</v>
      </c>
      <c r="AD599" t="s">
        <v>5</v>
      </c>
      <c r="AE599">
        <v>38</v>
      </c>
      <c r="AF599">
        <v>6</v>
      </c>
      <c r="AH599" t="s">
        <v>4272</v>
      </c>
      <c r="AI599" t="s">
        <v>4271</v>
      </c>
      <c r="AK599" t="s">
        <v>4270</v>
      </c>
      <c r="AL599">
        <v>0</v>
      </c>
      <c r="AM599" s="5">
        <f t="shared" si="74"/>
        <v>0</v>
      </c>
      <c r="AN599" s="4">
        <f t="shared" si="79"/>
        <v>0</v>
      </c>
      <c r="AO599" s="3"/>
      <c r="AP599">
        <v>0</v>
      </c>
      <c r="AR599" t="s">
        <v>0</v>
      </c>
      <c r="AT599" s="2" t="s">
        <v>126</v>
      </c>
      <c r="AU599" s="1">
        <f t="shared" si="75"/>
        <v>3.0869437548383649</v>
      </c>
      <c r="AV599" s="1">
        <f t="shared" si="76"/>
        <v>2.2049598248845466</v>
      </c>
      <c r="AW599" s="1">
        <f t="shared" si="77"/>
        <v>1.3229758949307278</v>
      </c>
    </row>
    <row r="600" spans="1:49" x14ac:dyDescent="0.2">
      <c r="A600">
        <v>598</v>
      </c>
      <c r="B600" t="s">
        <v>4269</v>
      </c>
      <c r="C600" t="s">
        <v>4268</v>
      </c>
      <c r="F600" t="s">
        <v>4267</v>
      </c>
      <c r="G600" t="s">
        <v>14</v>
      </c>
      <c r="H600" t="s">
        <v>13</v>
      </c>
      <c r="I600" t="s">
        <v>4266</v>
      </c>
      <c r="J600">
        <v>60009697</v>
      </c>
      <c r="K600" t="s">
        <v>1939</v>
      </c>
      <c r="L600" t="s">
        <v>1938</v>
      </c>
      <c r="M600" t="s">
        <v>1937</v>
      </c>
      <c r="N600">
        <v>2</v>
      </c>
      <c r="O600" t="s">
        <v>4265</v>
      </c>
      <c r="P600" t="s">
        <v>2203</v>
      </c>
      <c r="Q600" t="s">
        <v>1934</v>
      </c>
      <c r="R600" s="7">
        <v>32874</v>
      </c>
      <c r="S600" s="8">
        <f t="shared" si="72"/>
        <v>1990</v>
      </c>
      <c r="T600" s="8">
        <v>1990</v>
      </c>
      <c r="U600" s="8">
        <f t="shared" si="73"/>
        <v>32</v>
      </c>
      <c r="V600" s="7">
        <v>33025</v>
      </c>
      <c r="W600" t="s">
        <v>2249</v>
      </c>
      <c r="X600" s="2">
        <v>1.6519999999999999</v>
      </c>
      <c r="Y600" s="6">
        <f t="shared" si="78"/>
        <v>4.409919649769093E-2</v>
      </c>
      <c r="AA600" t="s">
        <v>2248</v>
      </c>
      <c r="AB600">
        <v>17337</v>
      </c>
      <c r="AC600">
        <v>15582221</v>
      </c>
      <c r="AD600" t="s">
        <v>5</v>
      </c>
      <c r="AE600">
        <v>38</v>
      </c>
      <c r="AF600">
        <v>6</v>
      </c>
      <c r="AH600" t="s">
        <v>4264</v>
      </c>
      <c r="AI600" t="s">
        <v>4263</v>
      </c>
      <c r="AK600" t="s">
        <v>4262</v>
      </c>
      <c r="AL600">
        <v>7</v>
      </c>
      <c r="AM600" s="5">
        <f t="shared" si="74"/>
        <v>0.21875</v>
      </c>
      <c r="AN600" s="4">
        <f t="shared" si="79"/>
        <v>3.3131389625141994E-4</v>
      </c>
      <c r="AO600" s="3"/>
      <c r="AP600">
        <v>0</v>
      </c>
      <c r="AR600" t="s">
        <v>0</v>
      </c>
      <c r="AT600" s="2" t="s">
        <v>126</v>
      </c>
      <c r="AU600" s="1">
        <f t="shared" si="75"/>
        <v>3.0968831717259078</v>
      </c>
      <c r="AV600" s="1">
        <f t="shared" si="76"/>
        <v>2.2215255196971175</v>
      </c>
      <c r="AW600" s="1">
        <f t="shared" si="77"/>
        <v>1.3461678676683271</v>
      </c>
    </row>
    <row r="601" spans="1:49" x14ac:dyDescent="0.2">
      <c r="A601">
        <v>599</v>
      </c>
      <c r="B601" t="s">
        <v>4261</v>
      </c>
      <c r="C601" t="s">
        <v>4260</v>
      </c>
      <c r="F601" t="s">
        <v>4259</v>
      </c>
      <c r="G601" t="s">
        <v>14</v>
      </c>
      <c r="H601" t="s">
        <v>13</v>
      </c>
      <c r="I601" t="s">
        <v>4258</v>
      </c>
      <c r="N601">
        <v>1</v>
      </c>
      <c r="O601" t="s">
        <v>4257</v>
      </c>
      <c r="P601">
        <v>7201776186</v>
      </c>
      <c r="R601" s="7">
        <v>32874</v>
      </c>
      <c r="S601" s="8">
        <f t="shared" si="72"/>
        <v>1990</v>
      </c>
      <c r="T601" s="8">
        <v>1990</v>
      </c>
      <c r="U601" s="8">
        <f t="shared" si="73"/>
        <v>32</v>
      </c>
      <c r="V601" s="7">
        <v>33025</v>
      </c>
      <c r="W601" t="s">
        <v>1858</v>
      </c>
      <c r="X601" s="2">
        <v>0.88100000000000001</v>
      </c>
      <c r="Y601" s="6">
        <f t="shared" si="78"/>
        <v>2.3517791836843653E-2</v>
      </c>
      <c r="AA601">
        <v>10459243</v>
      </c>
      <c r="AB601">
        <v>17248</v>
      </c>
      <c r="AD601" t="s">
        <v>5</v>
      </c>
      <c r="AE601">
        <v>32</v>
      </c>
      <c r="AF601">
        <v>3</v>
      </c>
      <c r="AH601" s="10">
        <v>42156</v>
      </c>
      <c r="AL601">
        <v>0</v>
      </c>
      <c r="AM601" s="5">
        <f t="shared" si="74"/>
        <v>0</v>
      </c>
      <c r="AN601" s="4">
        <f t="shared" si="79"/>
        <v>0</v>
      </c>
      <c r="AO601" s="3"/>
      <c r="AP601">
        <v>0</v>
      </c>
      <c r="AR601" t="s">
        <v>0</v>
      </c>
      <c r="AT601" s="2" t="s">
        <v>126</v>
      </c>
      <c r="AU601" s="1">
        <f t="shared" si="75"/>
        <v>1.6462454285790555</v>
      </c>
      <c r="AV601" s="1">
        <f t="shared" si="76"/>
        <v>1.1758895918421826</v>
      </c>
      <c r="AW601" s="1">
        <f t="shared" si="77"/>
        <v>0.70553375510530958</v>
      </c>
    </row>
    <row r="602" spans="1:49" x14ac:dyDescent="0.2">
      <c r="A602">
        <v>600</v>
      </c>
      <c r="B602" t="s">
        <v>4256</v>
      </c>
      <c r="C602" t="s">
        <v>4255</v>
      </c>
      <c r="F602" t="s">
        <v>4254</v>
      </c>
      <c r="G602" t="s">
        <v>14</v>
      </c>
      <c r="H602" t="s">
        <v>13</v>
      </c>
      <c r="I602" t="s">
        <v>4253</v>
      </c>
      <c r="J602">
        <v>60005304</v>
      </c>
      <c r="K602" t="s">
        <v>747</v>
      </c>
      <c r="L602" t="s">
        <v>746</v>
      </c>
      <c r="M602" t="s">
        <v>197</v>
      </c>
      <c r="N602">
        <v>1</v>
      </c>
      <c r="O602" t="s">
        <v>4252</v>
      </c>
      <c r="P602">
        <v>7102098720</v>
      </c>
      <c r="Q602">
        <v>60005304</v>
      </c>
      <c r="R602" s="7">
        <v>32874</v>
      </c>
      <c r="S602" s="8">
        <f t="shared" si="72"/>
        <v>1990</v>
      </c>
      <c r="T602" s="8">
        <v>1990</v>
      </c>
      <c r="U602" s="8">
        <f t="shared" si="73"/>
        <v>32</v>
      </c>
      <c r="V602" s="7">
        <v>33025</v>
      </c>
      <c r="W602" t="s">
        <v>2249</v>
      </c>
      <c r="X602" s="2">
        <v>1.6519999999999999</v>
      </c>
      <c r="Y602" s="6">
        <f t="shared" si="78"/>
        <v>4.409919649769093E-2</v>
      </c>
      <c r="AA602" t="s">
        <v>2248</v>
      </c>
      <c r="AB602">
        <v>17337</v>
      </c>
      <c r="AC602">
        <v>15582221</v>
      </c>
      <c r="AD602" t="s">
        <v>5</v>
      </c>
      <c r="AE602">
        <v>38</v>
      </c>
      <c r="AF602">
        <v>6</v>
      </c>
      <c r="AH602" t="s">
        <v>4251</v>
      </c>
      <c r="AI602" t="s">
        <v>4250</v>
      </c>
      <c r="AK602" t="s">
        <v>4249</v>
      </c>
      <c r="AL602">
        <v>2</v>
      </c>
      <c r="AM602" s="5">
        <f t="shared" si="74"/>
        <v>6.25E-2</v>
      </c>
      <c r="AN602" s="4">
        <f t="shared" si="79"/>
        <v>9.46611132146914E-5</v>
      </c>
      <c r="AO602" s="3"/>
      <c r="AP602">
        <v>0</v>
      </c>
      <c r="AR602" t="s">
        <v>0</v>
      </c>
      <c r="AT602" s="2" t="s">
        <v>126</v>
      </c>
      <c r="AU602" s="1">
        <f t="shared" si="75"/>
        <v>3.0897835882348059</v>
      </c>
      <c r="AV602" s="1">
        <f t="shared" si="76"/>
        <v>2.2096928805452811</v>
      </c>
      <c r="AW602" s="1">
        <f t="shared" si="77"/>
        <v>1.3296021728557561</v>
      </c>
    </row>
    <row r="603" spans="1:49" x14ac:dyDescent="0.2">
      <c r="A603">
        <v>601</v>
      </c>
      <c r="B603" t="s">
        <v>4248</v>
      </c>
      <c r="C603" t="s">
        <v>4247</v>
      </c>
      <c r="F603" t="s">
        <v>4246</v>
      </c>
      <c r="G603" t="s">
        <v>14</v>
      </c>
      <c r="H603" t="s">
        <v>13</v>
      </c>
      <c r="I603" t="s">
        <v>4245</v>
      </c>
      <c r="J603">
        <v>60003500</v>
      </c>
      <c r="K603" t="s">
        <v>3159</v>
      </c>
      <c r="L603" t="s">
        <v>3158</v>
      </c>
      <c r="M603" t="s">
        <v>197</v>
      </c>
      <c r="N603">
        <v>3</v>
      </c>
      <c r="O603" t="s">
        <v>4244</v>
      </c>
      <c r="P603" t="s">
        <v>4243</v>
      </c>
      <c r="Q603" t="s">
        <v>3906</v>
      </c>
      <c r="R603" s="7">
        <v>32874</v>
      </c>
      <c r="S603" s="8">
        <f t="shared" si="72"/>
        <v>1990</v>
      </c>
      <c r="T603" s="8">
        <v>1990</v>
      </c>
      <c r="U603" s="8">
        <f t="shared" si="73"/>
        <v>32</v>
      </c>
      <c r="V603" s="7">
        <v>33025</v>
      </c>
      <c r="W603" t="s">
        <v>2249</v>
      </c>
      <c r="X603" s="2">
        <v>1.6519999999999999</v>
      </c>
      <c r="Y603" s="6">
        <f t="shared" si="78"/>
        <v>4.409919649769093E-2</v>
      </c>
      <c r="AA603" t="s">
        <v>2248</v>
      </c>
      <c r="AB603">
        <v>17337</v>
      </c>
      <c r="AC603">
        <v>15582221</v>
      </c>
      <c r="AD603" t="s">
        <v>5</v>
      </c>
      <c r="AE603">
        <v>38</v>
      </c>
      <c r="AF603">
        <v>6</v>
      </c>
      <c r="AH603" t="s">
        <v>4242</v>
      </c>
      <c r="AI603" t="s">
        <v>4241</v>
      </c>
      <c r="AK603" t="s">
        <v>4240</v>
      </c>
      <c r="AL603">
        <v>19</v>
      </c>
      <c r="AM603" s="5">
        <f t="shared" si="74"/>
        <v>0.59375</v>
      </c>
      <c r="AN603" s="4">
        <f t="shared" si="79"/>
        <v>8.9928057553956839E-4</v>
      </c>
      <c r="AO603" s="3"/>
      <c r="AP603">
        <v>0</v>
      </c>
      <c r="AR603" t="s">
        <v>0</v>
      </c>
      <c r="AT603" s="2" t="s">
        <v>126</v>
      </c>
      <c r="AU603" s="1">
        <f t="shared" si="75"/>
        <v>3.113922172104552</v>
      </c>
      <c r="AV603" s="1">
        <f t="shared" si="76"/>
        <v>2.2499238536615249</v>
      </c>
      <c r="AW603" s="1">
        <f t="shared" si="77"/>
        <v>1.3859255352184976</v>
      </c>
    </row>
    <row r="604" spans="1:49" x14ac:dyDescent="0.2">
      <c r="A604">
        <v>602</v>
      </c>
      <c r="B604" t="s">
        <v>4239</v>
      </c>
      <c r="C604" t="s">
        <v>4238</v>
      </c>
      <c r="F604" t="s">
        <v>4237</v>
      </c>
      <c r="G604" t="s">
        <v>14</v>
      </c>
      <c r="H604" t="s">
        <v>13</v>
      </c>
      <c r="I604" t="s">
        <v>1796</v>
      </c>
      <c r="J604">
        <v>60019102</v>
      </c>
      <c r="K604" t="s">
        <v>1795</v>
      </c>
      <c r="L604" t="s">
        <v>1566</v>
      </c>
      <c r="M604" t="s">
        <v>1565</v>
      </c>
      <c r="N604">
        <v>1</v>
      </c>
      <c r="O604" t="s">
        <v>1794</v>
      </c>
      <c r="P604">
        <v>24341657200</v>
      </c>
      <c r="Q604">
        <v>60019102</v>
      </c>
      <c r="R604" s="7">
        <v>32874</v>
      </c>
      <c r="S604" s="8">
        <f t="shared" si="72"/>
        <v>1990</v>
      </c>
      <c r="T604" s="8">
        <v>1990</v>
      </c>
      <c r="U604" s="8">
        <f t="shared" si="73"/>
        <v>32</v>
      </c>
      <c r="V604" s="7" t="s">
        <v>3887</v>
      </c>
      <c r="W604" s="11" t="s">
        <v>1792</v>
      </c>
      <c r="X604" s="2">
        <v>2.383</v>
      </c>
      <c r="Y604" s="6">
        <f t="shared" si="78"/>
        <v>6.3612824003630442E-2</v>
      </c>
      <c r="AA604">
        <v>1437070</v>
      </c>
      <c r="AB604">
        <v>39742</v>
      </c>
      <c r="AD604" t="s">
        <v>5</v>
      </c>
      <c r="AE604">
        <v>137</v>
      </c>
      <c r="AF604">
        <v>3</v>
      </c>
      <c r="AH604" t="s">
        <v>4236</v>
      </c>
      <c r="AI604" t="s">
        <v>4235</v>
      </c>
      <c r="AK604" t="s">
        <v>4234</v>
      </c>
      <c r="AL604">
        <v>5</v>
      </c>
      <c r="AM604" s="5">
        <f t="shared" si="74"/>
        <v>0.15625</v>
      </c>
      <c r="AN604" s="4">
        <f t="shared" si="79"/>
        <v>2.3665278303672851E-4</v>
      </c>
      <c r="AO604" s="3"/>
      <c r="AP604">
        <v>0</v>
      </c>
      <c r="AR604" t="s">
        <v>0</v>
      </c>
      <c r="AT604" s="2" t="s">
        <v>126</v>
      </c>
      <c r="AU604" s="1">
        <f t="shared" si="75"/>
        <v>4.4599972637452332</v>
      </c>
      <c r="AV604" s="1">
        <f t="shared" si="76"/>
        <v>3.192473839333358</v>
      </c>
      <c r="AW604" s="1">
        <f t="shared" si="77"/>
        <v>1.9249504149214842</v>
      </c>
    </row>
    <row r="605" spans="1:49" x14ac:dyDescent="0.2">
      <c r="A605">
        <v>603</v>
      </c>
      <c r="B605" t="s">
        <v>4233</v>
      </c>
      <c r="C605" t="s">
        <v>4232</v>
      </c>
      <c r="F605" t="s">
        <v>4231</v>
      </c>
      <c r="G605" t="s">
        <v>14</v>
      </c>
      <c r="H605" t="s">
        <v>13</v>
      </c>
      <c r="I605" t="s">
        <v>4230</v>
      </c>
      <c r="J605">
        <v>60000745</v>
      </c>
      <c r="K605" t="s">
        <v>2214</v>
      </c>
      <c r="L605" t="s">
        <v>2213</v>
      </c>
      <c r="M605" t="s">
        <v>197</v>
      </c>
      <c r="N605">
        <v>3</v>
      </c>
      <c r="O605" t="s">
        <v>4229</v>
      </c>
      <c r="P605" t="s">
        <v>4228</v>
      </c>
      <c r="Q605" t="s">
        <v>2409</v>
      </c>
      <c r="R605" s="7">
        <v>32874</v>
      </c>
      <c r="S605" s="8">
        <f t="shared" si="72"/>
        <v>1990</v>
      </c>
      <c r="T605" s="8">
        <v>1990</v>
      </c>
      <c r="U605" s="8">
        <f t="shared" si="73"/>
        <v>32</v>
      </c>
      <c r="V605" s="7">
        <v>33025</v>
      </c>
      <c r="W605" t="s">
        <v>2249</v>
      </c>
      <c r="X605" s="2">
        <v>1.6519999999999999</v>
      </c>
      <c r="Y605" s="6">
        <f t="shared" si="78"/>
        <v>4.409919649769093E-2</v>
      </c>
      <c r="AA605" t="s">
        <v>2248</v>
      </c>
      <c r="AB605">
        <v>17337</v>
      </c>
      <c r="AC605">
        <v>15582221</v>
      </c>
      <c r="AD605" t="s">
        <v>5</v>
      </c>
      <c r="AE605">
        <v>38</v>
      </c>
      <c r="AF605">
        <v>6</v>
      </c>
      <c r="AH605" t="s">
        <v>4227</v>
      </c>
      <c r="AI605" t="s">
        <v>4226</v>
      </c>
      <c r="AK605" t="s">
        <v>4225</v>
      </c>
      <c r="AL605">
        <v>23</v>
      </c>
      <c r="AM605" s="5">
        <f t="shared" si="74"/>
        <v>0.71875</v>
      </c>
      <c r="AN605" s="4">
        <f t="shared" si="79"/>
        <v>1.0886028019689512E-3</v>
      </c>
      <c r="AO605" s="3"/>
      <c r="AP605">
        <v>0</v>
      </c>
      <c r="AR605" t="s">
        <v>0</v>
      </c>
      <c r="AT605" s="2" t="s">
        <v>126</v>
      </c>
      <c r="AU605" s="1">
        <f t="shared" si="75"/>
        <v>3.1196018388974336</v>
      </c>
      <c r="AV605" s="1">
        <f t="shared" si="76"/>
        <v>2.259389964982994</v>
      </c>
      <c r="AW605" s="1">
        <f t="shared" si="77"/>
        <v>1.3991780910685543</v>
      </c>
    </row>
    <row r="606" spans="1:49" x14ac:dyDescent="0.2">
      <c r="A606">
        <v>604</v>
      </c>
      <c r="B606" t="s">
        <v>4224</v>
      </c>
      <c r="C606" t="s">
        <v>4223</v>
      </c>
      <c r="F606" t="s">
        <v>4222</v>
      </c>
      <c r="G606" t="s">
        <v>14</v>
      </c>
      <c r="H606" t="s">
        <v>13</v>
      </c>
      <c r="I606" t="s">
        <v>4147</v>
      </c>
      <c r="J606">
        <v>60027550</v>
      </c>
      <c r="K606" t="s">
        <v>3438</v>
      </c>
      <c r="L606" t="s">
        <v>280</v>
      </c>
      <c r="M606" t="s">
        <v>197</v>
      </c>
      <c r="N606">
        <v>1</v>
      </c>
      <c r="O606" t="s">
        <v>4146</v>
      </c>
      <c r="P606">
        <v>55884538900</v>
      </c>
      <c r="Q606">
        <v>60027550</v>
      </c>
      <c r="R606" s="7">
        <v>32874</v>
      </c>
      <c r="S606" s="8">
        <f t="shared" si="72"/>
        <v>1990</v>
      </c>
      <c r="T606" s="8">
        <v>1990</v>
      </c>
      <c r="U606" s="8">
        <f t="shared" si="73"/>
        <v>32</v>
      </c>
      <c r="V606" s="7">
        <v>33025</v>
      </c>
      <c r="W606" t="s">
        <v>2249</v>
      </c>
      <c r="X606" s="2">
        <v>1.6519999999999999</v>
      </c>
      <c r="Y606" s="6">
        <f t="shared" si="78"/>
        <v>4.409919649769093E-2</v>
      </c>
      <c r="AA606" t="s">
        <v>2248</v>
      </c>
      <c r="AB606">
        <v>17337</v>
      </c>
      <c r="AC606">
        <v>15582221</v>
      </c>
      <c r="AD606" t="s">
        <v>5</v>
      </c>
      <c r="AE606">
        <v>38</v>
      </c>
      <c r="AF606">
        <v>6</v>
      </c>
      <c r="AH606" t="s">
        <v>4221</v>
      </c>
      <c r="AI606" t="s">
        <v>4220</v>
      </c>
      <c r="AK606" t="s">
        <v>4219</v>
      </c>
      <c r="AL606">
        <v>5</v>
      </c>
      <c r="AM606" s="5">
        <f t="shared" si="74"/>
        <v>0.15625</v>
      </c>
      <c r="AN606" s="4">
        <f t="shared" si="79"/>
        <v>2.3665278303672851E-4</v>
      </c>
      <c r="AO606" s="3"/>
      <c r="AP606">
        <v>0</v>
      </c>
      <c r="AR606" t="s">
        <v>0</v>
      </c>
      <c r="AT606" s="2" t="s">
        <v>126</v>
      </c>
      <c r="AU606" s="1">
        <f t="shared" si="75"/>
        <v>3.0940433383294672</v>
      </c>
      <c r="AV606" s="1">
        <f t="shared" si="76"/>
        <v>2.216792464036383</v>
      </c>
      <c r="AW606" s="1">
        <f t="shared" si="77"/>
        <v>1.3395415897432987</v>
      </c>
    </row>
    <row r="607" spans="1:49" x14ac:dyDescent="0.2">
      <c r="A607">
        <v>605</v>
      </c>
      <c r="B607" t="s">
        <v>4218</v>
      </c>
      <c r="C607" t="s">
        <v>4217</v>
      </c>
      <c r="F607" t="s">
        <v>4216</v>
      </c>
      <c r="G607" t="s">
        <v>14</v>
      </c>
      <c r="H607" t="s">
        <v>13</v>
      </c>
      <c r="I607" t="s">
        <v>4215</v>
      </c>
      <c r="J607" t="s">
        <v>4214</v>
      </c>
      <c r="K607" t="s">
        <v>4213</v>
      </c>
      <c r="L607" t="s">
        <v>4212</v>
      </c>
      <c r="M607" t="s">
        <v>4211</v>
      </c>
      <c r="N607">
        <v>4</v>
      </c>
      <c r="O607" t="s">
        <v>4210</v>
      </c>
      <c r="P607" t="s">
        <v>4209</v>
      </c>
      <c r="Q607" t="s">
        <v>4208</v>
      </c>
      <c r="R607" s="7">
        <v>32874</v>
      </c>
      <c r="S607" s="8">
        <f t="shared" si="72"/>
        <v>1990</v>
      </c>
      <c r="T607" s="8">
        <v>1990</v>
      </c>
      <c r="U607" s="8">
        <f t="shared" si="73"/>
        <v>32</v>
      </c>
      <c r="V607" s="7">
        <v>33025</v>
      </c>
      <c r="W607" t="s">
        <v>4207</v>
      </c>
      <c r="X607" s="2">
        <v>1.3460000000000001</v>
      </c>
      <c r="Y607" s="6">
        <f t="shared" si="78"/>
        <v>3.593070126264649E-2</v>
      </c>
      <c r="AA607">
        <v>7338724</v>
      </c>
      <c r="AB607">
        <v>12178</v>
      </c>
      <c r="AC607">
        <v>15582213</v>
      </c>
      <c r="AD607" t="s">
        <v>5</v>
      </c>
      <c r="AE607">
        <v>8</v>
      </c>
      <c r="AF607">
        <v>6</v>
      </c>
      <c r="AH607" t="s">
        <v>4206</v>
      </c>
      <c r="AI607" t="s">
        <v>4205</v>
      </c>
      <c r="AK607" t="s">
        <v>4204</v>
      </c>
      <c r="AL607">
        <v>45</v>
      </c>
      <c r="AM607" s="5">
        <f t="shared" si="74"/>
        <v>1.40625</v>
      </c>
      <c r="AN607" s="4">
        <f t="shared" si="79"/>
        <v>2.1298750473305564E-3</v>
      </c>
      <c r="AO607" s="3"/>
      <c r="AP607">
        <v>0</v>
      </c>
      <c r="AQ607" t="s">
        <v>1454</v>
      </c>
      <c r="AR607" t="s">
        <v>0</v>
      </c>
      <c r="AS607" t="s">
        <v>1452</v>
      </c>
      <c r="AT607" s="2">
        <v>4.1420000000000003</v>
      </c>
      <c r="AU607" s="1">
        <f t="shared" si="75"/>
        <v>2.5790453398051709</v>
      </c>
      <c r="AV607" s="1">
        <f t="shared" si="76"/>
        <v>1.9030288154988524</v>
      </c>
      <c r="AW607" s="1">
        <f t="shared" si="77"/>
        <v>1.2270122911925334</v>
      </c>
    </row>
    <row r="608" spans="1:49" x14ac:dyDescent="0.2">
      <c r="A608">
        <v>606</v>
      </c>
      <c r="B608" t="s">
        <v>4203</v>
      </c>
      <c r="C608" t="s">
        <v>4202</v>
      </c>
      <c r="F608" t="s">
        <v>4201</v>
      </c>
      <c r="G608" t="s">
        <v>14</v>
      </c>
      <c r="H608" t="s">
        <v>13</v>
      </c>
      <c r="I608" t="s">
        <v>4200</v>
      </c>
      <c r="J608">
        <v>60020547</v>
      </c>
      <c r="K608" t="s">
        <v>456</v>
      </c>
      <c r="L608" t="s">
        <v>455</v>
      </c>
      <c r="M608" t="s">
        <v>197</v>
      </c>
      <c r="N608">
        <v>2</v>
      </c>
      <c r="O608" t="s">
        <v>4199</v>
      </c>
      <c r="P608" t="s">
        <v>4198</v>
      </c>
      <c r="Q608" t="s">
        <v>734</v>
      </c>
      <c r="R608" s="7">
        <v>32874</v>
      </c>
      <c r="S608" s="8">
        <f t="shared" si="72"/>
        <v>1990</v>
      </c>
      <c r="T608" s="8">
        <v>1990</v>
      </c>
      <c r="U608" s="8">
        <f t="shared" si="73"/>
        <v>32</v>
      </c>
      <c r="V608" s="7">
        <v>33025</v>
      </c>
      <c r="W608" t="s">
        <v>1152</v>
      </c>
      <c r="X608" s="2">
        <v>0.30399999999999999</v>
      </c>
      <c r="Y608" s="6">
        <f t="shared" si="78"/>
        <v>8.115106377299057E-3</v>
      </c>
      <c r="AA608">
        <v>8952477</v>
      </c>
      <c r="AB608">
        <v>12250</v>
      </c>
      <c r="AC608">
        <v>10982760</v>
      </c>
      <c r="AD608" t="s">
        <v>5</v>
      </c>
      <c r="AE608">
        <v>3</v>
      </c>
      <c r="AF608">
        <v>6</v>
      </c>
      <c r="AH608" t="s">
        <v>4197</v>
      </c>
      <c r="AI608" t="s">
        <v>4196</v>
      </c>
      <c r="AJ608" t="s">
        <v>4195</v>
      </c>
      <c r="AK608" t="s">
        <v>4194</v>
      </c>
      <c r="AL608">
        <v>13</v>
      </c>
      <c r="AM608" s="5">
        <f t="shared" si="74"/>
        <v>0.40625</v>
      </c>
      <c r="AN608" s="4">
        <f t="shared" si="79"/>
        <v>6.1529723589549411E-4</v>
      </c>
      <c r="AO608" s="3"/>
      <c r="AP608">
        <v>0</v>
      </c>
      <c r="AR608" t="s">
        <v>0</v>
      </c>
      <c r="AT608" s="2" t="s">
        <v>126</v>
      </c>
      <c r="AU608" s="1">
        <f t="shared" si="75"/>
        <v>0.58651636348779879</v>
      </c>
      <c r="AV608" s="1">
        <f t="shared" si="76"/>
        <v>0.43652018065972759</v>
      </c>
      <c r="AW608" s="1">
        <f t="shared" si="77"/>
        <v>0.28652399783165633</v>
      </c>
    </row>
    <row r="609" spans="1:49" x14ac:dyDescent="0.2">
      <c r="A609">
        <v>607</v>
      </c>
      <c r="B609" t="s">
        <v>4193</v>
      </c>
      <c r="C609" t="s">
        <v>4192</v>
      </c>
      <c r="F609" t="s">
        <v>4191</v>
      </c>
      <c r="G609" t="s">
        <v>14</v>
      </c>
      <c r="H609" t="s">
        <v>13</v>
      </c>
      <c r="I609" t="s">
        <v>4190</v>
      </c>
      <c r="J609">
        <v>60069974</v>
      </c>
      <c r="K609" t="s">
        <v>4189</v>
      </c>
      <c r="L609" t="s">
        <v>4188</v>
      </c>
      <c r="M609" t="s">
        <v>4187</v>
      </c>
      <c r="N609">
        <v>6</v>
      </c>
      <c r="O609" t="s">
        <v>4186</v>
      </c>
      <c r="P609" t="s">
        <v>4185</v>
      </c>
      <c r="Q609" t="s">
        <v>4184</v>
      </c>
      <c r="R609" s="7">
        <v>32874</v>
      </c>
      <c r="S609" s="8">
        <f t="shared" si="72"/>
        <v>1990</v>
      </c>
      <c r="T609" s="8">
        <v>1990</v>
      </c>
      <c r="U609" s="8">
        <f t="shared" si="73"/>
        <v>32</v>
      </c>
      <c r="V609" s="7">
        <v>33025</v>
      </c>
      <c r="W609" t="s">
        <v>2109</v>
      </c>
      <c r="X609" s="2">
        <v>0.46</v>
      </c>
      <c r="Y609" s="6">
        <f t="shared" si="78"/>
        <v>1.2279437281439364E-2</v>
      </c>
      <c r="AA609">
        <v>933813</v>
      </c>
      <c r="AB609">
        <v>28031</v>
      </c>
      <c r="AC609">
        <v>19399375</v>
      </c>
      <c r="AD609" t="s">
        <v>5</v>
      </c>
      <c r="AE609">
        <v>18</v>
      </c>
      <c r="AF609">
        <v>3</v>
      </c>
      <c r="AH609" t="s">
        <v>4183</v>
      </c>
      <c r="AI609" t="s">
        <v>4182</v>
      </c>
      <c r="AK609" t="s">
        <v>4181</v>
      </c>
      <c r="AL609">
        <v>97</v>
      </c>
      <c r="AM609" s="5">
        <f t="shared" si="74"/>
        <v>3.03125</v>
      </c>
      <c r="AN609" s="4">
        <f t="shared" si="79"/>
        <v>4.5910639909125328E-3</v>
      </c>
      <c r="AO609" s="3"/>
      <c r="AP609">
        <v>0</v>
      </c>
      <c r="AR609" t="s">
        <v>0</v>
      </c>
      <c r="AT609" s="2">
        <v>1.222</v>
      </c>
      <c r="AU609" s="1">
        <f t="shared" si="75"/>
        <v>0.99729252942813129</v>
      </c>
      <c r="AV609" s="1">
        <f t="shared" si="76"/>
        <v>0.84352506361759483</v>
      </c>
      <c r="AW609" s="1">
        <f t="shared" si="77"/>
        <v>0.68975759780705825</v>
      </c>
    </row>
    <row r="610" spans="1:49" x14ac:dyDescent="0.2">
      <c r="A610">
        <v>608</v>
      </c>
      <c r="B610" t="s">
        <v>4180</v>
      </c>
      <c r="C610" t="s">
        <v>4179</v>
      </c>
      <c r="F610" t="s">
        <v>4178</v>
      </c>
      <c r="G610" t="s">
        <v>14</v>
      </c>
      <c r="H610" t="s">
        <v>13</v>
      </c>
      <c r="I610" t="s">
        <v>4177</v>
      </c>
      <c r="J610">
        <v>60005465</v>
      </c>
      <c r="K610" t="s">
        <v>4176</v>
      </c>
      <c r="L610" t="s">
        <v>4175</v>
      </c>
      <c r="M610" t="s">
        <v>854</v>
      </c>
      <c r="N610">
        <v>2</v>
      </c>
      <c r="O610" t="s">
        <v>4174</v>
      </c>
      <c r="P610" t="s">
        <v>4173</v>
      </c>
      <c r="Q610" t="s">
        <v>4172</v>
      </c>
      <c r="R610" s="7">
        <v>32874</v>
      </c>
      <c r="S610" s="8">
        <f t="shared" si="72"/>
        <v>1990</v>
      </c>
      <c r="T610" s="8">
        <v>1990</v>
      </c>
      <c r="U610" s="8">
        <f t="shared" si="73"/>
        <v>32</v>
      </c>
      <c r="V610" s="7" t="s">
        <v>3887</v>
      </c>
      <c r="W610" s="11" t="s">
        <v>1792</v>
      </c>
      <c r="X610" s="2">
        <v>2.383</v>
      </c>
      <c r="Y610" s="6">
        <f t="shared" si="78"/>
        <v>6.3612824003630442E-2</v>
      </c>
      <c r="AA610">
        <v>1437070</v>
      </c>
      <c r="AB610">
        <v>39742</v>
      </c>
      <c r="AD610" t="s">
        <v>5</v>
      </c>
      <c r="AE610">
        <v>137</v>
      </c>
      <c r="AF610">
        <v>3</v>
      </c>
      <c r="AH610" t="s">
        <v>4171</v>
      </c>
      <c r="AI610" t="s">
        <v>4170</v>
      </c>
      <c r="AK610" t="s">
        <v>4169</v>
      </c>
      <c r="AL610">
        <v>8</v>
      </c>
      <c r="AM610" s="5">
        <f t="shared" si="74"/>
        <v>0.25</v>
      </c>
      <c r="AN610" s="4">
        <f t="shared" si="79"/>
        <v>3.786444528587656E-4</v>
      </c>
      <c r="AO610" s="3"/>
      <c r="AP610">
        <v>0</v>
      </c>
      <c r="AR610" t="s">
        <v>0</v>
      </c>
      <c r="AT610" s="2" t="s">
        <v>126</v>
      </c>
      <c r="AU610" s="1">
        <f t="shared" si="75"/>
        <v>4.4642570138398936</v>
      </c>
      <c r="AV610" s="1">
        <f t="shared" si="76"/>
        <v>3.1995734228244603</v>
      </c>
      <c r="AW610" s="1">
        <f t="shared" si="77"/>
        <v>1.9348898318090268</v>
      </c>
    </row>
    <row r="611" spans="1:49" x14ac:dyDescent="0.2">
      <c r="A611">
        <v>609</v>
      </c>
      <c r="B611" t="s">
        <v>4168</v>
      </c>
      <c r="C611" t="s">
        <v>4167</v>
      </c>
      <c r="F611" t="s">
        <v>4166</v>
      </c>
      <c r="G611" t="s">
        <v>14</v>
      </c>
      <c r="H611" t="s">
        <v>13</v>
      </c>
      <c r="I611" t="s">
        <v>4165</v>
      </c>
      <c r="J611">
        <v>60022502</v>
      </c>
      <c r="K611" t="s">
        <v>4164</v>
      </c>
      <c r="L611" t="s">
        <v>4163</v>
      </c>
      <c r="M611" t="s">
        <v>197</v>
      </c>
      <c r="N611">
        <v>1</v>
      </c>
      <c r="O611" t="s">
        <v>4162</v>
      </c>
      <c r="P611">
        <v>6701473077</v>
      </c>
      <c r="Q611">
        <v>60022502</v>
      </c>
      <c r="R611" s="7">
        <v>32874</v>
      </c>
      <c r="S611" s="8">
        <f t="shared" si="72"/>
        <v>1990</v>
      </c>
      <c r="T611" s="8">
        <v>1990</v>
      </c>
      <c r="U611" s="8">
        <f t="shared" si="73"/>
        <v>32</v>
      </c>
      <c r="V611" s="7">
        <v>33025</v>
      </c>
      <c r="W611" t="s">
        <v>2249</v>
      </c>
      <c r="X611" s="2">
        <v>1.6519999999999999</v>
      </c>
      <c r="Y611" s="6">
        <f t="shared" si="78"/>
        <v>4.409919649769093E-2</v>
      </c>
      <c r="AA611" t="s">
        <v>2248</v>
      </c>
      <c r="AB611">
        <v>17337</v>
      </c>
      <c r="AC611">
        <v>15582221</v>
      </c>
      <c r="AD611" t="s">
        <v>5</v>
      </c>
      <c r="AE611">
        <v>38</v>
      </c>
      <c r="AF611">
        <v>6</v>
      </c>
      <c r="AH611" t="s">
        <v>4161</v>
      </c>
      <c r="AI611" t="s">
        <v>4160</v>
      </c>
      <c r="AK611" t="s">
        <v>4159</v>
      </c>
      <c r="AL611">
        <v>6</v>
      </c>
      <c r="AM611" s="5">
        <f t="shared" si="74"/>
        <v>0.1875</v>
      </c>
      <c r="AN611" s="4">
        <f t="shared" si="79"/>
        <v>2.8398333964407423E-4</v>
      </c>
      <c r="AO611" s="3"/>
      <c r="AP611">
        <v>0</v>
      </c>
      <c r="AR611" t="s">
        <v>0</v>
      </c>
      <c r="AT611" s="2" t="s">
        <v>126</v>
      </c>
      <c r="AU611" s="1">
        <f t="shared" si="75"/>
        <v>3.095463255027687</v>
      </c>
      <c r="AV611" s="1">
        <f t="shared" si="76"/>
        <v>2.2191589918667503</v>
      </c>
      <c r="AW611" s="1">
        <f t="shared" si="77"/>
        <v>1.342854728705813</v>
      </c>
    </row>
    <row r="612" spans="1:49" x14ac:dyDescent="0.2">
      <c r="A612">
        <v>610</v>
      </c>
      <c r="B612" t="s">
        <v>4158</v>
      </c>
      <c r="C612" t="s">
        <v>4157</v>
      </c>
      <c r="F612" t="s">
        <v>4156</v>
      </c>
      <c r="G612" t="s">
        <v>14</v>
      </c>
      <c r="H612" t="s">
        <v>13</v>
      </c>
      <c r="I612" t="s">
        <v>4155</v>
      </c>
      <c r="J612">
        <v>60023053</v>
      </c>
      <c r="K612" t="s">
        <v>2223</v>
      </c>
      <c r="L612" t="s">
        <v>2222</v>
      </c>
      <c r="M612" t="s">
        <v>197</v>
      </c>
      <c r="N612">
        <v>2</v>
      </c>
      <c r="O612" t="s">
        <v>4154</v>
      </c>
      <c r="P612" t="s">
        <v>4153</v>
      </c>
      <c r="Q612" t="s">
        <v>4152</v>
      </c>
      <c r="R612" s="7">
        <v>32874</v>
      </c>
      <c r="S612" s="8">
        <f t="shared" si="72"/>
        <v>1990</v>
      </c>
      <c r="T612" s="8">
        <v>1990</v>
      </c>
      <c r="U612" s="8">
        <f t="shared" si="73"/>
        <v>32</v>
      </c>
      <c r="V612" s="7">
        <v>33025</v>
      </c>
      <c r="W612" t="s">
        <v>1858</v>
      </c>
      <c r="X612" s="2">
        <v>0.88100000000000001</v>
      </c>
      <c r="Y612" s="6">
        <f t="shared" si="78"/>
        <v>2.3517791836843653E-2</v>
      </c>
      <c r="AA612">
        <v>10459243</v>
      </c>
      <c r="AB612">
        <v>17248</v>
      </c>
      <c r="AD612" t="s">
        <v>5</v>
      </c>
      <c r="AE612">
        <v>32</v>
      </c>
      <c r="AF612">
        <v>3</v>
      </c>
      <c r="AH612" t="s">
        <v>4151</v>
      </c>
      <c r="AL612">
        <v>1</v>
      </c>
      <c r="AM612" s="5">
        <f t="shared" si="74"/>
        <v>3.125E-2</v>
      </c>
      <c r="AN612" s="4">
        <f t="shared" si="79"/>
        <v>4.73305566073457E-5</v>
      </c>
      <c r="AO612" s="3"/>
      <c r="AP612">
        <v>0</v>
      </c>
      <c r="AR612" t="s">
        <v>0</v>
      </c>
      <c r="AT612" s="2" t="s">
        <v>126</v>
      </c>
      <c r="AU612" s="1">
        <f t="shared" si="75"/>
        <v>1.647665345277276</v>
      </c>
      <c r="AV612" s="1">
        <f t="shared" si="76"/>
        <v>1.1782561196725498</v>
      </c>
      <c r="AW612" s="1">
        <f t="shared" si="77"/>
        <v>0.70884689406782375</v>
      </c>
    </row>
    <row r="613" spans="1:49" x14ac:dyDescent="0.2">
      <c r="A613">
        <v>611</v>
      </c>
      <c r="B613" t="s">
        <v>4150</v>
      </c>
      <c r="C613" t="s">
        <v>4149</v>
      </c>
      <c r="F613" t="s">
        <v>4148</v>
      </c>
      <c r="G613" t="s">
        <v>14</v>
      </c>
      <c r="H613" t="s">
        <v>13</v>
      </c>
      <c r="I613" t="s">
        <v>4147</v>
      </c>
      <c r="J613">
        <v>60027550</v>
      </c>
      <c r="K613" t="s">
        <v>3438</v>
      </c>
      <c r="L613" t="s">
        <v>280</v>
      </c>
      <c r="M613" t="s">
        <v>197</v>
      </c>
      <c r="N613">
        <v>1</v>
      </c>
      <c r="O613" t="s">
        <v>4146</v>
      </c>
      <c r="P613">
        <v>55884538900</v>
      </c>
      <c r="Q613">
        <v>60027550</v>
      </c>
      <c r="R613" s="7">
        <v>32874</v>
      </c>
      <c r="S613" s="8">
        <f t="shared" si="72"/>
        <v>1990</v>
      </c>
      <c r="T613" s="8">
        <v>1990</v>
      </c>
      <c r="U613" s="8">
        <f t="shared" si="73"/>
        <v>32</v>
      </c>
      <c r="V613" s="7">
        <v>33025</v>
      </c>
      <c r="W613" t="s">
        <v>2249</v>
      </c>
      <c r="X613" s="2">
        <v>1.6519999999999999</v>
      </c>
      <c r="Y613" s="6">
        <f t="shared" si="78"/>
        <v>4.409919649769093E-2</v>
      </c>
      <c r="AA613" t="s">
        <v>2248</v>
      </c>
      <c r="AB613">
        <v>17337</v>
      </c>
      <c r="AC613">
        <v>15582221</v>
      </c>
      <c r="AD613" t="s">
        <v>5</v>
      </c>
      <c r="AE613">
        <v>38</v>
      </c>
      <c r="AF613">
        <v>6</v>
      </c>
      <c r="AH613" t="s">
        <v>4145</v>
      </c>
      <c r="AI613" t="s">
        <v>4144</v>
      </c>
      <c r="AK613" t="s">
        <v>4143</v>
      </c>
      <c r="AL613">
        <v>42</v>
      </c>
      <c r="AM613" s="5">
        <f t="shared" si="74"/>
        <v>1.3125</v>
      </c>
      <c r="AN613" s="4">
        <f t="shared" si="79"/>
        <v>1.9878833775085194E-3</v>
      </c>
      <c r="AO613" s="3"/>
      <c r="AP613">
        <v>0</v>
      </c>
      <c r="AR613" t="s">
        <v>0</v>
      </c>
      <c r="AT613" s="2" t="s">
        <v>126</v>
      </c>
      <c r="AU613" s="1">
        <f t="shared" si="75"/>
        <v>3.1465802561636202</v>
      </c>
      <c r="AV613" s="1">
        <f t="shared" si="76"/>
        <v>2.3043539937599724</v>
      </c>
      <c r="AW613" s="1">
        <f t="shared" si="77"/>
        <v>1.4621277313563241</v>
      </c>
    </row>
    <row r="614" spans="1:49" x14ac:dyDescent="0.2">
      <c r="A614">
        <v>612</v>
      </c>
      <c r="B614" t="s">
        <v>4142</v>
      </c>
      <c r="C614" t="s">
        <v>4141</v>
      </c>
      <c r="F614" t="s">
        <v>4140</v>
      </c>
      <c r="G614" t="s">
        <v>14</v>
      </c>
      <c r="H614" t="s">
        <v>13</v>
      </c>
      <c r="I614" t="s">
        <v>4139</v>
      </c>
      <c r="J614" t="s">
        <v>3378</v>
      </c>
      <c r="K614" t="s">
        <v>3377</v>
      </c>
      <c r="L614" t="s">
        <v>3376</v>
      </c>
      <c r="M614" t="s">
        <v>84</v>
      </c>
      <c r="N614">
        <v>2</v>
      </c>
      <c r="O614" t="s">
        <v>4138</v>
      </c>
      <c r="P614" t="s">
        <v>4137</v>
      </c>
      <c r="Q614" t="s">
        <v>3378</v>
      </c>
      <c r="R614" s="7">
        <v>32874</v>
      </c>
      <c r="S614" s="8">
        <f t="shared" si="72"/>
        <v>1990</v>
      </c>
      <c r="T614" s="8">
        <v>1990</v>
      </c>
      <c r="U614" s="8">
        <f t="shared" si="73"/>
        <v>32</v>
      </c>
      <c r="V614" s="7">
        <v>33025</v>
      </c>
      <c r="W614" t="s">
        <v>1152</v>
      </c>
      <c r="X614" s="2">
        <v>0.30399999999999999</v>
      </c>
      <c r="Y614" s="6">
        <f t="shared" si="78"/>
        <v>8.115106377299057E-3</v>
      </c>
      <c r="AA614">
        <v>8952477</v>
      </c>
      <c r="AB614">
        <v>12250</v>
      </c>
      <c r="AC614">
        <v>10982760</v>
      </c>
      <c r="AD614" t="s">
        <v>5</v>
      </c>
      <c r="AE614">
        <v>3</v>
      </c>
      <c r="AF614">
        <v>6</v>
      </c>
      <c r="AH614" t="s">
        <v>4136</v>
      </c>
      <c r="AI614" t="s">
        <v>4135</v>
      </c>
      <c r="AJ614" t="s">
        <v>4134</v>
      </c>
      <c r="AK614" t="s">
        <v>4133</v>
      </c>
      <c r="AL614">
        <v>3</v>
      </c>
      <c r="AM614" s="5">
        <f t="shared" si="74"/>
        <v>9.375E-2</v>
      </c>
      <c r="AN614" s="4">
        <f t="shared" si="79"/>
        <v>1.4199166982203711E-4</v>
      </c>
      <c r="AO614" s="3"/>
      <c r="AP614">
        <v>0</v>
      </c>
      <c r="AR614" t="s">
        <v>0</v>
      </c>
      <c r="AT614" s="2" t="s">
        <v>126</v>
      </c>
      <c r="AU614" s="1">
        <f t="shared" si="75"/>
        <v>0.57231719650559498</v>
      </c>
      <c r="AV614" s="1">
        <f t="shared" si="76"/>
        <v>0.41285490235605471</v>
      </c>
      <c r="AW614" s="1">
        <f t="shared" si="77"/>
        <v>0.25339260820651432</v>
      </c>
    </row>
    <row r="615" spans="1:49" x14ac:dyDescent="0.2">
      <c r="A615">
        <v>613</v>
      </c>
      <c r="B615" t="s">
        <v>4132</v>
      </c>
      <c r="C615" t="s">
        <v>4131</v>
      </c>
      <c r="F615" t="s">
        <v>4130</v>
      </c>
      <c r="G615" t="s">
        <v>14</v>
      </c>
      <c r="H615" t="s">
        <v>13</v>
      </c>
      <c r="I615" t="s">
        <v>4129</v>
      </c>
      <c r="J615">
        <v>60000745</v>
      </c>
      <c r="K615" t="s">
        <v>2214</v>
      </c>
      <c r="L615" t="s">
        <v>2213</v>
      </c>
      <c r="M615" t="s">
        <v>197</v>
      </c>
      <c r="N615">
        <v>2</v>
      </c>
      <c r="O615" t="s">
        <v>4128</v>
      </c>
      <c r="P615" t="s">
        <v>4127</v>
      </c>
      <c r="Q615" t="s">
        <v>3335</v>
      </c>
      <c r="R615" s="7">
        <v>32874</v>
      </c>
      <c r="S615" s="8">
        <f t="shared" si="72"/>
        <v>1990</v>
      </c>
      <c r="T615" s="8">
        <v>1990</v>
      </c>
      <c r="U615" s="8">
        <f t="shared" si="73"/>
        <v>32</v>
      </c>
      <c r="V615" s="7">
        <v>33025</v>
      </c>
      <c r="W615" t="s">
        <v>2249</v>
      </c>
      <c r="X615" s="2">
        <v>1.6519999999999999</v>
      </c>
      <c r="Y615" s="6">
        <f t="shared" si="78"/>
        <v>4.409919649769093E-2</v>
      </c>
      <c r="AA615" t="s">
        <v>2248</v>
      </c>
      <c r="AB615">
        <v>17337</v>
      </c>
      <c r="AC615">
        <v>15582221</v>
      </c>
      <c r="AD615" t="s">
        <v>5</v>
      </c>
      <c r="AE615">
        <v>38</v>
      </c>
      <c r="AF615">
        <v>6</v>
      </c>
      <c r="AH615" t="s">
        <v>4126</v>
      </c>
      <c r="AI615" t="s">
        <v>4125</v>
      </c>
      <c r="AK615" t="s">
        <v>4124</v>
      </c>
      <c r="AL615">
        <v>6</v>
      </c>
      <c r="AM615" s="5">
        <f t="shared" si="74"/>
        <v>0.1875</v>
      </c>
      <c r="AN615" s="4">
        <f t="shared" si="79"/>
        <v>2.8398333964407423E-4</v>
      </c>
      <c r="AO615" s="3"/>
      <c r="AP615">
        <v>0</v>
      </c>
      <c r="AR615" t="s">
        <v>0</v>
      </c>
      <c r="AT615" s="2" t="s">
        <v>126</v>
      </c>
      <c r="AU615" s="1">
        <f t="shared" si="75"/>
        <v>3.095463255027687</v>
      </c>
      <c r="AV615" s="1">
        <f t="shared" si="76"/>
        <v>2.2191589918667503</v>
      </c>
      <c r="AW615" s="1">
        <f t="shared" si="77"/>
        <v>1.342854728705813</v>
      </c>
    </row>
    <row r="616" spans="1:49" x14ac:dyDescent="0.2">
      <c r="A616">
        <v>614</v>
      </c>
      <c r="B616" t="s">
        <v>4123</v>
      </c>
      <c r="C616" t="s">
        <v>4122</v>
      </c>
      <c r="F616" t="s">
        <v>4121</v>
      </c>
      <c r="G616" t="s">
        <v>14</v>
      </c>
      <c r="H616" t="s">
        <v>13</v>
      </c>
      <c r="I616" t="s">
        <v>4120</v>
      </c>
      <c r="J616">
        <v>60009037</v>
      </c>
      <c r="K616" t="s">
        <v>652</v>
      </c>
      <c r="L616" t="s">
        <v>651</v>
      </c>
      <c r="M616" t="s">
        <v>197</v>
      </c>
      <c r="N616">
        <v>3</v>
      </c>
      <c r="O616" t="s">
        <v>4119</v>
      </c>
      <c r="P616" t="s">
        <v>4118</v>
      </c>
      <c r="Q616" t="s">
        <v>4117</v>
      </c>
      <c r="R616" s="7">
        <v>32874</v>
      </c>
      <c r="S616" s="8">
        <f t="shared" si="72"/>
        <v>1990</v>
      </c>
      <c r="T616" s="8">
        <v>1990</v>
      </c>
      <c r="U616" s="8">
        <f t="shared" si="73"/>
        <v>32</v>
      </c>
      <c r="V616" s="7">
        <v>33025</v>
      </c>
      <c r="W616" t="s">
        <v>1918</v>
      </c>
      <c r="X616" s="2">
        <v>0.82</v>
      </c>
      <c r="Y616" s="6">
        <f t="shared" si="78"/>
        <v>2.1889431675609299E-2</v>
      </c>
      <c r="AA616">
        <v>189456</v>
      </c>
      <c r="AB616">
        <v>15361</v>
      </c>
      <c r="AC616">
        <v>15579662</v>
      </c>
      <c r="AD616" t="s">
        <v>5</v>
      </c>
      <c r="AE616">
        <v>39</v>
      </c>
      <c r="AF616">
        <v>3</v>
      </c>
      <c r="AH616" t="s">
        <v>4116</v>
      </c>
      <c r="AI616" t="s">
        <v>4115</v>
      </c>
      <c r="AK616" t="s">
        <v>4114</v>
      </c>
      <c r="AL616">
        <v>0</v>
      </c>
      <c r="AM616" s="5">
        <f t="shared" si="74"/>
        <v>0</v>
      </c>
      <c r="AN616" s="4">
        <f t="shared" si="79"/>
        <v>0</v>
      </c>
      <c r="AO616" s="3"/>
      <c r="AP616">
        <v>0</v>
      </c>
      <c r="AR616" t="s">
        <v>0</v>
      </c>
      <c r="AT616" s="2" t="s">
        <v>126</v>
      </c>
      <c r="AU616" s="1">
        <f t="shared" si="75"/>
        <v>1.5322602172926507</v>
      </c>
      <c r="AV616" s="1">
        <f t="shared" si="76"/>
        <v>1.0944715837804648</v>
      </c>
      <c r="AW616" s="1">
        <f t="shared" si="77"/>
        <v>0.65668295026827894</v>
      </c>
    </row>
    <row r="617" spans="1:49" x14ac:dyDescent="0.2">
      <c r="A617">
        <v>615</v>
      </c>
      <c r="B617" t="s">
        <v>4113</v>
      </c>
      <c r="C617" t="s">
        <v>4112</v>
      </c>
      <c r="F617" t="s">
        <v>4111</v>
      </c>
      <c r="G617" t="s">
        <v>14</v>
      </c>
      <c r="H617" t="s">
        <v>13</v>
      </c>
      <c r="I617" t="s">
        <v>4110</v>
      </c>
      <c r="J617">
        <v>60025778</v>
      </c>
      <c r="K617" t="s">
        <v>436</v>
      </c>
      <c r="L617" t="s">
        <v>435</v>
      </c>
      <c r="M617" t="s">
        <v>197</v>
      </c>
      <c r="N617">
        <v>2</v>
      </c>
      <c r="O617" t="s">
        <v>4109</v>
      </c>
      <c r="P617" t="s">
        <v>3045</v>
      </c>
      <c r="Q617" t="s">
        <v>432</v>
      </c>
      <c r="R617" s="7">
        <v>32874</v>
      </c>
      <c r="S617" s="8">
        <f t="shared" si="72"/>
        <v>1990</v>
      </c>
      <c r="T617" s="8">
        <v>1990</v>
      </c>
      <c r="U617" s="8">
        <f t="shared" si="73"/>
        <v>32</v>
      </c>
      <c r="V617" s="7" t="s">
        <v>3887</v>
      </c>
      <c r="W617" s="11" t="s">
        <v>1933</v>
      </c>
      <c r="X617" s="2">
        <v>2.383</v>
      </c>
      <c r="Y617" s="6">
        <f t="shared" si="78"/>
        <v>6.3612824003630442E-2</v>
      </c>
      <c r="AA617" t="s">
        <v>1932</v>
      </c>
      <c r="AB617">
        <v>101151</v>
      </c>
      <c r="AD617" t="s">
        <v>5</v>
      </c>
      <c r="AE617">
        <v>137</v>
      </c>
      <c r="AF617">
        <v>3</v>
      </c>
      <c r="AH617" t="s">
        <v>4108</v>
      </c>
      <c r="AI617" t="s">
        <v>4107</v>
      </c>
      <c r="AK617" t="s">
        <v>4106</v>
      </c>
      <c r="AL617">
        <v>40</v>
      </c>
      <c r="AM617" s="5">
        <f t="shared" si="74"/>
        <v>1.25</v>
      </c>
      <c r="AN617" s="4">
        <f t="shared" si="79"/>
        <v>1.8932222642938281E-3</v>
      </c>
      <c r="AO617" s="3"/>
      <c r="AP617">
        <v>0</v>
      </c>
      <c r="AR617" t="s">
        <v>0</v>
      </c>
      <c r="AT617" s="2" t="s">
        <v>126</v>
      </c>
      <c r="AU617" s="1">
        <f t="shared" si="75"/>
        <v>4.5096943481829461</v>
      </c>
      <c r="AV617" s="1">
        <f t="shared" si="76"/>
        <v>3.2753023133962134</v>
      </c>
      <c r="AW617" s="1">
        <f t="shared" si="77"/>
        <v>2.0409102786094815</v>
      </c>
    </row>
    <row r="618" spans="1:49" x14ac:dyDescent="0.2">
      <c r="A618">
        <v>616</v>
      </c>
      <c r="B618" t="s">
        <v>4105</v>
      </c>
      <c r="C618" t="s">
        <v>4104</v>
      </c>
      <c r="F618" t="s">
        <v>4103</v>
      </c>
      <c r="G618" t="s">
        <v>14</v>
      </c>
      <c r="H618" t="s">
        <v>13</v>
      </c>
      <c r="I618" t="s">
        <v>4102</v>
      </c>
      <c r="J618">
        <v>60009697</v>
      </c>
      <c r="K618" t="s">
        <v>1939</v>
      </c>
      <c r="L618" t="s">
        <v>1938</v>
      </c>
      <c r="M618" t="s">
        <v>1937</v>
      </c>
      <c r="N618">
        <v>2</v>
      </c>
      <c r="O618" t="s">
        <v>4101</v>
      </c>
      <c r="P618" t="s">
        <v>4100</v>
      </c>
      <c r="Q618" t="s">
        <v>1934</v>
      </c>
      <c r="R618" s="7">
        <v>32874</v>
      </c>
      <c r="S618" s="8">
        <f t="shared" si="72"/>
        <v>1990</v>
      </c>
      <c r="T618" s="8">
        <v>1990</v>
      </c>
      <c r="U618" s="8">
        <f t="shared" si="73"/>
        <v>32</v>
      </c>
      <c r="V618" s="7">
        <v>33025</v>
      </c>
      <c r="W618" t="s">
        <v>2249</v>
      </c>
      <c r="X618" s="2">
        <v>1.6519999999999999</v>
      </c>
      <c r="Y618" s="6">
        <f t="shared" si="78"/>
        <v>4.409919649769093E-2</v>
      </c>
      <c r="AA618" t="s">
        <v>2248</v>
      </c>
      <c r="AB618">
        <v>17337</v>
      </c>
      <c r="AC618">
        <v>15582221</v>
      </c>
      <c r="AD618" t="s">
        <v>5</v>
      </c>
      <c r="AE618">
        <v>38</v>
      </c>
      <c r="AF618">
        <v>6</v>
      </c>
      <c r="AH618" t="s">
        <v>4099</v>
      </c>
      <c r="AI618" t="s">
        <v>4098</v>
      </c>
      <c r="AK618" t="s">
        <v>4097</v>
      </c>
      <c r="AL618">
        <v>48</v>
      </c>
      <c r="AM618" s="5">
        <f t="shared" si="74"/>
        <v>1.5</v>
      </c>
      <c r="AN618" s="4">
        <f t="shared" si="79"/>
        <v>2.2718667171525938E-3</v>
      </c>
      <c r="AO618" s="3"/>
      <c r="AP618">
        <v>0</v>
      </c>
      <c r="AR618" t="s">
        <v>0</v>
      </c>
      <c r="AT618" s="2" t="s">
        <v>126</v>
      </c>
      <c r="AU618" s="1">
        <f t="shared" si="75"/>
        <v>3.1550997563529428</v>
      </c>
      <c r="AV618" s="1">
        <f t="shared" si="76"/>
        <v>2.3185531607421761</v>
      </c>
      <c r="AW618" s="1">
        <f t="shared" si="77"/>
        <v>1.4820065651314094</v>
      </c>
    </row>
    <row r="619" spans="1:49" x14ac:dyDescent="0.2">
      <c r="A619">
        <v>617</v>
      </c>
      <c r="B619" t="s">
        <v>4096</v>
      </c>
      <c r="C619" t="s">
        <v>4095</v>
      </c>
      <c r="F619" t="s">
        <v>4094</v>
      </c>
      <c r="G619" t="s">
        <v>14</v>
      </c>
      <c r="H619" t="s">
        <v>13</v>
      </c>
      <c r="I619" t="s">
        <v>4093</v>
      </c>
      <c r="J619">
        <v>60009982</v>
      </c>
      <c r="K619" t="s">
        <v>4092</v>
      </c>
      <c r="L619" t="s">
        <v>1665</v>
      </c>
      <c r="M619" t="s">
        <v>197</v>
      </c>
      <c r="N619">
        <v>3</v>
      </c>
      <c r="O619" t="s">
        <v>4091</v>
      </c>
      <c r="P619" t="s">
        <v>4090</v>
      </c>
      <c r="Q619" t="s">
        <v>4089</v>
      </c>
      <c r="R619" s="7">
        <v>32874</v>
      </c>
      <c r="S619" s="8">
        <f t="shared" si="72"/>
        <v>1990</v>
      </c>
      <c r="T619" s="8">
        <v>1990</v>
      </c>
      <c r="U619" s="8">
        <f t="shared" si="73"/>
        <v>32</v>
      </c>
      <c r="V619" s="7">
        <v>33025</v>
      </c>
      <c r="W619" t="s">
        <v>2249</v>
      </c>
      <c r="X619" s="2">
        <v>1.6519999999999999</v>
      </c>
      <c r="Y619" s="6">
        <f t="shared" si="78"/>
        <v>4.409919649769093E-2</v>
      </c>
      <c r="AA619" t="s">
        <v>2248</v>
      </c>
      <c r="AB619">
        <v>17337</v>
      </c>
      <c r="AC619">
        <v>15582221</v>
      </c>
      <c r="AD619" t="s">
        <v>5</v>
      </c>
      <c r="AE619">
        <v>38</v>
      </c>
      <c r="AF619">
        <v>6</v>
      </c>
      <c r="AH619" t="s">
        <v>4088</v>
      </c>
      <c r="AI619" t="s">
        <v>4087</v>
      </c>
      <c r="AK619" t="s">
        <v>4086</v>
      </c>
      <c r="AL619">
        <v>26</v>
      </c>
      <c r="AM619" s="5">
        <f t="shared" si="74"/>
        <v>0.8125</v>
      </c>
      <c r="AN619" s="4">
        <f t="shared" si="79"/>
        <v>1.2305944717909882E-3</v>
      </c>
      <c r="AO619" s="3"/>
      <c r="AP619">
        <v>0</v>
      </c>
      <c r="AR619" t="s">
        <v>0</v>
      </c>
      <c r="AT619" s="2" t="s">
        <v>126</v>
      </c>
      <c r="AU619" s="1">
        <f t="shared" si="75"/>
        <v>3.1238615889920949</v>
      </c>
      <c r="AV619" s="1">
        <f t="shared" si="76"/>
        <v>2.2664895484740959</v>
      </c>
      <c r="AW619" s="1">
        <f t="shared" si="77"/>
        <v>1.4091175079560969</v>
      </c>
    </row>
    <row r="620" spans="1:49" x14ac:dyDescent="0.2">
      <c r="A620">
        <v>618</v>
      </c>
      <c r="B620" t="s">
        <v>4085</v>
      </c>
      <c r="C620" t="s">
        <v>4084</v>
      </c>
      <c r="F620" t="s">
        <v>4083</v>
      </c>
      <c r="G620" t="s">
        <v>14</v>
      </c>
      <c r="H620" t="s">
        <v>13</v>
      </c>
      <c r="I620" t="s">
        <v>4082</v>
      </c>
      <c r="J620">
        <v>60073446</v>
      </c>
      <c r="K620" t="s">
        <v>4081</v>
      </c>
      <c r="L620" t="s">
        <v>855</v>
      </c>
      <c r="M620" t="s">
        <v>854</v>
      </c>
      <c r="N620">
        <v>2</v>
      </c>
      <c r="O620" t="s">
        <v>4080</v>
      </c>
      <c r="P620" t="s">
        <v>4079</v>
      </c>
      <c r="Q620" t="s">
        <v>4078</v>
      </c>
      <c r="R620" s="7">
        <v>32874</v>
      </c>
      <c r="S620" s="8">
        <f t="shared" si="72"/>
        <v>1990</v>
      </c>
      <c r="T620" s="8">
        <v>1990</v>
      </c>
      <c r="U620" s="8">
        <f t="shared" si="73"/>
        <v>32</v>
      </c>
      <c r="V620" s="7">
        <v>33025</v>
      </c>
      <c r="W620" t="s">
        <v>2249</v>
      </c>
      <c r="X620" s="2">
        <v>1.6519999999999999</v>
      </c>
      <c r="Y620" s="6">
        <f t="shared" si="78"/>
        <v>4.409919649769093E-2</v>
      </c>
      <c r="AA620" t="s">
        <v>2248</v>
      </c>
      <c r="AB620">
        <v>17337</v>
      </c>
      <c r="AC620">
        <v>15582221</v>
      </c>
      <c r="AD620" t="s">
        <v>5</v>
      </c>
      <c r="AE620">
        <v>38</v>
      </c>
      <c r="AF620">
        <v>6</v>
      </c>
      <c r="AH620" t="s">
        <v>4077</v>
      </c>
      <c r="AI620" t="s">
        <v>4076</v>
      </c>
      <c r="AK620" t="s">
        <v>4075</v>
      </c>
      <c r="AL620">
        <v>3</v>
      </c>
      <c r="AM620" s="5">
        <f t="shared" si="74"/>
        <v>9.375E-2</v>
      </c>
      <c r="AN620" s="4">
        <f t="shared" si="79"/>
        <v>1.4199166982203711E-4</v>
      </c>
      <c r="AO620" s="3"/>
      <c r="AP620">
        <v>0</v>
      </c>
      <c r="AR620" t="s">
        <v>0</v>
      </c>
      <c r="AT620" s="2" t="s">
        <v>126</v>
      </c>
      <c r="AU620" s="1">
        <f t="shared" si="75"/>
        <v>3.0912035049330262</v>
      </c>
      <c r="AV620" s="1">
        <f t="shared" si="76"/>
        <v>2.2120594083756484</v>
      </c>
      <c r="AW620" s="1">
        <f t="shared" si="77"/>
        <v>1.3329153118182704</v>
      </c>
    </row>
    <row r="621" spans="1:49" x14ac:dyDescent="0.2">
      <c r="A621">
        <v>619</v>
      </c>
      <c r="B621" t="s">
        <v>4074</v>
      </c>
      <c r="C621" t="s">
        <v>4073</v>
      </c>
      <c r="F621" t="s">
        <v>4072</v>
      </c>
      <c r="G621" t="s">
        <v>14</v>
      </c>
      <c r="H621" t="s">
        <v>13</v>
      </c>
      <c r="I621" t="s">
        <v>4071</v>
      </c>
      <c r="J621">
        <v>60013183</v>
      </c>
      <c r="K621" t="s">
        <v>4070</v>
      </c>
      <c r="L621" t="s">
        <v>4069</v>
      </c>
      <c r="M621" t="s">
        <v>4068</v>
      </c>
      <c r="N621">
        <v>1</v>
      </c>
      <c r="O621" t="s">
        <v>4067</v>
      </c>
      <c r="P621">
        <v>57203737489</v>
      </c>
      <c r="Q621">
        <v>60013183</v>
      </c>
      <c r="R621" s="7">
        <v>32874</v>
      </c>
      <c r="S621" s="8">
        <f t="shared" si="72"/>
        <v>1990</v>
      </c>
      <c r="T621" s="8">
        <v>1990</v>
      </c>
      <c r="U621" s="8">
        <f t="shared" si="73"/>
        <v>32</v>
      </c>
      <c r="V621" s="7">
        <v>1990</v>
      </c>
      <c r="W621" t="s">
        <v>1380</v>
      </c>
      <c r="X621" s="2">
        <v>0.375</v>
      </c>
      <c r="Y621" s="6">
        <f t="shared" si="78"/>
        <v>1.0010410827260351E-2</v>
      </c>
      <c r="AA621">
        <v>135194</v>
      </c>
      <c r="AB621">
        <v>24918</v>
      </c>
      <c r="AD621" t="s">
        <v>5</v>
      </c>
      <c r="AE621">
        <v>26</v>
      </c>
      <c r="AF621">
        <v>13</v>
      </c>
      <c r="AH621" t="s">
        <v>4066</v>
      </c>
      <c r="AI621" t="s">
        <v>4065</v>
      </c>
      <c r="AJ621" t="s">
        <v>4064</v>
      </c>
      <c r="AK621" t="s">
        <v>4063</v>
      </c>
      <c r="AL621">
        <v>3</v>
      </c>
      <c r="AM621" s="5">
        <f t="shared" si="74"/>
        <v>9.375E-2</v>
      </c>
      <c r="AN621" s="4">
        <f t="shared" si="79"/>
        <v>1.4199166982203711E-4</v>
      </c>
      <c r="AO621" s="3"/>
      <c r="AP621">
        <v>0</v>
      </c>
      <c r="AR621" t="s">
        <v>0</v>
      </c>
      <c r="AT621" s="2">
        <v>1.3140000000000001</v>
      </c>
      <c r="AU621" s="1">
        <f t="shared" si="75"/>
        <v>0.70498850800288559</v>
      </c>
      <c r="AV621" s="1">
        <f t="shared" si="76"/>
        <v>0.50762012485411945</v>
      </c>
      <c r="AW621" s="1">
        <f t="shared" si="77"/>
        <v>0.31025174170535308</v>
      </c>
    </row>
    <row r="622" spans="1:49" x14ac:dyDescent="0.2">
      <c r="A622">
        <v>620</v>
      </c>
      <c r="B622" t="s">
        <v>4062</v>
      </c>
      <c r="C622" t="s">
        <v>4061</v>
      </c>
      <c r="F622" t="s">
        <v>4060</v>
      </c>
      <c r="G622" t="s">
        <v>14</v>
      </c>
      <c r="H622" t="s">
        <v>13</v>
      </c>
      <c r="I622" t="s">
        <v>4059</v>
      </c>
      <c r="J622">
        <v>60003500</v>
      </c>
      <c r="K622" t="s">
        <v>3159</v>
      </c>
      <c r="L622" t="s">
        <v>3158</v>
      </c>
      <c r="M622" t="s">
        <v>197</v>
      </c>
      <c r="N622">
        <v>3</v>
      </c>
      <c r="O622" t="s">
        <v>4058</v>
      </c>
      <c r="P622" t="s">
        <v>4057</v>
      </c>
      <c r="Q622" t="s">
        <v>3906</v>
      </c>
      <c r="R622" s="7">
        <v>32874</v>
      </c>
      <c r="S622" s="8">
        <f t="shared" si="72"/>
        <v>1990</v>
      </c>
      <c r="T622" s="8">
        <v>1990</v>
      </c>
      <c r="U622" s="8">
        <f t="shared" si="73"/>
        <v>32</v>
      </c>
      <c r="V622" s="7">
        <v>33025</v>
      </c>
      <c r="W622" t="s">
        <v>2249</v>
      </c>
      <c r="X622" s="2">
        <v>1.6519999999999999</v>
      </c>
      <c r="Y622" s="6">
        <f t="shared" si="78"/>
        <v>4.409919649769093E-2</v>
      </c>
      <c r="AA622" t="s">
        <v>2248</v>
      </c>
      <c r="AB622">
        <v>17337</v>
      </c>
      <c r="AC622">
        <v>15582221</v>
      </c>
      <c r="AD622" t="s">
        <v>5</v>
      </c>
      <c r="AE622">
        <v>38</v>
      </c>
      <c r="AF622">
        <v>6</v>
      </c>
      <c r="AH622" t="s">
        <v>4056</v>
      </c>
      <c r="AI622" t="s">
        <v>4055</v>
      </c>
      <c r="AK622" t="s">
        <v>4054</v>
      </c>
      <c r="AL622">
        <v>31</v>
      </c>
      <c r="AM622" s="5">
        <f t="shared" si="74"/>
        <v>0.96875</v>
      </c>
      <c r="AN622" s="4">
        <f t="shared" si="79"/>
        <v>1.4672472548277167E-3</v>
      </c>
      <c r="AO622" s="3"/>
      <c r="AP622">
        <v>0</v>
      </c>
      <c r="AR622" t="s">
        <v>0</v>
      </c>
      <c r="AT622" s="2" t="s">
        <v>126</v>
      </c>
      <c r="AU622" s="1">
        <f t="shared" si="75"/>
        <v>3.1309611724831967</v>
      </c>
      <c r="AV622" s="1">
        <f t="shared" si="76"/>
        <v>2.2783221876259323</v>
      </c>
      <c r="AW622" s="1">
        <f t="shared" si="77"/>
        <v>1.4256832027686679</v>
      </c>
    </row>
    <row r="623" spans="1:49" x14ac:dyDescent="0.2">
      <c r="A623">
        <v>621</v>
      </c>
      <c r="B623" t="s">
        <v>4053</v>
      </c>
      <c r="C623" t="s">
        <v>4052</v>
      </c>
      <c r="F623" t="s">
        <v>4051</v>
      </c>
      <c r="G623" t="s">
        <v>14</v>
      </c>
      <c r="H623" t="s">
        <v>13</v>
      </c>
      <c r="I623" t="s">
        <v>4050</v>
      </c>
      <c r="J623">
        <v>60071276</v>
      </c>
      <c r="K623" t="s">
        <v>4049</v>
      </c>
      <c r="L623" t="s">
        <v>4048</v>
      </c>
      <c r="M623" t="s">
        <v>357</v>
      </c>
      <c r="N623">
        <v>2</v>
      </c>
      <c r="O623" t="s">
        <v>4047</v>
      </c>
      <c r="P623" t="s">
        <v>4046</v>
      </c>
      <c r="Q623" t="s">
        <v>4045</v>
      </c>
      <c r="R623" s="7">
        <v>32874</v>
      </c>
      <c r="S623" s="8">
        <f t="shared" si="72"/>
        <v>1990</v>
      </c>
      <c r="T623" s="8">
        <v>1990</v>
      </c>
      <c r="U623" s="8">
        <f t="shared" si="73"/>
        <v>32</v>
      </c>
      <c r="V623" s="7">
        <v>1990</v>
      </c>
      <c r="W623" t="s">
        <v>1380</v>
      </c>
      <c r="X623" s="2">
        <v>0.375</v>
      </c>
      <c r="Y623" s="6">
        <f t="shared" si="78"/>
        <v>1.0010410827260351E-2</v>
      </c>
      <c r="AA623">
        <v>135194</v>
      </c>
      <c r="AB623">
        <v>24918</v>
      </c>
      <c r="AD623" t="s">
        <v>5</v>
      </c>
      <c r="AE623">
        <v>26</v>
      </c>
      <c r="AF623">
        <v>13</v>
      </c>
      <c r="AH623" t="s">
        <v>4044</v>
      </c>
      <c r="AI623" t="s">
        <v>4043</v>
      </c>
      <c r="AJ623" t="s">
        <v>4042</v>
      </c>
      <c r="AK623" t="s">
        <v>4041</v>
      </c>
      <c r="AL623">
        <v>4</v>
      </c>
      <c r="AM623" s="5">
        <f t="shared" si="74"/>
        <v>0.125</v>
      </c>
      <c r="AN623" s="4">
        <f t="shared" si="79"/>
        <v>1.893222264293828E-4</v>
      </c>
      <c r="AO623" s="3"/>
      <c r="AP623">
        <v>0</v>
      </c>
      <c r="AR623" t="s">
        <v>0</v>
      </c>
      <c r="AT623" s="2">
        <v>1.3140000000000001</v>
      </c>
      <c r="AU623" s="1">
        <f t="shared" si="75"/>
        <v>0.7064084247011061</v>
      </c>
      <c r="AV623" s="1">
        <f t="shared" si="76"/>
        <v>0.50998665268448673</v>
      </c>
      <c r="AW623" s="1">
        <f t="shared" si="77"/>
        <v>0.31356488066786731</v>
      </c>
    </row>
    <row r="624" spans="1:49" x14ac:dyDescent="0.2">
      <c r="A624">
        <v>622</v>
      </c>
      <c r="B624" t="s">
        <v>4040</v>
      </c>
      <c r="C624" t="s">
        <v>4039</v>
      </c>
      <c r="F624" t="s">
        <v>4038</v>
      </c>
      <c r="G624" t="s">
        <v>14</v>
      </c>
      <c r="H624" t="s">
        <v>13</v>
      </c>
      <c r="I624" t="s">
        <v>4037</v>
      </c>
      <c r="J624">
        <v>60025063</v>
      </c>
      <c r="K624" t="s">
        <v>4036</v>
      </c>
      <c r="L624" t="s">
        <v>4035</v>
      </c>
      <c r="M624" t="s">
        <v>4034</v>
      </c>
      <c r="N624">
        <v>2</v>
      </c>
      <c r="O624" t="s">
        <v>4033</v>
      </c>
      <c r="P624" t="s">
        <v>4032</v>
      </c>
      <c r="Q624" t="s">
        <v>4031</v>
      </c>
      <c r="R624" s="7">
        <v>32874</v>
      </c>
      <c r="S624" s="8">
        <f t="shared" si="72"/>
        <v>1990</v>
      </c>
      <c r="T624" s="8">
        <v>1990</v>
      </c>
      <c r="U624" s="8">
        <f t="shared" si="73"/>
        <v>32</v>
      </c>
      <c r="V624" s="7">
        <v>33025</v>
      </c>
      <c r="W624" t="s">
        <v>4030</v>
      </c>
      <c r="X624" s="2">
        <v>2.5710000000000002</v>
      </c>
      <c r="Y624" s="6">
        <f t="shared" si="78"/>
        <v>6.8631376631696966E-2</v>
      </c>
      <c r="AA624">
        <v>189200</v>
      </c>
      <c r="AB624">
        <v>17278</v>
      </c>
      <c r="AC624" t="s">
        <v>4029</v>
      </c>
      <c r="AD624" t="s">
        <v>5</v>
      </c>
      <c r="AE624">
        <v>25</v>
      </c>
      <c r="AF624">
        <v>3</v>
      </c>
      <c r="AH624" t="s">
        <v>4028</v>
      </c>
      <c r="AI624" t="s">
        <v>4027</v>
      </c>
      <c r="AK624" t="s">
        <v>4026</v>
      </c>
      <c r="AL624">
        <v>23</v>
      </c>
      <c r="AM624" s="5">
        <f t="shared" si="74"/>
        <v>0.71875</v>
      </c>
      <c r="AN624" s="4">
        <f t="shared" si="79"/>
        <v>1.0886028019689512E-3</v>
      </c>
      <c r="AO624" s="3"/>
      <c r="AP624">
        <v>0</v>
      </c>
      <c r="AR624" t="s">
        <v>0</v>
      </c>
      <c r="AT624" s="2">
        <v>5.0129999999999999</v>
      </c>
      <c r="AU624" s="1">
        <f t="shared" si="75"/>
        <v>4.8368544482778564</v>
      </c>
      <c r="AV624" s="1">
        <f t="shared" si="76"/>
        <v>3.485998971683296</v>
      </c>
      <c r="AW624" s="1">
        <f t="shared" si="77"/>
        <v>2.1351434950887356</v>
      </c>
    </row>
    <row r="625" spans="1:49" x14ac:dyDescent="0.2">
      <c r="A625">
        <v>623</v>
      </c>
      <c r="B625" t="s">
        <v>4025</v>
      </c>
      <c r="C625" t="s">
        <v>4024</v>
      </c>
      <c r="F625" t="s">
        <v>4023</v>
      </c>
      <c r="G625" t="s">
        <v>14</v>
      </c>
      <c r="H625" t="s">
        <v>13</v>
      </c>
      <c r="I625" t="s">
        <v>4022</v>
      </c>
      <c r="J625">
        <v>60013506</v>
      </c>
      <c r="K625" t="s">
        <v>4021</v>
      </c>
      <c r="L625" t="s">
        <v>4020</v>
      </c>
      <c r="M625" t="s">
        <v>1937</v>
      </c>
      <c r="N625">
        <v>1</v>
      </c>
      <c r="O625" t="s">
        <v>4019</v>
      </c>
      <c r="P625">
        <v>7404812629</v>
      </c>
      <c r="Q625">
        <v>60013506</v>
      </c>
      <c r="R625" s="7">
        <v>32874</v>
      </c>
      <c r="S625" s="8">
        <f t="shared" si="72"/>
        <v>1990</v>
      </c>
      <c r="T625" s="8">
        <v>1990</v>
      </c>
      <c r="U625" s="8">
        <f t="shared" si="73"/>
        <v>32</v>
      </c>
      <c r="V625" s="7">
        <v>33025</v>
      </c>
      <c r="W625" t="s">
        <v>2249</v>
      </c>
      <c r="X625" s="2">
        <v>1.6519999999999999</v>
      </c>
      <c r="Y625" s="6">
        <f t="shared" si="78"/>
        <v>4.409919649769093E-2</v>
      </c>
      <c r="AA625" t="s">
        <v>2248</v>
      </c>
      <c r="AB625">
        <v>17337</v>
      </c>
      <c r="AC625">
        <v>15582221</v>
      </c>
      <c r="AD625" t="s">
        <v>5</v>
      </c>
      <c r="AE625">
        <v>38</v>
      </c>
      <c r="AF625">
        <v>6</v>
      </c>
      <c r="AH625" t="s">
        <v>4018</v>
      </c>
      <c r="AI625" t="s">
        <v>4017</v>
      </c>
      <c r="AK625" t="s">
        <v>4016</v>
      </c>
      <c r="AL625">
        <v>12</v>
      </c>
      <c r="AM625" s="5">
        <f t="shared" si="74"/>
        <v>0.375</v>
      </c>
      <c r="AN625" s="4">
        <f t="shared" si="79"/>
        <v>5.6796667928814845E-4</v>
      </c>
      <c r="AO625" s="3"/>
      <c r="AP625">
        <v>0</v>
      </c>
      <c r="AR625" t="s">
        <v>0</v>
      </c>
      <c r="AT625" s="2" t="s">
        <v>126</v>
      </c>
      <c r="AU625" s="1">
        <f t="shared" si="75"/>
        <v>3.1039827552170092</v>
      </c>
      <c r="AV625" s="1">
        <f t="shared" si="76"/>
        <v>2.2333581588489539</v>
      </c>
      <c r="AW625" s="1">
        <f t="shared" si="77"/>
        <v>1.3627335624808981</v>
      </c>
    </row>
    <row r="626" spans="1:49" x14ac:dyDescent="0.2">
      <c r="A626">
        <v>624</v>
      </c>
      <c r="B626" t="s">
        <v>4015</v>
      </c>
      <c r="C626" t="s">
        <v>4014</v>
      </c>
      <c r="F626" t="s">
        <v>4013</v>
      </c>
      <c r="G626" t="s">
        <v>14</v>
      </c>
      <c r="H626" t="s">
        <v>13</v>
      </c>
      <c r="I626" t="s">
        <v>4012</v>
      </c>
      <c r="J626">
        <v>60025778</v>
      </c>
      <c r="K626" t="s">
        <v>436</v>
      </c>
      <c r="L626" t="s">
        <v>435</v>
      </c>
      <c r="M626" t="s">
        <v>197</v>
      </c>
      <c r="N626">
        <v>2</v>
      </c>
      <c r="O626" t="s">
        <v>4011</v>
      </c>
      <c r="P626" t="s">
        <v>4010</v>
      </c>
      <c r="Q626" t="s">
        <v>432</v>
      </c>
      <c r="R626" s="7">
        <v>32874</v>
      </c>
      <c r="S626" s="8">
        <f t="shared" si="72"/>
        <v>1990</v>
      </c>
      <c r="T626" s="8">
        <v>1990</v>
      </c>
      <c r="U626" s="8">
        <f t="shared" si="73"/>
        <v>32</v>
      </c>
      <c r="V626" s="7">
        <v>33025</v>
      </c>
      <c r="W626" t="s">
        <v>1858</v>
      </c>
      <c r="X626" s="2">
        <v>0.88100000000000001</v>
      </c>
      <c r="Y626" s="6">
        <f t="shared" si="78"/>
        <v>2.3517791836843653E-2</v>
      </c>
      <c r="AA626">
        <v>10459243</v>
      </c>
      <c r="AB626">
        <v>17248</v>
      </c>
      <c r="AD626" t="s">
        <v>5</v>
      </c>
      <c r="AE626">
        <v>32</v>
      </c>
      <c r="AF626">
        <v>3</v>
      </c>
      <c r="AH626" t="s">
        <v>4009</v>
      </c>
      <c r="AL626">
        <v>0</v>
      </c>
      <c r="AM626" s="5">
        <f t="shared" si="74"/>
        <v>0</v>
      </c>
      <c r="AN626" s="4">
        <f t="shared" si="79"/>
        <v>0</v>
      </c>
      <c r="AO626" s="3"/>
      <c r="AP626">
        <v>0</v>
      </c>
      <c r="AR626" t="s">
        <v>0</v>
      </c>
      <c r="AT626" s="2" t="s">
        <v>126</v>
      </c>
      <c r="AU626" s="1">
        <f t="shared" si="75"/>
        <v>1.6462454285790555</v>
      </c>
      <c r="AV626" s="1">
        <f t="shared" si="76"/>
        <v>1.1758895918421826</v>
      </c>
      <c r="AW626" s="1">
        <f t="shared" si="77"/>
        <v>0.70553375510530958</v>
      </c>
    </row>
    <row r="627" spans="1:49" x14ac:dyDescent="0.2">
      <c r="A627">
        <v>625</v>
      </c>
      <c r="B627" t="s">
        <v>4008</v>
      </c>
      <c r="C627" t="s">
        <v>4007</v>
      </c>
      <c r="F627" t="s">
        <v>4006</v>
      </c>
      <c r="G627" t="s">
        <v>14</v>
      </c>
      <c r="H627" t="s">
        <v>13</v>
      </c>
      <c r="I627" t="s">
        <v>4005</v>
      </c>
      <c r="J627">
        <v>60019894</v>
      </c>
      <c r="K627" t="s">
        <v>4004</v>
      </c>
      <c r="L627" t="s">
        <v>4003</v>
      </c>
      <c r="M627" t="s">
        <v>1637</v>
      </c>
      <c r="N627">
        <v>3</v>
      </c>
      <c r="O627" t="s">
        <v>4002</v>
      </c>
      <c r="P627" t="s">
        <v>4001</v>
      </c>
      <c r="Q627" t="s">
        <v>4000</v>
      </c>
      <c r="R627" s="7">
        <v>32874</v>
      </c>
      <c r="S627" s="8">
        <f t="shared" si="72"/>
        <v>1990</v>
      </c>
      <c r="T627" s="8">
        <v>1990</v>
      </c>
      <c r="U627" s="8">
        <f t="shared" si="73"/>
        <v>32</v>
      </c>
      <c r="V627" s="7">
        <v>33025</v>
      </c>
      <c r="W627" t="s">
        <v>2249</v>
      </c>
      <c r="X627" s="2">
        <v>1.6519999999999999</v>
      </c>
      <c r="Y627" s="6">
        <f t="shared" si="78"/>
        <v>4.409919649769093E-2</v>
      </c>
      <c r="AA627" t="s">
        <v>2248</v>
      </c>
      <c r="AB627">
        <v>17337</v>
      </c>
      <c r="AC627">
        <v>15582221</v>
      </c>
      <c r="AD627" t="s">
        <v>5</v>
      </c>
      <c r="AE627">
        <v>38</v>
      </c>
      <c r="AF627">
        <v>6</v>
      </c>
      <c r="AH627" t="s">
        <v>3999</v>
      </c>
      <c r="AI627" t="s">
        <v>3998</v>
      </c>
      <c r="AK627" t="s">
        <v>3997</v>
      </c>
      <c r="AL627">
        <v>11</v>
      </c>
      <c r="AM627" s="5">
        <f t="shared" si="74"/>
        <v>0.34375</v>
      </c>
      <c r="AN627" s="4">
        <f t="shared" si="79"/>
        <v>5.2063612268080268E-4</v>
      </c>
      <c r="AO627" s="3"/>
      <c r="AP627">
        <v>0</v>
      </c>
      <c r="AR627" t="s">
        <v>0</v>
      </c>
      <c r="AT627" s="2" t="s">
        <v>126</v>
      </c>
      <c r="AU627" s="1">
        <f t="shared" si="75"/>
        <v>3.1025628385187893</v>
      </c>
      <c r="AV627" s="1">
        <f t="shared" si="76"/>
        <v>2.2309916310185867</v>
      </c>
      <c r="AW627" s="1">
        <f t="shared" si="77"/>
        <v>1.359420423518384</v>
      </c>
    </row>
    <row r="628" spans="1:49" x14ac:dyDescent="0.2">
      <c r="A628">
        <v>626</v>
      </c>
      <c r="B628" t="s">
        <v>3996</v>
      </c>
      <c r="C628" t="s">
        <v>3995</v>
      </c>
      <c r="F628" t="s">
        <v>3994</v>
      </c>
      <c r="G628" t="s">
        <v>14</v>
      </c>
      <c r="H628" t="s">
        <v>13</v>
      </c>
      <c r="I628" t="s">
        <v>3993</v>
      </c>
      <c r="J628">
        <v>117575927</v>
      </c>
      <c r="K628" t="s">
        <v>3992</v>
      </c>
      <c r="L628" t="s">
        <v>466</v>
      </c>
      <c r="M628" t="s">
        <v>267</v>
      </c>
      <c r="N628">
        <v>2</v>
      </c>
      <c r="O628" t="s">
        <v>3991</v>
      </c>
      <c r="P628" t="s">
        <v>3990</v>
      </c>
      <c r="Q628" t="s">
        <v>3989</v>
      </c>
      <c r="R628" s="7">
        <v>32874</v>
      </c>
      <c r="S628" s="8">
        <f t="shared" si="72"/>
        <v>1990</v>
      </c>
      <c r="T628" s="8">
        <v>1990</v>
      </c>
      <c r="U628" s="8">
        <f t="shared" si="73"/>
        <v>32</v>
      </c>
      <c r="V628" s="7">
        <v>33025</v>
      </c>
      <c r="W628" t="s">
        <v>2288</v>
      </c>
      <c r="X628" s="2">
        <v>0.111</v>
      </c>
      <c r="Y628" s="6">
        <f t="shared" si="78"/>
        <v>2.9630816048690639E-3</v>
      </c>
      <c r="AA628">
        <v>87566621</v>
      </c>
      <c r="AB628">
        <v>24890</v>
      </c>
      <c r="AC628">
        <v>15206424</v>
      </c>
      <c r="AD628" t="s">
        <v>5</v>
      </c>
      <c r="AE628">
        <v>73</v>
      </c>
      <c r="AF628">
        <v>6</v>
      </c>
      <c r="AH628" t="s">
        <v>3988</v>
      </c>
      <c r="AI628" t="s">
        <v>3987</v>
      </c>
      <c r="AK628" t="s">
        <v>3986</v>
      </c>
      <c r="AL628">
        <v>0</v>
      </c>
      <c r="AM628" s="5">
        <f t="shared" si="74"/>
        <v>0</v>
      </c>
      <c r="AN628" s="4">
        <f t="shared" si="79"/>
        <v>0</v>
      </c>
      <c r="AO628" s="3"/>
      <c r="AP628">
        <v>0</v>
      </c>
      <c r="AR628" t="s">
        <v>0</v>
      </c>
      <c r="AT628" s="2" t="s">
        <v>126</v>
      </c>
      <c r="AU628" s="1">
        <f t="shared" si="75"/>
        <v>0.20741571234083445</v>
      </c>
      <c r="AV628" s="1">
        <f t="shared" si="76"/>
        <v>0.1481540802434532</v>
      </c>
      <c r="AW628" s="1">
        <f t="shared" si="77"/>
        <v>8.8892448146071903E-2</v>
      </c>
    </row>
    <row r="629" spans="1:49" x14ac:dyDescent="0.2">
      <c r="A629">
        <v>627</v>
      </c>
      <c r="B629" t="s">
        <v>3985</v>
      </c>
      <c r="C629" t="s">
        <v>3984</v>
      </c>
      <c r="F629" t="s">
        <v>3983</v>
      </c>
      <c r="G629" t="s">
        <v>14</v>
      </c>
      <c r="H629" t="s">
        <v>13</v>
      </c>
      <c r="I629" t="s">
        <v>3982</v>
      </c>
      <c r="J629" t="s">
        <v>3981</v>
      </c>
      <c r="K629" t="s">
        <v>3980</v>
      </c>
      <c r="L629" t="s">
        <v>3979</v>
      </c>
      <c r="M629" t="s">
        <v>1820</v>
      </c>
      <c r="N629">
        <v>4</v>
      </c>
      <c r="O629" t="s">
        <v>3978</v>
      </c>
      <c r="P629" t="s">
        <v>3977</v>
      </c>
      <c r="Q629" t="s">
        <v>3976</v>
      </c>
      <c r="R629" s="7">
        <v>32874</v>
      </c>
      <c r="S629" s="8">
        <f t="shared" si="72"/>
        <v>1990</v>
      </c>
      <c r="T629" s="8">
        <v>1990</v>
      </c>
      <c r="U629" s="8">
        <f t="shared" si="73"/>
        <v>32</v>
      </c>
      <c r="V629" s="7">
        <v>33025</v>
      </c>
      <c r="W629" t="s">
        <v>2249</v>
      </c>
      <c r="X629" s="2">
        <v>1.6519999999999999</v>
      </c>
      <c r="Y629" s="6">
        <f t="shared" si="78"/>
        <v>4.409919649769093E-2</v>
      </c>
      <c r="AA629" t="s">
        <v>2248</v>
      </c>
      <c r="AB629">
        <v>17337</v>
      </c>
      <c r="AC629">
        <v>15582221</v>
      </c>
      <c r="AD629" t="s">
        <v>5</v>
      </c>
      <c r="AE629">
        <v>38</v>
      </c>
      <c r="AF629">
        <v>6</v>
      </c>
      <c r="AH629" t="s">
        <v>3975</v>
      </c>
      <c r="AI629" t="s">
        <v>3974</v>
      </c>
      <c r="AK629" t="s">
        <v>3973</v>
      </c>
      <c r="AL629">
        <v>3</v>
      </c>
      <c r="AM629" s="5">
        <f t="shared" si="74"/>
        <v>9.375E-2</v>
      </c>
      <c r="AN629" s="4">
        <f t="shared" si="79"/>
        <v>1.4199166982203711E-4</v>
      </c>
      <c r="AO629" s="3"/>
      <c r="AP629">
        <v>0</v>
      </c>
      <c r="AR629" t="s">
        <v>0</v>
      </c>
      <c r="AT629" s="2" t="s">
        <v>126</v>
      </c>
      <c r="AU629" s="1">
        <f t="shared" si="75"/>
        <v>3.0912035049330262</v>
      </c>
      <c r="AV629" s="1">
        <f t="shared" si="76"/>
        <v>2.2120594083756484</v>
      </c>
      <c r="AW629" s="1">
        <f t="shared" si="77"/>
        <v>1.3329153118182704</v>
      </c>
    </row>
    <row r="630" spans="1:49" x14ac:dyDescent="0.2">
      <c r="A630">
        <v>628</v>
      </c>
      <c r="B630" t="s">
        <v>3972</v>
      </c>
      <c r="C630" t="s">
        <v>3971</v>
      </c>
      <c r="F630" t="s">
        <v>3970</v>
      </c>
      <c r="G630" t="s">
        <v>14</v>
      </c>
      <c r="H630" t="s">
        <v>13</v>
      </c>
      <c r="I630" t="s">
        <v>3969</v>
      </c>
      <c r="J630" t="s">
        <v>3968</v>
      </c>
      <c r="K630" t="s">
        <v>3967</v>
      </c>
      <c r="L630" t="s">
        <v>3966</v>
      </c>
      <c r="M630" t="s">
        <v>1702</v>
      </c>
      <c r="N630">
        <v>3</v>
      </c>
      <c r="O630" t="s">
        <v>3965</v>
      </c>
      <c r="P630" t="s">
        <v>3964</v>
      </c>
      <c r="Q630" t="s">
        <v>3963</v>
      </c>
      <c r="R630" s="7">
        <v>32874</v>
      </c>
      <c r="S630" s="8">
        <f t="shared" si="72"/>
        <v>1990</v>
      </c>
      <c r="T630" s="8">
        <v>1990</v>
      </c>
      <c r="U630" s="8">
        <f t="shared" si="73"/>
        <v>32</v>
      </c>
      <c r="V630" s="7">
        <v>33025</v>
      </c>
      <c r="W630" t="s">
        <v>3962</v>
      </c>
      <c r="X630" s="2">
        <v>0.81</v>
      </c>
      <c r="Y630" s="6">
        <f t="shared" si="78"/>
        <v>2.1622487386882359E-2</v>
      </c>
      <c r="AA630">
        <v>10411135</v>
      </c>
      <c r="AB630">
        <v>12116</v>
      </c>
      <c r="AC630">
        <v>19410174</v>
      </c>
      <c r="AD630" t="s">
        <v>5</v>
      </c>
      <c r="AE630">
        <v>2</v>
      </c>
      <c r="AF630">
        <v>6</v>
      </c>
      <c r="AH630" t="s">
        <v>3961</v>
      </c>
      <c r="AI630" t="s">
        <v>3960</v>
      </c>
      <c r="AK630" t="s">
        <v>3959</v>
      </c>
      <c r="AL630">
        <v>24</v>
      </c>
      <c r="AM630" s="5">
        <f t="shared" si="74"/>
        <v>0.75</v>
      </c>
      <c r="AN630" s="4">
        <f t="shared" si="79"/>
        <v>1.1359333585762969E-3</v>
      </c>
      <c r="AO630" s="3"/>
      <c r="AP630">
        <v>0</v>
      </c>
      <c r="AR630" t="s">
        <v>0</v>
      </c>
      <c r="AT630" s="2">
        <v>2.468</v>
      </c>
      <c r="AU630" s="1">
        <f t="shared" si="75"/>
        <v>1.5476521178390539</v>
      </c>
      <c r="AV630" s="1">
        <f t="shared" si="76"/>
        <v>1.1379210372729327</v>
      </c>
      <c r="AW630" s="1">
        <f t="shared" si="77"/>
        <v>0.72818995670681153</v>
      </c>
    </row>
    <row r="631" spans="1:49" x14ac:dyDescent="0.2">
      <c r="A631">
        <v>629</v>
      </c>
      <c r="B631" t="s">
        <v>3958</v>
      </c>
      <c r="C631" t="s">
        <v>3957</v>
      </c>
      <c r="F631" t="s">
        <v>3956</v>
      </c>
      <c r="G631" t="s">
        <v>14</v>
      </c>
      <c r="H631" t="s">
        <v>13</v>
      </c>
      <c r="I631" t="s">
        <v>3955</v>
      </c>
      <c r="J631" t="s">
        <v>3954</v>
      </c>
      <c r="K631" t="s">
        <v>3953</v>
      </c>
      <c r="L631" t="s">
        <v>3952</v>
      </c>
      <c r="M631" t="s">
        <v>84</v>
      </c>
      <c r="N631">
        <v>3</v>
      </c>
      <c r="O631" t="s">
        <v>3951</v>
      </c>
      <c r="P631" t="s">
        <v>3950</v>
      </c>
      <c r="Q631" t="s">
        <v>3949</v>
      </c>
      <c r="R631" s="7">
        <v>32874</v>
      </c>
      <c r="S631" s="8">
        <f t="shared" si="72"/>
        <v>1990</v>
      </c>
      <c r="T631" s="8">
        <v>1990</v>
      </c>
      <c r="U631" s="8">
        <f t="shared" si="73"/>
        <v>32</v>
      </c>
      <c r="V631" s="7">
        <v>33025</v>
      </c>
      <c r="W631" t="s">
        <v>2249</v>
      </c>
      <c r="X631" s="2">
        <v>1.6519999999999999</v>
      </c>
      <c r="Y631" s="6">
        <f t="shared" si="78"/>
        <v>4.409919649769093E-2</v>
      </c>
      <c r="AA631" t="s">
        <v>2248</v>
      </c>
      <c r="AB631">
        <v>17337</v>
      </c>
      <c r="AC631">
        <v>15582221</v>
      </c>
      <c r="AD631" t="s">
        <v>5</v>
      </c>
      <c r="AE631">
        <v>38</v>
      </c>
      <c r="AF631">
        <v>6</v>
      </c>
      <c r="AH631" t="s">
        <v>3948</v>
      </c>
      <c r="AI631" t="s">
        <v>3947</v>
      </c>
      <c r="AK631" t="s">
        <v>3946</v>
      </c>
      <c r="AL631">
        <v>54</v>
      </c>
      <c r="AM631" s="5">
        <f t="shared" si="74"/>
        <v>1.6875</v>
      </c>
      <c r="AN631" s="4">
        <f t="shared" si="79"/>
        <v>2.5558500567966678E-3</v>
      </c>
      <c r="AO631" s="3"/>
      <c r="AP631">
        <v>0</v>
      </c>
      <c r="AR631" t="s">
        <v>0</v>
      </c>
      <c r="AT631" s="2" t="s">
        <v>126</v>
      </c>
      <c r="AU631" s="1">
        <f t="shared" si="75"/>
        <v>3.1636192565422654</v>
      </c>
      <c r="AV631" s="1">
        <f t="shared" si="76"/>
        <v>2.3327523277243802</v>
      </c>
      <c r="AW631" s="1">
        <f t="shared" si="77"/>
        <v>1.5018853989064944</v>
      </c>
    </row>
    <row r="632" spans="1:49" x14ac:dyDescent="0.2">
      <c r="A632">
        <v>630</v>
      </c>
      <c r="B632" t="s">
        <v>3945</v>
      </c>
      <c r="C632" t="s">
        <v>3944</v>
      </c>
      <c r="F632" t="s">
        <v>3943</v>
      </c>
      <c r="G632" t="s">
        <v>14</v>
      </c>
      <c r="H632" t="s">
        <v>13</v>
      </c>
      <c r="I632" t="s">
        <v>3942</v>
      </c>
      <c r="J632" t="s">
        <v>3937</v>
      </c>
      <c r="K632" t="s">
        <v>3941</v>
      </c>
      <c r="L632" t="s">
        <v>3940</v>
      </c>
      <c r="M632" t="s">
        <v>1972</v>
      </c>
      <c r="N632">
        <v>2</v>
      </c>
      <c r="O632" t="s">
        <v>3939</v>
      </c>
      <c r="P632" t="s">
        <v>3938</v>
      </c>
      <c r="Q632" t="s">
        <v>3937</v>
      </c>
      <c r="R632" s="7">
        <v>32874</v>
      </c>
      <c r="S632" s="8">
        <f t="shared" si="72"/>
        <v>1990</v>
      </c>
      <c r="T632" s="8">
        <v>1990</v>
      </c>
      <c r="U632" s="8">
        <f t="shared" si="73"/>
        <v>32</v>
      </c>
      <c r="V632" s="7">
        <v>33025</v>
      </c>
      <c r="W632" t="s">
        <v>1524</v>
      </c>
      <c r="X632" s="2">
        <v>0.39600000000000002</v>
      </c>
      <c r="Y632" s="6">
        <f t="shared" si="78"/>
        <v>1.0570993833586931E-2</v>
      </c>
      <c r="AA632">
        <v>8858985</v>
      </c>
      <c r="AB632">
        <v>25993</v>
      </c>
      <c r="AD632" t="s">
        <v>5</v>
      </c>
      <c r="AE632">
        <v>5</v>
      </c>
      <c r="AF632">
        <v>6</v>
      </c>
      <c r="AH632" t="s">
        <v>3710</v>
      </c>
      <c r="AI632" t="s">
        <v>3936</v>
      </c>
      <c r="AK632" t="s">
        <v>3935</v>
      </c>
      <c r="AL632">
        <v>4</v>
      </c>
      <c r="AM632" s="5">
        <f t="shared" si="74"/>
        <v>0.125</v>
      </c>
      <c r="AN632" s="4">
        <f t="shared" si="79"/>
        <v>1.893222264293828E-4</v>
      </c>
      <c r="AO632" s="3"/>
      <c r="AP632">
        <v>0</v>
      </c>
      <c r="AR632" t="s">
        <v>0</v>
      </c>
      <c r="AT632" s="2" t="s">
        <v>126</v>
      </c>
      <c r="AU632" s="1">
        <f t="shared" si="75"/>
        <v>0.74564923514396664</v>
      </c>
      <c r="AV632" s="1">
        <f t="shared" si="76"/>
        <v>0.53801580300081564</v>
      </c>
      <c r="AW632" s="1">
        <f t="shared" si="77"/>
        <v>0.3303823708576647</v>
      </c>
    </row>
    <row r="633" spans="1:49" x14ac:dyDescent="0.2">
      <c r="A633">
        <v>631</v>
      </c>
      <c r="B633" t="s">
        <v>3934</v>
      </c>
      <c r="C633" t="s">
        <v>3933</v>
      </c>
      <c r="F633" t="s">
        <v>3932</v>
      </c>
      <c r="G633" t="s">
        <v>14</v>
      </c>
      <c r="H633" t="s">
        <v>13</v>
      </c>
      <c r="I633" t="s">
        <v>3931</v>
      </c>
      <c r="J633">
        <v>60101699</v>
      </c>
      <c r="K633" t="s">
        <v>3930</v>
      </c>
      <c r="L633" t="s">
        <v>466</v>
      </c>
      <c r="M633" t="s">
        <v>267</v>
      </c>
      <c r="N633">
        <v>1</v>
      </c>
      <c r="O633" t="s">
        <v>3929</v>
      </c>
      <c r="P633">
        <v>7407123976</v>
      </c>
      <c r="Q633">
        <v>60101699</v>
      </c>
      <c r="R633" s="7">
        <v>32874</v>
      </c>
      <c r="S633" s="8">
        <f t="shared" si="72"/>
        <v>1990</v>
      </c>
      <c r="T633" s="8">
        <v>1990</v>
      </c>
      <c r="U633" s="8">
        <f t="shared" si="73"/>
        <v>32</v>
      </c>
      <c r="V633" s="7">
        <v>33025</v>
      </c>
      <c r="W633" t="s">
        <v>1524</v>
      </c>
      <c r="X633" s="2">
        <v>0.39600000000000002</v>
      </c>
      <c r="Y633" s="6">
        <f t="shared" si="78"/>
        <v>1.0570993833586931E-2</v>
      </c>
      <c r="AA633">
        <v>8858985</v>
      </c>
      <c r="AB633">
        <v>25993</v>
      </c>
      <c r="AD633" t="s">
        <v>5</v>
      </c>
      <c r="AE633">
        <v>5</v>
      </c>
      <c r="AF633">
        <v>6</v>
      </c>
      <c r="AH633" t="s">
        <v>3928</v>
      </c>
      <c r="AI633" t="s">
        <v>3927</v>
      </c>
      <c r="AK633" t="s">
        <v>3926</v>
      </c>
      <c r="AL633">
        <v>0</v>
      </c>
      <c r="AM633" s="5">
        <f t="shared" si="74"/>
        <v>0</v>
      </c>
      <c r="AN633" s="4">
        <f t="shared" si="79"/>
        <v>0</v>
      </c>
      <c r="AO633" s="3"/>
      <c r="AP633">
        <v>0</v>
      </c>
      <c r="AR633" t="s">
        <v>0</v>
      </c>
      <c r="AT633" s="2" t="s">
        <v>126</v>
      </c>
      <c r="AU633" s="1">
        <f t="shared" si="75"/>
        <v>0.73996956835108518</v>
      </c>
      <c r="AV633" s="1">
        <f t="shared" si="76"/>
        <v>0.52854969167934651</v>
      </c>
      <c r="AW633" s="1">
        <f t="shared" si="77"/>
        <v>0.3171298150076079</v>
      </c>
    </row>
    <row r="634" spans="1:49" x14ac:dyDescent="0.2">
      <c r="A634">
        <v>632</v>
      </c>
      <c r="B634" t="s">
        <v>3925</v>
      </c>
      <c r="C634" t="s">
        <v>3924</v>
      </c>
      <c r="F634" t="s">
        <v>3923</v>
      </c>
      <c r="G634" t="s">
        <v>14</v>
      </c>
      <c r="H634" t="s">
        <v>13</v>
      </c>
      <c r="I634" t="s">
        <v>3922</v>
      </c>
      <c r="J634">
        <v>60030553</v>
      </c>
      <c r="K634" t="s">
        <v>3921</v>
      </c>
      <c r="L634" t="s">
        <v>3920</v>
      </c>
      <c r="M634" t="s">
        <v>1637</v>
      </c>
      <c r="N634">
        <v>3</v>
      </c>
      <c r="O634" t="s">
        <v>3919</v>
      </c>
      <c r="P634" t="s">
        <v>3918</v>
      </c>
      <c r="Q634" t="s">
        <v>3917</v>
      </c>
      <c r="R634" s="7">
        <v>32874</v>
      </c>
      <c r="S634" s="8">
        <f t="shared" si="72"/>
        <v>1990</v>
      </c>
      <c r="T634" s="8">
        <v>1990</v>
      </c>
      <c r="U634" s="8">
        <f t="shared" si="73"/>
        <v>32</v>
      </c>
      <c r="V634" s="7">
        <v>1990</v>
      </c>
      <c r="W634" t="s">
        <v>1380</v>
      </c>
      <c r="X634" s="2">
        <v>0.375</v>
      </c>
      <c r="Y634" s="6">
        <f t="shared" si="78"/>
        <v>1.0010410827260351E-2</v>
      </c>
      <c r="AA634">
        <v>135194</v>
      </c>
      <c r="AB634">
        <v>24918</v>
      </c>
      <c r="AD634" t="s">
        <v>5</v>
      </c>
      <c r="AE634">
        <v>26</v>
      </c>
      <c r="AF634">
        <v>13</v>
      </c>
      <c r="AH634" t="s">
        <v>3916</v>
      </c>
      <c r="AI634" t="s">
        <v>3915</v>
      </c>
      <c r="AJ634" t="s">
        <v>3914</v>
      </c>
      <c r="AK634" t="s">
        <v>3913</v>
      </c>
      <c r="AL634">
        <v>30</v>
      </c>
      <c r="AM634" s="5">
        <f t="shared" si="74"/>
        <v>0.9375</v>
      </c>
      <c r="AN634" s="4">
        <f t="shared" si="79"/>
        <v>1.4199166982203711E-3</v>
      </c>
      <c r="AO634" s="3"/>
      <c r="AP634">
        <v>0</v>
      </c>
      <c r="AR634" t="s">
        <v>0</v>
      </c>
      <c r="AT634" s="2">
        <v>1.3140000000000001</v>
      </c>
      <c r="AU634" s="1">
        <f t="shared" si="75"/>
        <v>0.74332625885483572</v>
      </c>
      <c r="AV634" s="1">
        <f t="shared" si="76"/>
        <v>0.57151637627403606</v>
      </c>
      <c r="AW634" s="1">
        <f t="shared" si="77"/>
        <v>0.39970649369323646</v>
      </c>
    </row>
    <row r="635" spans="1:49" x14ac:dyDescent="0.2">
      <c r="A635">
        <v>633</v>
      </c>
      <c r="B635" t="s">
        <v>3912</v>
      </c>
      <c r="C635" t="s">
        <v>3911</v>
      </c>
      <c r="F635" t="s">
        <v>3910</v>
      </c>
      <c r="G635" t="s">
        <v>14</v>
      </c>
      <c r="H635" t="s">
        <v>13</v>
      </c>
      <c r="I635" t="s">
        <v>3909</v>
      </c>
      <c r="J635">
        <v>60003500</v>
      </c>
      <c r="K635" t="s">
        <v>3159</v>
      </c>
      <c r="L635" t="s">
        <v>3158</v>
      </c>
      <c r="M635" t="s">
        <v>197</v>
      </c>
      <c r="N635">
        <v>3</v>
      </c>
      <c r="O635" t="s">
        <v>3908</v>
      </c>
      <c r="P635" t="s">
        <v>3907</v>
      </c>
      <c r="Q635" t="s">
        <v>3906</v>
      </c>
      <c r="R635" s="7">
        <v>32874</v>
      </c>
      <c r="S635" s="8">
        <f t="shared" si="72"/>
        <v>1990</v>
      </c>
      <c r="T635" s="8">
        <v>1990</v>
      </c>
      <c r="U635" s="8">
        <f t="shared" si="73"/>
        <v>32</v>
      </c>
      <c r="V635" s="7">
        <v>33025</v>
      </c>
      <c r="W635" t="s">
        <v>2249</v>
      </c>
      <c r="X635" s="2">
        <v>1.6519999999999999</v>
      </c>
      <c r="Y635" s="6">
        <f t="shared" si="78"/>
        <v>4.409919649769093E-2</v>
      </c>
      <c r="AA635" t="s">
        <v>2248</v>
      </c>
      <c r="AB635">
        <v>17337</v>
      </c>
      <c r="AC635">
        <v>15582221</v>
      </c>
      <c r="AD635" t="s">
        <v>5</v>
      </c>
      <c r="AE635">
        <v>38</v>
      </c>
      <c r="AF635">
        <v>6</v>
      </c>
      <c r="AH635" t="s">
        <v>3905</v>
      </c>
      <c r="AI635" t="s">
        <v>3904</v>
      </c>
      <c r="AK635" t="s">
        <v>3903</v>
      </c>
      <c r="AL635">
        <v>11</v>
      </c>
      <c r="AM635" s="5">
        <f t="shared" si="74"/>
        <v>0.34375</v>
      </c>
      <c r="AN635" s="4">
        <f t="shared" si="79"/>
        <v>5.2063612268080268E-4</v>
      </c>
      <c r="AO635" s="3"/>
      <c r="AP635">
        <v>0</v>
      </c>
      <c r="AR635" t="s">
        <v>0</v>
      </c>
      <c r="AT635" s="2" t="s">
        <v>126</v>
      </c>
      <c r="AU635" s="1">
        <f t="shared" si="75"/>
        <v>3.1025628385187893</v>
      </c>
      <c r="AV635" s="1">
        <f t="shared" si="76"/>
        <v>2.2309916310185867</v>
      </c>
      <c r="AW635" s="1">
        <f t="shared" si="77"/>
        <v>1.359420423518384</v>
      </c>
    </row>
    <row r="636" spans="1:49" x14ac:dyDescent="0.2">
      <c r="A636">
        <v>634</v>
      </c>
      <c r="B636" t="s">
        <v>3902</v>
      </c>
      <c r="C636" t="s">
        <v>3901</v>
      </c>
      <c r="F636" t="s">
        <v>3900</v>
      </c>
      <c r="G636" t="s">
        <v>14</v>
      </c>
      <c r="H636" t="s">
        <v>13</v>
      </c>
      <c r="I636" t="s">
        <v>3899</v>
      </c>
      <c r="J636">
        <v>60019000</v>
      </c>
      <c r="K636" t="s">
        <v>2468</v>
      </c>
      <c r="L636" t="s">
        <v>2467</v>
      </c>
      <c r="M636" t="s">
        <v>1937</v>
      </c>
      <c r="N636">
        <v>2</v>
      </c>
      <c r="O636" t="s">
        <v>3898</v>
      </c>
      <c r="P636" t="s">
        <v>2465</v>
      </c>
      <c r="Q636" t="s">
        <v>2464</v>
      </c>
      <c r="R636" s="7">
        <v>32874</v>
      </c>
      <c r="S636" s="8">
        <f t="shared" si="72"/>
        <v>1990</v>
      </c>
      <c r="T636" s="8">
        <v>1990</v>
      </c>
      <c r="U636" s="8">
        <f t="shared" si="73"/>
        <v>32</v>
      </c>
      <c r="V636" s="7">
        <v>33025</v>
      </c>
      <c r="W636" t="s">
        <v>2249</v>
      </c>
      <c r="X636" s="2">
        <v>1.6519999999999999</v>
      </c>
      <c r="Y636" s="6">
        <f t="shared" si="78"/>
        <v>4.409919649769093E-2</v>
      </c>
      <c r="AA636" t="s">
        <v>2248</v>
      </c>
      <c r="AB636">
        <v>17337</v>
      </c>
      <c r="AC636">
        <v>15582221</v>
      </c>
      <c r="AD636" t="s">
        <v>5</v>
      </c>
      <c r="AE636">
        <v>38</v>
      </c>
      <c r="AF636">
        <v>6</v>
      </c>
      <c r="AH636" t="s">
        <v>3897</v>
      </c>
      <c r="AI636" t="s">
        <v>3896</v>
      </c>
      <c r="AK636" t="s">
        <v>3895</v>
      </c>
      <c r="AL636">
        <v>3</v>
      </c>
      <c r="AM636" s="5">
        <f t="shared" si="74"/>
        <v>9.375E-2</v>
      </c>
      <c r="AN636" s="4">
        <f t="shared" si="79"/>
        <v>1.4199166982203711E-4</v>
      </c>
      <c r="AO636" s="3"/>
      <c r="AP636">
        <v>0</v>
      </c>
      <c r="AR636" t="s">
        <v>0</v>
      </c>
      <c r="AT636" s="2" t="s">
        <v>126</v>
      </c>
      <c r="AU636" s="1">
        <f t="shared" si="75"/>
        <v>3.0912035049330262</v>
      </c>
      <c r="AV636" s="1">
        <f t="shared" si="76"/>
        <v>2.2120594083756484</v>
      </c>
      <c r="AW636" s="1">
        <f t="shared" si="77"/>
        <v>1.3329153118182704</v>
      </c>
    </row>
    <row r="637" spans="1:49" x14ac:dyDescent="0.2">
      <c r="A637">
        <v>635</v>
      </c>
      <c r="B637" t="s">
        <v>3894</v>
      </c>
      <c r="C637" t="s">
        <v>3893</v>
      </c>
      <c r="F637" t="s">
        <v>3892</v>
      </c>
      <c r="G637" t="s">
        <v>14</v>
      </c>
      <c r="H637" t="s">
        <v>13</v>
      </c>
      <c r="I637" t="s">
        <v>3891</v>
      </c>
      <c r="J637">
        <v>60001754</v>
      </c>
      <c r="K637" t="s">
        <v>3890</v>
      </c>
      <c r="L637" t="s">
        <v>3889</v>
      </c>
      <c r="M637" t="s">
        <v>135</v>
      </c>
      <c r="N637">
        <v>1</v>
      </c>
      <c r="O637" t="s">
        <v>3888</v>
      </c>
      <c r="P637">
        <v>6602109154</v>
      </c>
      <c r="Q637">
        <v>60001754</v>
      </c>
      <c r="R637" s="7">
        <v>32874</v>
      </c>
      <c r="S637" s="8">
        <f t="shared" ref="S637:S700" si="80">YEAR(R637)</f>
        <v>1990</v>
      </c>
      <c r="T637" s="8">
        <v>1990</v>
      </c>
      <c r="U637" s="8">
        <f t="shared" ref="U637:U700" si="81">2022-T637</f>
        <v>32</v>
      </c>
      <c r="V637" s="7" t="s">
        <v>3887</v>
      </c>
      <c r="W637" s="11" t="s">
        <v>1933</v>
      </c>
      <c r="X637" s="2">
        <v>2.383</v>
      </c>
      <c r="Y637" s="6">
        <f t="shared" si="78"/>
        <v>6.3612824003630442E-2</v>
      </c>
      <c r="AA637" t="s">
        <v>1932</v>
      </c>
      <c r="AB637">
        <v>101151</v>
      </c>
      <c r="AD637" t="s">
        <v>5</v>
      </c>
      <c r="AE637">
        <v>137</v>
      </c>
      <c r="AF637">
        <v>3</v>
      </c>
      <c r="AH637" t="s">
        <v>3886</v>
      </c>
      <c r="AI637" t="s">
        <v>3885</v>
      </c>
      <c r="AK637" t="s">
        <v>3884</v>
      </c>
      <c r="AL637">
        <v>3</v>
      </c>
      <c r="AM637" s="5">
        <f t="shared" ref="AM637:AM700" si="82">AL637/U637</f>
        <v>9.375E-2</v>
      </c>
      <c r="AN637" s="4">
        <f t="shared" si="79"/>
        <v>1.4199166982203711E-4</v>
      </c>
      <c r="AO637" s="3"/>
      <c r="AP637">
        <v>0</v>
      </c>
      <c r="AR637" t="s">
        <v>0</v>
      </c>
      <c r="AT637" s="2" t="s">
        <v>126</v>
      </c>
      <c r="AU637" s="1">
        <f t="shared" ref="AU637:AU700" si="83">(Y637*0.7+AN637*0.3)*100</f>
        <v>4.4571574303487917</v>
      </c>
      <c r="AV637" s="1">
        <f t="shared" ref="AV637:AV700" si="84">(Y637*0.5+AN637*0.5)*100</f>
        <v>3.1877407836726239</v>
      </c>
      <c r="AW637" s="1">
        <f t="shared" ref="AW637:AW700" si="85">(Y637*0.3+AN637*0.7)*100</f>
        <v>1.9183241369964559</v>
      </c>
    </row>
    <row r="638" spans="1:49" x14ac:dyDescent="0.2">
      <c r="A638">
        <v>636</v>
      </c>
      <c r="B638" t="s">
        <v>3883</v>
      </c>
      <c r="C638" t="s">
        <v>3882</v>
      </c>
      <c r="F638" t="s">
        <v>3881</v>
      </c>
      <c r="G638" t="s">
        <v>14</v>
      </c>
      <c r="H638" t="s">
        <v>13</v>
      </c>
      <c r="I638" t="s">
        <v>3880</v>
      </c>
      <c r="J638">
        <v>60000809</v>
      </c>
      <c r="K638" t="s">
        <v>3879</v>
      </c>
      <c r="L638" t="s">
        <v>3878</v>
      </c>
      <c r="M638" t="s">
        <v>267</v>
      </c>
      <c r="N638">
        <v>2</v>
      </c>
      <c r="O638" t="s">
        <v>3877</v>
      </c>
      <c r="P638" t="s">
        <v>3876</v>
      </c>
      <c r="Q638" t="s">
        <v>3875</v>
      </c>
      <c r="R638" s="7">
        <v>32874</v>
      </c>
      <c r="S638" s="8">
        <f t="shared" si="80"/>
        <v>1990</v>
      </c>
      <c r="T638" s="8">
        <v>1990</v>
      </c>
      <c r="U638" s="8">
        <f t="shared" si="81"/>
        <v>32</v>
      </c>
      <c r="V638" s="7">
        <v>33025</v>
      </c>
      <c r="W638" t="s">
        <v>1968</v>
      </c>
      <c r="X638" s="2">
        <v>0.82799999999999996</v>
      </c>
      <c r="Y638" s="6">
        <f t="shared" si="78"/>
        <v>2.2102987106590855E-2</v>
      </c>
      <c r="AA638">
        <v>11452</v>
      </c>
      <c r="AB638">
        <v>29964</v>
      </c>
      <c r="AD638" t="s">
        <v>5</v>
      </c>
      <c r="AE638">
        <v>28</v>
      </c>
      <c r="AF638">
        <v>6</v>
      </c>
      <c r="AH638" t="s">
        <v>3874</v>
      </c>
      <c r="AI638" t="s">
        <v>3873</v>
      </c>
      <c r="AK638" t="s">
        <v>3872</v>
      </c>
      <c r="AL638">
        <v>111</v>
      </c>
      <c r="AM638" s="5">
        <f t="shared" si="82"/>
        <v>3.46875</v>
      </c>
      <c r="AN638" s="4">
        <f t="shared" si="79"/>
        <v>5.2536917834153729E-3</v>
      </c>
      <c r="AO638" s="3"/>
      <c r="AP638">
        <v>0</v>
      </c>
      <c r="AR638" t="s">
        <v>0</v>
      </c>
      <c r="AT638" s="2">
        <v>2.1269999999999998</v>
      </c>
      <c r="AU638" s="1">
        <f t="shared" si="83"/>
        <v>1.704819850963821</v>
      </c>
      <c r="AV638" s="1">
        <f t="shared" si="84"/>
        <v>1.3678339445003114</v>
      </c>
      <c r="AW638" s="1">
        <f t="shared" si="85"/>
        <v>1.0308480380368017</v>
      </c>
    </row>
    <row r="639" spans="1:49" x14ac:dyDescent="0.2">
      <c r="A639">
        <v>637</v>
      </c>
      <c r="B639" t="s">
        <v>3871</v>
      </c>
      <c r="C639" t="s">
        <v>3870</v>
      </c>
      <c r="F639" t="s">
        <v>3869</v>
      </c>
      <c r="G639" t="s">
        <v>14</v>
      </c>
      <c r="H639" t="s">
        <v>13</v>
      </c>
      <c r="I639" t="s">
        <v>3868</v>
      </c>
      <c r="J639">
        <v>60071577</v>
      </c>
      <c r="K639" t="s">
        <v>3867</v>
      </c>
      <c r="L639" t="s">
        <v>3866</v>
      </c>
      <c r="M639" t="s">
        <v>3865</v>
      </c>
      <c r="N639">
        <v>3</v>
      </c>
      <c r="O639" t="s">
        <v>3864</v>
      </c>
      <c r="P639" t="s">
        <v>3863</v>
      </c>
      <c r="Q639" t="s">
        <v>3862</v>
      </c>
      <c r="R639" s="7">
        <v>32874</v>
      </c>
      <c r="S639" s="8">
        <f t="shared" si="80"/>
        <v>1990</v>
      </c>
      <c r="T639" s="8">
        <v>1990</v>
      </c>
      <c r="U639" s="8">
        <f t="shared" si="81"/>
        <v>32</v>
      </c>
      <c r="V639" s="7">
        <v>1990</v>
      </c>
      <c r="W639" t="s">
        <v>1380</v>
      </c>
      <c r="X639" s="2">
        <v>0.375</v>
      </c>
      <c r="Y639" s="6">
        <f t="shared" si="78"/>
        <v>1.0010410827260351E-2</v>
      </c>
      <c r="AA639">
        <v>135194</v>
      </c>
      <c r="AB639">
        <v>24918</v>
      </c>
      <c r="AD639" t="s">
        <v>5</v>
      </c>
      <c r="AE639">
        <v>26</v>
      </c>
      <c r="AF639">
        <v>13</v>
      </c>
      <c r="AH639" t="s">
        <v>3861</v>
      </c>
      <c r="AI639" t="s">
        <v>3860</v>
      </c>
      <c r="AJ639" t="s">
        <v>3859</v>
      </c>
      <c r="AK639" t="s">
        <v>3858</v>
      </c>
      <c r="AL639">
        <v>1</v>
      </c>
      <c r="AM639" s="5">
        <f t="shared" si="82"/>
        <v>3.125E-2</v>
      </c>
      <c r="AN639" s="4">
        <f t="shared" si="79"/>
        <v>4.73305566073457E-5</v>
      </c>
      <c r="AO639" s="3"/>
      <c r="AP639">
        <v>0</v>
      </c>
      <c r="AR639" t="s">
        <v>0</v>
      </c>
      <c r="AT639" s="2">
        <v>1.3140000000000001</v>
      </c>
      <c r="AU639" s="1">
        <f t="shared" si="83"/>
        <v>0.70214867460644492</v>
      </c>
      <c r="AV639" s="1">
        <f t="shared" si="84"/>
        <v>0.50288706919338488</v>
      </c>
      <c r="AW639" s="1">
        <f t="shared" si="85"/>
        <v>0.30362546378032473</v>
      </c>
    </row>
    <row r="640" spans="1:49" x14ac:dyDescent="0.2">
      <c r="A640">
        <v>638</v>
      </c>
      <c r="B640" t="s">
        <v>3857</v>
      </c>
      <c r="C640" t="s">
        <v>3856</v>
      </c>
      <c r="F640" t="s">
        <v>3855</v>
      </c>
      <c r="G640" t="s">
        <v>14</v>
      </c>
      <c r="H640" t="s">
        <v>13</v>
      </c>
      <c r="I640" t="s">
        <v>3854</v>
      </c>
      <c r="J640">
        <v>60009037</v>
      </c>
      <c r="K640" t="s">
        <v>652</v>
      </c>
      <c r="L640" t="s">
        <v>651</v>
      </c>
      <c r="M640" t="s">
        <v>197</v>
      </c>
      <c r="N640">
        <v>1</v>
      </c>
      <c r="O640" t="s">
        <v>3853</v>
      </c>
      <c r="P640">
        <v>7103099518</v>
      </c>
      <c r="Q640">
        <v>60009037</v>
      </c>
      <c r="R640" s="7">
        <v>32874</v>
      </c>
      <c r="S640" s="8">
        <f t="shared" si="80"/>
        <v>1990</v>
      </c>
      <c r="T640" s="8">
        <v>1990</v>
      </c>
      <c r="U640" s="8">
        <f t="shared" si="81"/>
        <v>32</v>
      </c>
      <c r="V640" s="7">
        <v>32994</v>
      </c>
      <c r="W640" t="s">
        <v>1283</v>
      </c>
      <c r="X640" s="2">
        <v>2.141</v>
      </c>
      <c r="Y640" s="6">
        <f t="shared" si="78"/>
        <v>5.7152772216438434E-2</v>
      </c>
      <c r="AA640">
        <v>1962892</v>
      </c>
      <c r="AB640">
        <v>17360</v>
      </c>
      <c r="AC640">
        <v>15580644</v>
      </c>
      <c r="AD640" t="s">
        <v>5</v>
      </c>
      <c r="AE640">
        <v>28</v>
      </c>
      <c r="AF640">
        <v>3</v>
      </c>
      <c r="AH640" t="s">
        <v>3852</v>
      </c>
      <c r="AI640" t="s">
        <v>3851</v>
      </c>
      <c r="AK640" t="s">
        <v>3850</v>
      </c>
      <c r="AL640">
        <v>272</v>
      </c>
      <c r="AM640" s="5">
        <f t="shared" si="82"/>
        <v>8.5</v>
      </c>
      <c r="AN640" s="4">
        <f t="shared" si="79"/>
        <v>1.2873911397198031E-2</v>
      </c>
      <c r="AO640" s="3"/>
      <c r="AP640">
        <v>0</v>
      </c>
      <c r="AQ640" t="s">
        <v>1279</v>
      </c>
      <c r="AR640" t="s">
        <v>0</v>
      </c>
      <c r="AS640" t="s">
        <v>1278</v>
      </c>
      <c r="AT640" s="2" t="s">
        <v>126</v>
      </c>
      <c r="AU640" s="1">
        <f t="shared" si="83"/>
        <v>4.3869113970666316</v>
      </c>
      <c r="AV640" s="1">
        <f t="shared" si="84"/>
        <v>3.5013341806818232</v>
      </c>
      <c r="AW640" s="1">
        <f t="shared" si="85"/>
        <v>2.6157569642970153</v>
      </c>
    </row>
    <row r="641" spans="1:49" x14ac:dyDescent="0.2">
      <c r="A641">
        <v>639</v>
      </c>
      <c r="B641" t="s">
        <v>3849</v>
      </c>
      <c r="C641" t="s">
        <v>3848</v>
      </c>
      <c r="F641" t="s">
        <v>3847</v>
      </c>
      <c r="G641" t="s">
        <v>14</v>
      </c>
      <c r="H641" t="s">
        <v>13</v>
      </c>
      <c r="I641" t="s">
        <v>2241</v>
      </c>
      <c r="J641" t="s">
        <v>3846</v>
      </c>
      <c r="K641" t="s">
        <v>3845</v>
      </c>
      <c r="L641" t="s">
        <v>3844</v>
      </c>
      <c r="M641" t="s">
        <v>84</v>
      </c>
      <c r="N641">
        <v>4</v>
      </c>
      <c r="O641" t="s">
        <v>3843</v>
      </c>
      <c r="P641" t="s">
        <v>3842</v>
      </c>
      <c r="Q641" t="s">
        <v>3841</v>
      </c>
      <c r="R641" s="7">
        <v>32874</v>
      </c>
      <c r="S641" s="8">
        <f t="shared" si="80"/>
        <v>1990</v>
      </c>
      <c r="T641" s="8">
        <v>1990</v>
      </c>
      <c r="U641" s="8">
        <f t="shared" si="81"/>
        <v>32</v>
      </c>
      <c r="V641" s="7">
        <v>32994</v>
      </c>
      <c r="W641" t="s">
        <v>2249</v>
      </c>
      <c r="X641" s="2">
        <v>1.6519999999999999</v>
      </c>
      <c r="Y641" s="6">
        <f t="shared" si="78"/>
        <v>4.409919649769093E-2</v>
      </c>
      <c r="AA641" t="s">
        <v>2248</v>
      </c>
      <c r="AB641">
        <v>17337</v>
      </c>
      <c r="AC641">
        <v>15582221</v>
      </c>
      <c r="AD641" t="s">
        <v>5</v>
      </c>
      <c r="AE641">
        <v>38</v>
      </c>
      <c r="AF641">
        <v>5</v>
      </c>
      <c r="AH641" t="s">
        <v>3840</v>
      </c>
      <c r="AI641" t="s">
        <v>3839</v>
      </c>
      <c r="AK641" t="s">
        <v>3838</v>
      </c>
      <c r="AL641">
        <v>3</v>
      </c>
      <c r="AM641" s="5">
        <f t="shared" si="82"/>
        <v>9.375E-2</v>
      </c>
      <c r="AN641" s="4">
        <f t="shared" si="79"/>
        <v>1.4199166982203711E-4</v>
      </c>
      <c r="AO641" s="3"/>
      <c r="AP641">
        <v>0</v>
      </c>
      <c r="AR641" t="s">
        <v>0</v>
      </c>
      <c r="AT641" s="2" t="s">
        <v>126</v>
      </c>
      <c r="AU641" s="1">
        <f t="shared" si="83"/>
        <v>3.0912035049330262</v>
      </c>
      <c r="AV641" s="1">
        <f t="shared" si="84"/>
        <v>2.2120594083756484</v>
      </c>
      <c r="AW641" s="1">
        <f t="shared" si="85"/>
        <v>1.3329153118182704</v>
      </c>
    </row>
    <row r="642" spans="1:49" x14ac:dyDescent="0.2">
      <c r="A642">
        <v>640</v>
      </c>
      <c r="B642" t="s">
        <v>3837</v>
      </c>
      <c r="C642" t="s">
        <v>3836</v>
      </c>
      <c r="F642" t="s">
        <v>3835</v>
      </c>
      <c r="G642" t="s">
        <v>14</v>
      </c>
      <c r="H642" t="s">
        <v>13</v>
      </c>
      <c r="I642" t="s">
        <v>3834</v>
      </c>
      <c r="N642">
        <v>1</v>
      </c>
      <c r="O642" t="s">
        <v>3833</v>
      </c>
      <c r="P642">
        <v>7006382417</v>
      </c>
      <c r="R642" s="7">
        <v>32874</v>
      </c>
      <c r="S642" s="8">
        <f t="shared" si="80"/>
        <v>1990</v>
      </c>
      <c r="T642" s="8">
        <v>1990</v>
      </c>
      <c r="U642" s="8">
        <f t="shared" si="81"/>
        <v>32</v>
      </c>
      <c r="V642" s="7">
        <v>32994</v>
      </c>
      <c r="W642" t="s">
        <v>2249</v>
      </c>
      <c r="X642" s="2">
        <v>1.6519999999999999</v>
      </c>
      <c r="Y642" s="6">
        <f t="shared" ref="Y642:Y705" si="86">(X642-$Z$4)/($Z$3-$Z$4)</f>
        <v>4.409919649769093E-2</v>
      </c>
      <c r="AA642" t="s">
        <v>2248</v>
      </c>
      <c r="AB642">
        <v>17337</v>
      </c>
      <c r="AC642">
        <v>15582221</v>
      </c>
      <c r="AD642" t="s">
        <v>5</v>
      </c>
      <c r="AE642">
        <v>38</v>
      </c>
      <c r="AF642">
        <v>5</v>
      </c>
      <c r="AH642" t="s">
        <v>3832</v>
      </c>
      <c r="AI642" t="s">
        <v>3831</v>
      </c>
      <c r="AK642" t="s">
        <v>3830</v>
      </c>
      <c r="AL642">
        <v>2</v>
      </c>
      <c r="AM642" s="5">
        <f t="shared" si="82"/>
        <v>6.25E-2</v>
      </c>
      <c r="AN642" s="4">
        <f t="shared" ref="AN642:AN705" si="87">(AM642-$AO$4)/($AO$3-$AO$4)</f>
        <v>9.46611132146914E-5</v>
      </c>
      <c r="AO642" s="3"/>
      <c r="AP642">
        <v>0</v>
      </c>
      <c r="AR642" t="s">
        <v>0</v>
      </c>
      <c r="AT642" s="2" t="s">
        <v>126</v>
      </c>
      <c r="AU642" s="1">
        <f t="shared" si="83"/>
        <v>3.0897835882348059</v>
      </c>
      <c r="AV642" s="1">
        <f t="shared" si="84"/>
        <v>2.2096928805452811</v>
      </c>
      <c r="AW642" s="1">
        <f t="shared" si="85"/>
        <v>1.3296021728557561</v>
      </c>
    </row>
    <row r="643" spans="1:49" x14ac:dyDescent="0.2">
      <c r="A643">
        <v>641</v>
      </c>
      <c r="B643" t="s">
        <v>3829</v>
      </c>
      <c r="C643" t="s">
        <v>3828</v>
      </c>
      <c r="F643" t="s">
        <v>3827</v>
      </c>
      <c r="G643" t="s">
        <v>14</v>
      </c>
      <c r="H643" t="s">
        <v>13</v>
      </c>
      <c r="I643" t="s">
        <v>3826</v>
      </c>
      <c r="J643" t="s">
        <v>3825</v>
      </c>
      <c r="K643" t="s">
        <v>3824</v>
      </c>
      <c r="L643" t="s">
        <v>3823</v>
      </c>
      <c r="M643" t="s">
        <v>84</v>
      </c>
      <c r="N643">
        <v>3</v>
      </c>
      <c r="O643" t="s">
        <v>3822</v>
      </c>
      <c r="P643" t="s">
        <v>3821</v>
      </c>
      <c r="Q643" t="s">
        <v>3820</v>
      </c>
      <c r="R643" s="7">
        <v>32874</v>
      </c>
      <c r="S643" s="8">
        <f t="shared" si="80"/>
        <v>1990</v>
      </c>
      <c r="T643" s="8">
        <v>1990</v>
      </c>
      <c r="U643" s="8">
        <f t="shared" si="81"/>
        <v>32</v>
      </c>
      <c r="V643" s="7">
        <v>32994</v>
      </c>
      <c r="W643" t="s">
        <v>3819</v>
      </c>
      <c r="X643" s="2">
        <v>1.159</v>
      </c>
      <c r="Y643" s="6">
        <f t="shared" si="86"/>
        <v>3.093884306345266E-2</v>
      </c>
      <c r="AA643">
        <v>8853010</v>
      </c>
      <c r="AB643">
        <v>12998</v>
      </c>
      <c r="AD643" t="s">
        <v>5</v>
      </c>
      <c r="AE643">
        <v>37</v>
      </c>
      <c r="AF643">
        <v>3</v>
      </c>
      <c r="AH643" t="s">
        <v>3818</v>
      </c>
      <c r="AI643" t="s">
        <v>3817</v>
      </c>
      <c r="AK643" t="s">
        <v>3816</v>
      </c>
      <c r="AL643">
        <v>16</v>
      </c>
      <c r="AM643" s="5">
        <f t="shared" si="82"/>
        <v>0.5</v>
      </c>
      <c r="AN643" s="4">
        <f t="shared" si="87"/>
        <v>7.572889057175312E-4</v>
      </c>
      <c r="AO643" s="3"/>
      <c r="AP643">
        <v>0</v>
      </c>
      <c r="AR643" t="s">
        <v>3815</v>
      </c>
      <c r="AT643" s="2" t="s">
        <v>126</v>
      </c>
      <c r="AU643" s="1">
        <f t="shared" si="83"/>
        <v>2.1884376816132121</v>
      </c>
      <c r="AV643" s="1">
        <f t="shared" si="84"/>
        <v>1.5848065984585096</v>
      </c>
      <c r="AW643" s="1">
        <f t="shared" si="85"/>
        <v>0.98117551530380698</v>
      </c>
    </row>
    <row r="644" spans="1:49" x14ac:dyDescent="0.2">
      <c r="A644">
        <v>642</v>
      </c>
      <c r="B644" t="s">
        <v>3814</v>
      </c>
      <c r="C644" t="s">
        <v>3813</v>
      </c>
      <c r="F644" t="s">
        <v>3812</v>
      </c>
      <c r="G644" t="s">
        <v>14</v>
      </c>
      <c r="H644" t="s">
        <v>13</v>
      </c>
      <c r="I644" t="s">
        <v>3811</v>
      </c>
      <c r="J644" t="s">
        <v>3810</v>
      </c>
      <c r="K644" t="s">
        <v>3809</v>
      </c>
      <c r="L644" t="s">
        <v>3808</v>
      </c>
      <c r="M644" t="s">
        <v>84</v>
      </c>
      <c r="N644">
        <v>3</v>
      </c>
      <c r="O644" t="s">
        <v>3807</v>
      </c>
      <c r="P644" t="s">
        <v>3806</v>
      </c>
      <c r="Q644" t="s">
        <v>3805</v>
      </c>
      <c r="R644" s="7">
        <v>32874</v>
      </c>
      <c r="S644" s="8">
        <f t="shared" si="80"/>
        <v>1990</v>
      </c>
      <c r="T644" s="8">
        <v>1990</v>
      </c>
      <c r="U644" s="8">
        <f t="shared" si="81"/>
        <v>32</v>
      </c>
      <c r="V644" s="7">
        <v>32994</v>
      </c>
      <c r="W644" t="s">
        <v>1844</v>
      </c>
      <c r="X644" s="2">
        <v>1.774</v>
      </c>
      <c r="Y644" s="6">
        <f t="shared" si="86"/>
        <v>4.7355916820159633E-2</v>
      </c>
      <c r="AA644">
        <v>295515</v>
      </c>
      <c r="AB644">
        <v>29066</v>
      </c>
      <c r="AC644">
        <v>17414326</v>
      </c>
      <c r="AD644" t="s">
        <v>5</v>
      </c>
      <c r="AE644">
        <v>30</v>
      </c>
      <c r="AF644">
        <v>5</v>
      </c>
      <c r="AH644" t="s">
        <v>3804</v>
      </c>
      <c r="AI644" t="s">
        <v>3803</v>
      </c>
      <c r="AK644" t="s">
        <v>3802</v>
      </c>
      <c r="AL644">
        <v>82</v>
      </c>
      <c r="AM644" s="5">
        <f t="shared" si="82"/>
        <v>2.5625</v>
      </c>
      <c r="AN644" s="4">
        <f t="shared" si="87"/>
        <v>3.8811056418023475E-3</v>
      </c>
      <c r="AO644" s="3"/>
      <c r="AP644">
        <v>0</v>
      </c>
      <c r="AR644" t="s">
        <v>0</v>
      </c>
      <c r="AT644" s="2">
        <v>3.1789999999999998</v>
      </c>
      <c r="AU644" s="1">
        <f t="shared" si="83"/>
        <v>3.4313473466652442</v>
      </c>
      <c r="AV644" s="1">
        <f t="shared" si="84"/>
        <v>2.5618511230980991</v>
      </c>
      <c r="AW644" s="1">
        <f t="shared" si="85"/>
        <v>1.6923548995309532</v>
      </c>
    </row>
    <row r="645" spans="1:49" x14ac:dyDescent="0.2">
      <c r="A645">
        <v>643</v>
      </c>
      <c r="B645" t="s">
        <v>3801</v>
      </c>
      <c r="C645" t="s">
        <v>3800</v>
      </c>
      <c r="F645" t="s">
        <v>3799</v>
      </c>
      <c r="G645" t="s">
        <v>14</v>
      </c>
      <c r="H645" t="s">
        <v>13</v>
      </c>
      <c r="I645" t="s">
        <v>3798</v>
      </c>
      <c r="J645">
        <v>60023053</v>
      </c>
      <c r="K645" t="s">
        <v>2223</v>
      </c>
      <c r="L645" t="s">
        <v>2222</v>
      </c>
      <c r="M645" t="s">
        <v>197</v>
      </c>
      <c r="N645">
        <v>1</v>
      </c>
      <c r="O645" t="s">
        <v>3797</v>
      </c>
      <c r="P645">
        <v>56050028200</v>
      </c>
      <c r="Q645">
        <v>60023053</v>
      </c>
      <c r="R645" s="7">
        <v>32874</v>
      </c>
      <c r="S645" s="8">
        <f t="shared" si="80"/>
        <v>1990</v>
      </c>
      <c r="T645" s="8">
        <v>1990</v>
      </c>
      <c r="U645" s="8">
        <f t="shared" si="81"/>
        <v>32</v>
      </c>
      <c r="V645" s="7">
        <v>32994</v>
      </c>
      <c r="W645" t="s">
        <v>1283</v>
      </c>
      <c r="X645" s="2">
        <v>2.141</v>
      </c>
      <c r="Y645" s="6">
        <f t="shared" si="86"/>
        <v>5.7152772216438434E-2</v>
      </c>
      <c r="AA645">
        <v>1962892</v>
      </c>
      <c r="AB645">
        <v>17360</v>
      </c>
      <c r="AC645">
        <v>15580644</v>
      </c>
      <c r="AD645" t="s">
        <v>5</v>
      </c>
      <c r="AE645">
        <v>28</v>
      </c>
      <c r="AF645">
        <v>3</v>
      </c>
      <c r="AH645" t="s">
        <v>3796</v>
      </c>
      <c r="AI645" t="s">
        <v>3795</v>
      </c>
      <c r="AK645" t="s">
        <v>3794</v>
      </c>
      <c r="AL645">
        <v>13</v>
      </c>
      <c r="AM645" s="5">
        <f t="shared" si="82"/>
        <v>0.40625</v>
      </c>
      <c r="AN645" s="4">
        <f t="shared" si="87"/>
        <v>6.1529723589549411E-4</v>
      </c>
      <c r="AO645" s="3"/>
      <c r="AP645">
        <v>0</v>
      </c>
      <c r="AR645" t="s">
        <v>0</v>
      </c>
      <c r="AT645" s="2" t="s">
        <v>126</v>
      </c>
      <c r="AU645" s="1">
        <f t="shared" si="83"/>
        <v>4.0191529722275545</v>
      </c>
      <c r="AV645" s="1">
        <f t="shared" si="84"/>
        <v>2.8884034726166963</v>
      </c>
      <c r="AW645" s="1">
        <f t="shared" si="85"/>
        <v>1.7576539730058376</v>
      </c>
    </row>
    <row r="646" spans="1:49" x14ac:dyDescent="0.2">
      <c r="A646">
        <v>644</v>
      </c>
      <c r="B646" t="s">
        <v>3793</v>
      </c>
      <c r="C646" t="s">
        <v>3792</v>
      </c>
      <c r="F646" t="s">
        <v>3791</v>
      </c>
      <c r="G646" t="s">
        <v>14</v>
      </c>
      <c r="H646" t="s">
        <v>13</v>
      </c>
      <c r="I646" t="s">
        <v>3790</v>
      </c>
      <c r="J646">
        <v>60000745</v>
      </c>
      <c r="K646" t="s">
        <v>2214</v>
      </c>
      <c r="L646" t="s">
        <v>2213</v>
      </c>
      <c r="M646" t="s">
        <v>197</v>
      </c>
      <c r="N646">
        <v>2</v>
      </c>
      <c r="O646" t="s">
        <v>3789</v>
      </c>
      <c r="P646" t="s">
        <v>3788</v>
      </c>
      <c r="Q646" t="s">
        <v>3335</v>
      </c>
      <c r="R646" s="7">
        <v>32874</v>
      </c>
      <c r="S646" s="8">
        <f t="shared" si="80"/>
        <v>1990</v>
      </c>
      <c r="T646" s="8">
        <v>1990</v>
      </c>
      <c r="U646" s="8">
        <f t="shared" si="81"/>
        <v>32</v>
      </c>
      <c r="V646" s="7">
        <v>32994</v>
      </c>
      <c r="W646" t="s">
        <v>2249</v>
      </c>
      <c r="X646" s="2">
        <v>1.6519999999999999</v>
      </c>
      <c r="Y646" s="6">
        <f t="shared" si="86"/>
        <v>4.409919649769093E-2</v>
      </c>
      <c r="AA646" t="s">
        <v>2248</v>
      </c>
      <c r="AB646">
        <v>17337</v>
      </c>
      <c r="AC646">
        <v>15582221</v>
      </c>
      <c r="AD646" t="s">
        <v>5</v>
      </c>
      <c r="AE646">
        <v>38</v>
      </c>
      <c r="AF646">
        <v>5</v>
      </c>
      <c r="AH646" t="s">
        <v>3787</v>
      </c>
      <c r="AI646" t="s">
        <v>3786</v>
      </c>
      <c r="AK646" t="s">
        <v>3785</v>
      </c>
      <c r="AL646">
        <v>110</v>
      </c>
      <c r="AM646" s="5">
        <f t="shared" si="82"/>
        <v>3.4375</v>
      </c>
      <c r="AN646" s="4">
        <f t="shared" si="87"/>
        <v>5.2063612268080268E-3</v>
      </c>
      <c r="AO646" s="3"/>
      <c r="AP646">
        <v>0</v>
      </c>
      <c r="AR646" t="s">
        <v>0</v>
      </c>
      <c r="AT646" s="2" t="s">
        <v>126</v>
      </c>
      <c r="AU646" s="1">
        <f t="shared" si="83"/>
        <v>3.243134591642606</v>
      </c>
      <c r="AV646" s="1">
        <f t="shared" si="84"/>
        <v>2.465277886224948</v>
      </c>
      <c r="AW646" s="1">
        <f t="shared" si="85"/>
        <v>1.6874211808072896</v>
      </c>
    </row>
    <row r="647" spans="1:49" x14ac:dyDescent="0.2">
      <c r="A647">
        <v>645</v>
      </c>
      <c r="B647" t="s">
        <v>3784</v>
      </c>
      <c r="C647" t="s">
        <v>3783</v>
      </c>
      <c r="F647" t="s">
        <v>3782</v>
      </c>
      <c r="G647" t="s">
        <v>14</v>
      </c>
      <c r="H647" t="s">
        <v>13</v>
      </c>
      <c r="I647" t="s">
        <v>3781</v>
      </c>
      <c r="J647">
        <v>60000891</v>
      </c>
      <c r="K647" t="s">
        <v>3780</v>
      </c>
      <c r="L647" t="s">
        <v>3779</v>
      </c>
      <c r="M647" t="s">
        <v>253</v>
      </c>
      <c r="N647">
        <v>2</v>
      </c>
      <c r="O647" t="s">
        <v>3778</v>
      </c>
      <c r="P647" t="s">
        <v>3777</v>
      </c>
      <c r="Q647" t="s">
        <v>3776</v>
      </c>
      <c r="R647" s="7">
        <v>32874</v>
      </c>
      <c r="S647" s="8">
        <f t="shared" si="80"/>
        <v>1990</v>
      </c>
      <c r="T647" s="8">
        <v>1990</v>
      </c>
      <c r="U647" s="8">
        <f t="shared" si="81"/>
        <v>32</v>
      </c>
      <c r="V647" s="7">
        <v>1990</v>
      </c>
      <c r="W647" t="s">
        <v>1380</v>
      </c>
      <c r="X647" s="2">
        <v>0.375</v>
      </c>
      <c r="Y647" s="6">
        <f t="shared" si="86"/>
        <v>1.0010410827260351E-2</v>
      </c>
      <c r="AA647">
        <v>135194</v>
      </c>
      <c r="AB647">
        <v>24918</v>
      </c>
      <c r="AD647" t="s">
        <v>5</v>
      </c>
      <c r="AE647">
        <v>26</v>
      </c>
      <c r="AF647">
        <v>10</v>
      </c>
      <c r="AH647" t="s">
        <v>3775</v>
      </c>
      <c r="AI647" t="s">
        <v>3774</v>
      </c>
      <c r="AJ647" t="s">
        <v>3773</v>
      </c>
      <c r="AK647" t="s">
        <v>3772</v>
      </c>
      <c r="AL647">
        <v>1</v>
      </c>
      <c r="AM647" s="5">
        <f t="shared" si="82"/>
        <v>3.125E-2</v>
      </c>
      <c r="AN647" s="4">
        <f t="shared" si="87"/>
        <v>4.73305566073457E-5</v>
      </c>
      <c r="AO647" s="3"/>
      <c r="AP647">
        <v>0</v>
      </c>
      <c r="AR647" t="s">
        <v>0</v>
      </c>
      <c r="AT647" s="2">
        <v>1.3140000000000001</v>
      </c>
      <c r="AU647" s="1">
        <f t="shared" si="83"/>
        <v>0.70214867460644492</v>
      </c>
      <c r="AV647" s="1">
        <f t="shared" si="84"/>
        <v>0.50288706919338488</v>
      </c>
      <c r="AW647" s="1">
        <f t="shared" si="85"/>
        <v>0.30362546378032473</v>
      </c>
    </row>
    <row r="648" spans="1:49" x14ac:dyDescent="0.2">
      <c r="A648">
        <v>646</v>
      </c>
      <c r="B648" t="s">
        <v>3771</v>
      </c>
      <c r="C648" t="s">
        <v>3770</v>
      </c>
      <c r="D648" t="s">
        <v>3769</v>
      </c>
      <c r="F648" t="s">
        <v>3768</v>
      </c>
      <c r="G648" t="s">
        <v>14</v>
      </c>
      <c r="H648" t="s">
        <v>13</v>
      </c>
      <c r="I648" t="s">
        <v>3767</v>
      </c>
      <c r="J648">
        <v>60068811</v>
      </c>
      <c r="K648" t="s">
        <v>3766</v>
      </c>
      <c r="L648" t="s">
        <v>3765</v>
      </c>
      <c r="M648" t="s">
        <v>3764</v>
      </c>
      <c r="N648">
        <v>1</v>
      </c>
      <c r="O648" t="s">
        <v>3763</v>
      </c>
      <c r="P648">
        <v>6602847264</v>
      </c>
      <c r="Q648">
        <v>60068811</v>
      </c>
      <c r="R648" s="7">
        <v>32874</v>
      </c>
      <c r="S648" s="8">
        <f t="shared" si="80"/>
        <v>1990</v>
      </c>
      <c r="T648" s="8">
        <v>1990</v>
      </c>
      <c r="U648" s="8">
        <f t="shared" si="81"/>
        <v>32</v>
      </c>
      <c r="V648" s="7">
        <v>32994</v>
      </c>
      <c r="W648" t="s">
        <v>3762</v>
      </c>
      <c r="X648" s="2">
        <v>0.86099999999999999</v>
      </c>
      <c r="Y648" s="6">
        <f t="shared" si="86"/>
        <v>2.2983903259389767E-2</v>
      </c>
      <c r="AA648">
        <v>1674048</v>
      </c>
      <c r="AB648">
        <v>28898</v>
      </c>
      <c r="AD648" t="s">
        <v>5</v>
      </c>
      <c r="AE648">
        <v>9</v>
      </c>
      <c r="AF648">
        <v>3</v>
      </c>
      <c r="AH648" t="s">
        <v>3761</v>
      </c>
      <c r="AI648" t="s">
        <v>3760</v>
      </c>
      <c r="AJ648" t="s">
        <v>3759</v>
      </c>
      <c r="AK648" t="s">
        <v>3758</v>
      </c>
      <c r="AL648">
        <v>1</v>
      </c>
      <c r="AM648" s="5">
        <f t="shared" si="82"/>
        <v>3.125E-2</v>
      </c>
      <c r="AN648" s="4">
        <f t="shared" si="87"/>
        <v>4.73305566073457E-5</v>
      </c>
      <c r="AO648" s="3"/>
      <c r="AP648">
        <v>0</v>
      </c>
      <c r="AR648" t="s">
        <v>0</v>
      </c>
      <c r="AT648" s="2" t="s">
        <v>126</v>
      </c>
      <c r="AU648" s="1">
        <f t="shared" si="83"/>
        <v>1.610293144855504</v>
      </c>
      <c r="AV648" s="1">
        <f t="shared" si="84"/>
        <v>1.1515616907998556</v>
      </c>
      <c r="AW648" s="1">
        <f t="shared" si="85"/>
        <v>0.69283023674420718</v>
      </c>
    </row>
    <row r="649" spans="1:49" x14ac:dyDescent="0.2">
      <c r="A649">
        <v>647</v>
      </c>
      <c r="B649" t="s">
        <v>3757</v>
      </c>
      <c r="C649" t="s">
        <v>3756</v>
      </c>
      <c r="F649" t="s">
        <v>3755</v>
      </c>
      <c r="G649" t="s">
        <v>14</v>
      </c>
      <c r="H649" t="s">
        <v>13</v>
      </c>
      <c r="I649" t="s">
        <v>3754</v>
      </c>
      <c r="J649">
        <v>60014652</v>
      </c>
      <c r="K649" t="s">
        <v>3753</v>
      </c>
      <c r="L649" t="s">
        <v>3752</v>
      </c>
      <c r="M649" t="s">
        <v>267</v>
      </c>
      <c r="N649">
        <v>3</v>
      </c>
      <c r="O649" t="s">
        <v>3751</v>
      </c>
      <c r="P649" t="s">
        <v>3750</v>
      </c>
      <c r="Q649" t="s">
        <v>3749</v>
      </c>
      <c r="R649" s="7">
        <v>32874</v>
      </c>
      <c r="S649" s="8">
        <f t="shared" si="80"/>
        <v>1990</v>
      </c>
      <c r="T649" s="8">
        <v>1990</v>
      </c>
      <c r="U649" s="8">
        <f t="shared" si="81"/>
        <v>32</v>
      </c>
      <c r="V649" s="7">
        <v>1990</v>
      </c>
      <c r="W649" t="s">
        <v>3748</v>
      </c>
      <c r="X649" s="2">
        <v>0.13900000000000001</v>
      </c>
      <c r="Y649" s="6">
        <f t="shared" si="86"/>
        <v>3.7105256133045036E-3</v>
      </c>
      <c r="AA649" t="s">
        <v>3747</v>
      </c>
      <c r="AB649">
        <v>24891</v>
      </c>
      <c r="AC649">
        <v>15206432</v>
      </c>
      <c r="AD649" t="s">
        <v>5</v>
      </c>
      <c r="AE649">
        <v>73</v>
      </c>
      <c r="AF649">
        <v>5</v>
      </c>
      <c r="AH649" t="s">
        <v>3746</v>
      </c>
      <c r="AI649" t="s">
        <v>3745</v>
      </c>
      <c r="AK649" t="s">
        <v>3744</v>
      </c>
      <c r="AL649">
        <v>0</v>
      </c>
      <c r="AM649" s="5">
        <f t="shared" si="82"/>
        <v>0</v>
      </c>
      <c r="AN649" s="4">
        <f t="shared" si="87"/>
        <v>0</v>
      </c>
      <c r="AO649" s="3"/>
      <c r="AP649">
        <v>0</v>
      </c>
      <c r="AR649" t="s">
        <v>0</v>
      </c>
      <c r="AT649" s="2" t="s">
        <v>126</v>
      </c>
      <c r="AU649" s="1">
        <f t="shared" si="83"/>
        <v>0.25973679293131524</v>
      </c>
      <c r="AV649" s="1">
        <f t="shared" si="84"/>
        <v>0.1855262806652252</v>
      </c>
      <c r="AW649" s="1">
        <f t="shared" si="85"/>
        <v>0.1113157683991351</v>
      </c>
    </row>
    <row r="650" spans="1:49" x14ac:dyDescent="0.2">
      <c r="A650">
        <v>648</v>
      </c>
      <c r="B650" t="s">
        <v>3743</v>
      </c>
      <c r="C650" t="s">
        <v>3742</v>
      </c>
      <c r="F650" t="s">
        <v>3741</v>
      </c>
      <c r="G650" t="s">
        <v>14</v>
      </c>
      <c r="H650" t="s">
        <v>13</v>
      </c>
      <c r="I650" t="s">
        <v>3740</v>
      </c>
      <c r="J650" t="s">
        <v>3739</v>
      </c>
      <c r="K650" t="s">
        <v>3738</v>
      </c>
      <c r="L650" t="s">
        <v>3737</v>
      </c>
      <c r="M650" t="s">
        <v>84</v>
      </c>
      <c r="N650">
        <v>2</v>
      </c>
      <c r="O650" t="s">
        <v>3736</v>
      </c>
      <c r="P650" t="s">
        <v>3735</v>
      </c>
      <c r="Q650" t="s">
        <v>3734</v>
      </c>
      <c r="R650" s="7">
        <v>32874</v>
      </c>
      <c r="S650" s="8">
        <f t="shared" si="80"/>
        <v>1990</v>
      </c>
      <c r="T650" s="8">
        <v>1990</v>
      </c>
      <c r="U650" s="8">
        <f t="shared" si="81"/>
        <v>32</v>
      </c>
      <c r="V650" s="7">
        <v>32994</v>
      </c>
      <c r="W650" t="s">
        <v>1309</v>
      </c>
      <c r="X650" s="2">
        <v>1.3720000000000001</v>
      </c>
      <c r="Y650" s="6">
        <f t="shared" si="86"/>
        <v>3.662475641333654E-2</v>
      </c>
      <c r="AA650">
        <v>189480</v>
      </c>
      <c r="AB650">
        <v>17366</v>
      </c>
      <c r="AC650">
        <v>15579670</v>
      </c>
      <c r="AD650" t="s">
        <v>5</v>
      </c>
      <c r="AE650">
        <v>38</v>
      </c>
      <c r="AF650">
        <v>5</v>
      </c>
      <c r="AH650" t="s">
        <v>3733</v>
      </c>
      <c r="AI650" t="s">
        <v>3732</v>
      </c>
      <c r="AK650" t="s">
        <v>3731</v>
      </c>
      <c r="AL650">
        <v>26</v>
      </c>
      <c r="AM650" s="5">
        <f t="shared" si="82"/>
        <v>0.8125</v>
      </c>
      <c r="AN650" s="4">
        <f t="shared" si="87"/>
        <v>1.2305944717909882E-3</v>
      </c>
      <c r="AO650" s="3"/>
      <c r="AP650">
        <v>0</v>
      </c>
      <c r="AQ650" t="s">
        <v>2324</v>
      </c>
      <c r="AR650" t="s">
        <v>0</v>
      </c>
      <c r="AS650" t="s">
        <v>2322</v>
      </c>
      <c r="AT650" s="2" t="s">
        <v>126</v>
      </c>
      <c r="AU650" s="1">
        <f t="shared" si="83"/>
        <v>2.6006507830872874</v>
      </c>
      <c r="AV650" s="1">
        <f t="shared" si="84"/>
        <v>1.8927675442563765</v>
      </c>
      <c r="AW650" s="1">
        <f t="shared" si="85"/>
        <v>1.1848843054254654</v>
      </c>
    </row>
    <row r="651" spans="1:49" x14ac:dyDescent="0.2">
      <c r="A651">
        <v>649</v>
      </c>
      <c r="B651" t="s">
        <v>3730</v>
      </c>
      <c r="C651" t="s">
        <v>3729</v>
      </c>
      <c r="F651" t="s">
        <v>3728</v>
      </c>
      <c r="G651" t="s">
        <v>14</v>
      </c>
      <c r="H651" t="s">
        <v>13</v>
      </c>
      <c r="I651" t="s">
        <v>3727</v>
      </c>
      <c r="J651" t="s">
        <v>3726</v>
      </c>
      <c r="K651" t="s">
        <v>3725</v>
      </c>
      <c r="L651" t="s">
        <v>3724</v>
      </c>
      <c r="M651" t="s">
        <v>3723</v>
      </c>
      <c r="N651">
        <v>4</v>
      </c>
      <c r="O651" t="s">
        <v>3722</v>
      </c>
      <c r="P651" t="s">
        <v>3721</v>
      </c>
      <c r="Q651" t="s">
        <v>3720</v>
      </c>
      <c r="R651" s="7">
        <v>32874</v>
      </c>
      <c r="S651" s="8">
        <f t="shared" si="80"/>
        <v>1990</v>
      </c>
      <c r="T651" s="8">
        <v>1990</v>
      </c>
      <c r="U651" s="8">
        <f t="shared" si="81"/>
        <v>32</v>
      </c>
      <c r="V651" s="7">
        <v>1990</v>
      </c>
      <c r="W651" t="s">
        <v>1380</v>
      </c>
      <c r="X651" s="2">
        <v>0.375</v>
      </c>
      <c r="Y651" s="6">
        <f t="shared" si="86"/>
        <v>1.0010410827260351E-2</v>
      </c>
      <c r="AA651">
        <v>135194</v>
      </c>
      <c r="AB651">
        <v>24918</v>
      </c>
      <c r="AD651" t="s">
        <v>5</v>
      </c>
      <c r="AE651">
        <v>26</v>
      </c>
      <c r="AF651">
        <v>11</v>
      </c>
      <c r="AH651" t="s">
        <v>3719</v>
      </c>
      <c r="AI651" t="s">
        <v>3718</v>
      </c>
      <c r="AJ651" t="s">
        <v>3717</v>
      </c>
      <c r="AK651" t="s">
        <v>3716</v>
      </c>
      <c r="AL651">
        <v>26</v>
      </c>
      <c r="AM651" s="5">
        <f t="shared" si="82"/>
        <v>0.8125</v>
      </c>
      <c r="AN651" s="4">
        <f t="shared" si="87"/>
        <v>1.2305944717909882E-3</v>
      </c>
      <c r="AO651" s="3"/>
      <c r="AP651">
        <v>0</v>
      </c>
      <c r="AR651" t="s">
        <v>0</v>
      </c>
      <c r="AT651" s="2">
        <v>1.3140000000000001</v>
      </c>
      <c r="AU651" s="1">
        <f t="shared" si="83"/>
        <v>0.73764659206195415</v>
      </c>
      <c r="AV651" s="1">
        <f t="shared" si="84"/>
        <v>0.56205026495256694</v>
      </c>
      <c r="AW651" s="1">
        <f t="shared" si="85"/>
        <v>0.38645393784317972</v>
      </c>
    </row>
    <row r="652" spans="1:49" x14ac:dyDescent="0.2">
      <c r="A652">
        <v>650</v>
      </c>
      <c r="B652" t="s">
        <v>3715</v>
      </c>
      <c r="C652" t="s">
        <v>3714</v>
      </c>
      <c r="F652" t="s">
        <v>3713</v>
      </c>
      <c r="G652" t="s">
        <v>14</v>
      </c>
      <c r="H652" t="s">
        <v>13</v>
      </c>
      <c r="I652" t="s">
        <v>3712</v>
      </c>
      <c r="J652">
        <v>60004504</v>
      </c>
      <c r="K652" t="s">
        <v>3577</v>
      </c>
      <c r="L652" t="s">
        <v>2279</v>
      </c>
      <c r="M652" t="s">
        <v>197</v>
      </c>
      <c r="N652">
        <v>1</v>
      </c>
      <c r="O652" t="s">
        <v>3711</v>
      </c>
      <c r="P652">
        <v>7401731168</v>
      </c>
      <c r="Q652">
        <v>60004504</v>
      </c>
      <c r="R652" s="7">
        <v>32874</v>
      </c>
      <c r="S652" s="8">
        <f t="shared" si="80"/>
        <v>1990</v>
      </c>
      <c r="T652" s="8">
        <v>1990</v>
      </c>
      <c r="U652" s="8">
        <f t="shared" si="81"/>
        <v>32</v>
      </c>
      <c r="V652" s="7">
        <v>32994</v>
      </c>
      <c r="W652" t="s">
        <v>1524</v>
      </c>
      <c r="X652" s="2">
        <v>0.39600000000000002</v>
      </c>
      <c r="Y652" s="6">
        <f t="shared" si="86"/>
        <v>1.0570993833586931E-2</v>
      </c>
      <c r="AA652">
        <v>8858985</v>
      </c>
      <c r="AB652">
        <v>25993</v>
      </c>
      <c r="AD652" t="s">
        <v>5</v>
      </c>
      <c r="AE652">
        <v>5</v>
      </c>
      <c r="AF652">
        <v>5</v>
      </c>
      <c r="AH652" t="s">
        <v>3710</v>
      </c>
      <c r="AL652">
        <v>0</v>
      </c>
      <c r="AM652" s="5">
        <f t="shared" si="82"/>
        <v>0</v>
      </c>
      <c r="AN652" s="4">
        <f t="shared" si="87"/>
        <v>0</v>
      </c>
      <c r="AO652" s="3"/>
      <c r="AP652">
        <v>0</v>
      </c>
      <c r="AR652" t="s">
        <v>0</v>
      </c>
      <c r="AT652" s="2" t="s">
        <v>126</v>
      </c>
      <c r="AU652" s="1">
        <f t="shared" si="83"/>
        <v>0.73996956835108518</v>
      </c>
      <c r="AV652" s="1">
        <f t="shared" si="84"/>
        <v>0.52854969167934651</v>
      </c>
      <c r="AW652" s="1">
        <f t="shared" si="85"/>
        <v>0.3171298150076079</v>
      </c>
    </row>
    <row r="653" spans="1:49" x14ac:dyDescent="0.2">
      <c r="A653">
        <v>651</v>
      </c>
      <c r="B653" t="s">
        <v>3709</v>
      </c>
      <c r="C653" t="s">
        <v>3708</v>
      </c>
      <c r="F653" t="s">
        <v>3707</v>
      </c>
      <c r="G653" t="s">
        <v>14</v>
      </c>
      <c r="H653" t="s">
        <v>13</v>
      </c>
      <c r="I653" t="s">
        <v>3706</v>
      </c>
      <c r="J653">
        <v>60024751</v>
      </c>
      <c r="K653" t="s">
        <v>3705</v>
      </c>
      <c r="L653" t="s">
        <v>3704</v>
      </c>
      <c r="M653" t="s">
        <v>267</v>
      </c>
      <c r="N653">
        <v>1</v>
      </c>
      <c r="O653" t="s">
        <v>3703</v>
      </c>
      <c r="P653">
        <v>56216531000</v>
      </c>
      <c r="Q653">
        <v>60024751</v>
      </c>
      <c r="R653" s="7">
        <v>32874</v>
      </c>
      <c r="S653" s="8">
        <f t="shared" si="80"/>
        <v>1990</v>
      </c>
      <c r="T653" s="8">
        <v>1990</v>
      </c>
      <c r="U653" s="8">
        <f t="shared" si="81"/>
        <v>32</v>
      </c>
      <c r="V653" s="7">
        <v>32994</v>
      </c>
      <c r="W653" t="s">
        <v>2288</v>
      </c>
      <c r="X653" s="2">
        <v>0.111</v>
      </c>
      <c r="Y653" s="6">
        <f t="shared" si="86"/>
        <v>2.9630816048690639E-3</v>
      </c>
      <c r="AA653">
        <v>87566621</v>
      </c>
      <c r="AB653">
        <v>24890</v>
      </c>
      <c r="AC653">
        <v>15206424</v>
      </c>
      <c r="AD653" t="s">
        <v>5</v>
      </c>
      <c r="AE653">
        <v>73</v>
      </c>
      <c r="AF653">
        <v>5</v>
      </c>
      <c r="AH653" s="9">
        <v>44501</v>
      </c>
      <c r="AI653" t="s">
        <v>3702</v>
      </c>
      <c r="AK653" t="s">
        <v>3701</v>
      </c>
      <c r="AL653">
        <v>0</v>
      </c>
      <c r="AM653" s="5">
        <f t="shared" si="82"/>
        <v>0</v>
      </c>
      <c r="AN653" s="4">
        <f t="shared" si="87"/>
        <v>0</v>
      </c>
      <c r="AO653" s="3"/>
      <c r="AP653">
        <v>0</v>
      </c>
      <c r="AR653" t="s">
        <v>0</v>
      </c>
      <c r="AT653" s="2" t="s">
        <v>126</v>
      </c>
      <c r="AU653" s="1">
        <f t="shared" si="83"/>
        <v>0.20741571234083445</v>
      </c>
      <c r="AV653" s="1">
        <f t="shared" si="84"/>
        <v>0.1481540802434532</v>
      </c>
      <c r="AW653" s="1">
        <f t="shared" si="85"/>
        <v>8.8892448146071903E-2</v>
      </c>
    </row>
    <row r="654" spans="1:49" x14ac:dyDescent="0.2">
      <c r="A654">
        <v>652</v>
      </c>
      <c r="B654" t="s">
        <v>3700</v>
      </c>
      <c r="C654" t="s">
        <v>3699</v>
      </c>
      <c r="F654" t="s">
        <v>3698</v>
      </c>
      <c r="G654" t="s">
        <v>14</v>
      </c>
      <c r="H654" t="s">
        <v>13</v>
      </c>
      <c r="I654" t="s">
        <v>3387</v>
      </c>
      <c r="J654">
        <v>60005837</v>
      </c>
      <c r="K654" t="s">
        <v>2977</v>
      </c>
      <c r="L654" t="s">
        <v>640</v>
      </c>
      <c r="M654" t="s">
        <v>197</v>
      </c>
      <c r="N654">
        <v>3</v>
      </c>
      <c r="O654" t="s">
        <v>3697</v>
      </c>
      <c r="P654" t="s">
        <v>3696</v>
      </c>
      <c r="Q654" t="s">
        <v>3695</v>
      </c>
      <c r="R654" s="7">
        <v>32874</v>
      </c>
      <c r="S654" s="8">
        <f t="shared" si="80"/>
        <v>1990</v>
      </c>
      <c r="T654" s="8">
        <v>1990</v>
      </c>
      <c r="U654" s="8">
        <f t="shared" si="81"/>
        <v>32</v>
      </c>
      <c r="V654" s="7">
        <v>32994</v>
      </c>
      <c r="W654" t="s">
        <v>2249</v>
      </c>
      <c r="X654" s="2">
        <v>1.6519999999999999</v>
      </c>
      <c r="Y654" s="6">
        <f t="shared" si="86"/>
        <v>4.409919649769093E-2</v>
      </c>
      <c r="AA654" t="s">
        <v>2248</v>
      </c>
      <c r="AB654">
        <v>17337</v>
      </c>
      <c r="AC654">
        <v>15582221</v>
      </c>
      <c r="AD654" t="s">
        <v>5</v>
      </c>
      <c r="AE654">
        <v>38</v>
      </c>
      <c r="AF654">
        <v>5</v>
      </c>
      <c r="AH654" t="s">
        <v>3694</v>
      </c>
      <c r="AI654" t="s">
        <v>3693</v>
      </c>
      <c r="AK654" t="s">
        <v>3692</v>
      </c>
      <c r="AL654">
        <v>2</v>
      </c>
      <c r="AM654" s="5">
        <f t="shared" si="82"/>
        <v>6.25E-2</v>
      </c>
      <c r="AN654" s="4">
        <f t="shared" si="87"/>
        <v>9.46611132146914E-5</v>
      </c>
      <c r="AO654" s="3"/>
      <c r="AP654">
        <v>0</v>
      </c>
      <c r="AR654" t="s">
        <v>0</v>
      </c>
      <c r="AT654" s="2" t="s">
        <v>126</v>
      </c>
      <c r="AU654" s="1">
        <f t="shared" si="83"/>
        <v>3.0897835882348059</v>
      </c>
      <c r="AV654" s="1">
        <f t="shared" si="84"/>
        <v>2.2096928805452811</v>
      </c>
      <c r="AW654" s="1">
        <f t="shared" si="85"/>
        <v>1.3296021728557561</v>
      </c>
    </row>
    <row r="655" spans="1:49" x14ac:dyDescent="0.2">
      <c r="A655">
        <v>653</v>
      </c>
      <c r="B655" t="s">
        <v>3691</v>
      </c>
      <c r="C655" t="s">
        <v>3690</v>
      </c>
      <c r="F655" t="s">
        <v>3689</v>
      </c>
      <c r="G655" t="s">
        <v>14</v>
      </c>
      <c r="H655" t="s">
        <v>13</v>
      </c>
      <c r="I655" t="s">
        <v>3688</v>
      </c>
      <c r="J655">
        <v>60005304</v>
      </c>
      <c r="K655" t="s">
        <v>747</v>
      </c>
      <c r="L655" t="s">
        <v>746</v>
      </c>
      <c r="M655" t="s">
        <v>197</v>
      </c>
      <c r="N655">
        <v>1</v>
      </c>
      <c r="O655" t="s">
        <v>3687</v>
      </c>
      <c r="P655">
        <v>57193268489</v>
      </c>
      <c r="Q655">
        <v>60005304</v>
      </c>
      <c r="R655" s="7">
        <v>32874</v>
      </c>
      <c r="S655" s="8">
        <f t="shared" si="80"/>
        <v>1990</v>
      </c>
      <c r="T655" s="8">
        <v>1990</v>
      </c>
      <c r="U655" s="8">
        <f t="shared" si="81"/>
        <v>32</v>
      </c>
      <c r="V655" s="7">
        <v>32994</v>
      </c>
      <c r="W655" t="s">
        <v>2249</v>
      </c>
      <c r="X655" s="2">
        <v>1.6519999999999999</v>
      </c>
      <c r="Y655" s="6">
        <f t="shared" si="86"/>
        <v>4.409919649769093E-2</v>
      </c>
      <c r="AA655" t="s">
        <v>2248</v>
      </c>
      <c r="AB655">
        <v>17337</v>
      </c>
      <c r="AC655">
        <v>15582221</v>
      </c>
      <c r="AD655" t="s">
        <v>5</v>
      </c>
      <c r="AE655">
        <v>38</v>
      </c>
      <c r="AF655">
        <v>5</v>
      </c>
      <c r="AH655" t="s">
        <v>3686</v>
      </c>
      <c r="AI655" t="s">
        <v>3685</v>
      </c>
      <c r="AK655" t="s">
        <v>3684</v>
      </c>
      <c r="AL655">
        <v>10</v>
      </c>
      <c r="AM655" s="5">
        <f t="shared" si="82"/>
        <v>0.3125</v>
      </c>
      <c r="AN655" s="4">
        <f t="shared" si="87"/>
        <v>4.7330556607345703E-4</v>
      </c>
      <c r="AO655" s="3"/>
      <c r="AP655">
        <v>0</v>
      </c>
      <c r="AR655" t="s">
        <v>0</v>
      </c>
      <c r="AT655" s="2" t="s">
        <v>126</v>
      </c>
      <c r="AU655" s="1">
        <f t="shared" si="83"/>
        <v>3.1011429218205686</v>
      </c>
      <c r="AV655" s="1">
        <f t="shared" si="84"/>
        <v>2.2286251031882194</v>
      </c>
      <c r="AW655" s="1">
        <f t="shared" si="85"/>
        <v>1.3561072845558697</v>
      </c>
    </row>
    <row r="656" spans="1:49" x14ac:dyDescent="0.2">
      <c r="A656">
        <v>654</v>
      </c>
      <c r="B656" t="s">
        <v>3683</v>
      </c>
      <c r="C656" t="s">
        <v>3682</v>
      </c>
      <c r="F656" t="s">
        <v>3681</v>
      </c>
      <c r="G656" t="s">
        <v>14</v>
      </c>
      <c r="H656" t="s">
        <v>13</v>
      </c>
      <c r="I656" t="s">
        <v>3680</v>
      </c>
      <c r="J656">
        <v>60013682</v>
      </c>
      <c r="K656" t="s">
        <v>3679</v>
      </c>
      <c r="L656" t="s">
        <v>3678</v>
      </c>
      <c r="M656" t="s">
        <v>3424</v>
      </c>
      <c r="N656">
        <v>2</v>
      </c>
      <c r="O656" t="s">
        <v>3677</v>
      </c>
      <c r="P656" t="s">
        <v>3676</v>
      </c>
      <c r="Q656" t="s">
        <v>3675</v>
      </c>
      <c r="R656" s="7">
        <v>32874</v>
      </c>
      <c r="S656" s="8">
        <f t="shared" si="80"/>
        <v>1990</v>
      </c>
      <c r="T656" s="8">
        <v>1990</v>
      </c>
      <c r="U656" s="8">
        <f t="shared" si="81"/>
        <v>32</v>
      </c>
      <c r="V656" s="7">
        <v>1990</v>
      </c>
      <c r="W656" t="s">
        <v>1380</v>
      </c>
      <c r="X656" s="2">
        <v>0.375</v>
      </c>
      <c r="Y656" s="6">
        <f t="shared" si="86"/>
        <v>1.0010410827260351E-2</v>
      </c>
      <c r="AA656">
        <v>135194</v>
      </c>
      <c r="AB656">
        <v>24918</v>
      </c>
      <c r="AD656" t="s">
        <v>5</v>
      </c>
      <c r="AE656">
        <v>26</v>
      </c>
      <c r="AF656">
        <v>11</v>
      </c>
      <c r="AH656" t="s">
        <v>3674</v>
      </c>
      <c r="AI656" t="s">
        <v>3673</v>
      </c>
      <c r="AJ656" t="s">
        <v>3672</v>
      </c>
      <c r="AK656" t="s">
        <v>3671</v>
      </c>
      <c r="AL656">
        <v>0</v>
      </c>
      <c r="AM656" s="5">
        <f t="shared" si="82"/>
        <v>0</v>
      </c>
      <c r="AN656" s="4">
        <f t="shared" si="87"/>
        <v>0</v>
      </c>
      <c r="AO656" s="3"/>
      <c r="AP656">
        <v>0</v>
      </c>
      <c r="AR656" t="s">
        <v>0</v>
      </c>
      <c r="AT656" s="2">
        <v>1.3140000000000001</v>
      </c>
      <c r="AU656" s="1">
        <f t="shared" si="83"/>
        <v>0.70072875790822453</v>
      </c>
      <c r="AV656" s="1">
        <f t="shared" si="84"/>
        <v>0.5005205413630176</v>
      </c>
      <c r="AW656" s="1">
        <f t="shared" si="85"/>
        <v>0.30031232481781051</v>
      </c>
    </row>
    <row r="657" spans="1:49" x14ac:dyDescent="0.2">
      <c r="A657">
        <v>655</v>
      </c>
      <c r="B657" t="s">
        <v>3670</v>
      </c>
      <c r="C657" t="s">
        <v>3669</v>
      </c>
      <c r="F657" t="s">
        <v>3668</v>
      </c>
      <c r="G657" t="s">
        <v>14</v>
      </c>
      <c r="H657" t="s">
        <v>13</v>
      </c>
      <c r="I657" t="s">
        <v>3667</v>
      </c>
      <c r="J657" t="s">
        <v>3666</v>
      </c>
      <c r="K657" t="s">
        <v>3665</v>
      </c>
      <c r="L657" t="s">
        <v>3664</v>
      </c>
      <c r="M657" t="s">
        <v>84</v>
      </c>
      <c r="N657">
        <v>2</v>
      </c>
      <c r="O657" t="s">
        <v>3663</v>
      </c>
      <c r="P657" t="s">
        <v>3662</v>
      </c>
      <c r="Q657" t="s">
        <v>3661</v>
      </c>
      <c r="R657" s="7">
        <v>32874</v>
      </c>
      <c r="S657" s="8">
        <f t="shared" si="80"/>
        <v>1990</v>
      </c>
      <c r="T657" s="8">
        <v>1990</v>
      </c>
      <c r="U657" s="8">
        <f t="shared" si="81"/>
        <v>32</v>
      </c>
      <c r="V657" s="7">
        <v>32994</v>
      </c>
      <c r="W657" t="s">
        <v>1309</v>
      </c>
      <c r="X657" s="2">
        <v>1.3720000000000001</v>
      </c>
      <c r="Y657" s="6">
        <f t="shared" si="86"/>
        <v>3.662475641333654E-2</v>
      </c>
      <c r="AA657">
        <v>189480</v>
      </c>
      <c r="AB657">
        <v>17366</v>
      </c>
      <c r="AC657">
        <v>15579670</v>
      </c>
      <c r="AD657" t="s">
        <v>5</v>
      </c>
      <c r="AE657">
        <v>38</v>
      </c>
      <c r="AF657">
        <v>5</v>
      </c>
      <c r="AH657" t="s">
        <v>3660</v>
      </c>
      <c r="AI657" t="s">
        <v>3659</v>
      </c>
      <c r="AK657" t="s">
        <v>3658</v>
      </c>
      <c r="AL657">
        <v>28</v>
      </c>
      <c r="AM657" s="5">
        <f t="shared" si="82"/>
        <v>0.875</v>
      </c>
      <c r="AN657" s="4">
        <f t="shared" si="87"/>
        <v>1.3252555850056798E-3</v>
      </c>
      <c r="AO657" s="3"/>
      <c r="AP657">
        <v>0</v>
      </c>
      <c r="AR657" t="s">
        <v>0</v>
      </c>
      <c r="AT657" s="2" t="s">
        <v>126</v>
      </c>
      <c r="AU657" s="1">
        <f t="shared" si="83"/>
        <v>2.6034906164837279</v>
      </c>
      <c r="AV657" s="1">
        <f t="shared" si="84"/>
        <v>1.8975005999171111</v>
      </c>
      <c r="AW657" s="1">
        <f t="shared" si="85"/>
        <v>1.1915105833504938</v>
      </c>
    </row>
    <row r="658" spans="1:49" x14ac:dyDescent="0.2">
      <c r="A658">
        <v>656</v>
      </c>
      <c r="B658" t="s">
        <v>3657</v>
      </c>
      <c r="C658" t="s">
        <v>3656</v>
      </c>
      <c r="F658" t="s">
        <v>3655</v>
      </c>
      <c r="G658" t="s">
        <v>14</v>
      </c>
      <c r="H658" t="s">
        <v>13</v>
      </c>
      <c r="I658" t="s">
        <v>3654</v>
      </c>
      <c r="J658" t="s">
        <v>3653</v>
      </c>
      <c r="K658" t="s">
        <v>3652</v>
      </c>
      <c r="L658" t="s">
        <v>3651</v>
      </c>
      <c r="M658" t="s">
        <v>3650</v>
      </c>
      <c r="N658">
        <v>4</v>
      </c>
      <c r="O658" t="s">
        <v>3649</v>
      </c>
      <c r="P658" t="s">
        <v>3648</v>
      </c>
      <c r="Q658" t="s">
        <v>3647</v>
      </c>
      <c r="R658" s="7">
        <v>32874</v>
      </c>
      <c r="S658" s="8">
        <f t="shared" si="80"/>
        <v>1990</v>
      </c>
      <c r="T658" s="8">
        <v>1990</v>
      </c>
      <c r="U658" s="8">
        <f t="shared" si="81"/>
        <v>32</v>
      </c>
      <c r="V658" s="7">
        <v>32994</v>
      </c>
      <c r="W658" t="s">
        <v>3646</v>
      </c>
      <c r="X658" s="2">
        <v>2.9860000000000002</v>
      </c>
      <c r="Y658" s="6">
        <f t="shared" si="86"/>
        <v>7.9709564613865094E-2</v>
      </c>
      <c r="AA658">
        <v>7338716</v>
      </c>
      <c r="AB658">
        <v>18902</v>
      </c>
      <c r="AD658" t="s">
        <v>5</v>
      </c>
      <c r="AE658">
        <v>8</v>
      </c>
      <c r="AF658">
        <v>4</v>
      </c>
      <c r="AH658" t="s">
        <v>3645</v>
      </c>
      <c r="AI658" t="s">
        <v>3644</v>
      </c>
      <c r="AK658" t="s">
        <v>3643</v>
      </c>
      <c r="AL658">
        <v>187</v>
      </c>
      <c r="AM658" s="5">
        <f t="shared" si="82"/>
        <v>5.84375</v>
      </c>
      <c r="AN658" s="4">
        <f t="shared" si="87"/>
        <v>8.8508140855736456E-3</v>
      </c>
      <c r="AO658" s="3"/>
      <c r="AP658">
        <v>0</v>
      </c>
      <c r="AR658" t="s">
        <v>0</v>
      </c>
      <c r="AT658" s="2" t="s">
        <v>126</v>
      </c>
      <c r="AU658" s="1">
        <f t="shared" si="83"/>
        <v>5.8451939455377655</v>
      </c>
      <c r="AV658" s="1">
        <f t="shared" si="84"/>
        <v>4.428018934971937</v>
      </c>
      <c r="AW658" s="1">
        <f t="shared" si="85"/>
        <v>3.0108439244061076</v>
      </c>
    </row>
    <row r="659" spans="1:49" x14ac:dyDescent="0.2">
      <c r="A659">
        <v>657</v>
      </c>
      <c r="B659" t="s">
        <v>3642</v>
      </c>
      <c r="C659" t="s">
        <v>3641</v>
      </c>
      <c r="F659" t="s">
        <v>3640</v>
      </c>
      <c r="G659" t="s">
        <v>14</v>
      </c>
      <c r="H659" t="s">
        <v>13</v>
      </c>
      <c r="I659" t="s">
        <v>3639</v>
      </c>
      <c r="J659" t="s">
        <v>3638</v>
      </c>
      <c r="K659" t="s">
        <v>3637</v>
      </c>
      <c r="L659" t="s">
        <v>3636</v>
      </c>
      <c r="M659" t="s">
        <v>2635</v>
      </c>
      <c r="N659">
        <v>4</v>
      </c>
      <c r="O659" t="s">
        <v>3635</v>
      </c>
      <c r="P659" t="s">
        <v>3634</v>
      </c>
      <c r="Q659" t="s">
        <v>3633</v>
      </c>
      <c r="R659" s="7">
        <v>32874</v>
      </c>
      <c r="S659" s="8">
        <f t="shared" si="80"/>
        <v>1990</v>
      </c>
      <c r="T659" s="8">
        <v>1990</v>
      </c>
      <c r="U659" s="8">
        <f t="shared" si="81"/>
        <v>32</v>
      </c>
      <c r="V659" s="7">
        <v>32994</v>
      </c>
      <c r="W659" t="s">
        <v>1844</v>
      </c>
      <c r="X659" s="2">
        <v>1.774</v>
      </c>
      <c r="Y659" s="6">
        <f t="shared" si="86"/>
        <v>4.7355916820159633E-2</v>
      </c>
      <c r="AA659">
        <v>295515</v>
      </c>
      <c r="AB659">
        <v>29066</v>
      </c>
      <c r="AC659">
        <v>17414326</v>
      </c>
      <c r="AD659" t="s">
        <v>5</v>
      </c>
      <c r="AE659">
        <v>30</v>
      </c>
      <c r="AF659">
        <v>5</v>
      </c>
      <c r="AH659" t="s">
        <v>3632</v>
      </c>
      <c r="AI659" t="s">
        <v>3631</v>
      </c>
      <c r="AK659" t="s">
        <v>3630</v>
      </c>
      <c r="AL659">
        <v>2</v>
      </c>
      <c r="AM659" s="5">
        <f t="shared" si="82"/>
        <v>6.25E-2</v>
      </c>
      <c r="AN659" s="4">
        <f t="shared" si="87"/>
        <v>9.46611132146914E-5</v>
      </c>
      <c r="AO659" s="3"/>
      <c r="AP659">
        <v>0</v>
      </c>
      <c r="AR659" t="s">
        <v>0</v>
      </c>
      <c r="AT659" s="2">
        <v>3.1789999999999998</v>
      </c>
      <c r="AU659" s="1">
        <f t="shared" si="83"/>
        <v>3.3177540108076151</v>
      </c>
      <c r="AV659" s="1">
        <f t="shared" si="84"/>
        <v>2.3725288966687161</v>
      </c>
      <c r="AW659" s="1">
        <f t="shared" si="85"/>
        <v>1.4273037825298172</v>
      </c>
    </row>
    <row r="660" spans="1:49" x14ac:dyDescent="0.2">
      <c r="A660">
        <v>658</v>
      </c>
      <c r="B660" t="s">
        <v>3629</v>
      </c>
      <c r="C660" t="s">
        <v>3628</v>
      </c>
      <c r="F660" t="s">
        <v>3627</v>
      </c>
      <c r="G660" t="s">
        <v>14</v>
      </c>
      <c r="H660" t="s">
        <v>13</v>
      </c>
      <c r="I660" t="s">
        <v>3626</v>
      </c>
      <c r="J660">
        <v>60031159</v>
      </c>
      <c r="K660" t="s">
        <v>3625</v>
      </c>
      <c r="L660" t="s">
        <v>3624</v>
      </c>
      <c r="M660" t="s">
        <v>223</v>
      </c>
      <c r="N660">
        <v>1</v>
      </c>
      <c r="O660" t="s">
        <v>3623</v>
      </c>
      <c r="P660">
        <v>7003941584</v>
      </c>
      <c r="Q660">
        <v>60031159</v>
      </c>
      <c r="R660" s="7">
        <v>32874</v>
      </c>
      <c r="S660" s="8">
        <f t="shared" si="80"/>
        <v>1990</v>
      </c>
      <c r="T660" s="8">
        <v>1990</v>
      </c>
      <c r="U660" s="8">
        <f t="shared" si="81"/>
        <v>32</v>
      </c>
      <c r="V660" s="7">
        <v>32994</v>
      </c>
      <c r="W660" t="s">
        <v>2249</v>
      </c>
      <c r="X660" s="2">
        <v>1.6519999999999999</v>
      </c>
      <c r="Y660" s="6">
        <f t="shared" si="86"/>
        <v>4.409919649769093E-2</v>
      </c>
      <c r="AA660" t="s">
        <v>2248</v>
      </c>
      <c r="AB660">
        <v>17337</v>
      </c>
      <c r="AC660">
        <v>15582221</v>
      </c>
      <c r="AD660" t="s">
        <v>5</v>
      </c>
      <c r="AE660">
        <v>38</v>
      </c>
      <c r="AF660">
        <v>5</v>
      </c>
      <c r="AH660" t="s">
        <v>3622</v>
      </c>
      <c r="AI660" t="s">
        <v>3621</v>
      </c>
      <c r="AK660" t="s">
        <v>3620</v>
      </c>
      <c r="AL660">
        <v>16</v>
      </c>
      <c r="AM660" s="5">
        <f t="shared" si="82"/>
        <v>0.5</v>
      </c>
      <c r="AN660" s="4">
        <f t="shared" si="87"/>
        <v>7.572889057175312E-4</v>
      </c>
      <c r="AO660" s="3"/>
      <c r="AP660">
        <v>0</v>
      </c>
      <c r="AR660" t="s">
        <v>0</v>
      </c>
      <c r="AT660" s="2" t="s">
        <v>126</v>
      </c>
      <c r="AU660" s="1">
        <f t="shared" si="83"/>
        <v>3.1096624220098912</v>
      </c>
      <c r="AV660" s="1">
        <f t="shared" si="84"/>
        <v>2.2428242701704231</v>
      </c>
      <c r="AW660" s="1">
        <f t="shared" si="85"/>
        <v>1.375986118330955</v>
      </c>
    </row>
    <row r="661" spans="1:49" x14ac:dyDescent="0.2">
      <c r="A661">
        <v>659</v>
      </c>
      <c r="B661" t="s">
        <v>3619</v>
      </c>
      <c r="C661" t="s">
        <v>3618</v>
      </c>
      <c r="F661" t="s">
        <v>3617</v>
      </c>
      <c r="G661" t="s">
        <v>14</v>
      </c>
      <c r="H661" t="s">
        <v>13</v>
      </c>
      <c r="I661" t="s">
        <v>3099</v>
      </c>
      <c r="J661">
        <v>60028186</v>
      </c>
      <c r="K661" t="s">
        <v>3098</v>
      </c>
      <c r="L661" t="s">
        <v>3097</v>
      </c>
      <c r="M661" t="s">
        <v>3096</v>
      </c>
      <c r="N661">
        <v>3</v>
      </c>
      <c r="O661" t="s">
        <v>3616</v>
      </c>
      <c r="P661" t="s">
        <v>3615</v>
      </c>
      <c r="Q661" t="s">
        <v>3093</v>
      </c>
      <c r="R661" s="7">
        <v>32874</v>
      </c>
      <c r="S661" s="8">
        <f t="shared" si="80"/>
        <v>1990</v>
      </c>
      <c r="T661" s="8">
        <v>1990</v>
      </c>
      <c r="U661" s="8">
        <f t="shared" si="81"/>
        <v>32</v>
      </c>
      <c r="V661" s="7">
        <v>32994</v>
      </c>
      <c r="W661" t="s">
        <v>2249</v>
      </c>
      <c r="X661" s="2">
        <v>1.6519999999999999</v>
      </c>
      <c r="Y661" s="6">
        <f t="shared" si="86"/>
        <v>4.409919649769093E-2</v>
      </c>
      <c r="AA661" t="s">
        <v>2248</v>
      </c>
      <c r="AB661">
        <v>17337</v>
      </c>
      <c r="AC661">
        <v>15582221</v>
      </c>
      <c r="AD661" t="s">
        <v>5</v>
      </c>
      <c r="AE661">
        <v>38</v>
      </c>
      <c r="AF661">
        <v>5</v>
      </c>
      <c r="AH661" t="s">
        <v>3614</v>
      </c>
      <c r="AI661" t="s">
        <v>3613</v>
      </c>
      <c r="AK661" t="s">
        <v>3612</v>
      </c>
      <c r="AL661">
        <v>72</v>
      </c>
      <c r="AM661" s="5">
        <f t="shared" si="82"/>
        <v>2.25</v>
      </c>
      <c r="AN661" s="4">
        <f t="shared" si="87"/>
        <v>3.4078000757288905E-3</v>
      </c>
      <c r="AO661" s="3"/>
      <c r="AP661">
        <v>0</v>
      </c>
      <c r="AR661" t="s">
        <v>0</v>
      </c>
      <c r="AT661" s="2" t="s">
        <v>126</v>
      </c>
      <c r="AU661" s="1">
        <f t="shared" si="83"/>
        <v>3.1891777571102313</v>
      </c>
      <c r="AV661" s="1">
        <f t="shared" si="84"/>
        <v>2.3753498286709909</v>
      </c>
      <c r="AW661" s="1">
        <f t="shared" si="85"/>
        <v>1.5615219002317502</v>
      </c>
    </row>
    <row r="662" spans="1:49" x14ac:dyDescent="0.2">
      <c r="A662">
        <v>660</v>
      </c>
      <c r="B662" t="s">
        <v>3611</v>
      </c>
      <c r="C662" t="s">
        <v>3610</v>
      </c>
      <c r="F662" t="s">
        <v>3609</v>
      </c>
      <c r="G662" t="s">
        <v>14</v>
      </c>
      <c r="H662" t="s">
        <v>13</v>
      </c>
      <c r="I662" t="s">
        <v>3608</v>
      </c>
      <c r="J662">
        <v>60015186</v>
      </c>
      <c r="K662" t="s">
        <v>3607</v>
      </c>
      <c r="L662" t="s">
        <v>3606</v>
      </c>
      <c r="M662" t="s">
        <v>1937</v>
      </c>
      <c r="N662">
        <v>1</v>
      </c>
      <c r="O662" t="s">
        <v>3605</v>
      </c>
      <c r="P662">
        <v>7402673635</v>
      </c>
      <c r="Q662">
        <v>60015186</v>
      </c>
      <c r="R662" s="7">
        <v>32874</v>
      </c>
      <c r="S662" s="8">
        <f t="shared" si="80"/>
        <v>1990</v>
      </c>
      <c r="T662" s="8">
        <v>1990</v>
      </c>
      <c r="U662" s="8">
        <f t="shared" si="81"/>
        <v>32</v>
      </c>
      <c r="V662" s="7">
        <v>32994</v>
      </c>
      <c r="W662" t="s">
        <v>1152</v>
      </c>
      <c r="X662" s="2">
        <v>0.30399999999999999</v>
      </c>
      <c r="Y662" s="6">
        <f t="shared" si="86"/>
        <v>8.115106377299057E-3</v>
      </c>
      <c r="AA662">
        <v>8952477</v>
      </c>
      <c r="AB662">
        <v>12250</v>
      </c>
      <c r="AC662">
        <v>10982760</v>
      </c>
      <c r="AD662" t="s">
        <v>5</v>
      </c>
      <c r="AE662">
        <v>3</v>
      </c>
      <c r="AF662">
        <v>5</v>
      </c>
      <c r="AH662" t="s">
        <v>3604</v>
      </c>
      <c r="AI662" t="s">
        <v>3603</v>
      </c>
      <c r="AJ662" t="s">
        <v>3602</v>
      </c>
      <c r="AK662" t="s">
        <v>3601</v>
      </c>
      <c r="AL662">
        <v>2</v>
      </c>
      <c r="AM662" s="5">
        <f t="shared" si="82"/>
        <v>6.25E-2</v>
      </c>
      <c r="AN662" s="4">
        <f t="shared" si="87"/>
        <v>9.46611132146914E-5</v>
      </c>
      <c r="AO662" s="3"/>
      <c r="AP662">
        <v>0</v>
      </c>
      <c r="AR662" t="s">
        <v>0</v>
      </c>
      <c r="AT662" s="2" t="s">
        <v>126</v>
      </c>
      <c r="AU662" s="1">
        <f t="shared" si="83"/>
        <v>0.5708972798073747</v>
      </c>
      <c r="AV662" s="1">
        <f t="shared" si="84"/>
        <v>0.41048837452568748</v>
      </c>
      <c r="AW662" s="1">
        <f t="shared" si="85"/>
        <v>0.25007946924400015</v>
      </c>
    </row>
    <row r="663" spans="1:49" x14ac:dyDescent="0.2">
      <c r="A663">
        <v>661</v>
      </c>
      <c r="B663" t="s">
        <v>3600</v>
      </c>
      <c r="C663" t="s">
        <v>3599</v>
      </c>
      <c r="F663" t="s">
        <v>3598</v>
      </c>
      <c r="G663" t="s">
        <v>14</v>
      </c>
      <c r="H663" t="s">
        <v>13</v>
      </c>
      <c r="I663" t="s">
        <v>3597</v>
      </c>
      <c r="J663">
        <v>60025225</v>
      </c>
      <c r="K663" t="s">
        <v>1960</v>
      </c>
      <c r="L663" t="s">
        <v>1959</v>
      </c>
      <c r="M663" t="s">
        <v>253</v>
      </c>
      <c r="N663">
        <v>3</v>
      </c>
      <c r="O663" t="s">
        <v>3596</v>
      </c>
      <c r="P663" t="s">
        <v>3595</v>
      </c>
      <c r="Q663" t="s">
        <v>1956</v>
      </c>
      <c r="R663" s="7">
        <v>32874</v>
      </c>
      <c r="S663" s="8">
        <f t="shared" si="80"/>
        <v>1990</v>
      </c>
      <c r="T663" s="8">
        <v>1990</v>
      </c>
      <c r="U663" s="8">
        <f t="shared" si="81"/>
        <v>32</v>
      </c>
      <c r="V663" s="7">
        <v>32994</v>
      </c>
      <c r="W663" t="s">
        <v>2249</v>
      </c>
      <c r="X663" s="2">
        <v>1.6519999999999999</v>
      </c>
      <c r="Y663" s="6">
        <f t="shared" si="86"/>
        <v>4.409919649769093E-2</v>
      </c>
      <c r="AA663" t="s">
        <v>2248</v>
      </c>
      <c r="AB663">
        <v>17337</v>
      </c>
      <c r="AC663">
        <v>15582221</v>
      </c>
      <c r="AD663" t="s">
        <v>5</v>
      </c>
      <c r="AE663">
        <v>38</v>
      </c>
      <c r="AF663">
        <v>5</v>
      </c>
      <c r="AH663" t="s">
        <v>3594</v>
      </c>
      <c r="AI663" t="s">
        <v>3593</v>
      </c>
      <c r="AK663" t="s">
        <v>3592</v>
      </c>
      <c r="AL663">
        <v>3</v>
      </c>
      <c r="AM663" s="5">
        <f t="shared" si="82"/>
        <v>9.375E-2</v>
      </c>
      <c r="AN663" s="4">
        <f t="shared" si="87"/>
        <v>1.4199166982203711E-4</v>
      </c>
      <c r="AO663" s="3"/>
      <c r="AP663">
        <v>0</v>
      </c>
      <c r="AR663" t="s">
        <v>0</v>
      </c>
      <c r="AT663" s="2" t="s">
        <v>126</v>
      </c>
      <c r="AU663" s="1">
        <f t="shared" si="83"/>
        <v>3.0912035049330262</v>
      </c>
      <c r="AV663" s="1">
        <f t="shared" si="84"/>
        <v>2.2120594083756484</v>
      </c>
      <c r="AW663" s="1">
        <f t="shared" si="85"/>
        <v>1.3329153118182704</v>
      </c>
    </row>
    <row r="664" spans="1:49" x14ac:dyDescent="0.2">
      <c r="A664">
        <v>662</v>
      </c>
      <c r="B664" t="s">
        <v>3591</v>
      </c>
      <c r="C664" t="s">
        <v>3590</v>
      </c>
      <c r="F664" t="s">
        <v>3589</v>
      </c>
      <c r="G664" t="s">
        <v>14</v>
      </c>
      <c r="H664" t="s">
        <v>13</v>
      </c>
      <c r="I664" t="s">
        <v>3588</v>
      </c>
      <c r="J664">
        <v>60011604</v>
      </c>
      <c r="K664" t="s">
        <v>2021</v>
      </c>
      <c r="L664" t="s">
        <v>2020</v>
      </c>
      <c r="M664" t="s">
        <v>135</v>
      </c>
      <c r="N664">
        <v>2</v>
      </c>
      <c r="O664" t="s">
        <v>3587</v>
      </c>
      <c r="P664" t="s">
        <v>3586</v>
      </c>
      <c r="Q664" t="s">
        <v>3585</v>
      </c>
      <c r="R664" s="7">
        <v>32874</v>
      </c>
      <c r="S664" s="8">
        <f t="shared" si="80"/>
        <v>1990</v>
      </c>
      <c r="T664" s="8">
        <v>1990</v>
      </c>
      <c r="U664" s="8">
        <f t="shared" si="81"/>
        <v>32</v>
      </c>
      <c r="V664" s="7">
        <v>32994</v>
      </c>
      <c r="W664" t="s">
        <v>2249</v>
      </c>
      <c r="X664" s="2">
        <v>1.6519999999999999</v>
      </c>
      <c r="Y664" s="6">
        <f t="shared" si="86"/>
        <v>4.409919649769093E-2</v>
      </c>
      <c r="AA664" t="s">
        <v>2248</v>
      </c>
      <c r="AB664">
        <v>17337</v>
      </c>
      <c r="AC664">
        <v>15582221</v>
      </c>
      <c r="AD664" t="s">
        <v>5</v>
      </c>
      <c r="AE664">
        <v>38</v>
      </c>
      <c r="AF664">
        <v>5</v>
      </c>
      <c r="AH664" t="s">
        <v>3584</v>
      </c>
      <c r="AI664" t="s">
        <v>3583</v>
      </c>
      <c r="AK664" t="s">
        <v>3582</v>
      </c>
      <c r="AL664">
        <v>20</v>
      </c>
      <c r="AM664" s="5">
        <f t="shared" si="82"/>
        <v>0.625</v>
      </c>
      <c r="AN664" s="4">
        <f t="shared" si="87"/>
        <v>9.4661113214691405E-4</v>
      </c>
      <c r="AO664" s="3"/>
      <c r="AP664">
        <v>0</v>
      </c>
      <c r="AR664" t="s">
        <v>0</v>
      </c>
      <c r="AT664" s="2" t="s">
        <v>126</v>
      </c>
      <c r="AU664" s="1">
        <f t="shared" si="83"/>
        <v>3.1153420888027727</v>
      </c>
      <c r="AV664" s="1">
        <f t="shared" si="84"/>
        <v>2.2522903814918922</v>
      </c>
      <c r="AW664" s="1">
        <f t="shared" si="85"/>
        <v>1.3892386741810119</v>
      </c>
    </row>
    <row r="665" spans="1:49" x14ac:dyDescent="0.2">
      <c r="A665">
        <v>663</v>
      </c>
      <c r="B665" t="s">
        <v>3581</v>
      </c>
      <c r="C665" t="s">
        <v>3580</v>
      </c>
      <c r="F665" t="s">
        <v>3579</v>
      </c>
      <c r="G665" t="s">
        <v>14</v>
      </c>
      <c r="H665" t="s">
        <v>13</v>
      </c>
      <c r="I665" t="s">
        <v>3578</v>
      </c>
      <c r="J665">
        <v>115667961</v>
      </c>
      <c r="K665" t="s">
        <v>3577</v>
      </c>
      <c r="M665" t="s">
        <v>267</v>
      </c>
      <c r="N665">
        <v>1</v>
      </c>
      <c r="O665" t="s">
        <v>3576</v>
      </c>
      <c r="P665">
        <v>6507490725</v>
      </c>
      <c r="Q665">
        <v>115667961</v>
      </c>
      <c r="R665" s="7">
        <v>32874</v>
      </c>
      <c r="S665" s="8">
        <f t="shared" si="80"/>
        <v>1990</v>
      </c>
      <c r="T665" s="8">
        <v>1990</v>
      </c>
      <c r="U665" s="8">
        <f t="shared" si="81"/>
        <v>32</v>
      </c>
      <c r="V665" s="7">
        <v>32994</v>
      </c>
      <c r="W665" t="s">
        <v>1524</v>
      </c>
      <c r="X665" s="2">
        <v>0.39600000000000002</v>
      </c>
      <c r="Y665" s="6">
        <f t="shared" si="86"/>
        <v>1.0570993833586931E-2</v>
      </c>
      <c r="AA665">
        <v>8858985</v>
      </c>
      <c r="AB665">
        <v>25993</v>
      </c>
      <c r="AD665" t="s">
        <v>5</v>
      </c>
      <c r="AE665">
        <v>5</v>
      </c>
      <c r="AF665">
        <v>5</v>
      </c>
      <c r="AH665" s="9">
        <v>44509</v>
      </c>
      <c r="AL665">
        <v>4</v>
      </c>
      <c r="AM665" s="5">
        <f t="shared" si="82"/>
        <v>0.125</v>
      </c>
      <c r="AN665" s="4">
        <f t="shared" si="87"/>
        <v>1.893222264293828E-4</v>
      </c>
      <c r="AO665" s="3"/>
      <c r="AP665">
        <v>0</v>
      </c>
      <c r="AR665" t="s">
        <v>0</v>
      </c>
      <c r="AT665" s="2" t="s">
        <v>126</v>
      </c>
      <c r="AU665" s="1">
        <f t="shared" si="83"/>
        <v>0.74564923514396664</v>
      </c>
      <c r="AV665" s="1">
        <f t="shared" si="84"/>
        <v>0.53801580300081564</v>
      </c>
      <c r="AW665" s="1">
        <f t="shared" si="85"/>
        <v>0.3303823708576647</v>
      </c>
    </row>
    <row r="666" spans="1:49" x14ac:dyDescent="0.2">
      <c r="A666">
        <v>664</v>
      </c>
      <c r="B666" t="s">
        <v>3575</v>
      </c>
      <c r="C666" t="s">
        <v>3574</v>
      </c>
      <c r="F666" t="s">
        <v>3573</v>
      </c>
      <c r="G666" t="s">
        <v>14</v>
      </c>
      <c r="H666" t="s">
        <v>13</v>
      </c>
      <c r="I666" t="s">
        <v>3572</v>
      </c>
      <c r="J666">
        <v>60022995</v>
      </c>
      <c r="K666" t="s">
        <v>3571</v>
      </c>
      <c r="L666" t="s">
        <v>3570</v>
      </c>
      <c r="M666" t="s">
        <v>135</v>
      </c>
      <c r="N666">
        <v>1</v>
      </c>
      <c r="O666" t="s">
        <v>3569</v>
      </c>
      <c r="P666">
        <v>7003780857</v>
      </c>
      <c r="Q666">
        <v>60022995</v>
      </c>
      <c r="R666" s="7">
        <v>32874</v>
      </c>
      <c r="S666" s="8">
        <f t="shared" si="80"/>
        <v>1990</v>
      </c>
      <c r="T666" s="8">
        <v>1990</v>
      </c>
      <c r="U666" s="8">
        <f t="shared" si="81"/>
        <v>32</v>
      </c>
      <c r="V666" s="7">
        <v>1990</v>
      </c>
      <c r="W666" t="s">
        <v>1477</v>
      </c>
      <c r="X666" s="2">
        <v>0.2</v>
      </c>
      <c r="Y666" s="6">
        <f t="shared" si="86"/>
        <v>5.3388857745388539E-3</v>
      </c>
      <c r="AA666">
        <v>161136</v>
      </c>
      <c r="AB666">
        <v>16718</v>
      </c>
      <c r="AC666">
        <v>21916349</v>
      </c>
      <c r="AD666" t="s">
        <v>5</v>
      </c>
      <c r="AE666">
        <v>44</v>
      </c>
      <c r="AF666">
        <v>5</v>
      </c>
      <c r="AH666" t="s">
        <v>3568</v>
      </c>
      <c r="AI666" t="s">
        <v>3567</v>
      </c>
      <c r="AK666" t="s">
        <v>3566</v>
      </c>
      <c r="AL666">
        <v>15</v>
      </c>
      <c r="AM666" s="5">
        <f t="shared" si="82"/>
        <v>0.46875</v>
      </c>
      <c r="AN666" s="4">
        <f t="shared" si="87"/>
        <v>7.0995834911018554E-4</v>
      </c>
      <c r="AO666" s="3"/>
      <c r="AP666">
        <v>0</v>
      </c>
      <c r="AQ666" t="s">
        <v>3565</v>
      </c>
      <c r="AR666" t="s">
        <v>0</v>
      </c>
      <c r="AS666" t="s">
        <v>3564</v>
      </c>
      <c r="AT666" s="2">
        <v>0.72599999999999998</v>
      </c>
      <c r="AU666" s="1">
        <f t="shared" si="83"/>
        <v>0.39502075469102532</v>
      </c>
      <c r="AV666" s="1">
        <f t="shared" si="84"/>
        <v>0.30244220618245193</v>
      </c>
      <c r="AW666" s="1">
        <f t="shared" si="85"/>
        <v>0.2098636576738786</v>
      </c>
    </row>
    <row r="667" spans="1:49" x14ac:dyDescent="0.2">
      <c r="A667">
        <v>665</v>
      </c>
      <c r="B667" t="s">
        <v>3563</v>
      </c>
      <c r="C667" t="s">
        <v>3562</v>
      </c>
      <c r="F667" t="s">
        <v>3561</v>
      </c>
      <c r="G667" t="s">
        <v>14</v>
      </c>
      <c r="H667" t="s">
        <v>13</v>
      </c>
      <c r="I667" t="s">
        <v>3530</v>
      </c>
      <c r="J667">
        <v>60014662</v>
      </c>
      <c r="K667" t="s">
        <v>797</v>
      </c>
      <c r="L667" t="s">
        <v>618</v>
      </c>
      <c r="M667" t="s">
        <v>197</v>
      </c>
      <c r="N667">
        <v>1</v>
      </c>
      <c r="O667" t="s">
        <v>3560</v>
      </c>
      <c r="P667">
        <v>7006552817</v>
      </c>
      <c r="Q667">
        <v>60014662</v>
      </c>
      <c r="R667" s="7">
        <v>32874</v>
      </c>
      <c r="S667" s="8">
        <f t="shared" si="80"/>
        <v>1990</v>
      </c>
      <c r="T667" s="8">
        <v>1990</v>
      </c>
      <c r="U667" s="8">
        <f t="shared" si="81"/>
        <v>32</v>
      </c>
      <c r="V667" s="7">
        <v>32994</v>
      </c>
      <c r="W667" t="s">
        <v>1309</v>
      </c>
      <c r="X667" s="2">
        <v>1.3720000000000001</v>
      </c>
      <c r="Y667" s="6">
        <f t="shared" si="86"/>
        <v>3.662475641333654E-2</v>
      </c>
      <c r="AA667">
        <v>189480</v>
      </c>
      <c r="AB667">
        <v>17366</v>
      </c>
      <c r="AC667">
        <v>15579670</v>
      </c>
      <c r="AD667" t="s">
        <v>5</v>
      </c>
      <c r="AE667">
        <v>38</v>
      </c>
      <c r="AF667">
        <v>5</v>
      </c>
      <c r="AH667" t="s">
        <v>3559</v>
      </c>
      <c r="AI667" t="s">
        <v>3558</v>
      </c>
      <c r="AK667" t="s">
        <v>3557</v>
      </c>
      <c r="AL667">
        <v>93</v>
      </c>
      <c r="AM667" s="5">
        <f t="shared" si="82"/>
        <v>2.90625</v>
      </c>
      <c r="AN667" s="4">
        <f t="shared" si="87"/>
        <v>4.4017417644831502E-3</v>
      </c>
      <c r="AO667" s="3"/>
      <c r="AP667">
        <v>0</v>
      </c>
      <c r="AQ667" t="s">
        <v>1279</v>
      </c>
      <c r="AR667" t="s">
        <v>0</v>
      </c>
      <c r="AS667" t="s">
        <v>1278</v>
      </c>
      <c r="AT667" s="2" t="s">
        <v>126</v>
      </c>
      <c r="AU667" s="1">
        <f t="shared" si="83"/>
        <v>2.6957852018680519</v>
      </c>
      <c r="AV667" s="1">
        <f t="shared" si="84"/>
        <v>2.0513249088909844</v>
      </c>
      <c r="AW667" s="1">
        <f t="shared" si="85"/>
        <v>1.4068646159139169</v>
      </c>
    </row>
    <row r="668" spans="1:49" x14ac:dyDescent="0.2">
      <c r="A668">
        <v>666</v>
      </c>
      <c r="B668" t="s">
        <v>3556</v>
      </c>
      <c r="C668" t="s">
        <v>3555</v>
      </c>
      <c r="F668" t="s">
        <v>3554</v>
      </c>
      <c r="G668" t="s">
        <v>14</v>
      </c>
      <c r="H668" t="s">
        <v>13</v>
      </c>
      <c r="I668" t="s">
        <v>3553</v>
      </c>
      <c r="J668">
        <v>60030526</v>
      </c>
      <c r="K668" t="s">
        <v>1784</v>
      </c>
      <c r="L668" t="s">
        <v>466</v>
      </c>
      <c r="M668" t="s">
        <v>267</v>
      </c>
      <c r="N668">
        <v>4</v>
      </c>
      <c r="O668" t="s">
        <v>3552</v>
      </c>
      <c r="P668" t="s">
        <v>3551</v>
      </c>
      <c r="Q668" t="s">
        <v>3550</v>
      </c>
      <c r="R668" s="7">
        <v>32874</v>
      </c>
      <c r="S668" s="8">
        <f t="shared" si="80"/>
        <v>1990</v>
      </c>
      <c r="T668" s="8">
        <v>1990</v>
      </c>
      <c r="U668" s="8">
        <f t="shared" si="81"/>
        <v>32</v>
      </c>
      <c r="V668" s="7">
        <v>1990</v>
      </c>
      <c r="W668" t="s">
        <v>1380</v>
      </c>
      <c r="X668" s="2">
        <v>0.375</v>
      </c>
      <c r="Y668" s="6">
        <f t="shared" si="86"/>
        <v>1.0010410827260351E-2</v>
      </c>
      <c r="AA668">
        <v>135194</v>
      </c>
      <c r="AB668">
        <v>24918</v>
      </c>
      <c r="AD668" t="s">
        <v>5</v>
      </c>
      <c r="AE668">
        <v>26</v>
      </c>
      <c r="AF668">
        <v>10</v>
      </c>
      <c r="AH668" t="s">
        <v>3549</v>
      </c>
      <c r="AI668" t="s">
        <v>3548</v>
      </c>
      <c r="AJ668" t="s">
        <v>3547</v>
      </c>
      <c r="AK668" t="s">
        <v>3546</v>
      </c>
      <c r="AL668">
        <v>23</v>
      </c>
      <c r="AM668" s="5">
        <f t="shared" si="82"/>
        <v>0.71875</v>
      </c>
      <c r="AN668" s="4">
        <f t="shared" si="87"/>
        <v>1.0886028019689512E-3</v>
      </c>
      <c r="AO668" s="3"/>
      <c r="AP668">
        <v>0</v>
      </c>
      <c r="AR668" t="s">
        <v>0</v>
      </c>
      <c r="AT668" s="2">
        <v>1.3140000000000001</v>
      </c>
      <c r="AU668" s="1">
        <f t="shared" si="83"/>
        <v>0.73338684196729309</v>
      </c>
      <c r="AV668" s="1">
        <f t="shared" si="84"/>
        <v>0.55495068146146509</v>
      </c>
      <c r="AW668" s="1">
        <f t="shared" si="85"/>
        <v>0.37651452095563709</v>
      </c>
    </row>
    <row r="669" spans="1:49" x14ac:dyDescent="0.2">
      <c r="A669">
        <v>667</v>
      </c>
      <c r="B669" t="s">
        <v>3545</v>
      </c>
      <c r="C669" t="s">
        <v>3544</v>
      </c>
      <c r="F669" t="s">
        <v>3543</v>
      </c>
      <c r="G669" t="s">
        <v>14</v>
      </c>
      <c r="H669" t="s">
        <v>13</v>
      </c>
      <c r="I669" t="s">
        <v>3542</v>
      </c>
      <c r="J669">
        <v>60015481</v>
      </c>
      <c r="K669" t="s">
        <v>3541</v>
      </c>
      <c r="L669" t="s">
        <v>3540</v>
      </c>
      <c r="M669" t="s">
        <v>197</v>
      </c>
      <c r="N669">
        <v>3</v>
      </c>
      <c r="O669" t="s">
        <v>3539</v>
      </c>
      <c r="P669" t="s">
        <v>3538</v>
      </c>
      <c r="Q669" t="s">
        <v>3537</v>
      </c>
      <c r="R669" s="7">
        <v>32874</v>
      </c>
      <c r="S669" s="8">
        <f t="shared" si="80"/>
        <v>1990</v>
      </c>
      <c r="T669" s="8">
        <v>1990</v>
      </c>
      <c r="U669" s="8">
        <f t="shared" si="81"/>
        <v>32</v>
      </c>
      <c r="V669" s="7">
        <v>32994</v>
      </c>
      <c r="W669" t="s">
        <v>2249</v>
      </c>
      <c r="X669" s="2">
        <v>1.6519999999999999</v>
      </c>
      <c r="Y669" s="6">
        <f t="shared" si="86"/>
        <v>4.409919649769093E-2</v>
      </c>
      <c r="AA669" t="s">
        <v>2248</v>
      </c>
      <c r="AB669">
        <v>17337</v>
      </c>
      <c r="AC669">
        <v>15582221</v>
      </c>
      <c r="AD669" t="s">
        <v>5</v>
      </c>
      <c r="AE669">
        <v>38</v>
      </c>
      <c r="AF669">
        <v>5</v>
      </c>
      <c r="AH669" t="s">
        <v>3536</v>
      </c>
      <c r="AI669" t="s">
        <v>3535</v>
      </c>
      <c r="AK669" t="s">
        <v>3534</v>
      </c>
      <c r="AL669">
        <v>1</v>
      </c>
      <c r="AM669" s="5">
        <f t="shared" si="82"/>
        <v>3.125E-2</v>
      </c>
      <c r="AN669" s="4">
        <f t="shared" si="87"/>
        <v>4.73305566073457E-5</v>
      </c>
      <c r="AO669" s="3"/>
      <c r="AP669">
        <v>0</v>
      </c>
      <c r="AR669" t="s">
        <v>0</v>
      </c>
      <c r="AT669" s="2" t="s">
        <v>126</v>
      </c>
      <c r="AU669" s="1">
        <f t="shared" si="83"/>
        <v>3.0883636715365856</v>
      </c>
      <c r="AV669" s="1">
        <f t="shared" si="84"/>
        <v>2.2073263527149138</v>
      </c>
      <c r="AW669" s="1">
        <f t="shared" si="85"/>
        <v>1.326289033893242</v>
      </c>
    </row>
    <row r="670" spans="1:49" x14ac:dyDescent="0.2">
      <c r="A670">
        <v>668</v>
      </c>
      <c r="B670" t="s">
        <v>3533</v>
      </c>
      <c r="C670" t="s">
        <v>3532</v>
      </c>
      <c r="F670" t="s">
        <v>3531</v>
      </c>
      <c r="G670" t="s">
        <v>14</v>
      </c>
      <c r="H670" t="s">
        <v>13</v>
      </c>
      <c r="I670" t="s">
        <v>3530</v>
      </c>
      <c r="J670" t="s">
        <v>3529</v>
      </c>
      <c r="K670" t="s">
        <v>3528</v>
      </c>
      <c r="L670" t="s">
        <v>3527</v>
      </c>
      <c r="M670" t="s">
        <v>1702</v>
      </c>
      <c r="N670">
        <v>2</v>
      </c>
      <c r="O670" t="s">
        <v>3526</v>
      </c>
      <c r="P670" t="s">
        <v>3525</v>
      </c>
      <c r="Q670" t="s">
        <v>3524</v>
      </c>
      <c r="R670" s="7">
        <v>32874</v>
      </c>
      <c r="S670" s="8">
        <f t="shared" si="80"/>
        <v>1990</v>
      </c>
      <c r="T670" s="8">
        <v>1990</v>
      </c>
      <c r="U670" s="8">
        <f t="shared" si="81"/>
        <v>32</v>
      </c>
      <c r="V670" s="7">
        <v>32994</v>
      </c>
      <c r="W670" t="s">
        <v>1309</v>
      </c>
      <c r="X670" s="2">
        <v>1.3720000000000001</v>
      </c>
      <c r="Y670" s="6">
        <f t="shared" si="86"/>
        <v>3.662475641333654E-2</v>
      </c>
      <c r="AA670">
        <v>189480</v>
      </c>
      <c r="AB670">
        <v>17366</v>
      </c>
      <c r="AC670">
        <v>15579670</v>
      </c>
      <c r="AD670" t="s">
        <v>5</v>
      </c>
      <c r="AE670">
        <v>38</v>
      </c>
      <c r="AF670">
        <v>5</v>
      </c>
      <c r="AH670" t="s">
        <v>3523</v>
      </c>
      <c r="AI670" t="s">
        <v>3522</v>
      </c>
      <c r="AK670" t="s">
        <v>3521</v>
      </c>
      <c r="AL670">
        <v>25</v>
      </c>
      <c r="AM670" s="5">
        <f t="shared" si="82"/>
        <v>0.78125</v>
      </c>
      <c r="AN670" s="4">
        <f t="shared" si="87"/>
        <v>1.1832639151836426E-3</v>
      </c>
      <c r="AO670" s="3"/>
      <c r="AP670">
        <v>0</v>
      </c>
      <c r="AR670" t="s">
        <v>0</v>
      </c>
      <c r="AT670" s="2" t="s">
        <v>126</v>
      </c>
      <c r="AU670" s="1">
        <f t="shared" si="83"/>
        <v>2.5992308663890671</v>
      </c>
      <c r="AV670" s="1">
        <f t="shared" si="84"/>
        <v>1.890401016426009</v>
      </c>
      <c r="AW670" s="1">
        <f t="shared" si="85"/>
        <v>1.1815711664629513</v>
      </c>
    </row>
    <row r="671" spans="1:49" x14ac:dyDescent="0.2">
      <c r="A671">
        <v>669</v>
      </c>
      <c r="B671" t="s">
        <v>3520</v>
      </c>
      <c r="C671" t="s">
        <v>3519</v>
      </c>
      <c r="F671" t="s">
        <v>3518</v>
      </c>
      <c r="G671" t="s">
        <v>14</v>
      </c>
      <c r="H671" t="s">
        <v>13</v>
      </c>
      <c r="I671" t="s">
        <v>3517</v>
      </c>
      <c r="J671">
        <v>60012564</v>
      </c>
      <c r="K671" t="s">
        <v>3516</v>
      </c>
      <c r="L671" t="s">
        <v>3515</v>
      </c>
      <c r="M671" t="s">
        <v>197</v>
      </c>
      <c r="N671">
        <v>2</v>
      </c>
      <c r="O671" t="s">
        <v>3514</v>
      </c>
      <c r="P671" t="s">
        <v>3513</v>
      </c>
      <c r="Q671" t="s">
        <v>3512</v>
      </c>
      <c r="R671" s="7">
        <v>32874</v>
      </c>
      <c r="S671" s="8">
        <f t="shared" si="80"/>
        <v>1990</v>
      </c>
      <c r="T671" s="8">
        <v>1990</v>
      </c>
      <c r="U671" s="8">
        <f t="shared" si="81"/>
        <v>32</v>
      </c>
      <c r="V671" s="7">
        <v>32994</v>
      </c>
      <c r="W671" t="s">
        <v>1309</v>
      </c>
      <c r="X671" s="2">
        <v>1.3720000000000001</v>
      </c>
      <c r="Y671" s="6">
        <f t="shared" si="86"/>
        <v>3.662475641333654E-2</v>
      </c>
      <c r="AA671">
        <v>189480</v>
      </c>
      <c r="AB671">
        <v>17366</v>
      </c>
      <c r="AC671">
        <v>15579670</v>
      </c>
      <c r="AD671" t="s">
        <v>5</v>
      </c>
      <c r="AE671">
        <v>38</v>
      </c>
      <c r="AF671">
        <v>5</v>
      </c>
      <c r="AH671" t="s">
        <v>3511</v>
      </c>
      <c r="AI671" t="s">
        <v>3510</v>
      </c>
      <c r="AK671" t="s">
        <v>3509</v>
      </c>
      <c r="AL671">
        <v>14</v>
      </c>
      <c r="AM671" s="5">
        <f t="shared" si="82"/>
        <v>0.4375</v>
      </c>
      <c r="AN671" s="4">
        <f t="shared" si="87"/>
        <v>6.6262779250283988E-4</v>
      </c>
      <c r="AO671" s="3"/>
      <c r="AP671">
        <v>0</v>
      </c>
      <c r="AR671" t="s">
        <v>0</v>
      </c>
      <c r="AT671" s="2" t="s">
        <v>126</v>
      </c>
      <c r="AU671" s="1">
        <f t="shared" si="83"/>
        <v>2.5836117827086431</v>
      </c>
      <c r="AV671" s="1">
        <f t="shared" si="84"/>
        <v>1.8643692102919691</v>
      </c>
      <c r="AW671" s="1">
        <f t="shared" si="85"/>
        <v>1.1451266378752951</v>
      </c>
    </row>
    <row r="672" spans="1:49" x14ac:dyDescent="0.2">
      <c r="A672">
        <v>670</v>
      </c>
      <c r="B672" t="s">
        <v>3508</v>
      </c>
      <c r="C672" t="s">
        <v>3507</v>
      </c>
      <c r="F672" t="s">
        <v>3506</v>
      </c>
      <c r="G672" t="s">
        <v>14</v>
      </c>
      <c r="H672" t="s">
        <v>13</v>
      </c>
      <c r="I672" t="s">
        <v>3505</v>
      </c>
      <c r="J672" t="s">
        <v>3504</v>
      </c>
      <c r="K672" t="s">
        <v>3503</v>
      </c>
      <c r="L672" t="s">
        <v>3502</v>
      </c>
      <c r="M672" t="s">
        <v>1972</v>
      </c>
      <c r="N672">
        <v>4</v>
      </c>
      <c r="O672" t="s">
        <v>3501</v>
      </c>
      <c r="P672" t="s">
        <v>3500</v>
      </c>
      <c r="Q672" t="s">
        <v>3499</v>
      </c>
      <c r="R672" s="7">
        <v>32874</v>
      </c>
      <c r="S672" s="8">
        <f t="shared" si="80"/>
        <v>1990</v>
      </c>
      <c r="T672" s="8">
        <v>1990</v>
      </c>
      <c r="U672" s="8">
        <f t="shared" si="81"/>
        <v>32</v>
      </c>
      <c r="V672" s="7">
        <v>32994</v>
      </c>
      <c r="W672" t="s">
        <v>2288</v>
      </c>
      <c r="X672" s="2">
        <v>0.111</v>
      </c>
      <c r="Y672" s="6">
        <f t="shared" si="86"/>
        <v>2.9630816048690639E-3</v>
      </c>
      <c r="AA672">
        <v>87566621</v>
      </c>
      <c r="AB672">
        <v>24890</v>
      </c>
      <c r="AC672">
        <v>15206424</v>
      </c>
      <c r="AD672" t="s">
        <v>5</v>
      </c>
      <c r="AE672">
        <v>73</v>
      </c>
      <c r="AF672">
        <v>5</v>
      </c>
      <c r="AH672" t="s">
        <v>3498</v>
      </c>
      <c r="AI672" t="s">
        <v>3497</v>
      </c>
      <c r="AK672" t="s">
        <v>3496</v>
      </c>
      <c r="AL672">
        <v>0</v>
      </c>
      <c r="AM672" s="5">
        <f t="shared" si="82"/>
        <v>0</v>
      </c>
      <c r="AN672" s="4">
        <f t="shared" si="87"/>
        <v>0</v>
      </c>
      <c r="AO672" s="3"/>
      <c r="AP672">
        <v>0</v>
      </c>
      <c r="AR672" t="s">
        <v>0</v>
      </c>
      <c r="AT672" s="2" t="s">
        <v>126</v>
      </c>
      <c r="AU672" s="1">
        <f t="shared" si="83"/>
        <v>0.20741571234083445</v>
      </c>
      <c r="AV672" s="1">
        <f t="shared" si="84"/>
        <v>0.1481540802434532</v>
      </c>
      <c r="AW672" s="1">
        <f t="shared" si="85"/>
        <v>8.8892448146071903E-2</v>
      </c>
    </row>
    <row r="673" spans="1:49" x14ac:dyDescent="0.2">
      <c r="A673">
        <v>671</v>
      </c>
      <c r="B673" t="s">
        <v>3495</v>
      </c>
      <c r="C673" t="s">
        <v>3494</v>
      </c>
      <c r="F673" t="s">
        <v>3493</v>
      </c>
      <c r="G673" t="s">
        <v>14</v>
      </c>
      <c r="H673" t="s">
        <v>13</v>
      </c>
      <c r="I673" t="s">
        <v>3492</v>
      </c>
      <c r="J673">
        <v>60001881</v>
      </c>
      <c r="K673" t="s">
        <v>3491</v>
      </c>
      <c r="L673" t="s">
        <v>3490</v>
      </c>
      <c r="M673" t="s">
        <v>253</v>
      </c>
      <c r="N673">
        <v>4</v>
      </c>
      <c r="O673" t="s">
        <v>3489</v>
      </c>
      <c r="P673" t="s">
        <v>3488</v>
      </c>
      <c r="Q673" t="s">
        <v>3487</v>
      </c>
      <c r="R673" s="7">
        <v>32874</v>
      </c>
      <c r="S673" s="8">
        <f t="shared" si="80"/>
        <v>1990</v>
      </c>
      <c r="T673" s="8">
        <v>1990</v>
      </c>
      <c r="U673" s="8">
        <f t="shared" si="81"/>
        <v>32</v>
      </c>
      <c r="V673" s="7">
        <v>1990</v>
      </c>
      <c r="W673" t="s">
        <v>1380</v>
      </c>
      <c r="X673" s="2">
        <v>0.375</v>
      </c>
      <c r="Y673" s="6">
        <f t="shared" si="86"/>
        <v>1.0010410827260351E-2</v>
      </c>
      <c r="AA673">
        <v>135194</v>
      </c>
      <c r="AB673">
        <v>24918</v>
      </c>
      <c r="AD673" t="s">
        <v>5</v>
      </c>
      <c r="AE673">
        <v>26</v>
      </c>
      <c r="AF673">
        <v>10</v>
      </c>
      <c r="AH673" t="s">
        <v>3486</v>
      </c>
      <c r="AI673" t="s">
        <v>3485</v>
      </c>
      <c r="AJ673" t="s">
        <v>3484</v>
      </c>
      <c r="AK673" t="s">
        <v>3483</v>
      </c>
      <c r="AL673">
        <v>9</v>
      </c>
      <c r="AM673" s="5">
        <f t="shared" si="82"/>
        <v>0.28125</v>
      </c>
      <c r="AN673" s="4">
        <f t="shared" si="87"/>
        <v>4.2597500946611131E-4</v>
      </c>
      <c r="AO673" s="3"/>
      <c r="AP673">
        <v>0</v>
      </c>
      <c r="AR673" t="s">
        <v>0</v>
      </c>
      <c r="AT673" s="2">
        <v>1.3140000000000001</v>
      </c>
      <c r="AU673" s="1">
        <f t="shared" si="83"/>
        <v>0.71350800819220783</v>
      </c>
      <c r="AV673" s="1">
        <f t="shared" si="84"/>
        <v>0.52181929183632314</v>
      </c>
      <c r="AW673" s="1">
        <f t="shared" si="85"/>
        <v>0.33013057548043834</v>
      </c>
    </row>
    <row r="674" spans="1:49" x14ac:dyDescent="0.2">
      <c r="A674">
        <v>672</v>
      </c>
      <c r="B674" t="s">
        <v>3482</v>
      </c>
      <c r="C674" t="s">
        <v>3481</v>
      </c>
      <c r="F674" t="s">
        <v>3480</v>
      </c>
      <c r="G674" t="s">
        <v>14</v>
      </c>
      <c r="H674" t="s">
        <v>13</v>
      </c>
      <c r="I674" t="s">
        <v>3479</v>
      </c>
      <c r="J674">
        <v>60003537</v>
      </c>
      <c r="K674" t="s">
        <v>3478</v>
      </c>
      <c r="L674" t="s">
        <v>3477</v>
      </c>
      <c r="M674" t="s">
        <v>197</v>
      </c>
      <c r="N674">
        <v>4</v>
      </c>
      <c r="O674" t="s">
        <v>3476</v>
      </c>
      <c r="P674" t="s">
        <v>3475</v>
      </c>
      <c r="Q674" t="s">
        <v>3474</v>
      </c>
      <c r="R674" s="7">
        <v>32874</v>
      </c>
      <c r="S674" s="8">
        <f t="shared" si="80"/>
        <v>1990</v>
      </c>
      <c r="T674" s="8">
        <v>1990</v>
      </c>
      <c r="U674" s="8">
        <f t="shared" si="81"/>
        <v>32</v>
      </c>
      <c r="V674" s="7">
        <v>32994</v>
      </c>
      <c r="W674" t="s">
        <v>2348</v>
      </c>
      <c r="X674" s="2">
        <v>0.82799999999999996</v>
      </c>
      <c r="Y674" s="6">
        <f t="shared" si="86"/>
        <v>2.2102987106590855E-2</v>
      </c>
      <c r="AA674">
        <v>189383</v>
      </c>
      <c r="AB674">
        <v>26052</v>
      </c>
      <c r="AC674">
        <v>15579646</v>
      </c>
      <c r="AD674" t="s">
        <v>5</v>
      </c>
      <c r="AE674">
        <v>37</v>
      </c>
      <c r="AF674">
        <v>5</v>
      </c>
      <c r="AH674" t="s">
        <v>3473</v>
      </c>
      <c r="AI674" t="s">
        <v>3472</v>
      </c>
      <c r="AK674" t="s">
        <v>3471</v>
      </c>
      <c r="AL674">
        <v>2</v>
      </c>
      <c r="AM674" s="5">
        <f t="shared" si="82"/>
        <v>6.25E-2</v>
      </c>
      <c r="AN674" s="4">
        <f t="shared" si="87"/>
        <v>9.46611132146914E-5</v>
      </c>
      <c r="AO674" s="3"/>
      <c r="AP674">
        <v>0</v>
      </c>
      <c r="AQ674" t="s">
        <v>3470</v>
      </c>
      <c r="AR674" t="s">
        <v>3469</v>
      </c>
      <c r="AS674" t="s">
        <v>3468</v>
      </c>
      <c r="AT674" s="2">
        <v>2.9169999999999998</v>
      </c>
      <c r="AU674" s="1">
        <f t="shared" si="83"/>
        <v>1.5500489308578005</v>
      </c>
      <c r="AV674" s="1">
        <f t="shared" si="84"/>
        <v>1.1098824109902772</v>
      </c>
      <c r="AW674" s="1">
        <f t="shared" si="85"/>
        <v>0.66971589112275409</v>
      </c>
    </row>
    <row r="675" spans="1:49" x14ac:dyDescent="0.2">
      <c r="A675">
        <v>673</v>
      </c>
      <c r="B675" t="s">
        <v>3467</v>
      </c>
      <c r="C675" t="s">
        <v>3466</v>
      </c>
      <c r="F675" t="s">
        <v>3465</v>
      </c>
      <c r="G675" t="s">
        <v>14</v>
      </c>
      <c r="H675" t="s">
        <v>13</v>
      </c>
      <c r="I675" t="s">
        <v>3464</v>
      </c>
      <c r="N675">
        <v>1</v>
      </c>
      <c r="O675" t="s">
        <v>3463</v>
      </c>
      <c r="P675">
        <v>57225314482</v>
      </c>
      <c r="R675" s="7">
        <v>32874</v>
      </c>
      <c r="S675" s="8">
        <f t="shared" si="80"/>
        <v>1990</v>
      </c>
      <c r="T675" s="8">
        <v>1990</v>
      </c>
      <c r="U675" s="8">
        <f t="shared" si="81"/>
        <v>32</v>
      </c>
      <c r="V675" s="7">
        <v>32994</v>
      </c>
      <c r="W675" t="s">
        <v>1524</v>
      </c>
      <c r="X675" s="2">
        <v>0.39600000000000002</v>
      </c>
      <c r="Y675" s="6">
        <f t="shared" si="86"/>
        <v>1.0570993833586931E-2</v>
      </c>
      <c r="AA675">
        <v>8858985</v>
      </c>
      <c r="AB675">
        <v>25993</v>
      </c>
      <c r="AD675" t="s">
        <v>5</v>
      </c>
      <c r="AE675">
        <v>5</v>
      </c>
      <c r="AF675">
        <v>5</v>
      </c>
      <c r="AH675" t="s">
        <v>3462</v>
      </c>
      <c r="AL675">
        <v>0</v>
      </c>
      <c r="AM675" s="5">
        <f t="shared" si="82"/>
        <v>0</v>
      </c>
      <c r="AN675" s="4">
        <f t="shared" si="87"/>
        <v>0</v>
      </c>
      <c r="AO675" s="3"/>
      <c r="AP675">
        <v>0</v>
      </c>
      <c r="AR675" t="s">
        <v>0</v>
      </c>
      <c r="AT675" s="2" t="s">
        <v>126</v>
      </c>
      <c r="AU675" s="1">
        <f t="shared" si="83"/>
        <v>0.73996956835108518</v>
      </c>
      <c r="AV675" s="1">
        <f t="shared" si="84"/>
        <v>0.52854969167934651</v>
      </c>
      <c r="AW675" s="1">
        <f t="shared" si="85"/>
        <v>0.3171298150076079</v>
      </c>
    </row>
    <row r="676" spans="1:49" x14ac:dyDescent="0.2">
      <c r="A676">
        <v>674</v>
      </c>
      <c r="B676" t="s">
        <v>3461</v>
      </c>
      <c r="C676" t="s">
        <v>3460</v>
      </c>
      <c r="F676" t="s">
        <v>3459</v>
      </c>
      <c r="G676" t="s">
        <v>14</v>
      </c>
      <c r="H676" t="s">
        <v>13</v>
      </c>
      <c r="I676" t="s">
        <v>3458</v>
      </c>
      <c r="J676">
        <v>60026415</v>
      </c>
      <c r="K676" t="s">
        <v>308</v>
      </c>
      <c r="L676" t="s">
        <v>307</v>
      </c>
      <c r="M676" t="s">
        <v>197</v>
      </c>
      <c r="N676">
        <v>2</v>
      </c>
      <c r="O676" t="s">
        <v>3457</v>
      </c>
      <c r="P676" t="s">
        <v>3456</v>
      </c>
      <c r="Q676" t="s">
        <v>304</v>
      </c>
      <c r="R676" s="7">
        <v>32874</v>
      </c>
      <c r="S676" s="8">
        <f t="shared" si="80"/>
        <v>1990</v>
      </c>
      <c r="T676" s="8">
        <v>1990</v>
      </c>
      <c r="U676" s="8">
        <f t="shared" si="81"/>
        <v>32</v>
      </c>
      <c r="V676" s="7">
        <v>32994</v>
      </c>
      <c r="W676" t="s">
        <v>2249</v>
      </c>
      <c r="X676" s="2">
        <v>1.6519999999999999</v>
      </c>
      <c r="Y676" s="6">
        <f t="shared" si="86"/>
        <v>4.409919649769093E-2</v>
      </c>
      <c r="AA676" t="s">
        <v>2248</v>
      </c>
      <c r="AB676">
        <v>17337</v>
      </c>
      <c r="AC676">
        <v>15582221</v>
      </c>
      <c r="AD676" t="s">
        <v>5</v>
      </c>
      <c r="AE676">
        <v>38</v>
      </c>
      <c r="AF676">
        <v>5</v>
      </c>
      <c r="AH676" t="s">
        <v>3455</v>
      </c>
      <c r="AI676" t="s">
        <v>3454</v>
      </c>
      <c r="AK676" t="s">
        <v>3453</v>
      </c>
      <c r="AL676">
        <v>1</v>
      </c>
      <c r="AM676" s="5">
        <f t="shared" si="82"/>
        <v>3.125E-2</v>
      </c>
      <c r="AN676" s="4">
        <f t="shared" si="87"/>
        <v>4.73305566073457E-5</v>
      </c>
      <c r="AO676" s="3"/>
      <c r="AP676">
        <v>0</v>
      </c>
      <c r="AR676" t="s">
        <v>0</v>
      </c>
      <c r="AT676" s="2" t="s">
        <v>126</v>
      </c>
      <c r="AU676" s="1">
        <f t="shared" si="83"/>
        <v>3.0883636715365856</v>
      </c>
      <c r="AV676" s="1">
        <f t="shared" si="84"/>
        <v>2.2073263527149138</v>
      </c>
      <c r="AW676" s="1">
        <f t="shared" si="85"/>
        <v>1.326289033893242</v>
      </c>
    </row>
    <row r="677" spans="1:49" x14ac:dyDescent="0.2">
      <c r="A677">
        <v>675</v>
      </c>
      <c r="B677" t="s">
        <v>3452</v>
      </c>
      <c r="C677" t="s">
        <v>3451</v>
      </c>
      <c r="F677" t="s">
        <v>3450</v>
      </c>
      <c r="G677" t="s">
        <v>14</v>
      </c>
      <c r="H677" t="s">
        <v>13</v>
      </c>
      <c r="I677" t="s">
        <v>3449</v>
      </c>
      <c r="J677">
        <v>60027960</v>
      </c>
      <c r="K677" t="s">
        <v>3448</v>
      </c>
      <c r="L677" t="s">
        <v>3447</v>
      </c>
      <c r="M677" t="s">
        <v>197</v>
      </c>
      <c r="N677">
        <v>1</v>
      </c>
      <c r="O677" t="s">
        <v>3446</v>
      </c>
      <c r="P677">
        <v>7004854698</v>
      </c>
      <c r="Q677">
        <v>60027960</v>
      </c>
      <c r="R677" s="7">
        <v>32874</v>
      </c>
      <c r="S677" s="8">
        <f t="shared" si="80"/>
        <v>1990</v>
      </c>
      <c r="T677" s="8">
        <v>1990</v>
      </c>
      <c r="U677" s="8">
        <f t="shared" si="81"/>
        <v>32</v>
      </c>
      <c r="V677" s="7">
        <v>32994</v>
      </c>
      <c r="W677" t="s">
        <v>2249</v>
      </c>
      <c r="X677" s="2">
        <v>1.6519999999999999</v>
      </c>
      <c r="Y677" s="6">
        <f t="shared" si="86"/>
        <v>4.409919649769093E-2</v>
      </c>
      <c r="AA677" t="s">
        <v>2248</v>
      </c>
      <c r="AB677">
        <v>17337</v>
      </c>
      <c r="AC677">
        <v>15582221</v>
      </c>
      <c r="AD677" t="s">
        <v>5</v>
      </c>
      <c r="AE677">
        <v>38</v>
      </c>
      <c r="AF677">
        <v>5</v>
      </c>
      <c r="AH677" t="s">
        <v>3445</v>
      </c>
      <c r="AI677" t="s">
        <v>3444</v>
      </c>
      <c r="AK677" t="s">
        <v>3443</v>
      </c>
      <c r="AL677">
        <v>8</v>
      </c>
      <c r="AM677" s="5">
        <f t="shared" si="82"/>
        <v>0.25</v>
      </c>
      <c r="AN677" s="4">
        <f t="shared" si="87"/>
        <v>3.786444528587656E-4</v>
      </c>
      <c r="AO677" s="3"/>
      <c r="AP677">
        <v>0</v>
      </c>
      <c r="AR677" t="s">
        <v>0</v>
      </c>
      <c r="AT677" s="2" t="s">
        <v>126</v>
      </c>
      <c r="AU677" s="1">
        <f t="shared" si="83"/>
        <v>3.098303088424128</v>
      </c>
      <c r="AV677" s="1">
        <f t="shared" si="84"/>
        <v>2.2238920475274848</v>
      </c>
      <c r="AW677" s="1">
        <f t="shared" si="85"/>
        <v>1.3494810066308416</v>
      </c>
    </row>
    <row r="678" spans="1:49" x14ac:dyDescent="0.2">
      <c r="A678">
        <v>676</v>
      </c>
      <c r="B678" t="s">
        <v>3442</v>
      </c>
      <c r="C678" t="s">
        <v>3441</v>
      </c>
      <c r="F678" t="s">
        <v>3440</v>
      </c>
      <c r="G678" t="s">
        <v>14</v>
      </c>
      <c r="H678" t="s">
        <v>13</v>
      </c>
      <c r="I678" t="s">
        <v>3439</v>
      </c>
      <c r="J678">
        <v>60027550</v>
      </c>
      <c r="K678" t="s">
        <v>3438</v>
      </c>
      <c r="L678" t="s">
        <v>280</v>
      </c>
      <c r="M678" t="s">
        <v>197</v>
      </c>
      <c r="N678">
        <v>2</v>
      </c>
      <c r="O678" t="s">
        <v>3437</v>
      </c>
      <c r="P678" t="s">
        <v>3436</v>
      </c>
      <c r="Q678" t="s">
        <v>3435</v>
      </c>
      <c r="R678" s="7">
        <v>32874</v>
      </c>
      <c r="S678" s="8">
        <f t="shared" si="80"/>
        <v>1990</v>
      </c>
      <c r="T678" s="8">
        <v>1990</v>
      </c>
      <c r="U678" s="8">
        <f t="shared" si="81"/>
        <v>32</v>
      </c>
      <c r="V678" s="7">
        <v>1990</v>
      </c>
      <c r="W678" t="s">
        <v>1380</v>
      </c>
      <c r="X678" s="2">
        <v>0.375</v>
      </c>
      <c r="Y678" s="6">
        <f t="shared" si="86"/>
        <v>1.0010410827260351E-2</v>
      </c>
      <c r="AA678">
        <v>135194</v>
      </c>
      <c r="AB678">
        <v>24918</v>
      </c>
      <c r="AD678" t="s">
        <v>5</v>
      </c>
      <c r="AE678">
        <v>26</v>
      </c>
      <c r="AF678">
        <v>11</v>
      </c>
      <c r="AH678" t="s">
        <v>3434</v>
      </c>
      <c r="AI678" t="s">
        <v>3433</v>
      </c>
      <c r="AJ678" t="s">
        <v>3432</v>
      </c>
      <c r="AK678" t="s">
        <v>3431</v>
      </c>
      <c r="AL678">
        <v>1</v>
      </c>
      <c r="AM678" s="5">
        <f t="shared" si="82"/>
        <v>3.125E-2</v>
      </c>
      <c r="AN678" s="4">
        <f t="shared" si="87"/>
        <v>4.73305566073457E-5</v>
      </c>
      <c r="AO678" s="3"/>
      <c r="AP678">
        <v>0</v>
      </c>
      <c r="AR678" t="s">
        <v>0</v>
      </c>
      <c r="AT678" s="2">
        <v>1.3140000000000001</v>
      </c>
      <c r="AU678" s="1">
        <f t="shared" si="83"/>
        <v>0.70214867460644492</v>
      </c>
      <c r="AV678" s="1">
        <f t="shared" si="84"/>
        <v>0.50288706919338488</v>
      </c>
      <c r="AW678" s="1">
        <f t="shared" si="85"/>
        <v>0.30362546378032473</v>
      </c>
    </row>
    <row r="679" spans="1:49" x14ac:dyDescent="0.2">
      <c r="A679">
        <v>677</v>
      </c>
      <c r="B679" t="s">
        <v>3430</v>
      </c>
      <c r="C679" t="s">
        <v>3429</v>
      </c>
      <c r="F679" t="s">
        <v>3428</v>
      </c>
      <c r="G679" t="s">
        <v>14</v>
      </c>
      <c r="H679" t="s">
        <v>13</v>
      </c>
      <c r="I679" t="s">
        <v>3427</v>
      </c>
      <c r="J679">
        <v>60032144</v>
      </c>
      <c r="K679" t="s">
        <v>3426</v>
      </c>
      <c r="L679" t="s">
        <v>3425</v>
      </c>
      <c r="M679" t="s">
        <v>3424</v>
      </c>
      <c r="N679">
        <v>2</v>
      </c>
      <c r="O679" t="s">
        <v>3423</v>
      </c>
      <c r="P679" t="s">
        <v>3422</v>
      </c>
      <c r="Q679" t="s">
        <v>3421</v>
      </c>
      <c r="R679" s="7">
        <v>32874</v>
      </c>
      <c r="S679" s="8">
        <f t="shared" si="80"/>
        <v>1990</v>
      </c>
      <c r="T679" s="8">
        <v>1990</v>
      </c>
      <c r="U679" s="8">
        <f t="shared" si="81"/>
        <v>32</v>
      </c>
      <c r="V679" s="7">
        <v>1990</v>
      </c>
      <c r="W679" t="s">
        <v>1380</v>
      </c>
      <c r="X679" s="2">
        <v>0.375</v>
      </c>
      <c r="Y679" s="6">
        <f t="shared" si="86"/>
        <v>1.0010410827260351E-2</v>
      </c>
      <c r="AA679">
        <v>135194</v>
      </c>
      <c r="AB679">
        <v>24918</v>
      </c>
      <c r="AD679" t="s">
        <v>5</v>
      </c>
      <c r="AE679">
        <v>26</v>
      </c>
      <c r="AF679">
        <v>10</v>
      </c>
      <c r="AH679" t="s">
        <v>3420</v>
      </c>
      <c r="AI679" t="s">
        <v>3419</v>
      </c>
      <c r="AJ679" t="s">
        <v>3418</v>
      </c>
      <c r="AK679" t="s">
        <v>3417</v>
      </c>
      <c r="AL679">
        <v>10</v>
      </c>
      <c r="AM679" s="5">
        <f t="shared" si="82"/>
        <v>0.3125</v>
      </c>
      <c r="AN679" s="4">
        <f t="shared" si="87"/>
        <v>4.7330556607345703E-4</v>
      </c>
      <c r="AO679" s="3"/>
      <c r="AP679">
        <v>0</v>
      </c>
      <c r="AR679" t="s">
        <v>0</v>
      </c>
      <c r="AT679" s="2">
        <v>1.3140000000000001</v>
      </c>
      <c r="AU679" s="1">
        <f t="shared" si="83"/>
        <v>0.71492792489042833</v>
      </c>
      <c r="AV679" s="1">
        <f t="shared" si="84"/>
        <v>0.52418581966669042</v>
      </c>
      <c r="AW679" s="1">
        <f t="shared" si="85"/>
        <v>0.33344371444295251</v>
      </c>
    </row>
    <row r="680" spans="1:49" x14ac:dyDescent="0.2">
      <c r="A680">
        <v>678</v>
      </c>
      <c r="B680" t="s">
        <v>3416</v>
      </c>
      <c r="C680" t="s">
        <v>3415</v>
      </c>
      <c r="F680" t="s">
        <v>3414</v>
      </c>
      <c r="G680" t="s">
        <v>14</v>
      </c>
      <c r="H680" t="s">
        <v>13</v>
      </c>
      <c r="I680" t="s">
        <v>3413</v>
      </c>
      <c r="J680" t="s">
        <v>3412</v>
      </c>
      <c r="K680" t="s">
        <v>3411</v>
      </c>
      <c r="L680" t="s">
        <v>3410</v>
      </c>
      <c r="M680" t="s">
        <v>1972</v>
      </c>
      <c r="N680">
        <v>5</v>
      </c>
      <c r="O680" t="s">
        <v>3409</v>
      </c>
      <c r="P680" t="s">
        <v>3408</v>
      </c>
      <c r="Q680" t="s">
        <v>3407</v>
      </c>
      <c r="R680" s="7">
        <v>32874</v>
      </c>
      <c r="S680" s="8">
        <f t="shared" si="80"/>
        <v>1990</v>
      </c>
      <c r="T680" s="8">
        <v>1990</v>
      </c>
      <c r="U680" s="8">
        <f t="shared" si="81"/>
        <v>32</v>
      </c>
      <c r="V680" s="7">
        <v>32994</v>
      </c>
      <c r="W680" t="s">
        <v>1883</v>
      </c>
      <c r="X680" s="2">
        <v>1.365</v>
      </c>
      <c r="Y680" s="6">
        <f t="shared" si="86"/>
        <v>3.6437895411227675E-2</v>
      </c>
      <c r="AA680">
        <v>189545</v>
      </c>
      <c r="AB680">
        <v>17393</v>
      </c>
      <c r="AC680">
        <v>19399359</v>
      </c>
      <c r="AD680" t="s">
        <v>5</v>
      </c>
      <c r="AE680">
        <v>39</v>
      </c>
      <c r="AF680">
        <v>2</v>
      </c>
      <c r="AH680" t="s">
        <v>3406</v>
      </c>
      <c r="AI680" t="s">
        <v>3405</v>
      </c>
      <c r="AK680" t="s">
        <v>3404</v>
      </c>
      <c r="AL680">
        <v>14</v>
      </c>
      <c r="AM680" s="5">
        <f t="shared" si="82"/>
        <v>0.4375</v>
      </c>
      <c r="AN680" s="4">
        <f t="shared" si="87"/>
        <v>6.6262779250283988E-4</v>
      </c>
      <c r="AO680" s="3"/>
      <c r="AP680">
        <v>0</v>
      </c>
      <c r="AR680" t="s">
        <v>0</v>
      </c>
      <c r="AT680" s="2" t="s">
        <v>126</v>
      </c>
      <c r="AU680" s="1">
        <f t="shared" si="83"/>
        <v>2.5705315125610224</v>
      </c>
      <c r="AV680" s="1">
        <f t="shared" si="84"/>
        <v>1.8550261601865257</v>
      </c>
      <c r="AW680" s="1">
        <f t="shared" si="85"/>
        <v>1.1395208078120289</v>
      </c>
    </row>
    <row r="681" spans="1:49" x14ac:dyDescent="0.2">
      <c r="A681">
        <v>679</v>
      </c>
      <c r="B681" t="s">
        <v>3403</v>
      </c>
      <c r="C681" t="s">
        <v>3402</v>
      </c>
      <c r="F681" t="s">
        <v>3401</v>
      </c>
      <c r="G681" t="s">
        <v>14</v>
      </c>
      <c r="H681" t="s">
        <v>13</v>
      </c>
      <c r="I681" t="s">
        <v>3400</v>
      </c>
      <c r="J681" t="s">
        <v>3399</v>
      </c>
      <c r="K681" t="s">
        <v>3398</v>
      </c>
      <c r="L681" t="s">
        <v>3397</v>
      </c>
      <c r="M681" t="s">
        <v>84</v>
      </c>
      <c r="N681">
        <v>3</v>
      </c>
      <c r="O681" t="s">
        <v>3396</v>
      </c>
      <c r="P681" t="s">
        <v>3395</v>
      </c>
      <c r="Q681" t="s">
        <v>3394</v>
      </c>
      <c r="R681" s="7">
        <v>32874</v>
      </c>
      <c r="S681" s="8">
        <f t="shared" si="80"/>
        <v>1990</v>
      </c>
      <c r="T681" s="8">
        <v>1990</v>
      </c>
      <c r="U681" s="8">
        <f t="shared" si="81"/>
        <v>32</v>
      </c>
      <c r="V681" s="7">
        <v>32994</v>
      </c>
      <c r="W681" t="s">
        <v>2249</v>
      </c>
      <c r="X681" s="2">
        <v>1.6519999999999999</v>
      </c>
      <c r="Y681" s="6">
        <f t="shared" si="86"/>
        <v>4.409919649769093E-2</v>
      </c>
      <c r="AA681" t="s">
        <v>2248</v>
      </c>
      <c r="AB681">
        <v>17337</v>
      </c>
      <c r="AC681">
        <v>15582221</v>
      </c>
      <c r="AD681" t="s">
        <v>5</v>
      </c>
      <c r="AE681">
        <v>38</v>
      </c>
      <c r="AF681">
        <v>5</v>
      </c>
      <c r="AH681" t="s">
        <v>3393</v>
      </c>
      <c r="AI681" t="s">
        <v>3392</v>
      </c>
      <c r="AK681" t="s">
        <v>3391</v>
      </c>
      <c r="AL681">
        <v>114</v>
      </c>
      <c r="AM681" s="5">
        <f t="shared" si="82"/>
        <v>3.5625</v>
      </c>
      <c r="AN681" s="4">
        <f t="shared" si="87"/>
        <v>5.3956834532374104E-3</v>
      </c>
      <c r="AO681" s="3"/>
      <c r="AP681">
        <v>0</v>
      </c>
      <c r="AR681" t="s">
        <v>0</v>
      </c>
      <c r="AT681" s="2" t="s">
        <v>126</v>
      </c>
      <c r="AU681" s="1">
        <f t="shared" si="83"/>
        <v>3.2488142584354875</v>
      </c>
      <c r="AV681" s="1">
        <f t="shared" si="84"/>
        <v>2.4747439975464172</v>
      </c>
      <c r="AW681" s="1">
        <f t="shared" si="85"/>
        <v>1.7006737366573468</v>
      </c>
    </row>
    <row r="682" spans="1:49" x14ac:dyDescent="0.2">
      <c r="A682">
        <v>680</v>
      </c>
      <c r="B682" t="s">
        <v>3390</v>
      </c>
      <c r="C682" t="s">
        <v>3389</v>
      </c>
      <c r="F682" t="s">
        <v>3388</v>
      </c>
      <c r="G682" t="s">
        <v>14</v>
      </c>
      <c r="H682" t="s">
        <v>13</v>
      </c>
      <c r="I682" t="s">
        <v>3387</v>
      </c>
      <c r="J682">
        <v>60005837</v>
      </c>
      <c r="K682" t="s">
        <v>2977</v>
      </c>
      <c r="L682" t="s">
        <v>640</v>
      </c>
      <c r="M682" t="s">
        <v>197</v>
      </c>
      <c r="N682">
        <v>2</v>
      </c>
      <c r="O682" t="s">
        <v>3386</v>
      </c>
      <c r="P682" t="s">
        <v>3385</v>
      </c>
      <c r="Q682" t="s">
        <v>2974</v>
      </c>
      <c r="R682" s="7">
        <v>32874</v>
      </c>
      <c r="S682" s="8">
        <f t="shared" si="80"/>
        <v>1990</v>
      </c>
      <c r="T682" s="8">
        <v>1990</v>
      </c>
      <c r="U682" s="8">
        <f t="shared" si="81"/>
        <v>32</v>
      </c>
      <c r="V682" s="7">
        <v>32994</v>
      </c>
      <c r="W682" t="s">
        <v>2249</v>
      </c>
      <c r="X682" s="2">
        <v>1.6519999999999999</v>
      </c>
      <c r="Y682" s="6">
        <f t="shared" si="86"/>
        <v>4.409919649769093E-2</v>
      </c>
      <c r="AA682" t="s">
        <v>2248</v>
      </c>
      <c r="AB682">
        <v>17337</v>
      </c>
      <c r="AC682">
        <v>15582221</v>
      </c>
      <c r="AD682" t="s">
        <v>5</v>
      </c>
      <c r="AE682">
        <v>38</v>
      </c>
      <c r="AF682">
        <v>5</v>
      </c>
      <c r="AH682" t="s">
        <v>3384</v>
      </c>
      <c r="AI682" t="s">
        <v>3383</v>
      </c>
      <c r="AK682" t="s">
        <v>3382</v>
      </c>
      <c r="AL682">
        <v>7</v>
      </c>
      <c r="AM682" s="5">
        <f t="shared" si="82"/>
        <v>0.21875</v>
      </c>
      <c r="AN682" s="4">
        <f t="shared" si="87"/>
        <v>3.3131389625141994E-4</v>
      </c>
      <c r="AO682" s="3"/>
      <c r="AP682">
        <v>0</v>
      </c>
      <c r="AR682" t="s">
        <v>0</v>
      </c>
      <c r="AT682" s="2" t="s">
        <v>126</v>
      </c>
      <c r="AU682" s="1">
        <f t="shared" si="83"/>
        <v>3.0968831717259078</v>
      </c>
      <c r="AV682" s="1">
        <f t="shared" si="84"/>
        <v>2.2215255196971175</v>
      </c>
      <c r="AW682" s="1">
        <f t="shared" si="85"/>
        <v>1.3461678676683271</v>
      </c>
    </row>
    <row r="683" spans="1:49" x14ac:dyDescent="0.2">
      <c r="A683">
        <v>681</v>
      </c>
      <c r="B683" t="s">
        <v>3381</v>
      </c>
      <c r="C683" t="s">
        <v>3380</v>
      </c>
      <c r="F683" t="s">
        <v>3379</v>
      </c>
      <c r="G683" t="s">
        <v>14</v>
      </c>
      <c r="H683" t="s">
        <v>13</v>
      </c>
      <c r="I683" t="s">
        <v>2599</v>
      </c>
      <c r="J683" t="s">
        <v>3378</v>
      </c>
      <c r="K683" t="s">
        <v>3377</v>
      </c>
      <c r="L683" t="s">
        <v>3376</v>
      </c>
      <c r="M683" t="s">
        <v>84</v>
      </c>
      <c r="N683">
        <v>3</v>
      </c>
      <c r="O683" t="s">
        <v>3375</v>
      </c>
      <c r="P683" t="s">
        <v>3374</v>
      </c>
      <c r="Q683" t="s">
        <v>3373</v>
      </c>
      <c r="R683" s="7">
        <v>32874</v>
      </c>
      <c r="S683" s="8">
        <f t="shared" si="80"/>
        <v>1990</v>
      </c>
      <c r="T683" s="8">
        <v>1990</v>
      </c>
      <c r="U683" s="8">
        <f t="shared" si="81"/>
        <v>32</v>
      </c>
      <c r="V683" s="7">
        <v>1990</v>
      </c>
      <c r="W683" t="s">
        <v>1380</v>
      </c>
      <c r="X683" s="2">
        <v>0.375</v>
      </c>
      <c r="Y683" s="6">
        <f t="shared" si="86"/>
        <v>1.0010410827260351E-2</v>
      </c>
      <c r="AA683">
        <v>135194</v>
      </c>
      <c r="AB683">
        <v>24918</v>
      </c>
      <c r="AD683" t="s">
        <v>5</v>
      </c>
      <c r="AE683">
        <v>26</v>
      </c>
      <c r="AF683">
        <v>10</v>
      </c>
      <c r="AH683" t="s">
        <v>3372</v>
      </c>
      <c r="AI683" t="s">
        <v>3371</v>
      </c>
      <c r="AJ683" t="s">
        <v>3370</v>
      </c>
      <c r="AK683" t="s">
        <v>3369</v>
      </c>
      <c r="AL683">
        <v>4</v>
      </c>
      <c r="AM683" s="5">
        <f t="shared" si="82"/>
        <v>0.125</v>
      </c>
      <c r="AN683" s="4">
        <f t="shared" si="87"/>
        <v>1.893222264293828E-4</v>
      </c>
      <c r="AO683" s="3"/>
      <c r="AP683">
        <v>0</v>
      </c>
      <c r="AR683" t="s">
        <v>0</v>
      </c>
      <c r="AT683" s="2">
        <v>1.3140000000000001</v>
      </c>
      <c r="AU683" s="1">
        <f t="shared" si="83"/>
        <v>0.7064084247011061</v>
      </c>
      <c r="AV683" s="1">
        <f t="shared" si="84"/>
        <v>0.50998665268448673</v>
      </c>
      <c r="AW683" s="1">
        <f t="shared" si="85"/>
        <v>0.31356488066786731</v>
      </c>
    </row>
    <row r="684" spans="1:49" x14ac:dyDescent="0.2">
      <c r="A684">
        <v>682</v>
      </c>
      <c r="B684" t="s">
        <v>3368</v>
      </c>
      <c r="C684" t="s">
        <v>3367</v>
      </c>
      <c r="F684" t="s">
        <v>3366</v>
      </c>
      <c r="G684" t="s">
        <v>14</v>
      </c>
      <c r="H684" t="s">
        <v>13</v>
      </c>
      <c r="I684" t="s">
        <v>3365</v>
      </c>
      <c r="N684">
        <v>1</v>
      </c>
      <c r="O684" t="s">
        <v>3364</v>
      </c>
      <c r="P684">
        <v>7202527463</v>
      </c>
      <c r="R684" s="7">
        <v>32874</v>
      </c>
      <c r="S684" s="8">
        <f t="shared" si="80"/>
        <v>1990</v>
      </c>
      <c r="T684" s="8">
        <v>1990</v>
      </c>
      <c r="U684" s="8">
        <f t="shared" si="81"/>
        <v>32</v>
      </c>
      <c r="V684" s="7">
        <v>32994</v>
      </c>
      <c r="W684" t="s">
        <v>1524</v>
      </c>
      <c r="X684" s="2">
        <v>0.39600000000000002</v>
      </c>
      <c r="Y684" s="6">
        <f t="shared" si="86"/>
        <v>1.0570993833586931E-2</v>
      </c>
      <c r="AA684">
        <v>8858985</v>
      </c>
      <c r="AB684">
        <v>25993</v>
      </c>
      <c r="AD684" t="s">
        <v>5</v>
      </c>
      <c r="AE684">
        <v>5</v>
      </c>
      <c r="AF684">
        <v>5</v>
      </c>
      <c r="AH684" t="s">
        <v>3363</v>
      </c>
      <c r="AI684" t="s">
        <v>3362</v>
      </c>
      <c r="AK684" t="s">
        <v>3361</v>
      </c>
      <c r="AL684">
        <v>1</v>
      </c>
      <c r="AM684" s="5">
        <f t="shared" si="82"/>
        <v>3.125E-2</v>
      </c>
      <c r="AN684" s="4">
        <f t="shared" si="87"/>
        <v>4.73305566073457E-5</v>
      </c>
      <c r="AO684" s="3"/>
      <c r="AP684">
        <v>0</v>
      </c>
      <c r="AR684" t="s">
        <v>0</v>
      </c>
      <c r="AT684" s="2" t="s">
        <v>126</v>
      </c>
      <c r="AU684" s="1">
        <f t="shared" si="83"/>
        <v>0.74138948504930546</v>
      </c>
      <c r="AV684" s="1">
        <f t="shared" si="84"/>
        <v>0.53091621950971379</v>
      </c>
      <c r="AW684" s="1">
        <f t="shared" si="85"/>
        <v>0.32044295397012212</v>
      </c>
    </row>
    <row r="685" spans="1:49" x14ac:dyDescent="0.2">
      <c r="A685">
        <v>683</v>
      </c>
      <c r="B685" t="s">
        <v>3360</v>
      </c>
      <c r="C685" t="s">
        <v>3359</v>
      </c>
      <c r="F685" t="s">
        <v>3358</v>
      </c>
      <c r="G685" t="s">
        <v>14</v>
      </c>
      <c r="H685" t="s">
        <v>13</v>
      </c>
      <c r="I685" t="s">
        <v>3357</v>
      </c>
      <c r="J685">
        <v>60000745</v>
      </c>
      <c r="K685" t="s">
        <v>2214</v>
      </c>
      <c r="L685" t="s">
        <v>2213</v>
      </c>
      <c r="M685" t="s">
        <v>197</v>
      </c>
      <c r="N685">
        <v>2</v>
      </c>
      <c r="O685" t="s">
        <v>3356</v>
      </c>
      <c r="P685" t="s">
        <v>3355</v>
      </c>
      <c r="Q685" t="s">
        <v>3335</v>
      </c>
      <c r="R685" s="7">
        <v>32874</v>
      </c>
      <c r="S685" s="8">
        <f t="shared" si="80"/>
        <v>1990</v>
      </c>
      <c r="T685" s="8">
        <v>1990</v>
      </c>
      <c r="U685" s="8">
        <f t="shared" si="81"/>
        <v>32</v>
      </c>
      <c r="V685" s="7">
        <v>32994</v>
      </c>
      <c r="W685" t="s">
        <v>2249</v>
      </c>
      <c r="X685" s="2">
        <v>1.6519999999999999</v>
      </c>
      <c r="Y685" s="6">
        <f t="shared" si="86"/>
        <v>4.409919649769093E-2</v>
      </c>
      <c r="AA685" t="s">
        <v>2248</v>
      </c>
      <c r="AB685">
        <v>17337</v>
      </c>
      <c r="AC685">
        <v>15582221</v>
      </c>
      <c r="AD685" t="s">
        <v>5</v>
      </c>
      <c r="AE685">
        <v>38</v>
      </c>
      <c r="AF685">
        <v>5</v>
      </c>
      <c r="AH685" t="s">
        <v>3354</v>
      </c>
      <c r="AI685" t="s">
        <v>3353</v>
      </c>
      <c r="AK685" t="s">
        <v>3352</v>
      </c>
      <c r="AL685">
        <v>4</v>
      </c>
      <c r="AM685" s="5">
        <f t="shared" si="82"/>
        <v>0.125</v>
      </c>
      <c r="AN685" s="4">
        <f t="shared" si="87"/>
        <v>1.893222264293828E-4</v>
      </c>
      <c r="AO685" s="3"/>
      <c r="AP685">
        <v>0</v>
      </c>
      <c r="AR685" t="s">
        <v>0</v>
      </c>
      <c r="AT685" s="2" t="s">
        <v>126</v>
      </c>
      <c r="AU685" s="1">
        <f t="shared" si="83"/>
        <v>3.0926234216312465</v>
      </c>
      <c r="AV685" s="1">
        <f t="shared" si="84"/>
        <v>2.2144259362060157</v>
      </c>
      <c r="AW685" s="1">
        <f t="shared" si="85"/>
        <v>1.3362284507807847</v>
      </c>
    </row>
    <row r="686" spans="1:49" x14ac:dyDescent="0.2">
      <c r="A686">
        <v>684</v>
      </c>
      <c r="B686" t="s">
        <v>3351</v>
      </c>
      <c r="C686" t="s">
        <v>3350</v>
      </c>
      <c r="F686" t="s">
        <v>3349</v>
      </c>
      <c r="G686" t="s">
        <v>14</v>
      </c>
      <c r="H686" t="s">
        <v>13</v>
      </c>
      <c r="I686" t="s">
        <v>3348</v>
      </c>
      <c r="J686">
        <v>60017366</v>
      </c>
      <c r="K686" t="s">
        <v>425</v>
      </c>
      <c r="L686" t="s">
        <v>424</v>
      </c>
      <c r="M686" t="s">
        <v>197</v>
      </c>
      <c r="N686">
        <v>4</v>
      </c>
      <c r="O686" t="s">
        <v>3347</v>
      </c>
      <c r="P686" t="s">
        <v>3346</v>
      </c>
      <c r="Q686" t="s">
        <v>3345</v>
      </c>
      <c r="R686" s="7">
        <v>32874</v>
      </c>
      <c r="S686" s="8">
        <f t="shared" si="80"/>
        <v>1990</v>
      </c>
      <c r="T686" s="8">
        <v>1990</v>
      </c>
      <c r="U686" s="8">
        <f t="shared" si="81"/>
        <v>32</v>
      </c>
      <c r="V686" s="7">
        <v>32994</v>
      </c>
      <c r="W686" t="s">
        <v>1309</v>
      </c>
      <c r="X686" s="2">
        <v>1.3720000000000001</v>
      </c>
      <c r="Y686" s="6">
        <f t="shared" si="86"/>
        <v>3.662475641333654E-2</v>
      </c>
      <c r="AA686">
        <v>189480</v>
      </c>
      <c r="AB686">
        <v>17366</v>
      </c>
      <c r="AC686">
        <v>15579670</v>
      </c>
      <c r="AD686" t="s">
        <v>5</v>
      </c>
      <c r="AE686">
        <v>38</v>
      </c>
      <c r="AF686">
        <v>5</v>
      </c>
      <c r="AH686" t="s">
        <v>3344</v>
      </c>
      <c r="AI686" t="s">
        <v>3343</v>
      </c>
      <c r="AK686" t="s">
        <v>3342</v>
      </c>
      <c r="AL686">
        <v>57</v>
      </c>
      <c r="AM686" s="5">
        <f t="shared" si="82"/>
        <v>1.78125</v>
      </c>
      <c r="AN686" s="4">
        <f t="shared" si="87"/>
        <v>2.6978417266187052E-3</v>
      </c>
      <c r="AO686" s="3"/>
      <c r="AP686">
        <v>0</v>
      </c>
      <c r="AR686" t="s">
        <v>0</v>
      </c>
      <c r="AT686" s="2" t="s">
        <v>126</v>
      </c>
      <c r="AU686" s="1">
        <f t="shared" si="83"/>
        <v>2.6446682007321187</v>
      </c>
      <c r="AV686" s="1">
        <f t="shared" si="84"/>
        <v>1.966129906997762</v>
      </c>
      <c r="AW686" s="1">
        <f t="shared" si="85"/>
        <v>1.2875916132634055</v>
      </c>
    </row>
    <row r="687" spans="1:49" x14ac:dyDescent="0.2">
      <c r="A687">
        <v>685</v>
      </c>
      <c r="B687" t="s">
        <v>3341</v>
      </c>
      <c r="C687" t="s">
        <v>3340</v>
      </c>
      <c r="F687" t="s">
        <v>3339</v>
      </c>
      <c r="G687" t="s">
        <v>14</v>
      </c>
      <c r="H687" t="s">
        <v>13</v>
      </c>
      <c r="I687" t="s">
        <v>3338</v>
      </c>
      <c r="J687">
        <v>60000745</v>
      </c>
      <c r="K687" t="s">
        <v>2214</v>
      </c>
      <c r="L687" t="s">
        <v>2213</v>
      </c>
      <c r="M687" t="s">
        <v>197</v>
      </c>
      <c r="N687">
        <v>2</v>
      </c>
      <c r="O687" t="s">
        <v>3337</v>
      </c>
      <c r="P687" t="s">
        <v>3336</v>
      </c>
      <c r="Q687" t="s">
        <v>3335</v>
      </c>
      <c r="R687" s="7">
        <v>32874</v>
      </c>
      <c r="S687" s="8">
        <f t="shared" si="80"/>
        <v>1990</v>
      </c>
      <c r="T687" s="8">
        <v>1990</v>
      </c>
      <c r="U687" s="8">
        <f t="shared" si="81"/>
        <v>32</v>
      </c>
      <c r="V687" s="7">
        <v>32994</v>
      </c>
      <c r="W687" t="s">
        <v>2249</v>
      </c>
      <c r="X687" s="2">
        <v>1.6519999999999999</v>
      </c>
      <c r="Y687" s="6">
        <f t="shared" si="86"/>
        <v>4.409919649769093E-2</v>
      </c>
      <c r="AA687" t="s">
        <v>2248</v>
      </c>
      <c r="AB687">
        <v>17337</v>
      </c>
      <c r="AC687">
        <v>15582221</v>
      </c>
      <c r="AD687" t="s">
        <v>5</v>
      </c>
      <c r="AE687">
        <v>38</v>
      </c>
      <c r="AF687">
        <v>5</v>
      </c>
      <c r="AH687" t="s">
        <v>3334</v>
      </c>
      <c r="AI687" t="s">
        <v>3333</v>
      </c>
      <c r="AK687" t="s">
        <v>3332</v>
      </c>
      <c r="AL687">
        <v>0</v>
      </c>
      <c r="AM687" s="5">
        <f t="shared" si="82"/>
        <v>0</v>
      </c>
      <c r="AN687" s="4">
        <f t="shared" si="87"/>
        <v>0</v>
      </c>
      <c r="AO687" s="3"/>
      <c r="AP687">
        <v>0</v>
      </c>
      <c r="AR687" t="s">
        <v>0</v>
      </c>
      <c r="AT687" s="2" t="s">
        <v>126</v>
      </c>
      <c r="AU687" s="1">
        <f t="shared" si="83"/>
        <v>3.0869437548383649</v>
      </c>
      <c r="AV687" s="1">
        <f t="shared" si="84"/>
        <v>2.2049598248845466</v>
      </c>
      <c r="AW687" s="1">
        <f t="shared" si="85"/>
        <v>1.3229758949307278</v>
      </c>
    </row>
    <row r="688" spans="1:49" x14ac:dyDescent="0.2">
      <c r="A688">
        <v>686</v>
      </c>
      <c r="B688" t="s">
        <v>3331</v>
      </c>
      <c r="C688" t="s">
        <v>3330</v>
      </c>
      <c r="F688" t="s">
        <v>3329</v>
      </c>
      <c r="G688" t="s">
        <v>14</v>
      </c>
      <c r="H688" t="s">
        <v>13</v>
      </c>
      <c r="I688" t="s">
        <v>3328</v>
      </c>
      <c r="J688">
        <v>60032995</v>
      </c>
      <c r="K688" t="s">
        <v>3327</v>
      </c>
      <c r="L688" t="s">
        <v>3326</v>
      </c>
      <c r="M688" t="s">
        <v>197</v>
      </c>
      <c r="N688">
        <v>2</v>
      </c>
      <c r="O688" t="s">
        <v>3325</v>
      </c>
      <c r="P688" t="s">
        <v>3324</v>
      </c>
      <c r="Q688" t="s">
        <v>3323</v>
      </c>
      <c r="R688" s="7">
        <v>32874</v>
      </c>
      <c r="S688" s="8">
        <f t="shared" si="80"/>
        <v>1990</v>
      </c>
      <c r="T688" s="8">
        <v>1990</v>
      </c>
      <c r="U688" s="8">
        <f t="shared" si="81"/>
        <v>32</v>
      </c>
      <c r="V688" s="7">
        <v>32994</v>
      </c>
      <c r="W688" t="s">
        <v>1524</v>
      </c>
      <c r="X688" s="2">
        <v>0.39600000000000002</v>
      </c>
      <c r="Y688" s="6">
        <f t="shared" si="86"/>
        <v>1.0570993833586931E-2</v>
      </c>
      <c r="AA688">
        <v>8858985</v>
      </c>
      <c r="AB688">
        <v>25993</v>
      </c>
      <c r="AD688" t="s">
        <v>5</v>
      </c>
      <c r="AE688">
        <v>5</v>
      </c>
      <c r="AF688">
        <v>5</v>
      </c>
      <c r="AH688" t="s">
        <v>3322</v>
      </c>
      <c r="AI688" t="s">
        <v>3321</v>
      </c>
      <c r="AK688" t="s">
        <v>3320</v>
      </c>
      <c r="AL688">
        <v>9</v>
      </c>
      <c r="AM688" s="5">
        <f t="shared" si="82"/>
        <v>0.28125</v>
      </c>
      <c r="AN688" s="4">
        <f t="shared" si="87"/>
        <v>4.2597500946611131E-4</v>
      </c>
      <c r="AO688" s="3"/>
      <c r="AP688">
        <v>0</v>
      </c>
      <c r="AR688" t="s">
        <v>0</v>
      </c>
      <c r="AT688" s="2" t="s">
        <v>126</v>
      </c>
      <c r="AU688" s="1">
        <f t="shared" si="83"/>
        <v>0.75274881863506848</v>
      </c>
      <c r="AV688" s="1">
        <f t="shared" si="84"/>
        <v>0.54984844215265205</v>
      </c>
      <c r="AW688" s="1">
        <f t="shared" si="85"/>
        <v>0.34694806567023573</v>
      </c>
    </row>
    <row r="689" spans="1:49" x14ac:dyDescent="0.2">
      <c r="A689">
        <v>687</v>
      </c>
      <c r="B689" t="s">
        <v>3319</v>
      </c>
      <c r="C689" t="s">
        <v>3318</v>
      </c>
      <c r="F689" t="s">
        <v>3317</v>
      </c>
      <c r="G689" t="s">
        <v>14</v>
      </c>
      <c r="H689" t="s">
        <v>13</v>
      </c>
      <c r="I689" t="s">
        <v>3316</v>
      </c>
      <c r="J689">
        <v>60033252</v>
      </c>
      <c r="K689" t="s">
        <v>3315</v>
      </c>
      <c r="L689" t="s">
        <v>3314</v>
      </c>
      <c r="M689" t="s">
        <v>197</v>
      </c>
      <c r="N689">
        <v>2</v>
      </c>
      <c r="O689" t="s">
        <v>3313</v>
      </c>
      <c r="P689" t="s">
        <v>3312</v>
      </c>
      <c r="Q689" t="s">
        <v>3311</v>
      </c>
      <c r="R689" s="7">
        <v>32874</v>
      </c>
      <c r="S689" s="8">
        <f t="shared" si="80"/>
        <v>1990</v>
      </c>
      <c r="T689" s="8">
        <v>1990</v>
      </c>
      <c r="U689" s="8">
        <f t="shared" si="81"/>
        <v>32</v>
      </c>
      <c r="V689" s="7">
        <v>32994</v>
      </c>
      <c r="W689" t="s">
        <v>1309</v>
      </c>
      <c r="X689" s="2">
        <v>1.3720000000000001</v>
      </c>
      <c r="Y689" s="6">
        <f t="shared" si="86"/>
        <v>3.662475641333654E-2</v>
      </c>
      <c r="AA689">
        <v>189480</v>
      </c>
      <c r="AB689">
        <v>17366</v>
      </c>
      <c r="AC689">
        <v>15579670</v>
      </c>
      <c r="AD689" t="s">
        <v>5</v>
      </c>
      <c r="AE689">
        <v>38</v>
      </c>
      <c r="AF689">
        <v>5</v>
      </c>
      <c r="AH689" t="s">
        <v>3310</v>
      </c>
      <c r="AI689" t="s">
        <v>3309</v>
      </c>
      <c r="AK689" t="s">
        <v>3308</v>
      </c>
      <c r="AL689">
        <v>125</v>
      </c>
      <c r="AM689" s="5">
        <f t="shared" si="82"/>
        <v>3.90625</v>
      </c>
      <c r="AN689" s="4">
        <f t="shared" si="87"/>
        <v>5.916319575918213E-3</v>
      </c>
      <c r="AO689" s="3"/>
      <c r="AP689">
        <v>0</v>
      </c>
      <c r="AR689" t="s">
        <v>0</v>
      </c>
      <c r="AT689" s="2" t="s">
        <v>126</v>
      </c>
      <c r="AU689" s="1">
        <f t="shared" si="83"/>
        <v>2.741222536211104</v>
      </c>
      <c r="AV689" s="1">
        <f t="shared" si="84"/>
        <v>2.1270537994627374</v>
      </c>
      <c r="AW689" s="1">
        <f t="shared" si="85"/>
        <v>1.5128850627143711</v>
      </c>
    </row>
    <row r="690" spans="1:49" x14ac:dyDescent="0.2">
      <c r="A690">
        <v>688</v>
      </c>
      <c r="B690" t="s">
        <v>3307</v>
      </c>
      <c r="C690" t="s">
        <v>3306</v>
      </c>
      <c r="F690" t="s">
        <v>3305</v>
      </c>
      <c r="G690" t="s">
        <v>14</v>
      </c>
      <c r="H690" t="s">
        <v>13</v>
      </c>
      <c r="I690" t="s">
        <v>3304</v>
      </c>
      <c r="J690">
        <v>60001271</v>
      </c>
      <c r="K690" t="s">
        <v>3303</v>
      </c>
      <c r="L690" t="s">
        <v>2385</v>
      </c>
      <c r="M690" t="s">
        <v>267</v>
      </c>
      <c r="N690">
        <v>1</v>
      </c>
      <c r="O690" t="s">
        <v>3302</v>
      </c>
      <c r="P690">
        <v>7102629706</v>
      </c>
      <c r="Q690">
        <v>60001271</v>
      </c>
      <c r="R690" s="7">
        <v>32874</v>
      </c>
      <c r="S690" s="8">
        <f t="shared" si="80"/>
        <v>1990</v>
      </c>
      <c r="T690" s="8">
        <v>1990</v>
      </c>
      <c r="U690" s="8">
        <f t="shared" si="81"/>
        <v>32</v>
      </c>
      <c r="V690" s="7">
        <v>32994</v>
      </c>
      <c r="W690" t="s">
        <v>1883</v>
      </c>
      <c r="X690" s="2">
        <v>1.365</v>
      </c>
      <c r="Y690" s="6">
        <f t="shared" si="86"/>
        <v>3.6437895411227675E-2</v>
      </c>
      <c r="AA690">
        <v>189545</v>
      </c>
      <c r="AB690">
        <v>17393</v>
      </c>
      <c r="AC690">
        <v>19399359</v>
      </c>
      <c r="AD690" t="s">
        <v>5</v>
      </c>
      <c r="AE690">
        <v>39</v>
      </c>
      <c r="AF690">
        <v>2</v>
      </c>
      <c r="AH690" t="s">
        <v>3301</v>
      </c>
      <c r="AI690" t="s">
        <v>3300</v>
      </c>
      <c r="AK690" t="s">
        <v>3299</v>
      </c>
      <c r="AL690">
        <v>461</v>
      </c>
      <c r="AM690" s="5">
        <f t="shared" si="82"/>
        <v>14.40625</v>
      </c>
      <c r="AN690" s="4">
        <f t="shared" si="87"/>
        <v>2.1819386595986368E-2</v>
      </c>
      <c r="AO690" s="3"/>
      <c r="AP690">
        <v>0</v>
      </c>
      <c r="AR690" t="s">
        <v>0</v>
      </c>
      <c r="AT690" s="2" t="s">
        <v>126</v>
      </c>
      <c r="AU690" s="1">
        <f t="shared" si="83"/>
        <v>3.2052342766655277</v>
      </c>
      <c r="AV690" s="1">
        <f t="shared" si="84"/>
        <v>2.9128641003607023</v>
      </c>
      <c r="AW690" s="1">
        <f t="shared" si="85"/>
        <v>2.6204939240558756</v>
      </c>
    </row>
    <row r="691" spans="1:49" x14ac:dyDescent="0.2">
      <c r="A691">
        <v>689</v>
      </c>
      <c r="B691" t="s">
        <v>3298</v>
      </c>
      <c r="C691" t="s">
        <v>3297</v>
      </c>
      <c r="F691" t="s">
        <v>3296</v>
      </c>
      <c r="G691" t="s">
        <v>14</v>
      </c>
      <c r="H691" t="s">
        <v>13</v>
      </c>
      <c r="I691" t="s">
        <v>3295</v>
      </c>
      <c r="J691" t="s">
        <v>3294</v>
      </c>
      <c r="K691" t="s">
        <v>3293</v>
      </c>
      <c r="L691" t="s">
        <v>3292</v>
      </c>
      <c r="M691" t="s">
        <v>1986</v>
      </c>
      <c r="N691">
        <v>26</v>
      </c>
      <c r="O691" t="s">
        <v>3291</v>
      </c>
      <c r="P691" t="s">
        <v>3290</v>
      </c>
      <c r="Q691" t="s">
        <v>3289</v>
      </c>
      <c r="R691" s="7">
        <v>32874</v>
      </c>
      <c r="S691" s="8">
        <f t="shared" si="80"/>
        <v>1990</v>
      </c>
      <c r="T691" s="8">
        <v>1990</v>
      </c>
      <c r="U691" s="8">
        <f t="shared" si="81"/>
        <v>32</v>
      </c>
      <c r="V691" s="7">
        <v>32994</v>
      </c>
      <c r="W691" t="s">
        <v>1844</v>
      </c>
      <c r="X691" s="2">
        <v>1.774</v>
      </c>
      <c r="Y691" s="6">
        <f t="shared" si="86"/>
        <v>4.7355916820159633E-2</v>
      </c>
      <c r="AA691">
        <v>295515</v>
      </c>
      <c r="AB691">
        <v>29066</v>
      </c>
      <c r="AC691">
        <v>17414326</v>
      </c>
      <c r="AD691" t="s">
        <v>5</v>
      </c>
      <c r="AE691">
        <v>30</v>
      </c>
      <c r="AF691">
        <v>5</v>
      </c>
      <c r="AH691" t="s">
        <v>3288</v>
      </c>
      <c r="AI691" t="s">
        <v>3287</v>
      </c>
      <c r="AK691" t="s">
        <v>3286</v>
      </c>
      <c r="AL691">
        <v>9</v>
      </c>
      <c r="AM691" s="5">
        <f t="shared" si="82"/>
        <v>0.28125</v>
      </c>
      <c r="AN691" s="4">
        <f t="shared" si="87"/>
        <v>4.2597500946611131E-4</v>
      </c>
      <c r="AO691" s="3"/>
      <c r="AP691">
        <v>0</v>
      </c>
      <c r="AR691" t="s">
        <v>0</v>
      </c>
      <c r="AT691" s="2">
        <v>3.1789999999999998</v>
      </c>
      <c r="AU691" s="1">
        <f t="shared" si="83"/>
        <v>3.3276934276951575</v>
      </c>
      <c r="AV691" s="1">
        <f t="shared" si="84"/>
        <v>2.3890945914812871</v>
      </c>
      <c r="AW691" s="1">
        <f t="shared" si="85"/>
        <v>1.4504957552674167</v>
      </c>
    </row>
    <row r="692" spans="1:49" x14ac:dyDescent="0.2">
      <c r="A692">
        <v>690</v>
      </c>
      <c r="B692" t="s">
        <v>3285</v>
      </c>
      <c r="C692" t="s">
        <v>3284</v>
      </c>
      <c r="F692" t="s">
        <v>3283</v>
      </c>
      <c r="G692" t="s">
        <v>14</v>
      </c>
      <c r="H692" t="s">
        <v>13</v>
      </c>
      <c r="I692" t="s">
        <v>3282</v>
      </c>
      <c r="J692">
        <v>60031707</v>
      </c>
      <c r="K692" t="s">
        <v>3281</v>
      </c>
      <c r="L692" t="s">
        <v>3280</v>
      </c>
      <c r="M692" t="s">
        <v>197</v>
      </c>
      <c r="N692">
        <v>4</v>
      </c>
      <c r="O692" t="s">
        <v>3279</v>
      </c>
      <c r="P692" t="s">
        <v>3278</v>
      </c>
      <c r="Q692" t="s">
        <v>3277</v>
      </c>
      <c r="R692" s="7">
        <v>32874</v>
      </c>
      <c r="S692" s="8">
        <f t="shared" si="80"/>
        <v>1990</v>
      </c>
      <c r="T692" s="8">
        <v>1990</v>
      </c>
      <c r="U692" s="8">
        <f t="shared" si="81"/>
        <v>32</v>
      </c>
      <c r="V692" s="7">
        <v>32994</v>
      </c>
      <c r="W692" t="s">
        <v>2249</v>
      </c>
      <c r="X692" s="2">
        <v>1.6519999999999999</v>
      </c>
      <c r="Y692" s="6">
        <f t="shared" si="86"/>
        <v>4.409919649769093E-2</v>
      </c>
      <c r="AA692" t="s">
        <v>2248</v>
      </c>
      <c r="AB692">
        <v>17337</v>
      </c>
      <c r="AC692">
        <v>15582221</v>
      </c>
      <c r="AD692" t="s">
        <v>5</v>
      </c>
      <c r="AE692">
        <v>38</v>
      </c>
      <c r="AF692">
        <v>5</v>
      </c>
      <c r="AH692" t="s">
        <v>3276</v>
      </c>
      <c r="AI692" t="s">
        <v>3275</v>
      </c>
      <c r="AK692" t="s">
        <v>3274</v>
      </c>
      <c r="AL692">
        <v>15</v>
      </c>
      <c r="AM692" s="5">
        <f t="shared" si="82"/>
        <v>0.46875</v>
      </c>
      <c r="AN692" s="4">
        <f t="shared" si="87"/>
        <v>7.0995834911018554E-4</v>
      </c>
      <c r="AO692" s="3"/>
      <c r="AP692">
        <v>0</v>
      </c>
      <c r="AR692" t="s">
        <v>0</v>
      </c>
      <c r="AT692" s="2" t="s">
        <v>126</v>
      </c>
      <c r="AU692" s="1">
        <f t="shared" si="83"/>
        <v>3.1082425053116705</v>
      </c>
      <c r="AV692" s="1">
        <f t="shared" si="84"/>
        <v>2.2404577423400558</v>
      </c>
      <c r="AW692" s="1">
        <f t="shared" si="85"/>
        <v>1.3726729793684409</v>
      </c>
    </row>
    <row r="693" spans="1:49" x14ac:dyDescent="0.2">
      <c r="A693">
        <v>691</v>
      </c>
      <c r="B693" t="s">
        <v>3273</v>
      </c>
      <c r="C693" t="s">
        <v>3272</v>
      </c>
      <c r="F693" t="s">
        <v>3271</v>
      </c>
      <c r="G693" t="s">
        <v>14</v>
      </c>
      <c r="H693" t="s">
        <v>13</v>
      </c>
      <c r="I693" t="s">
        <v>3270</v>
      </c>
      <c r="J693">
        <v>60032619</v>
      </c>
      <c r="K693" t="s">
        <v>3269</v>
      </c>
      <c r="L693" t="s">
        <v>3268</v>
      </c>
      <c r="M693" t="s">
        <v>1937</v>
      </c>
      <c r="N693">
        <v>2</v>
      </c>
      <c r="O693" t="s">
        <v>3267</v>
      </c>
      <c r="P693" t="s">
        <v>3266</v>
      </c>
      <c r="Q693" t="s">
        <v>3265</v>
      </c>
      <c r="R693" s="7">
        <v>32874</v>
      </c>
      <c r="S693" s="8">
        <f t="shared" si="80"/>
        <v>1990</v>
      </c>
      <c r="T693" s="8">
        <v>1990</v>
      </c>
      <c r="U693" s="8">
        <f t="shared" si="81"/>
        <v>32</v>
      </c>
      <c r="V693" s="7">
        <v>32994</v>
      </c>
      <c r="W693" t="s">
        <v>1883</v>
      </c>
      <c r="X693" s="2">
        <v>1.365</v>
      </c>
      <c r="Y693" s="6">
        <f t="shared" si="86"/>
        <v>3.6437895411227675E-2</v>
      </c>
      <c r="AA693">
        <v>189545</v>
      </c>
      <c r="AB693">
        <v>17393</v>
      </c>
      <c r="AC693">
        <v>19399359</v>
      </c>
      <c r="AD693" t="s">
        <v>5</v>
      </c>
      <c r="AE693">
        <v>39</v>
      </c>
      <c r="AF693">
        <v>2</v>
      </c>
      <c r="AH693" t="s">
        <v>3264</v>
      </c>
      <c r="AI693" t="s">
        <v>3263</v>
      </c>
      <c r="AK693" t="s">
        <v>3262</v>
      </c>
      <c r="AL693">
        <v>65</v>
      </c>
      <c r="AM693" s="5">
        <f t="shared" si="82"/>
        <v>2.03125</v>
      </c>
      <c r="AN693" s="4">
        <f t="shared" si="87"/>
        <v>3.0764861794774704E-3</v>
      </c>
      <c r="AO693" s="3"/>
      <c r="AP693">
        <v>0</v>
      </c>
      <c r="AR693" t="s">
        <v>0</v>
      </c>
      <c r="AT693" s="2" t="s">
        <v>126</v>
      </c>
      <c r="AU693" s="1">
        <f t="shared" si="83"/>
        <v>2.6429472641702612</v>
      </c>
      <c r="AV693" s="1">
        <f t="shared" si="84"/>
        <v>1.9757190795352573</v>
      </c>
      <c r="AW693" s="1">
        <f t="shared" si="85"/>
        <v>1.3084908949002529</v>
      </c>
    </row>
    <row r="694" spans="1:49" x14ac:dyDescent="0.2">
      <c r="A694">
        <v>692</v>
      </c>
      <c r="B694" t="s">
        <v>3261</v>
      </c>
      <c r="C694" t="s">
        <v>3260</v>
      </c>
      <c r="F694" t="s">
        <v>3259</v>
      </c>
      <c r="G694" t="s">
        <v>14</v>
      </c>
      <c r="H694" t="s">
        <v>13</v>
      </c>
      <c r="I694" t="s">
        <v>3258</v>
      </c>
      <c r="J694">
        <v>60009514</v>
      </c>
      <c r="K694" t="s">
        <v>3257</v>
      </c>
      <c r="L694" t="s">
        <v>3256</v>
      </c>
      <c r="M694" t="s">
        <v>267</v>
      </c>
      <c r="N694">
        <v>3</v>
      </c>
      <c r="O694" t="s">
        <v>3255</v>
      </c>
      <c r="P694" t="s">
        <v>3254</v>
      </c>
      <c r="Q694" t="s">
        <v>3253</v>
      </c>
      <c r="R694" s="7">
        <v>32874</v>
      </c>
      <c r="S694" s="8">
        <f t="shared" si="80"/>
        <v>1990</v>
      </c>
      <c r="T694" s="8">
        <v>1990</v>
      </c>
      <c r="U694" s="8">
        <f t="shared" si="81"/>
        <v>32</v>
      </c>
      <c r="V694" s="7">
        <v>32994</v>
      </c>
      <c r="W694" t="s">
        <v>2288</v>
      </c>
      <c r="X694" s="2">
        <v>0.111</v>
      </c>
      <c r="Y694" s="6">
        <f t="shared" si="86"/>
        <v>2.9630816048690639E-3</v>
      </c>
      <c r="AA694">
        <v>87566621</v>
      </c>
      <c r="AB694">
        <v>24890</v>
      </c>
      <c r="AC694">
        <v>15206424</v>
      </c>
      <c r="AD694" t="s">
        <v>5</v>
      </c>
      <c r="AE694">
        <v>73</v>
      </c>
      <c r="AF694">
        <v>5</v>
      </c>
      <c r="AH694" t="s">
        <v>3252</v>
      </c>
      <c r="AI694" t="s">
        <v>3251</v>
      </c>
      <c r="AK694" t="s">
        <v>3250</v>
      </c>
      <c r="AL694">
        <v>0</v>
      </c>
      <c r="AM694" s="5">
        <f t="shared" si="82"/>
        <v>0</v>
      </c>
      <c r="AN694" s="4">
        <f t="shared" si="87"/>
        <v>0</v>
      </c>
      <c r="AO694" s="3"/>
      <c r="AP694">
        <v>0</v>
      </c>
      <c r="AR694" t="s">
        <v>0</v>
      </c>
      <c r="AT694" s="2" t="s">
        <v>126</v>
      </c>
      <c r="AU694" s="1">
        <f t="shared" si="83"/>
        <v>0.20741571234083445</v>
      </c>
      <c r="AV694" s="1">
        <f t="shared" si="84"/>
        <v>0.1481540802434532</v>
      </c>
      <c r="AW694" s="1">
        <f t="shared" si="85"/>
        <v>8.8892448146071903E-2</v>
      </c>
    </row>
    <row r="695" spans="1:49" x14ac:dyDescent="0.2">
      <c r="A695">
        <v>693</v>
      </c>
      <c r="B695" t="s">
        <v>3249</v>
      </c>
      <c r="C695" t="s">
        <v>3248</v>
      </c>
      <c r="F695" t="s">
        <v>3247</v>
      </c>
      <c r="G695" t="s">
        <v>14</v>
      </c>
      <c r="H695" t="s">
        <v>13</v>
      </c>
      <c r="I695" t="s">
        <v>3246</v>
      </c>
      <c r="J695">
        <v>60015763</v>
      </c>
      <c r="K695" t="s">
        <v>3245</v>
      </c>
      <c r="L695" t="s">
        <v>3244</v>
      </c>
      <c r="M695" t="s">
        <v>2134</v>
      </c>
      <c r="N695">
        <v>2</v>
      </c>
      <c r="O695" t="s">
        <v>3243</v>
      </c>
      <c r="P695" t="s">
        <v>3242</v>
      </c>
      <c r="Q695" t="s">
        <v>3241</v>
      </c>
      <c r="R695" s="7">
        <v>32874</v>
      </c>
      <c r="S695" s="8">
        <f t="shared" si="80"/>
        <v>1990</v>
      </c>
      <c r="T695" s="8">
        <v>1990</v>
      </c>
      <c r="U695" s="8">
        <f t="shared" si="81"/>
        <v>32</v>
      </c>
      <c r="V695" s="7">
        <v>32964</v>
      </c>
      <c r="W695" t="s">
        <v>3240</v>
      </c>
      <c r="X695" s="2">
        <v>0.26400000000000001</v>
      </c>
      <c r="Y695" s="6">
        <f t="shared" si="86"/>
        <v>7.0473292223912874E-3</v>
      </c>
      <c r="AA695">
        <v>2533839</v>
      </c>
      <c r="AB695">
        <v>15157</v>
      </c>
      <c r="AC695">
        <v>21587299</v>
      </c>
      <c r="AD695" t="s">
        <v>5</v>
      </c>
      <c r="AE695">
        <v>13</v>
      </c>
      <c r="AF695">
        <v>3</v>
      </c>
      <c r="AH695" t="s">
        <v>3239</v>
      </c>
      <c r="AI695" t="s">
        <v>3238</v>
      </c>
      <c r="AJ695" t="s">
        <v>3237</v>
      </c>
      <c r="AK695" t="s">
        <v>3236</v>
      </c>
      <c r="AL695">
        <v>0</v>
      </c>
      <c r="AM695" s="5">
        <f t="shared" si="82"/>
        <v>0</v>
      </c>
      <c r="AN695" s="4">
        <f t="shared" si="87"/>
        <v>0</v>
      </c>
      <c r="AO695" s="3"/>
      <c r="AP695">
        <v>0</v>
      </c>
      <c r="AQ695" t="s">
        <v>3235</v>
      </c>
      <c r="AR695" t="s">
        <v>3234</v>
      </c>
      <c r="AS695" t="s">
        <v>3233</v>
      </c>
      <c r="AT695" s="2" t="s">
        <v>126</v>
      </c>
      <c r="AU695" s="1">
        <f t="shared" si="83"/>
        <v>0.49331304556739003</v>
      </c>
      <c r="AV695" s="1">
        <f t="shared" si="84"/>
        <v>0.35236646111956438</v>
      </c>
      <c r="AW695" s="1">
        <f t="shared" si="85"/>
        <v>0.21141987667173862</v>
      </c>
    </row>
    <row r="696" spans="1:49" x14ac:dyDescent="0.2">
      <c r="A696">
        <v>694</v>
      </c>
      <c r="B696" t="s">
        <v>3232</v>
      </c>
      <c r="C696" t="s">
        <v>3231</v>
      </c>
      <c r="F696" t="s">
        <v>3230</v>
      </c>
      <c r="G696" t="s">
        <v>14</v>
      </c>
      <c r="H696" t="s">
        <v>13</v>
      </c>
      <c r="I696" t="s">
        <v>3229</v>
      </c>
      <c r="J696">
        <v>60009697</v>
      </c>
      <c r="K696" t="s">
        <v>1939</v>
      </c>
      <c r="L696" t="s">
        <v>1938</v>
      </c>
      <c r="M696" t="s">
        <v>1937</v>
      </c>
      <c r="N696">
        <v>2</v>
      </c>
      <c r="O696" t="s">
        <v>3228</v>
      </c>
      <c r="P696" t="s">
        <v>3227</v>
      </c>
      <c r="Q696" t="s">
        <v>1934</v>
      </c>
      <c r="R696" s="7">
        <v>32874</v>
      </c>
      <c r="S696" s="8">
        <f t="shared" si="80"/>
        <v>1990</v>
      </c>
      <c r="T696" s="8">
        <v>1990</v>
      </c>
      <c r="U696" s="8">
        <f t="shared" si="81"/>
        <v>32</v>
      </c>
      <c r="V696" s="7" t="s">
        <v>3226</v>
      </c>
      <c r="W696" t="s">
        <v>2202</v>
      </c>
      <c r="X696" s="2">
        <v>0.46400000000000002</v>
      </c>
      <c r="Y696" s="6">
        <f t="shared" si="86"/>
        <v>1.2386214996930142E-2</v>
      </c>
      <c r="AA696">
        <v>8408688</v>
      </c>
      <c r="AB696">
        <v>26200</v>
      </c>
      <c r="AD696" t="s">
        <v>5</v>
      </c>
      <c r="AE696">
        <v>15</v>
      </c>
      <c r="AF696">
        <v>2</v>
      </c>
      <c r="AH696" t="s">
        <v>3225</v>
      </c>
      <c r="AI696" t="s">
        <v>3224</v>
      </c>
      <c r="AK696" t="s">
        <v>3223</v>
      </c>
      <c r="AL696">
        <v>2</v>
      </c>
      <c r="AM696" s="5">
        <f t="shared" si="82"/>
        <v>6.25E-2</v>
      </c>
      <c r="AN696" s="4">
        <f t="shared" si="87"/>
        <v>9.46611132146914E-5</v>
      </c>
      <c r="AO696" s="3"/>
      <c r="AP696">
        <v>0</v>
      </c>
      <c r="AR696" t="s">
        <v>0</v>
      </c>
      <c r="AT696" s="2" t="s">
        <v>126</v>
      </c>
      <c r="AU696" s="1">
        <f t="shared" si="83"/>
        <v>0.8698748831815506</v>
      </c>
      <c r="AV696" s="1">
        <f t="shared" si="84"/>
        <v>0.6240438055072417</v>
      </c>
      <c r="AW696" s="1">
        <f t="shared" si="85"/>
        <v>0.37821272783293269</v>
      </c>
    </row>
    <row r="697" spans="1:49" x14ac:dyDescent="0.2">
      <c r="A697">
        <v>695</v>
      </c>
      <c r="B697" t="s">
        <v>3222</v>
      </c>
      <c r="C697" t="s">
        <v>3221</v>
      </c>
      <c r="F697" t="s">
        <v>3220</v>
      </c>
      <c r="G697" t="s">
        <v>14</v>
      </c>
      <c r="H697" t="s">
        <v>13</v>
      </c>
      <c r="I697" t="s">
        <v>3219</v>
      </c>
      <c r="N697">
        <v>4</v>
      </c>
      <c r="O697" t="s">
        <v>3218</v>
      </c>
      <c r="P697" t="s">
        <v>3217</v>
      </c>
      <c r="Q697" t="s">
        <v>329</v>
      </c>
      <c r="R697" s="7">
        <v>32874</v>
      </c>
      <c r="S697" s="8">
        <f t="shared" si="80"/>
        <v>1990</v>
      </c>
      <c r="T697" s="8">
        <v>1990</v>
      </c>
      <c r="U697" s="8">
        <f t="shared" si="81"/>
        <v>32</v>
      </c>
      <c r="V697" s="7" t="s">
        <v>3216</v>
      </c>
      <c r="W697" t="s">
        <v>110</v>
      </c>
      <c r="X697" s="2">
        <v>0.371</v>
      </c>
      <c r="Y697" s="6">
        <f t="shared" si="86"/>
        <v>9.9036331117695747E-3</v>
      </c>
      <c r="AA697">
        <v>486604</v>
      </c>
      <c r="AB697">
        <v>28580</v>
      </c>
      <c r="AC697" t="s">
        <v>109</v>
      </c>
      <c r="AD697" t="s">
        <v>5</v>
      </c>
      <c r="AE697">
        <v>25</v>
      </c>
      <c r="AF697">
        <v>3</v>
      </c>
      <c r="AH697" t="s">
        <v>3215</v>
      </c>
      <c r="AI697" t="s">
        <v>3214</v>
      </c>
      <c r="AK697" t="s">
        <v>3213</v>
      </c>
      <c r="AL697">
        <v>1</v>
      </c>
      <c r="AM697" s="5">
        <f t="shared" si="82"/>
        <v>3.125E-2</v>
      </c>
      <c r="AN697" s="4">
        <f t="shared" si="87"/>
        <v>4.73305566073457E-5</v>
      </c>
      <c r="AO697" s="3"/>
      <c r="AP697">
        <v>0</v>
      </c>
      <c r="AR697" t="s">
        <v>0</v>
      </c>
      <c r="AT697" s="2">
        <v>1.431</v>
      </c>
      <c r="AU697" s="1">
        <f t="shared" si="83"/>
        <v>0.69467423452209054</v>
      </c>
      <c r="AV697" s="1">
        <f t="shared" si="84"/>
        <v>0.49754818341884599</v>
      </c>
      <c r="AW697" s="1">
        <f t="shared" si="85"/>
        <v>0.30042213231560144</v>
      </c>
    </row>
    <row r="698" spans="1:49" x14ac:dyDescent="0.2">
      <c r="A698">
        <v>696</v>
      </c>
      <c r="B698" t="s">
        <v>3212</v>
      </c>
      <c r="C698" t="s">
        <v>3211</v>
      </c>
      <c r="F698" t="s">
        <v>3210</v>
      </c>
      <c r="G698" t="s">
        <v>14</v>
      </c>
      <c r="H698" t="s">
        <v>13</v>
      </c>
      <c r="I698" t="s">
        <v>2281</v>
      </c>
      <c r="J698">
        <v>60027271</v>
      </c>
      <c r="K698" t="s">
        <v>2280</v>
      </c>
      <c r="L698" t="s">
        <v>2279</v>
      </c>
      <c r="M698" t="s">
        <v>197</v>
      </c>
      <c r="N698">
        <v>1</v>
      </c>
      <c r="O698" t="s">
        <v>2278</v>
      </c>
      <c r="P698">
        <v>35607620700</v>
      </c>
      <c r="Q698">
        <v>60027271</v>
      </c>
      <c r="R698" s="7">
        <v>32874</v>
      </c>
      <c r="S698" s="8">
        <f t="shared" si="80"/>
        <v>1990</v>
      </c>
      <c r="T698" s="8">
        <v>1990</v>
      </c>
      <c r="U698" s="8">
        <f t="shared" si="81"/>
        <v>32</v>
      </c>
      <c r="V698" s="7">
        <v>32994</v>
      </c>
      <c r="W698" t="s">
        <v>720</v>
      </c>
      <c r="X698" s="2">
        <v>1.137</v>
      </c>
      <c r="Y698" s="6">
        <f t="shared" si="86"/>
        <v>3.0351565628253384E-2</v>
      </c>
      <c r="AA698">
        <v>189251</v>
      </c>
      <c r="AB698">
        <v>17336</v>
      </c>
      <c r="AD698" t="s">
        <v>5</v>
      </c>
      <c r="AE698">
        <v>26</v>
      </c>
      <c r="AF698">
        <v>3</v>
      </c>
      <c r="AH698" t="s">
        <v>3209</v>
      </c>
      <c r="AI698" t="s">
        <v>3208</v>
      </c>
      <c r="AK698" t="s">
        <v>3207</v>
      </c>
      <c r="AL698">
        <v>11</v>
      </c>
      <c r="AM698" s="5">
        <f t="shared" si="82"/>
        <v>0.34375</v>
      </c>
      <c r="AN698" s="4">
        <f t="shared" si="87"/>
        <v>5.2063612268080268E-4</v>
      </c>
      <c r="AO698" s="3"/>
      <c r="AP698">
        <v>0</v>
      </c>
      <c r="AR698" t="s">
        <v>0</v>
      </c>
      <c r="AT698" s="2" t="s">
        <v>126</v>
      </c>
      <c r="AU698" s="1">
        <f t="shared" si="83"/>
        <v>2.1402286776581607</v>
      </c>
      <c r="AV698" s="1">
        <f t="shared" si="84"/>
        <v>1.5436100875467091</v>
      </c>
      <c r="AW698" s="1">
        <f t="shared" si="85"/>
        <v>0.94699149743525768</v>
      </c>
    </row>
    <row r="699" spans="1:49" x14ac:dyDescent="0.2">
      <c r="A699">
        <v>697</v>
      </c>
      <c r="B699" t="s">
        <v>3206</v>
      </c>
      <c r="C699" t="s">
        <v>3205</v>
      </c>
      <c r="F699" t="s">
        <v>3204</v>
      </c>
      <c r="G699" t="s">
        <v>14</v>
      </c>
      <c r="H699" t="s">
        <v>13</v>
      </c>
      <c r="I699" t="s">
        <v>3203</v>
      </c>
      <c r="J699" t="s">
        <v>3202</v>
      </c>
      <c r="K699" t="s">
        <v>3201</v>
      </c>
      <c r="L699" t="s">
        <v>3200</v>
      </c>
      <c r="M699" t="s">
        <v>1972</v>
      </c>
      <c r="N699">
        <v>6</v>
      </c>
      <c r="O699" t="s">
        <v>3199</v>
      </c>
      <c r="P699" t="s">
        <v>3198</v>
      </c>
      <c r="Q699" t="s">
        <v>3197</v>
      </c>
      <c r="R699" s="7">
        <v>32874</v>
      </c>
      <c r="S699" s="8">
        <f t="shared" si="80"/>
        <v>1990</v>
      </c>
      <c r="T699" s="8">
        <v>1990</v>
      </c>
      <c r="U699" s="8">
        <f t="shared" si="81"/>
        <v>32</v>
      </c>
      <c r="V699" s="7" t="s">
        <v>3182</v>
      </c>
      <c r="W699" t="s">
        <v>1211</v>
      </c>
      <c r="X699" s="2">
        <v>0.33800000000000002</v>
      </c>
      <c r="Y699" s="6">
        <f t="shared" si="86"/>
        <v>9.0227169589706634E-3</v>
      </c>
      <c r="AA699">
        <v>7372884</v>
      </c>
      <c r="AB699">
        <v>70506</v>
      </c>
      <c r="AC699">
        <v>10991247</v>
      </c>
      <c r="AD699" t="s">
        <v>5</v>
      </c>
      <c r="AE699">
        <v>8</v>
      </c>
      <c r="AF699">
        <v>3</v>
      </c>
      <c r="AH699" t="s">
        <v>3196</v>
      </c>
      <c r="AI699" t="s">
        <v>3195</v>
      </c>
      <c r="AJ699" t="s">
        <v>3194</v>
      </c>
      <c r="AK699" t="s">
        <v>3193</v>
      </c>
      <c r="AL699">
        <v>19</v>
      </c>
      <c r="AM699" s="5">
        <f t="shared" si="82"/>
        <v>0.59375</v>
      </c>
      <c r="AN699" s="4">
        <f t="shared" si="87"/>
        <v>8.9928057553956839E-4</v>
      </c>
      <c r="AO699" s="3"/>
      <c r="AP699">
        <v>0</v>
      </c>
      <c r="AR699" t="s">
        <v>0</v>
      </c>
      <c r="AT699" s="2" t="s">
        <v>126</v>
      </c>
      <c r="AU699" s="1">
        <f t="shared" si="83"/>
        <v>0.65856860439413345</v>
      </c>
      <c r="AV699" s="1">
        <f t="shared" si="84"/>
        <v>0.49609987672551159</v>
      </c>
      <c r="AW699" s="1">
        <f t="shared" si="85"/>
        <v>0.33363114905688968</v>
      </c>
    </row>
    <row r="700" spans="1:49" x14ac:dyDescent="0.2">
      <c r="A700">
        <v>698</v>
      </c>
      <c r="B700" t="s">
        <v>3192</v>
      </c>
      <c r="C700" t="s">
        <v>3191</v>
      </c>
      <c r="F700" t="s">
        <v>3190</v>
      </c>
      <c r="G700" t="s">
        <v>14</v>
      </c>
      <c r="H700" t="s">
        <v>13</v>
      </c>
      <c r="I700" t="s">
        <v>3189</v>
      </c>
      <c r="J700" t="s">
        <v>3188</v>
      </c>
      <c r="K700" t="s">
        <v>3187</v>
      </c>
      <c r="L700" t="s">
        <v>3186</v>
      </c>
      <c r="M700" t="s">
        <v>3144</v>
      </c>
      <c r="N700">
        <v>4</v>
      </c>
      <c r="O700" t="s">
        <v>3185</v>
      </c>
      <c r="P700" t="s">
        <v>3184</v>
      </c>
      <c r="Q700" t="s">
        <v>3183</v>
      </c>
      <c r="R700" s="7">
        <v>32874</v>
      </c>
      <c r="S700" s="8">
        <f t="shared" si="80"/>
        <v>1990</v>
      </c>
      <c r="T700" s="8">
        <v>1990</v>
      </c>
      <c r="U700" s="8">
        <f t="shared" si="81"/>
        <v>32</v>
      </c>
      <c r="V700" s="7" t="s">
        <v>3182</v>
      </c>
      <c r="W700" t="s">
        <v>1211</v>
      </c>
      <c r="X700" s="2">
        <v>0.33800000000000002</v>
      </c>
      <c r="Y700" s="6">
        <f t="shared" si="86"/>
        <v>9.0227169589706634E-3</v>
      </c>
      <c r="AA700">
        <v>7372884</v>
      </c>
      <c r="AB700">
        <v>70506</v>
      </c>
      <c r="AC700">
        <v>10991247</v>
      </c>
      <c r="AD700" t="s">
        <v>5</v>
      </c>
      <c r="AE700">
        <v>8</v>
      </c>
      <c r="AF700">
        <v>3</v>
      </c>
      <c r="AH700" t="s">
        <v>3181</v>
      </c>
      <c r="AI700" t="s">
        <v>3180</v>
      </c>
      <c r="AJ700" t="s">
        <v>3179</v>
      </c>
      <c r="AK700" t="s">
        <v>3178</v>
      </c>
      <c r="AL700">
        <v>12</v>
      </c>
      <c r="AM700" s="5">
        <f t="shared" si="82"/>
        <v>0.375</v>
      </c>
      <c r="AN700" s="4">
        <f t="shared" si="87"/>
        <v>5.6796667928814845E-4</v>
      </c>
      <c r="AO700" s="3"/>
      <c r="AP700">
        <v>0</v>
      </c>
      <c r="AR700" t="s">
        <v>0</v>
      </c>
      <c r="AT700" s="2" t="s">
        <v>126</v>
      </c>
      <c r="AU700" s="1">
        <f t="shared" si="83"/>
        <v>0.64862918750659082</v>
      </c>
      <c r="AV700" s="1">
        <f t="shared" si="84"/>
        <v>0.47953418191294056</v>
      </c>
      <c r="AW700" s="1">
        <f t="shared" si="85"/>
        <v>0.3104391763192903</v>
      </c>
    </row>
    <row r="701" spans="1:49" x14ac:dyDescent="0.2">
      <c r="A701">
        <v>699</v>
      </c>
      <c r="B701" t="s">
        <v>3177</v>
      </c>
      <c r="C701" t="s">
        <v>3176</v>
      </c>
      <c r="E701">
        <v>2116128</v>
      </c>
      <c r="F701" t="s">
        <v>3175</v>
      </c>
      <c r="G701" t="s">
        <v>14</v>
      </c>
      <c r="H701" t="s">
        <v>13</v>
      </c>
      <c r="I701" t="s">
        <v>3174</v>
      </c>
      <c r="J701">
        <v>60010261</v>
      </c>
      <c r="K701" t="s">
        <v>3173</v>
      </c>
      <c r="L701" t="s">
        <v>1717</v>
      </c>
      <c r="M701" t="s">
        <v>197</v>
      </c>
      <c r="N701">
        <v>3</v>
      </c>
      <c r="O701" t="s">
        <v>3172</v>
      </c>
      <c r="P701" t="s">
        <v>3171</v>
      </c>
      <c r="Q701" t="s">
        <v>3170</v>
      </c>
      <c r="R701" s="7">
        <v>32874</v>
      </c>
      <c r="S701" s="8">
        <f t="shared" ref="S701:S764" si="88">YEAR(R701)</f>
        <v>1990</v>
      </c>
      <c r="T701" s="8">
        <v>1990</v>
      </c>
      <c r="U701" s="8">
        <f t="shared" ref="U701:U764" si="89">2022-T701</f>
        <v>32</v>
      </c>
      <c r="V701" s="7">
        <v>32994</v>
      </c>
      <c r="W701" t="s">
        <v>3169</v>
      </c>
      <c r="X701" s="2">
        <v>0.30099999999999999</v>
      </c>
      <c r="Y701" s="6">
        <f t="shared" si="86"/>
        <v>8.0350230906809754E-3</v>
      </c>
      <c r="AA701">
        <v>9395075</v>
      </c>
      <c r="AB701">
        <v>14954</v>
      </c>
      <c r="AC701">
        <v>18657125</v>
      </c>
      <c r="AD701" t="s">
        <v>5</v>
      </c>
      <c r="AE701">
        <v>45</v>
      </c>
      <c r="AF701">
        <v>5</v>
      </c>
      <c r="AH701" t="s">
        <v>3168</v>
      </c>
      <c r="AI701" t="s">
        <v>3167</v>
      </c>
      <c r="AJ701" t="s">
        <v>3166</v>
      </c>
      <c r="AK701" t="s">
        <v>3165</v>
      </c>
      <c r="AL701">
        <v>40</v>
      </c>
      <c r="AM701" s="5">
        <f t="shared" ref="AM701:AM764" si="90">AL701/U701</f>
        <v>1.25</v>
      </c>
      <c r="AN701" s="4">
        <f t="shared" si="87"/>
        <v>1.8932222642938281E-3</v>
      </c>
      <c r="AO701" s="3"/>
      <c r="AP701">
        <v>1</v>
      </c>
      <c r="AQ701" t="s">
        <v>1454</v>
      </c>
      <c r="AR701" t="s">
        <v>3164</v>
      </c>
      <c r="AS701" t="s">
        <v>1452</v>
      </c>
      <c r="AT701" s="2" t="s">
        <v>126</v>
      </c>
      <c r="AU701" s="1">
        <f t="shared" ref="AU701:AU764" si="91">(Y701*0.7+AN701*0.3)*100</f>
        <v>0.61924828427648315</v>
      </c>
      <c r="AV701" s="1">
        <f t="shared" ref="AV701:AV764" si="92">(Y701*0.5+AN701*0.5)*100</f>
        <v>0.4964122677487402</v>
      </c>
      <c r="AW701" s="1">
        <f t="shared" ref="AW701:AW764" si="93">(Y701*0.3+AN701*0.7)*100</f>
        <v>0.37357625122099725</v>
      </c>
    </row>
    <row r="702" spans="1:49" x14ac:dyDescent="0.2">
      <c r="A702">
        <v>700</v>
      </c>
      <c r="B702" t="s">
        <v>3163</v>
      </c>
      <c r="C702" t="s">
        <v>3162</v>
      </c>
      <c r="F702" t="s">
        <v>3161</v>
      </c>
      <c r="G702" t="s">
        <v>14</v>
      </c>
      <c r="H702" t="s">
        <v>13</v>
      </c>
      <c r="I702" t="s">
        <v>3160</v>
      </c>
      <c r="J702">
        <v>60003500</v>
      </c>
      <c r="K702" t="s">
        <v>3159</v>
      </c>
      <c r="L702" t="s">
        <v>3158</v>
      </c>
      <c r="M702" t="s">
        <v>197</v>
      </c>
      <c r="N702">
        <v>3</v>
      </c>
      <c r="O702" t="s">
        <v>3157</v>
      </c>
      <c r="P702" t="s">
        <v>3156</v>
      </c>
      <c r="Q702" t="s">
        <v>3155</v>
      </c>
      <c r="R702" s="7">
        <v>32874</v>
      </c>
      <c r="S702" s="8">
        <f t="shared" si="88"/>
        <v>1990</v>
      </c>
      <c r="T702" s="8">
        <v>1990</v>
      </c>
      <c r="U702" s="8">
        <f t="shared" si="89"/>
        <v>32</v>
      </c>
      <c r="V702" s="7">
        <v>32964</v>
      </c>
      <c r="W702" t="s">
        <v>2249</v>
      </c>
      <c r="X702" s="2">
        <v>1.6519999999999999</v>
      </c>
      <c r="Y702" s="6">
        <f t="shared" si="86"/>
        <v>4.409919649769093E-2</v>
      </c>
      <c r="AA702" t="s">
        <v>2248</v>
      </c>
      <c r="AB702">
        <v>17337</v>
      </c>
      <c r="AC702">
        <v>15582221</v>
      </c>
      <c r="AD702" t="s">
        <v>5</v>
      </c>
      <c r="AE702">
        <v>38</v>
      </c>
      <c r="AF702">
        <v>4</v>
      </c>
      <c r="AH702" t="s">
        <v>3154</v>
      </c>
      <c r="AI702" t="s">
        <v>3153</v>
      </c>
      <c r="AK702" t="s">
        <v>3152</v>
      </c>
      <c r="AL702">
        <v>40</v>
      </c>
      <c r="AM702" s="5">
        <f t="shared" si="90"/>
        <v>1.25</v>
      </c>
      <c r="AN702" s="4">
        <f t="shared" si="87"/>
        <v>1.8932222642938281E-3</v>
      </c>
      <c r="AO702" s="3"/>
      <c r="AP702">
        <v>0</v>
      </c>
      <c r="AR702" t="s">
        <v>0</v>
      </c>
      <c r="AT702" s="2" t="s">
        <v>126</v>
      </c>
      <c r="AU702" s="1">
        <f t="shared" si="91"/>
        <v>3.1437404227671801</v>
      </c>
      <c r="AV702" s="1">
        <f t="shared" si="92"/>
        <v>2.2996209380992378</v>
      </c>
      <c r="AW702" s="1">
        <f t="shared" si="93"/>
        <v>1.4555014534312958</v>
      </c>
    </row>
    <row r="703" spans="1:49" x14ac:dyDescent="0.2">
      <c r="A703">
        <v>701</v>
      </c>
      <c r="B703" t="s">
        <v>3151</v>
      </c>
      <c r="C703" t="s">
        <v>3150</v>
      </c>
      <c r="F703" t="s">
        <v>3149</v>
      </c>
      <c r="G703" t="s">
        <v>14</v>
      </c>
      <c r="H703" t="s">
        <v>13</v>
      </c>
      <c r="I703" t="s">
        <v>3148</v>
      </c>
      <c r="J703" t="s">
        <v>3147</v>
      </c>
      <c r="K703" t="s">
        <v>3146</v>
      </c>
      <c r="L703" t="s">
        <v>3145</v>
      </c>
      <c r="M703" t="s">
        <v>3144</v>
      </c>
      <c r="N703">
        <v>2</v>
      </c>
      <c r="O703" t="s">
        <v>3143</v>
      </c>
      <c r="P703" t="s">
        <v>3142</v>
      </c>
      <c r="Q703" t="s">
        <v>3141</v>
      </c>
      <c r="R703" s="7">
        <v>32874</v>
      </c>
      <c r="S703" s="8">
        <f t="shared" si="88"/>
        <v>1990</v>
      </c>
      <c r="T703" s="8">
        <v>1990</v>
      </c>
      <c r="U703" s="8">
        <f t="shared" si="89"/>
        <v>32</v>
      </c>
      <c r="V703" s="7">
        <v>32964</v>
      </c>
      <c r="W703" t="s">
        <v>2249</v>
      </c>
      <c r="X703" s="2">
        <v>1.6519999999999999</v>
      </c>
      <c r="Y703" s="6">
        <f t="shared" si="86"/>
        <v>4.409919649769093E-2</v>
      </c>
      <c r="AA703" t="s">
        <v>2248</v>
      </c>
      <c r="AB703">
        <v>17337</v>
      </c>
      <c r="AC703">
        <v>15582221</v>
      </c>
      <c r="AD703" t="s">
        <v>5</v>
      </c>
      <c r="AE703">
        <v>38</v>
      </c>
      <c r="AF703">
        <v>4</v>
      </c>
      <c r="AH703" t="s">
        <v>3140</v>
      </c>
      <c r="AI703" t="s">
        <v>3139</v>
      </c>
      <c r="AK703" t="s">
        <v>3138</v>
      </c>
      <c r="AL703">
        <v>4</v>
      </c>
      <c r="AM703" s="5">
        <f t="shared" si="90"/>
        <v>0.125</v>
      </c>
      <c r="AN703" s="4">
        <f t="shared" si="87"/>
        <v>1.893222264293828E-4</v>
      </c>
      <c r="AO703" s="3"/>
      <c r="AP703">
        <v>0</v>
      </c>
      <c r="AR703" t="s">
        <v>0</v>
      </c>
      <c r="AT703" s="2" t="s">
        <v>126</v>
      </c>
      <c r="AU703" s="1">
        <f t="shared" si="91"/>
        <v>3.0926234216312465</v>
      </c>
      <c r="AV703" s="1">
        <f t="shared" si="92"/>
        <v>2.2144259362060157</v>
      </c>
      <c r="AW703" s="1">
        <f t="shared" si="93"/>
        <v>1.3362284507807847</v>
      </c>
    </row>
    <row r="704" spans="1:49" x14ac:dyDescent="0.2">
      <c r="A704">
        <v>702</v>
      </c>
      <c r="B704" t="s">
        <v>3137</v>
      </c>
      <c r="C704" t="s">
        <v>3136</v>
      </c>
      <c r="F704" t="s">
        <v>3135</v>
      </c>
      <c r="G704" t="s">
        <v>14</v>
      </c>
      <c r="H704" t="s">
        <v>13</v>
      </c>
      <c r="I704" t="s">
        <v>2071</v>
      </c>
      <c r="J704">
        <v>60103653</v>
      </c>
      <c r="K704" t="s">
        <v>2070</v>
      </c>
      <c r="L704" t="s">
        <v>2069</v>
      </c>
      <c r="M704" t="s">
        <v>2068</v>
      </c>
      <c r="N704">
        <v>1</v>
      </c>
      <c r="O704" t="s">
        <v>3134</v>
      </c>
      <c r="P704">
        <v>7004903706</v>
      </c>
      <c r="Q704">
        <v>60103653</v>
      </c>
      <c r="R704" s="7">
        <v>32874</v>
      </c>
      <c r="S704" s="8">
        <f t="shared" si="88"/>
        <v>1990</v>
      </c>
      <c r="T704" s="8">
        <v>1990</v>
      </c>
      <c r="U704" s="8">
        <f t="shared" si="89"/>
        <v>32</v>
      </c>
      <c r="V704" s="7">
        <v>32964</v>
      </c>
      <c r="W704" t="s">
        <v>1152</v>
      </c>
      <c r="X704" s="2">
        <v>0.30399999999999999</v>
      </c>
      <c r="Y704" s="6">
        <f t="shared" si="86"/>
        <v>8.115106377299057E-3</v>
      </c>
      <c r="AA704">
        <v>8952477</v>
      </c>
      <c r="AB704">
        <v>12250</v>
      </c>
      <c r="AC704">
        <v>10982760</v>
      </c>
      <c r="AD704" t="s">
        <v>5</v>
      </c>
      <c r="AE704">
        <v>3</v>
      </c>
      <c r="AF704">
        <v>4</v>
      </c>
      <c r="AH704" t="s">
        <v>3133</v>
      </c>
      <c r="AI704" t="s">
        <v>3132</v>
      </c>
      <c r="AJ704" t="s">
        <v>3131</v>
      </c>
      <c r="AK704" t="s">
        <v>3130</v>
      </c>
      <c r="AL704">
        <v>3</v>
      </c>
      <c r="AM704" s="5">
        <f t="shared" si="90"/>
        <v>9.375E-2</v>
      </c>
      <c r="AN704" s="4">
        <f t="shared" si="87"/>
        <v>1.4199166982203711E-4</v>
      </c>
      <c r="AO704" s="3"/>
      <c r="AP704">
        <v>0</v>
      </c>
      <c r="AR704" t="s">
        <v>0</v>
      </c>
      <c r="AT704" s="2" t="s">
        <v>126</v>
      </c>
      <c r="AU704" s="1">
        <f t="shared" si="91"/>
        <v>0.57231719650559498</v>
      </c>
      <c r="AV704" s="1">
        <f t="shared" si="92"/>
        <v>0.41285490235605471</v>
      </c>
      <c r="AW704" s="1">
        <f t="shared" si="93"/>
        <v>0.25339260820651432</v>
      </c>
    </row>
    <row r="705" spans="1:49" x14ac:dyDescent="0.2">
      <c r="A705">
        <v>703</v>
      </c>
      <c r="B705" t="s">
        <v>3129</v>
      </c>
      <c r="C705" t="s">
        <v>3128</v>
      </c>
      <c r="F705" t="s">
        <v>3127</v>
      </c>
      <c r="G705" t="s">
        <v>14</v>
      </c>
      <c r="H705" t="s">
        <v>13</v>
      </c>
      <c r="I705" t="s">
        <v>3126</v>
      </c>
      <c r="J705">
        <v>60022195</v>
      </c>
      <c r="K705" t="s">
        <v>1666</v>
      </c>
      <c r="L705" t="s">
        <v>1665</v>
      </c>
      <c r="M705" t="s">
        <v>197</v>
      </c>
      <c r="N705">
        <v>1</v>
      </c>
      <c r="O705" t="s">
        <v>3125</v>
      </c>
      <c r="P705">
        <v>6701726484</v>
      </c>
      <c r="Q705">
        <v>60022195</v>
      </c>
      <c r="R705" s="7">
        <v>32874</v>
      </c>
      <c r="S705" s="8">
        <f t="shared" si="88"/>
        <v>1990</v>
      </c>
      <c r="T705" s="8">
        <v>1990</v>
      </c>
      <c r="U705" s="8">
        <f t="shared" si="89"/>
        <v>32</v>
      </c>
      <c r="V705" s="7">
        <v>32964</v>
      </c>
      <c r="W705" t="s">
        <v>2249</v>
      </c>
      <c r="X705" s="2">
        <v>1.6519999999999999</v>
      </c>
      <c r="Y705" s="6">
        <f t="shared" si="86"/>
        <v>4.409919649769093E-2</v>
      </c>
      <c r="AA705" t="s">
        <v>2248</v>
      </c>
      <c r="AB705">
        <v>17337</v>
      </c>
      <c r="AC705">
        <v>15582221</v>
      </c>
      <c r="AD705" t="s">
        <v>5</v>
      </c>
      <c r="AE705">
        <v>38</v>
      </c>
      <c r="AF705">
        <v>4</v>
      </c>
      <c r="AH705" t="s">
        <v>3124</v>
      </c>
      <c r="AI705" t="s">
        <v>3123</v>
      </c>
      <c r="AK705" t="s">
        <v>3122</v>
      </c>
      <c r="AL705">
        <v>13</v>
      </c>
      <c r="AM705" s="5">
        <f t="shared" si="90"/>
        <v>0.40625</v>
      </c>
      <c r="AN705" s="4">
        <f t="shared" si="87"/>
        <v>6.1529723589549411E-4</v>
      </c>
      <c r="AO705" s="3"/>
      <c r="AP705">
        <v>0</v>
      </c>
      <c r="AR705" t="s">
        <v>0</v>
      </c>
      <c r="AT705" s="2" t="s">
        <v>126</v>
      </c>
      <c r="AU705" s="1">
        <f t="shared" si="91"/>
        <v>3.1054026719152299</v>
      </c>
      <c r="AV705" s="1">
        <f t="shared" si="92"/>
        <v>2.2357246866793212</v>
      </c>
      <c r="AW705" s="1">
        <f t="shared" si="93"/>
        <v>1.3660467014434123</v>
      </c>
    </row>
    <row r="706" spans="1:49" x14ac:dyDescent="0.2">
      <c r="A706">
        <v>704</v>
      </c>
      <c r="B706" t="s">
        <v>3121</v>
      </c>
      <c r="C706" t="s">
        <v>3120</v>
      </c>
      <c r="F706" t="s">
        <v>3119</v>
      </c>
      <c r="G706" t="s">
        <v>14</v>
      </c>
      <c r="H706" t="s">
        <v>13</v>
      </c>
      <c r="I706" t="s">
        <v>3118</v>
      </c>
      <c r="J706">
        <v>60072442</v>
      </c>
      <c r="K706" t="s">
        <v>3117</v>
      </c>
      <c r="L706" t="s">
        <v>3116</v>
      </c>
      <c r="M706" t="s">
        <v>536</v>
      </c>
      <c r="N706">
        <v>1</v>
      </c>
      <c r="O706" t="s">
        <v>3115</v>
      </c>
      <c r="P706">
        <v>7006225019</v>
      </c>
      <c r="Q706">
        <v>60072442</v>
      </c>
      <c r="R706" s="7">
        <v>32874</v>
      </c>
      <c r="S706" s="8">
        <f t="shared" si="88"/>
        <v>1990</v>
      </c>
      <c r="T706" s="8">
        <v>1990</v>
      </c>
      <c r="U706" s="8">
        <f t="shared" si="89"/>
        <v>32</v>
      </c>
      <c r="V706" s="7">
        <v>32964</v>
      </c>
      <c r="W706" t="s">
        <v>2249</v>
      </c>
      <c r="X706" s="2">
        <v>1.6519999999999999</v>
      </c>
      <c r="Y706" s="6">
        <f t="shared" ref="Y706:Y769" si="94">(X706-$Z$4)/($Z$3-$Z$4)</f>
        <v>4.409919649769093E-2</v>
      </c>
      <c r="AA706" t="s">
        <v>2248</v>
      </c>
      <c r="AB706">
        <v>17337</v>
      </c>
      <c r="AC706">
        <v>15582221</v>
      </c>
      <c r="AD706" t="s">
        <v>5</v>
      </c>
      <c r="AE706">
        <v>38</v>
      </c>
      <c r="AF706">
        <v>4</v>
      </c>
      <c r="AH706" t="s">
        <v>3114</v>
      </c>
      <c r="AI706" t="s">
        <v>3113</v>
      </c>
      <c r="AK706" t="s">
        <v>3112</v>
      </c>
      <c r="AL706">
        <v>11</v>
      </c>
      <c r="AM706" s="5">
        <f t="shared" si="90"/>
        <v>0.34375</v>
      </c>
      <c r="AN706" s="4">
        <f t="shared" ref="AN706:AN769" si="95">(AM706-$AO$4)/($AO$3-$AO$4)</f>
        <v>5.2063612268080268E-4</v>
      </c>
      <c r="AO706" s="3"/>
      <c r="AP706">
        <v>0</v>
      </c>
      <c r="AR706" t="s">
        <v>0</v>
      </c>
      <c r="AT706" s="2" t="s">
        <v>126</v>
      </c>
      <c r="AU706" s="1">
        <f t="shared" si="91"/>
        <v>3.1025628385187893</v>
      </c>
      <c r="AV706" s="1">
        <f t="shared" si="92"/>
        <v>2.2309916310185867</v>
      </c>
      <c r="AW706" s="1">
        <f t="shared" si="93"/>
        <v>1.359420423518384</v>
      </c>
    </row>
    <row r="707" spans="1:49" x14ac:dyDescent="0.2">
      <c r="A707">
        <v>705</v>
      </c>
      <c r="B707" t="s">
        <v>3111</v>
      </c>
      <c r="C707" t="s">
        <v>3110</v>
      </c>
      <c r="F707" t="s">
        <v>3109</v>
      </c>
      <c r="G707" t="s">
        <v>14</v>
      </c>
      <c r="H707" t="s">
        <v>13</v>
      </c>
      <c r="I707" t="s">
        <v>3108</v>
      </c>
      <c r="N707">
        <v>2</v>
      </c>
      <c r="O707" t="s">
        <v>3107</v>
      </c>
      <c r="P707" t="s">
        <v>3106</v>
      </c>
      <c r="Q707" t="s">
        <v>119</v>
      </c>
      <c r="R707" s="7">
        <v>32874</v>
      </c>
      <c r="S707" s="8">
        <f t="shared" si="88"/>
        <v>1990</v>
      </c>
      <c r="T707" s="8">
        <v>1990</v>
      </c>
      <c r="U707" s="8">
        <f t="shared" si="89"/>
        <v>32</v>
      </c>
      <c r="V707" s="7">
        <v>32964</v>
      </c>
      <c r="W707" t="s">
        <v>1222</v>
      </c>
      <c r="X707" s="2">
        <v>1.6379999999999999</v>
      </c>
      <c r="Y707" s="6">
        <f t="shared" si="94"/>
        <v>4.3725474493473214E-2</v>
      </c>
      <c r="AA707">
        <v>963518</v>
      </c>
      <c r="AB707">
        <v>31560</v>
      </c>
      <c r="AD707" t="s">
        <v>5</v>
      </c>
      <c r="AE707">
        <v>38</v>
      </c>
      <c r="AF707">
        <v>4</v>
      </c>
      <c r="AH707" t="s">
        <v>3105</v>
      </c>
      <c r="AI707" t="s">
        <v>3104</v>
      </c>
      <c r="AK707" t="s">
        <v>3103</v>
      </c>
      <c r="AL707">
        <v>4</v>
      </c>
      <c r="AM707" s="5">
        <f t="shared" si="90"/>
        <v>0.125</v>
      </c>
      <c r="AN707" s="4">
        <f t="shared" si="95"/>
        <v>1.893222264293828E-4</v>
      </c>
      <c r="AO707" s="3"/>
      <c r="AP707">
        <v>0</v>
      </c>
      <c r="AR707" t="s">
        <v>0</v>
      </c>
      <c r="AT707" s="2" t="s">
        <v>126</v>
      </c>
      <c r="AU707" s="1">
        <f t="shared" si="91"/>
        <v>3.0664628813360064</v>
      </c>
      <c r="AV707" s="1">
        <f t="shared" si="92"/>
        <v>2.1957398359951297</v>
      </c>
      <c r="AW707" s="1">
        <f t="shared" si="93"/>
        <v>1.3250167906542532</v>
      </c>
    </row>
    <row r="708" spans="1:49" x14ac:dyDescent="0.2">
      <c r="A708">
        <v>706</v>
      </c>
      <c r="B708" t="s">
        <v>3102</v>
      </c>
      <c r="C708" t="s">
        <v>3101</v>
      </c>
      <c r="F708" t="s">
        <v>3100</v>
      </c>
      <c r="G708" t="s">
        <v>14</v>
      </c>
      <c r="H708" t="s">
        <v>13</v>
      </c>
      <c r="I708" t="s">
        <v>3099</v>
      </c>
      <c r="J708">
        <v>60028186</v>
      </c>
      <c r="K708" t="s">
        <v>3098</v>
      </c>
      <c r="L708" t="s">
        <v>3097</v>
      </c>
      <c r="M708" t="s">
        <v>3096</v>
      </c>
      <c r="N708">
        <v>3</v>
      </c>
      <c r="O708" t="s">
        <v>3095</v>
      </c>
      <c r="P708" t="s">
        <v>3094</v>
      </c>
      <c r="Q708" t="s">
        <v>3093</v>
      </c>
      <c r="R708" s="7">
        <v>32874</v>
      </c>
      <c r="S708" s="8">
        <f t="shared" si="88"/>
        <v>1990</v>
      </c>
      <c r="T708" s="8">
        <v>1990</v>
      </c>
      <c r="U708" s="8">
        <f t="shared" si="89"/>
        <v>32</v>
      </c>
      <c r="V708" s="7" t="s">
        <v>2785</v>
      </c>
      <c r="W708" s="11" t="s">
        <v>1933</v>
      </c>
      <c r="X708" s="2">
        <v>2.383</v>
      </c>
      <c r="Y708" s="6">
        <f t="shared" si="94"/>
        <v>6.3612824003630442E-2</v>
      </c>
      <c r="AA708" t="s">
        <v>1932</v>
      </c>
      <c r="AB708">
        <v>101151</v>
      </c>
      <c r="AD708" t="s">
        <v>5</v>
      </c>
      <c r="AE708">
        <v>137</v>
      </c>
      <c r="AF708">
        <v>2</v>
      </c>
      <c r="AH708" t="s">
        <v>3092</v>
      </c>
      <c r="AI708" t="s">
        <v>3091</v>
      </c>
      <c r="AK708" t="s">
        <v>3090</v>
      </c>
      <c r="AL708">
        <v>0</v>
      </c>
      <c r="AM708" s="5">
        <f t="shared" si="90"/>
        <v>0</v>
      </c>
      <c r="AN708" s="4">
        <f t="shared" si="95"/>
        <v>0</v>
      </c>
      <c r="AO708" s="3"/>
      <c r="AP708">
        <v>0</v>
      </c>
      <c r="AR708" t="s">
        <v>0</v>
      </c>
      <c r="AT708" s="2" t="s">
        <v>126</v>
      </c>
      <c r="AU708" s="1">
        <f t="shared" si="91"/>
        <v>4.4528976802541305</v>
      </c>
      <c r="AV708" s="1">
        <f t="shared" si="92"/>
        <v>3.1806412001815221</v>
      </c>
      <c r="AW708" s="1">
        <f t="shared" si="93"/>
        <v>1.9083847201089132</v>
      </c>
    </row>
    <row r="709" spans="1:49" x14ac:dyDescent="0.2">
      <c r="A709">
        <v>707</v>
      </c>
      <c r="B709" t="s">
        <v>3089</v>
      </c>
      <c r="C709" t="s">
        <v>3088</v>
      </c>
      <c r="F709" t="s">
        <v>3087</v>
      </c>
      <c r="G709" t="s">
        <v>14</v>
      </c>
      <c r="H709" t="s">
        <v>13</v>
      </c>
      <c r="I709" t="s">
        <v>3086</v>
      </c>
      <c r="J709">
        <v>60018208</v>
      </c>
      <c r="K709" t="s">
        <v>3085</v>
      </c>
      <c r="L709" t="s">
        <v>3084</v>
      </c>
      <c r="M709" t="s">
        <v>197</v>
      </c>
      <c r="N709">
        <v>2</v>
      </c>
      <c r="O709" t="s">
        <v>3083</v>
      </c>
      <c r="P709" t="s">
        <v>3082</v>
      </c>
      <c r="Q709" t="s">
        <v>3081</v>
      </c>
      <c r="R709" s="7">
        <v>32874</v>
      </c>
      <c r="S709" s="8">
        <f t="shared" si="88"/>
        <v>1990</v>
      </c>
      <c r="T709" s="8">
        <v>1990</v>
      </c>
      <c r="U709" s="8">
        <f t="shared" si="89"/>
        <v>32</v>
      </c>
      <c r="V709" s="7">
        <v>32964</v>
      </c>
      <c r="W709" t="s">
        <v>2249</v>
      </c>
      <c r="X709" s="2">
        <v>1.6519999999999999</v>
      </c>
      <c r="Y709" s="6">
        <f t="shared" si="94"/>
        <v>4.409919649769093E-2</v>
      </c>
      <c r="AA709" t="s">
        <v>2248</v>
      </c>
      <c r="AB709">
        <v>17337</v>
      </c>
      <c r="AC709">
        <v>15582221</v>
      </c>
      <c r="AD709" t="s">
        <v>5</v>
      </c>
      <c r="AE709">
        <v>38</v>
      </c>
      <c r="AF709">
        <v>4</v>
      </c>
      <c r="AH709" t="s">
        <v>3080</v>
      </c>
      <c r="AI709" t="s">
        <v>3079</v>
      </c>
      <c r="AK709" t="s">
        <v>3078</v>
      </c>
      <c r="AL709">
        <v>4</v>
      </c>
      <c r="AM709" s="5">
        <f t="shared" si="90"/>
        <v>0.125</v>
      </c>
      <c r="AN709" s="4">
        <f t="shared" si="95"/>
        <v>1.893222264293828E-4</v>
      </c>
      <c r="AO709" s="3"/>
      <c r="AP709">
        <v>0</v>
      </c>
      <c r="AR709" t="s">
        <v>0</v>
      </c>
      <c r="AT709" s="2" t="s">
        <v>126</v>
      </c>
      <c r="AU709" s="1">
        <f t="shared" si="91"/>
        <v>3.0926234216312465</v>
      </c>
      <c r="AV709" s="1">
        <f t="shared" si="92"/>
        <v>2.2144259362060157</v>
      </c>
      <c r="AW709" s="1">
        <f t="shared" si="93"/>
        <v>1.3362284507807847</v>
      </c>
    </row>
    <row r="710" spans="1:49" x14ac:dyDescent="0.2">
      <c r="A710">
        <v>708</v>
      </c>
      <c r="B710" t="s">
        <v>3077</v>
      </c>
      <c r="C710" t="s">
        <v>3076</v>
      </c>
      <c r="F710" t="s">
        <v>3075</v>
      </c>
      <c r="G710" t="s">
        <v>14</v>
      </c>
      <c r="H710" t="s">
        <v>13</v>
      </c>
      <c r="I710" t="s">
        <v>2853</v>
      </c>
      <c r="J710" t="s">
        <v>3070</v>
      </c>
      <c r="K710" t="s">
        <v>3074</v>
      </c>
      <c r="L710" t="s">
        <v>3073</v>
      </c>
      <c r="M710" t="s">
        <v>84</v>
      </c>
      <c r="N710">
        <v>2</v>
      </c>
      <c r="O710" t="s">
        <v>3072</v>
      </c>
      <c r="P710" t="s">
        <v>3071</v>
      </c>
      <c r="Q710" t="s">
        <v>3070</v>
      </c>
      <c r="R710" s="7">
        <v>32874</v>
      </c>
      <c r="S710" s="8">
        <f t="shared" si="88"/>
        <v>1990</v>
      </c>
      <c r="T710" s="8">
        <v>1990</v>
      </c>
      <c r="U710" s="8">
        <f t="shared" si="89"/>
        <v>32</v>
      </c>
      <c r="V710" s="7">
        <v>32964</v>
      </c>
      <c r="W710" t="s">
        <v>1309</v>
      </c>
      <c r="X710" s="2">
        <v>1.3720000000000001</v>
      </c>
      <c r="Y710" s="6">
        <f t="shared" si="94"/>
        <v>3.662475641333654E-2</v>
      </c>
      <c r="AA710">
        <v>189480</v>
      </c>
      <c r="AB710">
        <v>17366</v>
      </c>
      <c r="AC710">
        <v>15579670</v>
      </c>
      <c r="AD710" t="s">
        <v>5</v>
      </c>
      <c r="AE710">
        <v>38</v>
      </c>
      <c r="AF710">
        <v>4</v>
      </c>
      <c r="AH710" t="s">
        <v>3069</v>
      </c>
      <c r="AI710" t="s">
        <v>3068</v>
      </c>
      <c r="AK710" t="s">
        <v>3067</v>
      </c>
      <c r="AL710">
        <v>9</v>
      </c>
      <c r="AM710" s="5">
        <f t="shared" si="90"/>
        <v>0.28125</v>
      </c>
      <c r="AN710" s="4">
        <f t="shared" si="95"/>
        <v>4.2597500946611131E-4</v>
      </c>
      <c r="AO710" s="3"/>
      <c r="AP710">
        <v>0</v>
      </c>
      <c r="AR710" t="s">
        <v>0</v>
      </c>
      <c r="AT710" s="2" t="s">
        <v>126</v>
      </c>
      <c r="AU710" s="1">
        <f t="shared" si="91"/>
        <v>2.5765121992175408</v>
      </c>
      <c r="AV710" s="1">
        <f t="shared" si="92"/>
        <v>1.8525365711401325</v>
      </c>
      <c r="AW710" s="1">
        <f t="shared" si="93"/>
        <v>1.1285609430627241</v>
      </c>
    </row>
    <row r="711" spans="1:49" x14ac:dyDescent="0.2">
      <c r="A711">
        <v>709</v>
      </c>
      <c r="B711" t="s">
        <v>3066</v>
      </c>
      <c r="C711" t="s">
        <v>3065</v>
      </c>
      <c r="F711" t="s">
        <v>3064</v>
      </c>
      <c r="G711" t="s">
        <v>14</v>
      </c>
      <c r="H711" t="s">
        <v>13</v>
      </c>
      <c r="I711" t="s">
        <v>3063</v>
      </c>
      <c r="N711">
        <v>1</v>
      </c>
      <c r="O711" t="s">
        <v>3062</v>
      </c>
      <c r="P711">
        <v>6603097681</v>
      </c>
      <c r="R711" s="7">
        <v>32874</v>
      </c>
      <c r="S711" s="8">
        <f t="shared" si="88"/>
        <v>1990</v>
      </c>
      <c r="T711" s="8">
        <v>1990</v>
      </c>
      <c r="U711" s="8">
        <f t="shared" si="89"/>
        <v>32</v>
      </c>
      <c r="V711" s="7">
        <v>32964</v>
      </c>
      <c r="W711" t="s">
        <v>2899</v>
      </c>
      <c r="X711" s="2">
        <v>1.468</v>
      </c>
      <c r="Y711" s="6">
        <f t="shared" si="94"/>
        <v>3.9187421585115186E-2</v>
      </c>
      <c r="AA711">
        <v>906778</v>
      </c>
      <c r="AB711">
        <v>18931</v>
      </c>
      <c r="AD711" t="s">
        <v>5</v>
      </c>
      <c r="AE711">
        <v>38</v>
      </c>
      <c r="AF711">
        <v>4</v>
      </c>
      <c r="AH711" t="s">
        <v>3061</v>
      </c>
      <c r="AI711" t="s">
        <v>3060</v>
      </c>
      <c r="AK711" t="s">
        <v>3059</v>
      </c>
      <c r="AL711">
        <v>37</v>
      </c>
      <c r="AM711" s="5">
        <f t="shared" si="90"/>
        <v>1.15625</v>
      </c>
      <c r="AN711" s="4">
        <f t="shared" si="95"/>
        <v>1.7512305944717909E-3</v>
      </c>
      <c r="AO711" s="3"/>
      <c r="AP711">
        <v>0</v>
      </c>
      <c r="AR711" t="s">
        <v>0</v>
      </c>
      <c r="AT711" s="2">
        <v>5.0830000000000002</v>
      </c>
      <c r="AU711" s="1">
        <f t="shared" si="91"/>
        <v>2.7956564287922165</v>
      </c>
      <c r="AV711" s="1">
        <f t="shared" si="92"/>
        <v>2.0469326089793487</v>
      </c>
      <c r="AW711" s="1">
        <f t="shared" si="93"/>
        <v>1.2982087891664809</v>
      </c>
    </row>
    <row r="712" spans="1:49" x14ac:dyDescent="0.2">
      <c r="A712">
        <v>710</v>
      </c>
      <c r="B712" t="s">
        <v>3058</v>
      </c>
      <c r="C712" t="s">
        <v>3057</v>
      </c>
      <c r="F712" t="s">
        <v>3056</v>
      </c>
      <c r="G712" t="s">
        <v>14</v>
      </c>
      <c r="H712" t="s">
        <v>13</v>
      </c>
      <c r="I712" t="s">
        <v>3055</v>
      </c>
      <c r="J712">
        <v>60025209</v>
      </c>
      <c r="K712" t="s">
        <v>281</v>
      </c>
      <c r="L712" t="s">
        <v>280</v>
      </c>
      <c r="M712" t="s">
        <v>197</v>
      </c>
      <c r="N712">
        <v>1</v>
      </c>
      <c r="O712" t="s">
        <v>3054</v>
      </c>
      <c r="P712">
        <v>6506852433</v>
      </c>
      <c r="Q712">
        <v>60025209</v>
      </c>
      <c r="R712" s="7">
        <v>32874</v>
      </c>
      <c r="S712" s="8">
        <f t="shared" si="88"/>
        <v>1990</v>
      </c>
      <c r="T712" s="8">
        <v>1990</v>
      </c>
      <c r="U712" s="8">
        <f t="shared" si="89"/>
        <v>32</v>
      </c>
      <c r="V712" s="7">
        <v>32964</v>
      </c>
      <c r="W712" t="s">
        <v>2249</v>
      </c>
      <c r="X712" s="2">
        <v>1.6519999999999999</v>
      </c>
      <c r="Y712" s="6">
        <f t="shared" si="94"/>
        <v>4.409919649769093E-2</v>
      </c>
      <c r="AA712" t="s">
        <v>2248</v>
      </c>
      <c r="AB712">
        <v>17337</v>
      </c>
      <c r="AC712">
        <v>15582221</v>
      </c>
      <c r="AD712" t="s">
        <v>5</v>
      </c>
      <c r="AE712">
        <v>38</v>
      </c>
      <c r="AF712">
        <v>4</v>
      </c>
      <c r="AH712" t="s">
        <v>3053</v>
      </c>
      <c r="AI712" t="s">
        <v>3052</v>
      </c>
      <c r="AK712" t="s">
        <v>3051</v>
      </c>
      <c r="AL712">
        <v>2</v>
      </c>
      <c r="AM712" s="5">
        <f t="shared" si="90"/>
        <v>6.25E-2</v>
      </c>
      <c r="AN712" s="4">
        <f t="shared" si="95"/>
        <v>9.46611132146914E-5</v>
      </c>
      <c r="AO712" s="3"/>
      <c r="AP712">
        <v>0</v>
      </c>
      <c r="AR712" t="s">
        <v>0</v>
      </c>
      <c r="AT712" s="2" t="s">
        <v>126</v>
      </c>
      <c r="AU712" s="1">
        <f t="shared" si="91"/>
        <v>3.0897835882348059</v>
      </c>
      <c r="AV712" s="1">
        <f t="shared" si="92"/>
        <v>2.2096928805452811</v>
      </c>
      <c r="AW712" s="1">
        <f t="shared" si="93"/>
        <v>1.3296021728557561</v>
      </c>
    </row>
    <row r="713" spans="1:49" x14ac:dyDescent="0.2">
      <c r="A713">
        <v>711</v>
      </c>
      <c r="B713" t="s">
        <v>3050</v>
      </c>
      <c r="C713" t="s">
        <v>3049</v>
      </c>
      <c r="F713" t="s">
        <v>3048</v>
      </c>
      <c r="G713" t="s">
        <v>14</v>
      </c>
      <c r="H713" t="s">
        <v>13</v>
      </c>
      <c r="I713" t="s">
        <v>3047</v>
      </c>
      <c r="J713">
        <v>60025778</v>
      </c>
      <c r="K713" t="s">
        <v>436</v>
      </c>
      <c r="L713" t="s">
        <v>435</v>
      </c>
      <c r="M713" t="s">
        <v>197</v>
      </c>
      <c r="N713">
        <v>2</v>
      </c>
      <c r="O713" t="s">
        <v>3046</v>
      </c>
      <c r="P713" t="s">
        <v>3045</v>
      </c>
      <c r="Q713" t="s">
        <v>432</v>
      </c>
      <c r="R713" s="7">
        <v>32874</v>
      </c>
      <c r="S713" s="8">
        <f t="shared" si="88"/>
        <v>1990</v>
      </c>
      <c r="T713" s="8">
        <v>1990</v>
      </c>
      <c r="U713" s="8">
        <f t="shared" si="89"/>
        <v>32</v>
      </c>
      <c r="V713" s="7">
        <v>32964</v>
      </c>
      <c r="W713" t="s">
        <v>2249</v>
      </c>
      <c r="X713" s="2">
        <v>1.6519999999999999</v>
      </c>
      <c r="Y713" s="6">
        <f t="shared" si="94"/>
        <v>4.409919649769093E-2</v>
      </c>
      <c r="AA713" t="s">
        <v>2248</v>
      </c>
      <c r="AB713">
        <v>17337</v>
      </c>
      <c r="AC713">
        <v>15582221</v>
      </c>
      <c r="AD713" t="s">
        <v>5</v>
      </c>
      <c r="AE713">
        <v>38</v>
      </c>
      <c r="AF713">
        <v>4</v>
      </c>
      <c r="AH713" t="s">
        <v>3044</v>
      </c>
      <c r="AI713" t="s">
        <v>3043</v>
      </c>
      <c r="AK713" t="s">
        <v>3042</v>
      </c>
      <c r="AL713">
        <v>30</v>
      </c>
      <c r="AM713" s="5">
        <f t="shared" si="90"/>
        <v>0.9375</v>
      </c>
      <c r="AN713" s="4">
        <f t="shared" si="95"/>
        <v>1.4199166982203711E-3</v>
      </c>
      <c r="AO713" s="3"/>
      <c r="AP713">
        <v>0</v>
      </c>
      <c r="AR713" t="s">
        <v>0</v>
      </c>
      <c r="AT713" s="2" t="s">
        <v>126</v>
      </c>
      <c r="AU713" s="1">
        <f t="shared" si="91"/>
        <v>3.129541255784976</v>
      </c>
      <c r="AV713" s="1">
        <f t="shared" si="92"/>
        <v>2.275955659795565</v>
      </c>
      <c r="AW713" s="1">
        <f t="shared" si="93"/>
        <v>1.4223700638061538</v>
      </c>
    </row>
    <row r="714" spans="1:49" x14ac:dyDescent="0.2">
      <c r="A714">
        <v>712</v>
      </c>
      <c r="B714" t="s">
        <v>3041</v>
      </c>
      <c r="C714" t="s">
        <v>3040</v>
      </c>
      <c r="F714" t="s">
        <v>3039</v>
      </c>
      <c r="G714" t="s">
        <v>14</v>
      </c>
      <c r="H714" t="s">
        <v>13</v>
      </c>
      <c r="I714" t="s">
        <v>3038</v>
      </c>
      <c r="J714" t="s">
        <v>3037</v>
      </c>
      <c r="K714" t="s">
        <v>3036</v>
      </c>
      <c r="L714" t="s">
        <v>3035</v>
      </c>
      <c r="M714" t="s">
        <v>1702</v>
      </c>
      <c r="N714">
        <v>5</v>
      </c>
      <c r="O714" t="s">
        <v>3034</v>
      </c>
      <c r="P714" t="s">
        <v>3033</v>
      </c>
      <c r="Q714" t="s">
        <v>3032</v>
      </c>
      <c r="R714" s="7">
        <v>32874</v>
      </c>
      <c r="S714" s="8">
        <f t="shared" si="88"/>
        <v>1990</v>
      </c>
      <c r="T714" s="8">
        <v>1990</v>
      </c>
      <c r="U714" s="8">
        <f t="shared" si="89"/>
        <v>32</v>
      </c>
      <c r="V714" s="7">
        <v>32964</v>
      </c>
      <c r="W714" t="s">
        <v>2109</v>
      </c>
      <c r="X714" s="2">
        <v>0.46</v>
      </c>
      <c r="Y714" s="6">
        <f t="shared" si="94"/>
        <v>1.2279437281439364E-2</v>
      </c>
      <c r="AA714">
        <v>933813</v>
      </c>
      <c r="AB714">
        <v>28031</v>
      </c>
      <c r="AC714">
        <v>19399375</v>
      </c>
      <c r="AD714" t="s">
        <v>5</v>
      </c>
      <c r="AE714">
        <v>18</v>
      </c>
      <c r="AF714">
        <v>2</v>
      </c>
      <c r="AH714" t="s">
        <v>3031</v>
      </c>
      <c r="AI714" t="s">
        <v>3030</v>
      </c>
      <c r="AK714" t="s">
        <v>3029</v>
      </c>
      <c r="AL714">
        <v>5</v>
      </c>
      <c r="AM714" s="5">
        <f t="shared" si="90"/>
        <v>0.15625</v>
      </c>
      <c r="AN714" s="4">
        <f t="shared" si="95"/>
        <v>2.3665278303672851E-4</v>
      </c>
      <c r="AO714" s="3"/>
      <c r="AP714">
        <v>0</v>
      </c>
      <c r="AQ714" t="s">
        <v>3028</v>
      </c>
      <c r="AR714" t="s">
        <v>3027</v>
      </c>
      <c r="AS714" t="s">
        <v>3026</v>
      </c>
      <c r="AT714" s="2">
        <v>1.222</v>
      </c>
      <c r="AU714" s="1">
        <f t="shared" si="91"/>
        <v>0.86666019319185716</v>
      </c>
      <c r="AV714" s="1">
        <f t="shared" si="92"/>
        <v>0.62580450322380454</v>
      </c>
      <c r="AW714" s="1">
        <f t="shared" si="93"/>
        <v>0.38494881325575192</v>
      </c>
    </row>
    <row r="715" spans="1:49" x14ac:dyDescent="0.2">
      <c r="A715">
        <v>713</v>
      </c>
      <c r="B715" t="s">
        <v>3025</v>
      </c>
      <c r="C715" t="s">
        <v>3024</v>
      </c>
      <c r="F715" t="s">
        <v>3023</v>
      </c>
      <c r="G715" t="s">
        <v>14</v>
      </c>
      <c r="H715" t="s">
        <v>13</v>
      </c>
      <c r="I715" t="s">
        <v>3022</v>
      </c>
      <c r="J715">
        <v>60013894</v>
      </c>
      <c r="K715" t="s">
        <v>3021</v>
      </c>
      <c r="L715" t="s">
        <v>684</v>
      </c>
      <c r="M715" t="s">
        <v>197</v>
      </c>
      <c r="N715">
        <v>1</v>
      </c>
      <c r="O715" t="s">
        <v>3020</v>
      </c>
      <c r="P715">
        <v>7006061921</v>
      </c>
      <c r="Q715">
        <v>60013894</v>
      </c>
      <c r="R715" s="7">
        <v>32874</v>
      </c>
      <c r="S715" s="8">
        <f t="shared" si="88"/>
        <v>1990</v>
      </c>
      <c r="T715" s="8">
        <v>1990</v>
      </c>
      <c r="U715" s="8">
        <f t="shared" si="89"/>
        <v>32</v>
      </c>
      <c r="V715" s="7" t="s">
        <v>2785</v>
      </c>
      <c r="W715" s="11" t="s">
        <v>1933</v>
      </c>
      <c r="X715" s="2">
        <v>2.383</v>
      </c>
      <c r="Y715" s="6">
        <f t="shared" si="94"/>
        <v>6.3612824003630442E-2</v>
      </c>
      <c r="AA715" t="s">
        <v>1932</v>
      </c>
      <c r="AB715">
        <v>101151</v>
      </c>
      <c r="AD715" t="s">
        <v>5</v>
      </c>
      <c r="AE715">
        <v>137</v>
      </c>
      <c r="AF715">
        <v>2</v>
      </c>
      <c r="AH715" t="s">
        <v>3019</v>
      </c>
      <c r="AI715" t="s">
        <v>3018</v>
      </c>
      <c r="AK715" t="s">
        <v>3017</v>
      </c>
      <c r="AL715">
        <v>3</v>
      </c>
      <c r="AM715" s="5">
        <f t="shared" si="90"/>
        <v>9.375E-2</v>
      </c>
      <c r="AN715" s="4">
        <f t="shared" si="95"/>
        <v>1.4199166982203711E-4</v>
      </c>
      <c r="AO715" s="3"/>
      <c r="AP715">
        <v>0</v>
      </c>
      <c r="AR715" t="s">
        <v>0</v>
      </c>
      <c r="AT715" s="2" t="s">
        <v>126</v>
      </c>
      <c r="AU715" s="1">
        <f t="shared" si="91"/>
        <v>4.4571574303487917</v>
      </c>
      <c r="AV715" s="1">
        <f t="shared" si="92"/>
        <v>3.1877407836726239</v>
      </c>
      <c r="AW715" s="1">
        <f t="shared" si="93"/>
        <v>1.9183241369964559</v>
      </c>
    </row>
    <row r="716" spans="1:49" x14ac:dyDescent="0.2">
      <c r="A716">
        <v>714</v>
      </c>
      <c r="B716" t="s">
        <v>3016</v>
      </c>
      <c r="C716" t="s">
        <v>3015</v>
      </c>
      <c r="F716" t="s">
        <v>3014</v>
      </c>
      <c r="G716" t="s">
        <v>14</v>
      </c>
      <c r="H716" t="s">
        <v>13</v>
      </c>
      <c r="I716" t="s">
        <v>2196</v>
      </c>
      <c r="J716">
        <v>60025779</v>
      </c>
      <c r="K716" t="s">
        <v>1131</v>
      </c>
      <c r="L716" t="s">
        <v>1130</v>
      </c>
      <c r="M716" t="s">
        <v>253</v>
      </c>
      <c r="N716">
        <v>3</v>
      </c>
      <c r="O716" t="s">
        <v>2191</v>
      </c>
      <c r="P716" t="s">
        <v>2190</v>
      </c>
      <c r="Q716" t="s">
        <v>1947</v>
      </c>
      <c r="R716" s="7">
        <v>32874</v>
      </c>
      <c r="S716" s="8">
        <f t="shared" si="88"/>
        <v>1990</v>
      </c>
      <c r="T716" s="8">
        <v>1990</v>
      </c>
      <c r="U716" s="8">
        <f t="shared" si="89"/>
        <v>32</v>
      </c>
      <c r="V716" s="7" t="s">
        <v>2785</v>
      </c>
      <c r="W716" s="11" t="s">
        <v>1933</v>
      </c>
      <c r="X716" s="2">
        <v>2.383</v>
      </c>
      <c r="Y716" s="6">
        <f t="shared" si="94"/>
        <v>6.3612824003630442E-2</v>
      </c>
      <c r="AA716" t="s">
        <v>1932</v>
      </c>
      <c r="AB716">
        <v>101151</v>
      </c>
      <c r="AD716" t="s">
        <v>5</v>
      </c>
      <c r="AE716">
        <v>137</v>
      </c>
      <c r="AF716">
        <v>2</v>
      </c>
      <c r="AH716" t="s">
        <v>3013</v>
      </c>
      <c r="AI716" t="s">
        <v>3012</v>
      </c>
      <c r="AK716" t="s">
        <v>3011</v>
      </c>
      <c r="AL716">
        <v>6</v>
      </c>
      <c r="AM716" s="5">
        <f t="shared" si="90"/>
        <v>0.1875</v>
      </c>
      <c r="AN716" s="4">
        <f t="shared" si="95"/>
        <v>2.8398333964407423E-4</v>
      </c>
      <c r="AO716" s="3"/>
      <c r="AP716">
        <v>0</v>
      </c>
      <c r="AR716" t="s">
        <v>0</v>
      </c>
      <c r="AT716" s="2" t="s">
        <v>126</v>
      </c>
      <c r="AU716" s="1">
        <f t="shared" si="91"/>
        <v>4.461417180443453</v>
      </c>
      <c r="AV716" s="1">
        <f t="shared" si="92"/>
        <v>3.1948403671637262</v>
      </c>
      <c r="AW716" s="1">
        <f t="shared" si="93"/>
        <v>1.9282635538839985</v>
      </c>
    </row>
    <row r="717" spans="1:49" x14ac:dyDescent="0.2">
      <c r="A717">
        <v>715</v>
      </c>
      <c r="B717" t="s">
        <v>3010</v>
      </c>
      <c r="C717" t="s">
        <v>3009</v>
      </c>
      <c r="F717" t="s">
        <v>3008</v>
      </c>
      <c r="G717" t="s">
        <v>14</v>
      </c>
      <c r="H717" t="s">
        <v>13</v>
      </c>
      <c r="I717" t="s">
        <v>3007</v>
      </c>
      <c r="J717">
        <v>60000745</v>
      </c>
      <c r="K717" t="s">
        <v>2214</v>
      </c>
      <c r="L717" t="s">
        <v>2213</v>
      </c>
      <c r="M717" t="s">
        <v>197</v>
      </c>
      <c r="N717">
        <v>3</v>
      </c>
      <c r="O717" t="s">
        <v>3006</v>
      </c>
      <c r="P717" t="s">
        <v>3005</v>
      </c>
      <c r="Q717" t="s">
        <v>2409</v>
      </c>
      <c r="R717" s="7">
        <v>32874</v>
      </c>
      <c r="S717" s="8">
        <f t="shared" si="88"/>
        <v>1990</v>
      </c>
      <c r="T717" s="8">
        <v>1990</v>
      </c>
      <c r="U717" s="8">
        <f t="shared" si="89"/>
        <v>32</v>
      </c>
      <c r="V717" s="7">
        <v>32964</v>
      </c>
      <c r="W717" t="s">
        <v>2249</v>
      </c>
      <c r="X717" s="2">
        <v>1.6519999999999999</v>
      </c>
      <c r="Y717" s="6">
        <f t="shared" si="94"/>
        <v>4.409919649769093E-2</v>
      </c>
      <c r="AA717" t="s">
        <v>2248</v>
      </c>
      <c r="AB717">
        <v>17337</v>
      </c>
      <c r="AC717">
        <v>15582221</v>
      </c>
      <c r="AD717" t="s">
        <v>5</v>
      </c>
      <c r="AE717">
        <v>38</v>
      </c>
      <c r="AF717">
        <v>4</v>
      </c>
      <c r="AH717" t="s">
        <v>3004</v>
      </c>
      <c r="AI717" t="s">
        <v>3003</v>
      </c>
      <c r="AK717" t="s">
        <v>3002</v>
      </c>
      <c r="AL717">
        <v>12</v>
      </c>
      <c r="AM717" s="5">
        <f t="shared" si="90"/>
        <v>0.375</v>
      </c>
      <c r="AN717" s="4">
        <f t="shared" si="95"/>
        <v>5.6796667928814845E-4</v>
      </c>
      <c r="AO717" s="3"/>
      <c r="AP717">
        <v>0</v>
      </c>
      <c r="AR717" t="s">
        <v>0</v>
      </c>
      <c r="AT717" s="2" t="s">
        <v>126</v>
      </c>
      <c r="AU717" s="1">
        <f t="shared" si="91"/>
        <v>3.1039827552170092</v>
      </c>
      <c r="AV717" s="1">
        <f t="shared" si="92"/>
        <v>2.2333581588489539</v>
      </c>
      <c r="AW717" s="1">
        <f t="shared" si="93"/>
        <v>1.3627335624808981</v>
      </c>
    </row>
    <row r="718" spans="1:49" x14ac:dyDescent="0.2">
      <c r="A718">
        <v>716</v>
      </c>
      <c r="B718" t="s">
        <v>3001</v>
      </c>
      <c r="C718" t="s">
        <v>3000</v>
      </c>
      <c r="F718" t="s">
        <v>2999</v>
      </c>
      <c r="G718" t="s">
        <v>14</v>
      </c>
      <c r="H718" t="s">
        <v>13</v>
      </c>
      <c r="I718" t="s">
        <v>2998</v>
      </c>
      <c r="J718">
        <v>60003424</v>
      </c>
      <c r="K718" t="s">
        <v>2891</v>
      </c>
      <c r="L718" t="s">
        <v>2890</v>
      </c>
      <c r="M718" t="s">
        <v>197</v>
      </c>
      <c r="N718">
        <v>1</v>
      </c>
      <c r="O718" t="s">
        <v>2889</v>
      </c>
      <c r="P718">
        <v>7202192285</v>
      </c>
      <c r="Q718">
        <v>60003424</v>
      </c>
      <c r="R718" s="7">
        <v>32874</v>
      </c>
      <c r="S718" s="8">
        <f t="shared" si="88"/>
        <v>1990</v>
      </c>
      <c r="T718" s="8">
        <v>1990</v>
      </c>
      <c r="U718" s="8">
        <f t="shared" si="89"/>
        <v>32</v>
      </c>
      <c r="V718" s="7">
        <v>32964</v>
      </c>
      <c r="W718" t="s">
        <v>38</v>
      </c>
      <c r="X718" s="2">
        <v>0.251</v>
      </c>
      <c r="Y718" s="6">
        <f t="shared" si="94"/>
        <v>6.7003016470462617E-3</v>
      </c>
      <c r="AA718">
        <v>207217</v>
      </c>
      <c r="AB718">
        <v>26145</v>
      </c>
      <c r="AC718">
        <v>13623060</v>
      </c>
      <c r="AD718" t="s">
        <v>5</v>
      </c>
      <c r="AE718">
        <v>68</v>
      </c>
      <c r="AF718">
        <v>4</v>
      </c>
      <c r="AH718" t="s">
        <v>2997</v>
      </c>
      <c r="AI718" t="s">
        <v>2996</v>
      </c>
      <c r="AK718" t="s">
        <v>2995</v>
      </c>
      <c r="AL718">
        <v>0</v>
      </c>
      <c r="AM718" s="5">
        <f t="shared" si="90"/>
        <v>0</v>
      </c>
      <c r="AN718" s="4">
        <f t="shared" si="95"/>
        <v>0</v>
      </c>
      <c r="AO718" s="3"/>
      <c r="AP718">
        <v>0</v>
      </c>
      <c r="AQ718" t="s">
        <v>1454</v>
      </c>
      <c r="AR718" t="s">
        <v>2885</v>
      </c>
      <c r="AS718" t="s">
        <v>1452</v>
      </c>
      <c r="AT718" s="2">
        <v>1.3360000000000001</v>
      </c>
      <c r="AU718" s="1">
        <f t="shared" si="91"/>
        <v>0.46902111529323826</v>
      </c>
      <c r="AV718" s="1">
        <f t="shared" si="92"/>
        <v>0.33501508235231309</v>
      </c>
      <c r="AW718" s="1">
        <f t="shared" si="93"/>
        <v>0.20100904941138784</v>
      </c>
    </row>
    <row r="719" spans="1:49" x14ac:dyDescent="0.2">
      <c r="A719">
        <v>717</v>
      </c>
      <c r="B719" t="s">
        <v>2994</v>
      </c>
      <c r="C719" t="s">
        <v>2993</v>
      </c>
      <c r="F719" t="s">
        <v>2992</v>
      </c>
      <c r="G719" t="s">
        <v>14</v>
      </c>
      <c r="H719" t="s">
        <v>13</v>
      </c>
      <c r="I719" t="s">
        <v>2991</v>
      </c>
      <c r="J719" t="s">
        <v>2990</v>
      </c>
      <c r="K719" t="s">
        <v>2989</v>
      </c>
      <c r="L719" t="s">
        <v>2988</v>
      </c>
      <c r="M719" t="s">
        <v>84</v>
      </c>
      <c r="N719">
        <v>3</v>
      </c>
      <c r="O719" t="s">
        <v>2987</v>
      </c>
      <c r="P719" t="s">
        <v>2986</v>
      </c>
      <c r="Q719" t="s">
        <v>2985</v>
      </c>
      <c r="R719" s="7">
        <v>32874</v>
      </c>
      <c r="S719" s="8">
        <f t="shared" si="88"/>
        <v>1990</v>
      </c>
      <c r="T719" s="8">
        <v>1990</v>
      </c>
      <c r="U719" s="8">
        <f t="shared" si="89"/>
        <v>32</v>
      </c>
      <c r="V719" s="7">
        <v>32964</v>
      </c>
      <c r="W719" t="s">
        <v>1458</v>
      </c>
      <c r="X719" s="2">
        <v>2.383</v>
      </c>
      <c r="Y719" s="6">
        <f t="shared" si="94"/>
        <v>6.3612824003630442E-2</v>
      </c>
      <c r="AA719">
        <v>189219</v>
      </c>
      <c r="AB719">
        <v>17915</v>
      </c>
      <c r="AC719">
        <v>15582256</v>
      </c>
      <c r="AD719" t="s">
        <v>5</v>
      </c>
      <c r="AE719">
        <v>78</v>
      </c>
      <c r="AF719">
        <v>4</v>
      </c>
      <c r="AH719" t="s">
        <v>2984</v>
      </c>
      <c r="AI719" t="s">
        <v>2983</v>
      </c>
      <c r="AK719" t="s">
        <v>2982</v>
      </c>
      <c r="AL719">
        <v>206</v>
      </c>
      <c r="AM719" s="5">
        <f t="shared" si="90"/>
        <v>6.4375</v>
      </c>
      <c r="AN719" s="4">
        <f t="shared" si="95"/>
        <v>9.7500946611132153E-3</v>
      </c>
      <c r="AO719" s="3"/>
      <c r="AP719">
        <v>0</v>
      </c>
      <c r="AR719" t="s">
        <v>0</v>
      </c>
      <c r="AT719" s="2">
        <v>10.961</v>
      </c>
      <c r="AU719" s="1">
        <f t="shared" si="91"/>
        <v>4.7454005200875278</v>
      </c>
      <c r="AV719" s="1">
        <f t="shared" si="92"/>
        <v>3.6681459332371831</v>
      </c>
      <c r="AW719" s="1">
        <f t="shared" si="93"/>
        <v>2.5908913463868384</v>
      </c>
    </row>
    <row r="720" spans="1:49" x14ac:dyDescent="0.2">
      <c r="A720">
        <v>718</v>
      </c>
      <c r="B720" t="s">
        <v>2981</v>
      </c>
      <c r="C720" t="s">
        <v>2980</v>
      </c>
      <c r="F720" t="s">
        <v>2979</v>
      </c>
      <c r="G720" t="s">
        <v>14</v>
      </c>
      <c r="H720" t="s">
        <v>13</v>
      </c>
      <c r="I720" t="s">
        <v>2978</v>
      </c>
      <c r="J720">
        <v>60005837</v>
      </c>
      <c r="K720" t="s">
        <v>2977</v>
      </c>
      <c r="L720" t="s">
        <v>640</v>
      </c>
      <c r="M720" t="s">
        <v>197</v>
      </c>
      <c r="N720">
        <v>2</v>
      </c>
      <c r="O720" t="s">
        <v>2976</v>
      </c>
      <c r="P720" t="s">
        <v>2975</v>
      </c>
      <c r="Q720" t="s">
        <v>2974</v>
      </c>
      <c r="R720" s="7">
        <v>32874</v>
      </c>
      <c r="S720" s="8">
        <f t="shared" si="88"/>
        <v>1990</v>
      </c>
      <c r="T720" s="8">
        <v>1990</v>
      </c>
      <c r="U720" s="8">
        <f t="shared" si="89"/>
        <v>32</v>
      </c>
      <c r="V720" s="7">
        <v>32964</v>
      </c>
      <c r="W720" t="s">
        <v>2249</v>
      </c>
      <c r="X720" s="2">
        <v>1.6519999999999999</v>
      </c>
      <c r="Y720" s="6">
        <f t="shared" si="94"/>
        <v>4.409919649769093E-2</v>
      </c>
      <c r="AA720" t="s">
        <v>2248</v>
      </c>
      <c r="AB720">
        <v>17337</v>
      </c>
      <c r="AC720">
        <v>15582221</v>
      </c>
      <c r="AD720" t="s">
        <v>5</v>
      </c>
      <c r="AE720">
        <v>38</v>
      </c>
      <c r="AF720">
        <v>4</v>
      </c>
      <c r="AH720" t="s">
        <v>2973</v>
      </c>
      <c r="AI720" t="s">
        <v>2972</v>
      </c>
      <c r="AK720" t="s">
        <v>2971</v>
      </c>
      <c r="AL720">
        <v>101</v>
      </c>
      <c r="AM720" s="5">
        <f t="shared" si="90"/>
        <v>3.15625</v>
      </c>
      <c r="AN720" s="4">
        <f t="shared" si="95"/>
        <v>4.7803862173419163E-3</v>
      </c>
      <c r="AO720" s="3"/>
      <c r="AP720">
        <v>0</v>
      </c>
      <c r="AR720" t="s">
        <v>0</v>
      </c>
      <c r="AT720" s="2" t="s">
        <v>126</v>
      </c>
      <c r="AU720" s="1">
        <f t="shared" si="91"/>
        <v>3.2303553413586226</v>
      </c>
      <c r="AV720" s="1">
        <f t="shared" si="92"/>
        <v>2.4439791357516421</v>
      </c>
      <c r="AW720" s="1">
        <f t="shared" si="93"/>
        <v>1.657602930144662</v>
      </c>
    </row>
    <row r="721" spans="1:49" x14ac:dyDescent="0.2">
      <c r="A721">
        <v>719</v>
      </c>
      <c r="B721" t="s">
        <v>2970</v>
      </c>
      <c r="C721" t="s">
        <v>2969</v>
      </c>
      <c r="F721" t="s">
        <v>2968</v>
      </c>
      <c r="G721" t="s">
        <v>14</v>
      </c>
      <c r="H721" t="s">
        <v>13</v>
      </c>
      <c r="I721" t="s">
        <v>2967</v>
      </c>
      <c r="J721">
        <v>60024232</v>
      </c>
      <c r="K721" t="s">
        <v>2966</v>
      </c>
      <c r="L721" t="s">
        <v>2965</v>
      </c>
      <c r="M721" t="s">
        <v>357</v>
      </c>
      <c r="N721">
        <v>3</v>
      </c>
      <c r="O721" t="s">
        <v>2964</v>
      </c>
      <c r="P721" t="s">
        <v>2963</v>
      </c>
      <c r="Q721" t="s">
        <v>2962</v>
      </c>
      <c r="R721" s="7">
        <v>32874</v>
      </c>
      <c r="S721" s="8">
        <f t="shared" si="88"/>
        <v>1990</v>
      </c>
      <c r="T721" s="8">
        <v>1990</v>
      </c>
      <c r="U721" s="8">
        <f t="shared" si="89"/>
        <v>32</v>
      </c>
      <c r="V721" s="7">
        <v>32964</v>
      </c>
      <c r="W721" t="s">
        <v>1152</v>
      </c>
      <c r="X721" s="2">
        <v>0.30399999999999999</v>
      </c>
      <c r="Y721" s="6">
        <f t="shared" si="94"/>
        <v>8.115106377299057E-3</v>
      </c>
      <c r="AA721">
        <v>8952477</v>
      </c>
      <c r="AB721">
        <v>12250</v>
      </c>
      <c r="AC721">
        <v>10982760</v>
      </c>
      <c r="AD721" t="s">
        <v>5</v>
      </c>
      <c r="AE721">
        <v>3</v>
      </c>
      <c r="AF721">
        <v>4</v>
      </c>
      <c r="AH721" t="s">
        <v>2961</v>
      </c>
      <c r="AI721" t="s">
        <v>2960</v>
      </c>
      <c r="AJ721" t="s">
        <v>2959</v>
      </c>
      <c r="AK721" t="s">
        <v>2958</v>
      </c>
      <c r="AL721">
        <v>1</v>
      </c>
      <c r="AM721" s="5">
        <f t="shared" si="90"/>
        <v>3.125E-2</v>
      </c>
      <c r="AN721" s="4">
        <f t="shared" si="95"/>
        <v>4.73305566073457E-5</v>
      </c>
      <c r="AO721" s="3"/>
      <c r="AP721">
        <v>0</v>
      </c>
      <c r="AR721" t="s">
        <v>0</v>
      </c>
      <c r="AT721" s="2" t="s">
        <v>126</v>
      </c>
      <c r="AU721" s="1">
        <f t="shared" si="91"/>
        <v>0.56947736310915431</v>
      </c>
      <c r="AV721" s="1">
        <f t="shared" si="92"/>
        <v>0.40812184669532009</v>
      </c>
      <c r="AW721" s="1">
        <f t="shared" si="93"/>
        <v>0.24676633028148592</v>
      </c>
    </row>
    <row r="722" spans="1:49" x14ac:dyDescent="0.2">
      <c r="A722">
        <v>720</v>
      </c>
      <c r="B722" t="s">
        <v>2957</v>
      </c>
      <c r="C722" t="s">
        <v>2956</v>
      </c>
      <c r="F722" t="s">
        <v>2955</v>
      </c>
      <c r="G722" t="s">
        <v>14</v>
      </c>
      <c r="H722" t="s">
        <v>13</v>
      </c>
      <c r="I722" t="s">
        <v>2954</v>
      </c>
      <c r="J722" t="s">
        <v>2953</v>
      </c>
      <c r="K722" t="s">
        <v>2952</v>
      </c>
      <c r="L722" t="s">
        <v>2951</v>
      </c>
      <c r="M722" t="s">
        <v>2950</v>
      </c>
      <c r="N722">
        <v>8</v>
      </c>
      <c r="O722" t="s">
        <v>2949</v>
      </c>
      <c r="P722" t="s">
        <v>2948</v>
      </c>
      <c r="Q722" t="s">
        <v>2947</v>
      </c>
      <c r="R722" s="7">
        <v>32874</v>
      </c>
      <c r="S722" s="8">
        <f t="shared" si="88"/>
        <v>1990</v>
      </c>
      <c r="T722" s="8">
        <v>1990</v>
      </c>
      <c r="U722" s="8">
        <f t="shared" si="89"/>
        <v>32</v>
      </c>
      <c r="V722" s="7">
        <v>32964</v>
      </c>
      <c r="W722" t="s">
        <v>1844</v>
      </c>
      <c r="X722" s="2">
        <v>1.774</v>
      </c>
      <c r="Y722" s="6">
        <f t="shared" si="94"/>
        <v>4.7355916820159633E-2</v>
      </c>
      <c r="AA722">
        <v>295515</v>
      </c>
      <c r="AB722">
        <v>29066</v>
      </c>
      <c r="AC722">
        <v>17414326</v>
      </c>
      <c r="AD722" t="s">
        <v>5</v>
      </c>
      <c r="AE722">
        <v>30</v>
      </c>
      <c r="AF722">
        <v>4</v>
      </c>
      <c r="AH722" t="s">
        <v>2946</v>
      </c>
      <c r="AI722" t="s">
        <v>2945</v>
      </c>
      <c r="AK722" t="s">
        <v>2944</v>
      </c>
      <c r="AL722">
        <v>40</v>
      </c>
      <c r="AM722" s="5">
        <f t="shared" si="90"/>
        <v>1.25</v>
      </c>
      <c r="AN722" s="4">
        <f t="shared" si="95"/>
        <v>1.8932222642938281E-3</v>
      </c>
      <c r="AO722" s="3"/>
      <c r="AP722">
        <v>0</v>
      </c>
      <c r="AR722" t="s">
        <v>0</v>
      </c>
      <c r="AT722" s="2">
        <v>3.1789999999999998</v>
      </c>
      <c r="AU722" s="1">
        <f t="shared" si="91"/>
        <v>3.3717108453399889</v>
      </c>
      <c r="AV722" s="1">
        <f t="shared" si="92"/>
        <v>2.4624569542226733</v>
      </c>
      <c r="AW722" s="1">
        <f t="shared" si="93"/>
        <v>1.5532030631053568</v>
      </c>
    </row>
    <row r="723" spans="1:49" x14ac:dyDescent="0.2">
      <c r="A723">
        <v>721</v>
      </c>
      <c r="B723" t="s">
        <v>2943</v>
      </c>
      <c r="C723" t="s">
        <v>2942</v>
      </c>
      <c r="F723" t="s">
        <v>2941</v>
      </c>
      <c r="G723" t="s">
        <v>14</v>
      </c>
      <c r="H723" t="s">
        <v>13</v>
      </c>
      <c r="I723" t="s">
        <v>2940</v>
      </c>
      <c r="J723">
        <v>116292100</v>
      </c>
      <c r="K723" t="s">
        <v>2939</v>
      </c>
      <c r="M723" t="s">
        <v>854</v>
      </c>
      <c r="N723">
        <v>11</v>
      </c>
      <c r="O723" t="s">
        <v>2938</v>
      </c>
      <c r="P723" t="s">
        <v>2937</v>
      </c>
      <c r="Q723" t="s">
        <v>2936</v>
      </c>
      <c r="R723" s="7">
        <v>32874</v>
      </c>
      <c r="S723" s="8">
        <f t="shared" si="88"/>
        <v>1990</v>
      </c>
      <c r="T723" s="8">
        <v>1990</v>
      </c>
      <c r="U723" s="8">
        <f t="shared" si="89"/>
        <v>32</v>
      </c>
      <c r="V723" s="7">
        <v>32964</v>
      </c>
      <c r="W723" t="s">
        <v>1844</v>
      </c>
      <c r="X723" s="2">
        <v>1.774</v>
      </c>
      <c r="Y723" s="6">
        <f t="shared" si="94"/>
        <v>4.7355916820159633E-2</v>
      </c>
      <c r="AA723">
        <v>295515</v>
      </c>
      <c r="AB723">
        <v>29066</v>
      </c>
      <c r="AC723">
        <v>17414326</v>
      </c>
      <c r="AD723" t="s">
        <v>5</v>
      </c>
      <c r="AE723">
        <v>30</v>
      </c>
      <c r="AF723">
        <v>4</v>
      </c>
      <c r="AH723" t="s">
        <v>2935</v>
      </c>
      <c r="AI723" t="s">
        <v>2934</v>
      </c>
      <c r="AK723" t="s">
        <v>2933</v>
      </c>
      <c r="AL723">
        <v>1</v>
      </c>
      <c r="AM723" s="5">
        <f t="shared" si="90"/>
        <v>3.125E-2</v>
      </c>
      <c r="AN723" s="4">
        <f t="shared" si="95"/>
        <v>4.73305566073457E-5</v>
      </c>
      <c r="AO723" s="3"/>
      <c r="AP723">
        <v>0</v>
      </c>
      <c r="AR723" t="s">
        <v>0</v>
      </c>
      <c r="AT723" s="2">
        <v>3.1789999999999998</v>
      </c>
      <c r="AU723" s="1">
        <f t="shared" si="91"/>
        <v>3.3163340941093944</v>
      </c>
      <c r="AV723" s="1">
        <f t="shared" si="92"/>
        <v>2.3701623688383489</v>
      </c>
      <c r="AW723" s="1">
        <f t="shared" si="93"/>
        <v>1.4239906435673031</v>
      </c>
    </row>
    <row r="724" spans="1:49" x14ac:dyDescent="0.2">
      <c r="A724">
        <v>722</v>
      </c>
      <c r="B724" t="s">
        <v>2932</v>
      </c>
      <c r="C724" t="s">
        <v>2931</v>
      </c>
      <c r="F724" t="s">
        <v>2930</v>
      </c>
      <c r="G724" t="s">
        <v>14</v>
      </c>
      <c r="H724" t="s">
        <v>13</v>
      </c>
      <c r="I724" t="s">
        <v>2929</v>
      </c>
      <c r="J724" t="s">
        <v>2928</v>
      </c>
      <c r="K724" t="s">
        <v>2927</v>
      </c>
      <c r="L724" t="s">
        <v>2926</v>
      </c>
      <c r="M724" t="s">
        <v>84</v>
      </c>
      <c r="N724">
        <v>2</v>
      </c>
      <c r="O724" t="s">
        <v>2925</v>
      </c>
      <c r="P724" t="s">
        <v>2924</v>
      </c>
      <c r="Q724" t="s">
        <v>2923</v>
      </c>
      <c r="R724" s="7">
        <v>32874</v>
      </c>
      <c r="S724" s="8">
        <f t="shared" si="88"/>
        <v>1990</v>
      </c>
      <c r="T724" s="8">
        <v>1990</v>
      </c>
      <c r="U724" s="8">
        <f t="shared" si="89"/>
        <v>32</v>
      </c>
      <c r="V724" s="7">
        <v>32964</v>
      </c>
      <c r="W724" t="s">
        <v>2249</v>
      </c>
      <c r="X724" s="2">
        <v>1.6519999999999999</v>
      </c>
      <c r="Y724" s="6">
        <f t="shared" si="94"/>
        <v>4.409919649769093E-2</v>
      </c>
      <c r="AA724" t="s">
        <v>2248</v>
      </c>
      <c r="AB724">
        <v>17337</v>
      </c>
      <c r="AC724">
        <v>15582221</v>
      </c>
      <c r="AD724" t="s">
        <v>5</v>
      </c>
      <c r="AE724">
        <v>38</v>
      </c>
      <c r="AF724">
        <v>4</v>
      </c>
      <c r="AH724" t="s">
        <v>2922</v>
      </c>
      <c r="AI724" t="s">
        <v>2921</v>
      </c>
      <c r="AK724" t="s">
        <v>2920</v>
      </c>
      <c r="AL724">
        <v>31</v>
      </c>
      <c r="AM724" s="5">
        <f t="shared" si="90"/>
        <v>0.96875</v>
      </c>
      <c r="AN724" s="4">
        <f t="shared" si="95"/>
        <v>1.4672472548277167E-3</v>
      </c>
      <c r="AO724" s="3"/>
      <c r="AP724">
        <v>0</v>
      </c>
      <c r="AR724" t="s">
        <v>0</v>
      </c>
      <c r="AT724" s="2" t="s">
        <v>126</v>
      </c>
      <c r="AU724" s="1">
        <f t="shared" si="91"/>
        <v>3.1309611724831967</v>
      </c>
      <c r="AV724" s="1">
        <f t="shared" si="92"/>
        <v>2.2783221876259323</v>
      </c>
      <c r="AW724" s="1">
        <f t="shared" si="93"/>
        <v>1.4256832027686679</v>
      </c>
    </row>
    <row r="725" spans="1:49" x14ac:dyDescent="0.2">
      <c r="A725">
        <v>723</v>
      </c>
      <c r="B725" t="s">
        <v>2919</v>
      </c>
      <c r="C725" t="s">
        <v>2918</v>
      </c>
      <c r="F725" t="s">
        <v>2917</v>
      </c>
      <c r="G725" t="s">
        <v>14</v>
      </c>
      <c r="H725" t="s">
        <v>13</v>
      </c>
      <c r="I725" t="s">
        <v>2916</v>
      </c>
      <c r="J725" t="s">
        <v>2915</v>
      </c>
      <c r="K725" t="s">
        <v>2914</v>
      </c>
      <c r="L725" t="s">
        <v>2913</v>
      </c>
      <c r="M725" t="s">
        <v>2912</v>
      </c>
      <c r="N725">
        <v>6</v>
      </c>
      <c r="O725" t="s">
        <v>2911</v>
      </c>
      <c r="P725" t="s">
        <v>2910</v>
      </c>
      <c r="Q725" t="s">
        <v>2909</v>
      </c>
      <c r="R725" s="7">
        <v>32874</v>
      </c>
      <c r="S725" s="8">
        <f t="shared" si="88"/>
        <v>1990</v>
      </c>
      <c r="T725" s="8">
        <v>1990</v>
      </c>
      <c r="U725" s="8">
        <f t="shared" si="89"/>
        <v>32</v>
      </c>
      <c r="V725" s="7">
        <v>32964</v>
      </c>
      <c r="W725" t="s">
        <v>1844</v>
      </c>
      <c r="X725" s="2">
        <v>1.774</v>
      </c>
      <c r="Y725" s="6">
        <f t="shared" si="94"/>
        <v>4.7355916820159633E-2</v>
      </c>
      <c r="AA725">
        <v>295515</v>
      </c>
      <c r="AB725">
        <v>29066</v>
      </c>
      <c r="AC725">
        <v>17414326</v>
      </c>
      <c r="AD725" t="s">
        <v>5</v>
      </c>
      <c r="AE725">
        <v>30</v>
      </c>
      <c r="AF725">
        <v>4</v>
      </c>
      <c r="AH725" t="s">
        <v>2908</v>
      </c>
      <c r="AI725" t="s">
        <v>2907</v>
      </c>
      <c r="AK725" t="s">
        <v>2906</v>
      </c>
      <c r="AL725">
        <v>18</v>
      </c>
      <c r="AM725" s="5">
        <f t="shared" si="90"/>
        <v>0.5625</v>
      </c>
      <c r="AN725" s="4">
        <f t="shared" si="95"/>
        <v>8.5195001893222262E-4</v>
      </c>
      <c r="AO725" s="3"/>
      <c r="AP725">
        <v>0</v>
      </c>
      <c r="AR725" t="s">
        <v>0</v>
      </c>
      <c r="AT725" s="2">
        <v>3.1789999999999998</v>
      </c>
      <c r="AU725" s="1">
        <f t="shared" si="91"/>
        <v>3.3404726779791409</v>
      </c>
      <c r="AV725" s="1">
        <f t="shared" si="92"/>
        <v>2.4103933419545926</v>
      </c>
      <c r="AW725" s="1">
        <f t="shared" si="93"/>
        <v>1.4803140059300444</v>
      </c>
    </row>
    <row r="726" spans="1:49" x14ac:dyDescent="0.2">
      <c r="A726">
        <v>724</v>
      </c>
      <c r="B726" t="s">
        <v>2905</v>
      </c>
      <c r="C726" t="s">
        <v>2904</v>
      </c>
      <c r="F726" t="s">
        <v>2903</v>
      </c>
      <c r="G726" t="s">
        <v>14</v>
      </c>
      <c r="H726" t="s">
        <v>13</v>
      </c>
      <c r="I726" t="s">
        <v>2902</v>
      </c>
      <c r="J726">
        <v>60033461</v>
      </c>
      <c r="K726" t="s">
        <v>2901</v>
      </c>
      <c r="L726" t="s">
        <v>444</v>
      </c>
      <c r="M726" t="s">
        <v>197</v>
      </c>
      <c r="N726">
        <v>1</v>
      </c>
      <c r="O726" t="s">
        <v>2900</v>
      </c>
      <c r="P726">
        <v>7004676488</v>
      </c>
      <c r="Q726">
        <v>60033461</v>
      </c>
      <c r="R726" s="7">
        <v>32874</v>
      </c>
      <c r="S726" s="8">
        <f t="shared" si="88"/>
        <v>1990</v>
      </c>
      <c r="T726" s="8">
        <v>1990</v>
      </c>
      <c r="U726" s="8">
        <f t="shared" si="89"/>
        <v>32</v>
      </c>
      <c r="V726" s="7">
        <v>32964</v>
      </c>
      <c r="W726" t="s">
        <v>2899</v>
      </c>
      <c r="X726" s="2">
        <v>1.468</v>
      </c>
      <c r="Y726" s="6">
        <f t="shared" si="94"/>
        <v>3.9187421585115186E-2</v>
      </c>
      <c r="AA726">
        <v>906778</v>
      </c>
      <c r="AB726">
        <v>18931</v>
      </c>
      <c r="AD726" t="s">
        <v>5</v>
      </c>
      <c r="AE726">
        <v>38</v>
      </c>
      <c r="AF726">
        <v>4</v>
      </c>
      <c r="AH726" t="s">
        <v>2898</v>
      </c>
      <c r="AI726" t="s">
        <v>2897</v>
      </c>
      <c r="AK726" t="s">
        <v>2896</v>
      </c>
      <c r="AL726">
        <v>10</v>
      </c>
      <c r="AM726" s="5">
        <f t="shared" si="90"/>
        <v>0.3125</v>
      </c>
      <c r="AN726" s="4">
        <f t="shared" si="95"/>
        <v>4.7330556607345703E-4</v>
      </c>
      <c r="AO726" s="3"/>
      <c r="AP726">
        <v>0</v>
      </c>
      <c r="AR726" t="s">
        <v>0</v>
      </c>
      <c r="AT726" s="2">
        <v>5.0830000000000002</v>
      </c>
      <c r="AU726" s="1">
        <f t="shared" si="91"/>
        <v>2.7573186779402663</v>
      </c>
      <c r="AV726" s="1">
        <f t="shared" si="92"/>
        <v>1.9830363575594323</v>
      </c>
      <c r="AW726" s="1">
        <f t="shared" si="93"/>
        <v>1.2087540371785976</v>
      </c>
    </row>
    <row r="727" spans="1:49" x14ac:dyDescent="0.2">
      <c r="A727">
        <v>725</v>
      </c>
      <c r="B727" t="s">
        <v>2895</v>
      </c>
      <c r="C727" t="s">
        <v>2894</v>
      </c>
      <c r="F727" t="s">
        <v>2893</v>
      </c>
      <c r="G727" t="s">
        <v>14</v>
      </c>
      <c r="H727" t="s">
        <v>13</v>
      </c>
      <c r="I727" t="s">
        <v>2892</v>
      </c>
      <c r="J727">
        <v>60003424</v>
      </c>
      <c r="K727" t="s">
        <v>2891</v>
      </c>
      <c r="L727" t="s">
        <v>2890</v>
      </c>
      <c r="M727" t="s">
        <v>197</v>
      </c>
      <c r="N727">
        <v>1</v>
      </c>
      <c r="O727" t="s">
        <v>2889</v>
      </c>
      <c r="P727">
        <v>7202192285</v>
      </c>
      <c r="Q727">
        <v>60003424</v>
      </c>
      <c r="R727" s="7">
        <v>32874</v>
      </c>
      <c r="S727" s="8">
        <f t="shared" si="88"/>
        <v>1990</v>
      </c>
      <c r="T727" s="8">
        <v>1990</v>
      </c>
      <c r="U727" s="8">
        <f t="shared" si="89"/>
        <v>32</v>
      </c>
      <c r="V727" s="7">
        <v>32964</v>
      </c>
      <c r="W727" t="s">
        <v>38</v>
      </c>
      <c r="X727" s="2">
        <v>0.251</v>
      </c>
      <c r="Y727" s="6">
        <f t="shared" si="94"/>
        <v>6.7003016470462617E-3</v>
      </c>
      <c r="AA727">
        <v>207217</v>
      </c>
      <c r="AB727">
        <v>26145</v>
      </c>
      <c r="AC727">
        <v>13623060</v>
      </c>
      <c r="AD727" t="s">
        <v>5</v>
      </c>
      <c r="AE727">
        <v>68</v>
      </c>
      <c r="AF727">
        <v>4</v>
      </c>
      <c r="AH727" t="s">
        <v>2888</v>
      </c>
      <c r="AI727" t="s">
        <v>2887</v>
      </c>
      <c r="AK727" t="s">
        <v>2886</v>
      </c>
      <c r="AL727">
        <v>0</v>
      </c>
      <c r="AM727" s="5">
        <f t="shared" si="90"/>
        <v>0</v>
      </c>
      <c r="AN727" s="4">
        <f t="shared" si="95"/>
        <v>0</v>
      </c>
      <c r="AO727" s="3"/>
      <c r="AP727">
        <v>0</v>
      </c>
      <c r="AQ727" t="s">
        <v>1454</v>
      </c>
      <c r="AR727" t="s">
        <v>2885</v>
      </c>
      <c r="AS727" t="s">
        <v>1452</v>
      </c>
      <c r="AT727" s="2">
        <v>1.3360000000000001</v>
      </c>
      <c r="AU727" s="1">
        <f t="shared" si="91"/>
        <v>0.46902111529323826</v>
      </c>
      <c r="AV727" s="1">
        <f t="shared" si="92"/>
        <v>0.33501508235231309</v>
      </c>
      <c r="AW727" s="1">
        <f t="shared" si="93"/>
        <v>0.20100904941138784</v>
      </c>
    </row>
    <row r="728" spans="1:49" x14ac:dyDescent="0.2">
      <c r="A728">
        <v>726</v>
      </c>
      <c r="B728" t="s">
        <v>2884</v>
      </c>
      <c r="C728" t="s">
        <v>2883</v>
      </c>
      <c r="F728" t="s">
        <v>2882</v>
      </c>
      <c r="G728" t="s">
        <v>14</v>
      </c>
      <c r="H728" t="s">
        <v>13</v>
      </c>
      <c r="I728" t="s">
        <v>2881</v>
      </c>
      <c r="J728">
        <v>60014313</v>
      </c>
      <c r="K728" t="s">
        <v>607</v>
      </c>
      <c r="L728" t="s">
        <v>606</v>
      </c>
      <c r="M728" t="s">
        <v>197</v>
      </c>
      <c r="N728">
        <v>2</v>
      </c>
      <c r="O728" t="s">
        <v>2880</v>
      </c>
      <c r="P728" t="s">
        <v>2879</v>
      </c>
      <c r="Q728" t="s">
        <v>2878</v>
      </c>
      <c r="R728" s="7">
        <v>32874</v>
      </c>
      <c r="S728" s="8">
        <f t="shared" si="88"/>
        <v>1990</v>
      </c>
      <c r="T728" s="8">
        <v>1990</v>
      </c>
      <c r="U728" s="8">
        <f t="shared" si="89"/>
        <v>32</v>
      </c>
      <c r="V728" s="7">
        <v>32964</v>
      </c>
      <c r="W728" t="s">
        <v>2249</v>
      </c>
      <c r="X728" s="2">
        <v>1.6519999999999999</v>
      </c>
      <c r="Y728" s="6">
        <f t="shared" si="94"/>
        <v>4.409919649769093E-2</v>
      </c>
      <c r="AA728" t="s">
        <v>2248</v>
      </c>
      <c r="AB728">
        <v>17337</v>
      </c>
      <c r="AC728">
        <v>15582221</v>
      </c>
      <c r="AD728" t="s">
        <v>5</v>
      </c>
      <c r="AE728">
        <v>38</v>
      </c>
      <c r="AF728">
        <v>4</v>
      </c>
      <c r="AH728" t="s">
        <v>2877</v>
      </c>
      <c r="AI728" t="s">
        <v>2876</v>
      </c>
      <c r="AK728" t="s">
        <v>2875</v>
      </c>
      <c r="AL728">
        <v>22</v>
      </c>
      <c r="AM728" s="5">
        <f t="shared" si="90"/>
        <v>0.6875</v>
      </c>
      <c r="AN728" s="4">
        <f t="shared" si="95"/>
        <v>1.0412722453616054E-3</v>
      </c>
      <c r="AO728" s="3"/>
      <c r="AP728">
        <v>0</v>
      </c>
      <c r="AR728" t="s">
        <v>0</v>
      </c>
      <c r="AT728" s="2" t="s">
        <v>126</v>
      </c>
      <c r="AU728" s="1">
        <f t="shared" si="91"/>
        <v>3.1181819221992133</v>
      </c>
      <c r="AV728" s="1">
        <f t="shared" si="92"/>
        <v>2.2570234371526268</v>
      </c>
      <c r="AW728" s="1">
        <f t="shared" si="93"/>
        <v>1.3958649521060402</v>
      </c>
    </row>
    <row r="729" spans="1:49" x14ac:dyDescent="0.2">
      <c r="A729">
        <v>727</v>
      </c>
      <c r="B729" t="s">
        <v>2874</v>
      </c>
      <c r="C729" t="s">
        <v>2873</v>
      </c>
      <c r="F729" t="s">
        <v>2872</v>
      </c>
      <c r="G729" t="s">
        <v>14</v>
      </c>
      <c r="H729" t="s">
        <v>13</v>
      </c>
      <c r="I729" t="s">
        <v>2871</v>
      </c>
      <c r="J729">
        <v>60023345</v>
      </c>
      <c r="K729" t="s">
        <v>2870</v>
      </c>
      <c r="L729" t="s">
        <v>2869</v>
      </c>
      <c r="M729" t="s">
        <v>357</v>
      </c>
      <c r="N729">
        <v>4</v>
      </c>
      <c r="O729" t="s">
        <v>2868</v>
      </c>
      <c r="P729" t="s">
        <v>2867</v>
      </c>
      <c r="Q729" t="s">
        <v>2866</v>
      </c>
      <c r="R729" s="7">
        <v>32874</v>
      </c>
      <c r="S729" s="8">
        <f t="shared" si="88"/>
        <v>1990</v>
      </c>
      <c r="T729" s="8">
        <v>1990</v>
      </c>
      <c r="U729" s="8">
        <f t="shared" si="89"/>
        <v>32</v>
      </c>
      <c r="V729" s="7">
        <v>32964</v>
      </c>
      <c r="W729" t="s">
        <v>2249</v>
      </c>
      <c r="X729" s="2">
        <v>1.6519999999999999</v>
      </c>
      <c r="Y729" s="6">
        <f t="shared" si="94"/>
        <v>4.409919649769093E-2</v>
      </c>
      <c r="AA729" t="s">
        <v>2248</v>
      </c>
      <c r="AB729">
        <v>17337</v>
      </c>
      <c r="AC729">
        <v>15582221</v>
      </c>
      <c r="AD729" t="s">
        <v>5</v>
      </c>
      <c r="AE729">
        <v>38</v>
      </c>
      <c r="AF729">
        <v>4</v>
      </c>
      <c r="AH729" t="s">
        <v>2865</v>
      </c>
      <c r="AI729" t="s">
        <v>2864</v>
      </c>
      <c r="AK729" t="s">
        <v>2863</v>
      </c>
      <c r="AL729">
        <v>15</v>
      </c>
      <c r="AM729" s="5">
        <f t="shared" si="90"/>
        <v>0.46875</v>
      </c>
      <c r="AN729" s="4">
        <f t="shared" si="95"/>
        <v>7.0995834911018554E-4</v>
      </c>
      <c r="AO729" s="3"/>
      <c r="AP729">
        <v>0</v>
      </c>
      <c r="AR729" t="s">
        <v>0</v>
      </c>
      <c r="AT729" s="2" t="s">
        <v>126</v>
      </c>
      <c r="AU729" s="1">
        <f t="shared" si="91"/>
        <v>3.1082425053116705</v>
      </c>
      <c r="AV729" s="1">
        <f t="shared" si="92"/>
        <v>2.2404577423400558</v>
      </c>
      <c r="AW729" s="1">
        <f t="shared" si="93"/>
        <v>1.3726729793684409</v>
      </c>
    </row>
    <row r="730" spans="1:49" x14ac:dyDescent="0.2">
      <c r="A730">
        <v>728</v>
      </c>
      <c r="B730" t="s">
        <v>2862</v>
      </c>
      <c r="C730" t="s">
        <v>2861</v>
      </c>
      <c r="F730" t="s">
        <v>2860</v>
      </c>
      <c r="G730" t="s">
        <v>14</v>
      </c>
      <c r="H730" t="s">
        <v>13</v>
      </c>
      <c r="I730" t="s">
        <v>2859</v>
      </c>
      <c r="N730">
        <v>1</v>
      </c>
      <c r="O730" t="s">
        <v>2858</v>
      </c>
      <c r="P730">
        <v>7003495221</v>
      </c>
      <c r="R730" s="7">
        <v>32874</v>
      </c>
      <c r="S730" s="8">
        <f t="shared" si="88"/>
        <v>1990</v>
      </c>
      <c r="T730" s="8">
        <v>1990</v>
      </c>
      <c r="U730" s="8">
        <f t="shared" si="89"/>
        <v>32</v>
      </c>
      <c r="V730" s="7">
        <v>32964</v>
      </c>
      <c r="W730" t="s">
        <v>1858</v>
      </c>
      <c r="X730" s="2">
        <v>0.88100000000000001</v>
      </c>
      <c r="Y730" s="6">
        <f t="shared" si="94"/>
        <v>2.3517791836843653E-2</v>
      </c>
      <c r="AA730">
        <v>10459243</v>
      </c>
      <c r="AB730">
        <v>17248</v>
      </c>
      <c r="AD730" t="s">
        <v>5</v>
      </c>
      <c r="AE730">
        <v>32</v>
      </c>
      <c r="AF730">
        <v>2</v>
      </c>
      <c r="AH730" t="s">
        <v>2857</v>
      </c>
      <c r="AL730">
        <v>3</v>
      </c>
      <c r="AM730" s="5">
        <f t="shared" si="90"/>
        <v>9.375E-2</v>
      </c>
      <c r="AN730" s="4">
        <f t="shared" si="95"/>
        <v>1.4199166982203711E-4</v>
      </c>
      <c r="AO730" s="3"/>
      <c r="AP730">
        <v>0</v>
      </c>
      <c r="AR730" t="s">
        <v>0</v>
      </c>
      <c r="AT730" s="2" t="s">
        <v>126</v>
      </c>
      <c r="AU730" s="1">
        <f t="shared" si="91"/>
        <v>1.6505051786737168</v>
      </c>
      <c r="AV730" s="1">
        <f t="shared" si="92"/>
        <v>1.1829891753332844</v>
      </c>
      <c r="AW730" s="1">
        <f t="shared" si="93"/>
        <v>0.7154731719928521</v>
      </c>
    </row>
    <row r="731" spans="1:49" x14ac:dyDescent="0.2">
      <c r="A731">
        <v>729</v>
      </c>
      <c r="B731" t="s">
        <v>2856</v>
      </c>
      <c r="C731" t="s">
        <v>2855</v>
      </c>
      <c r="F731" t="s">
        <v>2854</v>
      </c>
      <c r="G731" t="s">
        <v>14</v>
      </c>
      <c r="H731" t="s">
        <v>13</v>
      </c>
      <c r="I731" t="s">
        <v>2853</v>
      </c>
      <c r="J731">
        <v>106773277</v>
      </c>
      <c r="K731" t="s">
        <v>2852</v>
      </c>
      <c r="L731" t="s">
        <v>2851</v>
      </c>
      <c r="M731" t="s">
        <v>197</v>
      </c>
      <c r="N731">
        <v>2</v>
      </c>
      <c r="O731" t="s">
        <v>2850</v>
      </c>
      <c r="P731" t="s">
        <v>2849</v>
      </c>
      <c r="Q731" t="s">
        <v>2848</v>
      </c>
      <c r="R731" s="7">
        <v>32874</v>
      </c>
      <c r="S731" s="8">
        <f t="shared" si="88"/>
        <v>1990</v>
      </c>
      <c r="T731" s="8">
        <v>1990</v>
      </c>
      <c r="U731" s="8">
        <f t="shared" si="89"/>
        <v>32</v>
      </c>
      <c r="V731" s="7" t="s">
        <v>2785</v>
      </c>
      <c r="W731" s="11" t="s">
        <v>1933</v>
      </c>
      <c r="X731" s="2">
        <v>2.383</v>
      </c>
      <c r="Y731" s="6">
        <f t="shared" si="94"/>
        <v>6.3612824003630442E-2</v>
      </c>
      <c r="AA731" t="s">
        <v>1932</v>
      </c>
      <c r="AB731">
        <v>101151</v>
      </c>
      <c r="AD731" t="s">
        <v>5</v>
      </c>
      <c r="AE731">
        <v>137</v>
      </c>
      <c r="AF731">
        <v>2</v>
      </c>
      <c r="AH731" t="s">
        <v>2847</v>
      </c>
      <c r="AI731" t="s">
        <v>2846</v>
      </c>
      <c r="AK731" t="s">
        <v>2845</v>
      </c>
      <c r="AL731">
        <v>44</v>
      </c>
      <c r="AM731" s="5">
        <f t="shared" si="90"/>
        <v>1.375</v>
      </c>
      <c r="AN731" s="4">
        <f t="shared" si="95"/>
        <v>2.0825444907232107E-3</v>
      </c>
      <c r="AO731" s="3"/>
      <c r="AP731">
        <v>0</v>
      </c>
      <c r="AR731" t="s">
        <v>0</v>
      </c>
      <c r="AT731" s="2" t="s">
        <v>126</v>
      </c>
      <c r="AU731" s="1">
        <f t="shared" si="91"/>
        <v>4.5153740149758272</v>
      </c>
      <c r="AV731" s="1">
        <f t="shared" si="92"/>
        <v>3.284768424717682</v>
      </c>
      <c r="AW731" s="1">
        <f t="shared" si="93"/>
        <v>2.0541628344595377</v>
      </c>
    </row>
    <row r="732" spans="1:49" x14ac:dyDescent="0.2">
      <c r="A732">
        <v>730</v>
      </c>
      <c r="B732" t="s">
        <v>2844</v>
      </c>
      <c r="C732" t="s">
        <v>2843</v>
      </c>
      <c r="F732" t="s">
        <v>2842</v>
      </c>
      <c r="G732" t="s">
        <v>14</v>
      </c>
      <c r="H732" t="s">
        <v>13</v>
      </c>
      <c r="I732" t="s">
        <v>2841</v>
      </c>
      <c r="J732">
        <v>60001439</v>
      </c>
      <c r="K732" t="s">
        <v>2675</v>
      </c>
      <c r="L732" t="s">
        <v>2674</v>
      </c>
      <c r="M732" t="s">
        <v>197</v>
      </c>
      <c r="N732">
        <v>3</v>
      </c>
      <c r="O732" t="s">
        <v>2840</v>
      </c>
      <c r="P732" t="s">
        <v>2839</v>
      </c>
      <c r="Q732" t="s">
        <v>2838</v>
      </c>
      <c r="R732" s="7">
        <v>32874</v>
      </c>
      <c r="S732" s="8">
        <f t="shared" si="88"/>
        <v>1990</v>
      </c>
      <c r="T732" s="8">
        <v>1990</v>
      </c>
      <c r="U732" s="8">
        <f t="shared" si="89"/>
        <v>32</v>
      </c>
      <c r="V732" s="7">
        <v>32964</v>
      </c>
      <c r="W732" t="s">
        <v>1918</v>
      </c>
      <c r="X732" s="2">
        <v>0.82</v>
      </c>
      <c r="Y732" s="6">
        <f t="shared" si="94"/>
        <v>2.1889431675609299E-2</v>
      </c>
      <c r="AA732">
        <v>189456</v>
      </c>
      <c r="AB732">
        <v>15361</v>
      </c>
      <c r="AC732">
        <v>15579662</v>
      </c>
      <c r="AD732" t="s">
        <v>5</v>
      </c>
      <c r="AE732">
        <v>39</v>
      </c>
      <c r="AF732">
        <v>2</v>
      </c>
      <c r="AH732" t="s">
        <v>2837</v>
      </c>
      <c r="AI732" t="s">
        <v>2836</v>
      </c>
      <c r="AK732" t="s">
        <v>2835</v>
      </c>
      <c r="AL732">
        <v>583</v>
      </c>
      <c r="AM732" s="5">
        <f t="shared" si="90"/>
        <v>18.21875</v>
      </c>
      <c r="AN732" s="4">
        <f t="shared" si="95"/>
        <v>2.7593714502082544E-2</v>
      </c>
      <c r="AO732" s="3"/>
      <c r="AP732">
        <v>0</v>
      </c>
      <c r="AR732" t="s">
        <v>0</v>
      </c>
      <c r="AT732" s="2" t="s">
        <v>126</v>
      </c>
      <c r="AU732" s="1">
        <f t="shared" si="91"/>
        <v>2.3600716523551273</v>
      </c>
      <c r="AV732" s="1">
        <f t="shared" si="92"/>
        <v>2.4741573088845921</v>
      </c>
      <c r="AW732" s="1">
        <f t="shared" si="93"/>
        <v>2.5882429654140569</v>
      </c>
    </row>
    <row r="733" spans="1:49" x14ac:dyDescent="0.2">
      <c r="A733">
        <v>731</v>
      </c>
      <c r="B733" t="s">
        <v>2834</v>
      </c>
      <c r="C733" t="s">
        <v>2833</v>
      </c>
      <c r="F733" t="s">
        <v>2832</v>
      </c>
      <c r="G733" t="s">
        <v>14</v>
      </c>
      <c r="H733" t="s">
        <v>13</v>
      </c>
      <c r="I733" t="s">
        <v>2831</v>
      </c>
      <c r="J733" t="s">
        <v>2830</v>
      </c>
      <c r="K733" t="s">
        <v>2829</v>
      </c>
      <c r="L733" t="s">
        <v>2828</v>
      </c>
      <c r="M733" t="s">
        <v>2827</v>
      </c>
      <c r="N733">
        <v>3</v>
      </c>
      <c r="O733" t="s">
        <v>2826</v>
      </c>
      <c r="P733" t="s">
        <v>2825</v>
      </c>
      <c r="Q733" t="s">
        <v>2824</v>
      </c>
      <c r="R733" s="7">
        <v>32874</v>
      </c>
      <c r="S733" s="8">
        <f t="shared" si="88"/>
        <v>1990</v>
      </c>
      <c r="T733" s="8">
        <v>1990</v>
      </c>
      <c r="U733" s="8">
        <f t="shared" si="89"/>
        <v>32</v>
      </c>
      <c r="V733" s="7">
        <v>32964</v>
      </c>
      <c r="W733" t="s">
        <v>2249</v>
      </c>
      <c r="X733" s="2">
        <v>1.6519999999999999</v>
      </c>
      <c r="Y733" s="6">
        <f t="shared" si="94"/>
        <v>4.409919649769093E-2</v>
      </c>
      <c r="AA733" t="s">
        <v>2248</v>
      </c>
      <c r="AB733">
        <v>17337</v>
      </c>
      <c r="AC733">
        <v>15582221</v>
      </c>
      <c r="AD733" t="s">
        <v>5</v>
      </c>
      <c r="AE733">
        <v>38</v>
      </c>
      <c r="AF733">
        <v>4</v>
      </c>
      <c r="AH733" t="s">
        <v>2823</v>
      </c>
      <c r="AI733" t="s">
        <v>2822</v>
      </c>
      <c r="AK733" t="s">
        <v>2821</v>
      </c>
      <c r="AL733">
        <v>59</v>
      </c>
      <c r="AM733" s="5">
        <f t="shared" si="90"/>
        <v>1.84375</v>
      </c>
      <c r="AN733" s="4">
        <f t="shared" si="95"/>
        <v>2.7925028398333965E-3</v>
      </c>
      <c r="AO733" s="3"/>
      <c r="AP733">
        <v>0</v>
      </c>
      <c r="AR733" t="s">
        <v>0</v>
      </c>
      <c r="AT733" s="2" t="s">
        <v>126</v>
      </c>
      <c r="AU733" s="1">
        <f t="shared" si="91"/>
        <v>3.1707188400333668</v>
      </c>
      <c r="AV733" s="1">
        <f t="shared" si="92"/>
        <v>2.3445849668762166</v>
      </c>
      <c r="AW733" s="1">
        <f t="shared" si="93"/>
        <v>1.5184510937190654</v>
      </c>
    </row>
    <row r="734" spans="1:49" x14ac:dyDescent="0.2">
      <c r="A734">
        <v>732</v>
      </c>
      <c r="B734" t="s">
        <v>2820</v>
      </c>
      <c r="C734" t="s">
        <v>2819</v>
      </c>
      <c r="F734" t="s">
        <v>2818</v>
      </c>
      <c r="G734" t="s">
        <v>14</v>
      </c>
      <c r="H734" t="s">
        <v>13</v>
      </c>
      <c r="I734" t="s">
        <v>1372</v>
      </c>
      <c r="J734">
        <v>100333806</v>
      </c>
      <c r="K734" t="s">
        <v>2817</v>
      </c>
      <c r="L734" t="s">
        <v>2816</v>
      </c>
      <c r="M734" t="s">
        <v>197</v>
      </c>
      <c r="N734">
        <v>1</v>
      </c>
      <c r="O734" t="s">
        <v>1371</v>
      </c>
      <c r="P734">
        <v>24512080300</v>
      </c>
      <c r="Q734">
        <v>100333806</v>
      </c>
      <c r="R734" s="7">
        <v>32874</v>
      </c>
      <c r="S734" s="8">
        <f t="shared" si="88"/>
        <v>1990</v>
      </c>
      <c r="T734" s="8">
        <v>1990</v>
      </c>
      <c r="U734" s="8">
        <f t="shared" si="89"/>
        <v>32</v>
      </c>
      <c r="V734" s="7" t="s">
        <v>2785</v>
      </c>
      <c r="W734" s="11" t="s">
        <v>1933</v>
      </c>
      <c r="X734" s="2">
        <v>2.383</v>
      </c>
      <c r="Y734" s="6">
        <f t="shared" si="94"/>
        <v>6.3612824003630442E-2</v>
      </c>
      <c r="AA734" t="s">
        <v>1932</v>
      </c>
      <c r="AB734">
        <v>101151</v>
      </c>
      <c r="AD734" t="s">
        <v>5</v>
      </c>
      <c r="AE734">
        <v>137</v>
      </c>
      <c r="AF734">
        <v>2</v>
      </c>
      <c r="AH734" t="s">
        <v>2815</v>
      </c>
      <c r="AI734" t="s">
        <v>2814</v>
      </c>
      <c r="AK734" t="s">
        <v>2813</v>
      </c>
      <c r="AL734">
        <v>6</v>
      </c>
      <c r="AM734" s="5">
        <f t="shared" si="90"/>
        <v>0.1875</v>
      </c>
      <c r="AN734" s="4">
        <f t="shared" si="95"/>
        <v>2.8398333964407423E-4</v>
      </c>
      <c r="AO734" s="3"/>
      <c r="AP734">
        <v>0</v>
      </c>
      <c r="AR734" t="s">
        <v>0</v>
      </c>
      <c r="AT734" s="2" t="s">
        <v>126</v>
      </c>
      <c r="AU734" s="1">
        <f t="shared" si="91"/>
        <v>4.461417180443453</v>
      </c>
      <c r="AV734" s="1">
        <f t="shared" si="92"/>
        <v>3.1948403671637262</v>
      </c>
      <c r="AW734" s="1">
        <f t="shared" si="93"/>
        <v>1.9282635538839985</v>
      </c>
    </row>
    <row r="735" spans="1:49" x14ac:dyDescent="0.2">
      <c r="A735">
        <v>733</v>
      </c>
      <c r="B735" t="s">
        <v>2812</v>
      </c>
      <c r="C735" t="s">
        <v>2811</v>
      </c>
      <c r="F735" t="s">
        <v>2810</v>
      </c>
      <c r="G735" t="s">
        <v>14</v>
      </c>
      <c r="H735" t="s">
        <v>13</v>
      </c>
      <c r="I735" t="s">
        <v>2809</v>
      </c>
      <c r="J735" t="s">
        <v>2808</v>
      </c>
      <c r="K735" t="s">
        <v>2807</v>
      </c>
      <c r="L735" t="s">
        <v>2806</v>
      </c>
      <c r="M735" t="s">
        <v>2805</v>
      </c>
      <c r="N735">
        <v>4</v>
      </c>
      <c r="O735" t="s">
        <v>2804</v>
      </c>
      <c r="P735" t="s">
        <v>2803</v>
      </c>
      <c r="Q735" t="s">
        <v>2802</v>
      </c>
      <c r="R735" s="7">
        <v>32874</v>
      </c>
      <c r="S735" s="8">
        <f t="shared" si="88"/>
        <v>1990</v>
      </c>
      <c r="T735" s="8">
        <v>1990</v>
      </c>
      <c r="U735" s="8">
        <f t="shared" si="89"/>
        <v>32</v>
      </c>
      <c r="V735" s="7">
        <v>32964</v>
      </c>
      <c r="W735" t="s">
        <v>2249</v>
      </c>
      <c r="X735" s="2">
        <v>1.6519999999999999</v>
      </c>
      <c r="Y735" s="6">
        <f t="shared" si="94"/>
        <v>4.409919649769093E-2</v>
      </c>
      <c r="AA735" t="s">
        <v>2248</v>
      </c>
      <c r="AB735">
        <v>17337</v>
      </c>
      <c r="AC735">
        <v>15582221</v>
      </c>
      <c r="AD735" t="s">
        <v>5</v>
      </c>
      <c r="AE735">
        <v>38</v>
      </c>
      <c r="AF735">
        <v>4</v>
      </c>
      <c r="AH735" t="s">
        <v>2801</v>
      </c>
      <c r="AI735" t="s">
        <v>2800</v>
      </c>
      <c r="AK735" t="s">
        <v>2799</v>
      </c>
      <c r="AL735">
        <v>1</v>
      </c>
      <c r="AM735" s="5">
        <f t="shared" si="90"/>
        <v>3.125E-2</v>
      </c>
      <c r="AN735" s="4">
        <f t="shared" si="95"/>
        <v>4.73305566073457E-5</v>
      </c>
      <c r="AO735" s="3"/>
      <c r="AP735">
        <v>0</v>
      </c>
      <c r="AR735" t="s">
        <v>0</v>
      </c>
      <c r="AT735" s="2" t="s">
        <v>126</v>
      </c>
      <c r="AU735" s="1">
        <f t="shared" si="91"/>
        <v>3.0883636715365856</v>
      </c>
      <c r="AV735" s="1">
        <f t="shared" si="92"/>
        <v>2.2073263527149138</v>
      </c>
      <c r="AW735" s="1">
        <f t="shared" si="93"/>
        <v>1.326289033893242</v>
      </c>
    </row>
    <row r="736" spans="1:49" x14ac:dyDescent="0.2">
      <c r="A736">
        <v>734</v>
      </c>
      <c r="B736" t="s">
        <v>2798</v>
      </c>
      <c r="C736" t="s">
        <v>2797</v>
      </c>
      <c r="F736" t="s">
        <v>2796</v>
      </c>
      <c r="G736" t="s">
        <v>14</v>
      </c>
      <c r="H736" t="s">
        <v>13</v>
      </c>
      <c r="I736" t="s">
        <v>2795</v>
      </c>
      <c r="J736">
        <v>115937393</v>
      </c>
      <c r="K736" t="s">
        <v>2794</v>
      </c>
      <c r="M736" t="s">
        <v>1937</v>
      </c>
      <c r="N736">
        <v>1</v>
      </c>
      <c r="O736" t="s">
        <v>2793</v>
      </c>
      <c r="P736">
        <v>7406623160</v>
      </c>
      <c r="Q736">
        <v>115937393</v>
      </c>
      <c r="R736" s="7">
        <v>32874</v>
      </c>
      <c r="S736" s="8">
        <f t="shared" si="88"/>
        <v>1990</v>
      </c>
      <c r="T736" s="8">
        <v>1990</v>
      </c>
      <c r="U736" s="8">
        <f t="shared" si="89"/>
        <v>32</v>
      </c>
      <c r="V736" s="7">
        <v>32964</v>
      </c>
      <c r="W736" t="s">
        <v>38</v>
      </c>
      <c r="X736" s="2">
        <v>0.251</v>
      </c>
      <c r="Y736" s="6">
        <f t="shared" si="94"/>
        <v>6.7003016470462617E-3</v>
      </c>
      <c r="AA736">
        <v>207217</v>
      </c>
      <c r="AB736">
        <v>26145</v>
      </c>
      <c r="AC736">
        <v>13623060</v>
      </c>
      <c r="AD736" t="s">
        <v>5</v>
      </c>
      <c r="AE736">
        <v>68</v>
      </c>
      <c r="AF736">
        <v>4</v>
      </c>
      <c r="AH736" t="s">
        <v>2792</v>
      </c>
      <c r="AI736" t="s">
        <v>2791</v>
      </c>
      <c r="AK736" t="s">
        <v>2790</v>
      </c>
      <c r="AL736">
        <v>1</v>
      </c>
      <c r="AM736" s="5">
        <f t="shared" si="90"/>
        <v>3.125E-2</v>
      </c>
      <c r="AN736" s="4">
        <f t="shared" si="95"/>
        <v>4.73305566073457E-5</v>
      </c>
      <c r="AO736" s="3"/>
      <c r="AP736">
        <v>0</v>
      </c>
      <c r="AR736" t="s">
        <v>0</v>
      </c>
      <c r="AT736" s="2">
        <v>1.3360000000000001</v>
      </c>
      <c r="AU736" s="1">
        <f t="shared" si="91"/>
        <v>0.47044103199145859</v>
      </c>
      <c r="AV736" s="1">
        <f t="shared" si="92"/>
        <v>0.33738161018268037</v>
      </c>
      <c r="AW736" s="1">
        <f t="shared" si="93"/>
        <v>0.20432218837390204</v>
      </c>
    </row>
    <row r="737" spans="1:49" x14ac:dyDescent="0.2">
      <c r="A737">
        <v>735</v>
      </c>
      <c r="B737" t="s">
        <v>2789</v>
      </c>
      <c r="C737" t="s">
        <v>2788</v>
      </c>
      <c r="F737" t="s">
        <v>2787</v>
      </c>
      <c r="G737" t="s">
        <v>14</v>
      </c>
      <c r="H737" t="s">
        <v>13</v>
      </c>
      <c r="I737" t="s">
        <v>1902</v>
      </c>
      <c r="J737">
        <v>60030000</v>
      </c>
      <c r="K737" t="s">
        <v>1901</v>
      </c>
      <c r="L737" t="s">
        <v>1900</v>
      </c>
      <c r="M737" t="s">
        <v>1224</v>
      </c>
      <c r="N737">
        <v>1</v>
      </c>
      <c r="O737" t="s">
        <v>2786</v>
      </c>
      <c r="P737">
        <v>7202832083</v>
      </c>
      <c r="Q737">
        <v>60030000</v>
      </c>
      <c r="R737" s="7">
        <v>32874</v>
      </c>
      <c r="S737" s="8">
        <f t="shared" si="88"/>
        <v>1990</v>
      </c>
      <c r="T737" s="8">
        <v>1990</v>
      </c>
      <c r="U737" s="8">
        <f t="shared" si="89"/>
        <v>32</v>
      </c>
      <c r="V737" s="7" t="s">
        <v>2785</v>
      </c>
      <c r="W737" s="11" t="s">
        <v>1933</v>
      </c>
      <c r="X737" s="2">
        <v>2.383</v>
      </c>
      <c r="Y737" s="6">
        <f t="shared" si="94"/>
        <v>6.3612824003630442E-2</v>
      </c>
      <c r="AA737" t="s">
        <v>1932</v>
      </c>
      <c r="AB737">
        <v>101151</v>
      </c>
      <c r="AD737" t="s">
        <v>5</v>
      </c>
      <c r="AE737">
        <v>137</v>
      </c>
      <c r="AF737">
        <v>2</v>
      </c>
      <c r="AH737" t="s">
        <v>2784</v>
      </c>
      <c r="AI737" t="s">
        <v>2783</v>
      </c>
      <c r="AK737" t="s">
        <v>2782</v>
      </c>
      <c r="AL737">
        <v>17</v>
      </c>
      <c r="AM737" s="5">
        <f t="shared" si="90"/>
        <v>0.53125</v>
      </c>
      <c r="AN737" s="4">
        <f t="shared" si="95"/>
        <v>8.0461946232487697E-4</v>
      </c>
      <c r="AO737" s="3"/>
      <c r="AP737">
        <v>0</v>
      </c>
      <c r="AR737" t="s">
        <v>0</v>
      </c>
      <c r="AT737" s="2" t="s">
        <v>126</v>
      </c>
      <c r="AU737" s="1">
        <f t="shared" si="91"/>
        <v>4.4770362641238775</v>
      </c>
      <c r="AV737" s="1">
        <f t="shared" si="92"/>
        <v>3.2208721732977659</v>
      </c>
      <c r="AW737" s="1">
        <f t="shared" si="93"/>
        <v>1.9647080824716545</v>
      </c>
    </row>
    <row r="738" spans="1:49" x14ac:dyDescent="0.2">
      <c r="A738">
        <v>736</v>
      </c>
      <c r="B738" t="s">
        <v>2781</v>
      </c>
      <c r="C738" t="s">
        <v>2780</v>
      </c>
      <c r="E738">
        <v>1970356</v>
      </c>
      <c r="F738" t="s">
        <v>2779</v>
      </c>
      <c r="G738" t="s">
        <v>14</v>
      </c>
      <c r="H738" t="s">
        <v>13</v>
      </c>
      <c r="I738" t="s">
        <v>2778</v>
      </c>
      <c r="J738" t="s">
        <v>2777</v>
      </c>
      <c r="K738" t="s">
        <v>2776</v>
      </c>
      <c r="L738" t="s">
        <v>2775</v>
      </c>
      <c r="M738" t="s">
        <v>2774</v>
      </c>
      <c r="N738">
        <v>5</v>
      </c>
      <c r="O738" t="s">
        <v>2773</v>
      </c>
      <c r="P738" t="s">
        <v>2772</v>
      </c>
      <c r="Q738" t="s">
        <v>2771</v>
      </c>
      <c r="R738" s="7">
        <v>32874</v>
      </c>
      <c r="S738" s="8">
        <f t="shared" si="88"/>
        <v>1990</v>
      </c>
      <c r="T738" s="8">
        <v>1990</v>
      </c>
      <c r="U738" s="8">
        <f t="shared" si="89"/>
        <v>32</v>
      </c>
      <c r="V738" s="7">
        <v>1990</v>
      </c>
      <c r="W738" t="s">
        <v>1257</v>
      </c>
      <c r="X738" s="2">
        <v>3.4830000000000001</v>
      </c>
      <c r="Y738" s="6">
        <f t="shared" si="94"/>
        <v>9.2976695763594144E-2</v>
      </c>
      <c r="AA738">
        <v>2706474</v>
      </c>
      <c r="AB738">
        <v>16764</v>
      </c>
      <c r="AD738" t="s">
        <v>5</v>
      </c>
      <c r="AE738">
        <v>10</v>
      </c>
      <c r="AF738">
        <v>4</v>
      </c>
      <c r="AH738" t="s">
        <v>2770</v>
      </c>
      <c r="AI738" t="s">
        <v>2769</v>
      </c>
      <c r="AK738" t="s">
        <v>2768</v>
      </c>
      <c r="AL738">
        <v>78</v>
      </c>
      <c r="AM738" s="5">
        <f t="shared" si="90"/>
        <v>2.4375</v>
      </c>
      <c r="AN738" s="4">
        <f t="shared" si="95"/>
        <v>3.6917834153729649E-3</v>
      </c>
      <c r="AO738" s="3"/>
      <c r="AP738">
        <v>1</v>
      </c>
      <c r="AR738" t="s">
        <v>0</v>
      </c>
      <c r="AT738" s="2">
        <v>6.1669999999999998</v>
      </c>
      <c r="AU738" s="1">
        <f t="shared" si="91"/>
        <v>6.6191222059127783</v>
      </c>
      <c r="AV738" s="1">
        <f t="shared" si="92"/>
        <v>4.8334239589483552</v>
      </c>
      <c r="AW738" s="1">
        <f t="shared" si="93"/>
        <v>3.0477257119839321</v>
      </c>
    </row>
    <row r="739" spans="1:49" x14ac:dyDescent="0.2">
      <c r="A739">
        <v>737</v>
      </c>
      <c r="B739" t="s">
        <v>2767</v>
      </c>
      <c r="C739" t="s">
        <v>2766</v>
      </c>
      <c r="D739">
        <v>19103590901597</v>
      </c>
      <c r="E739">
        <v>11538401</v>
      </c>
      <c r="F739" t="s">
        <v>2765</v>
      </c>
      <c r="G739" t="s">
        <v>14</v>
      </c>
      <c r="H739" t="s">
        <v>13</v>
      </c>
      <c r="I739" t="s">
        <v>2764</v>
      </c>
      <c r="J739" t="s">
        <v>2763</v>
      </c>
      <c r="K739" t="s">
        <v>2762</v>
      </c>
      <c r="L739" t="s">
        <v>2761</v>
      </c>
      <c r="M739" t="s">
        <v>84</v>
      </c>
      <c r="N739">
        <v>3</v>
      </c>
      <c r="O739" t="s">
        <v>2760</v>
      </c>
      <c r="P739" t="s">
        <v>2759</v>
      </c>
      <c r="Q739" t="s">
        <v>2758</v>
      </c>
      <c r="R739" s="7">
        <v>32874</v>
      </c>
      <c r="S739" s="8">
        <f t="shared" si="88"/>
        <v>1990</v>
      </c>
      <c r="T739" s="8">
        <v>1990</v>
      </c>
      <c r="U739" s="8">
        <f t="shared" si="89"/>
        <v>32</v>
      </c>
      <c r="V739" s="7">
        <v>32933</v>
      </c>
      <c r="W739" t="s">
        <v>2757</v>
      </c>
      <c r="X739" s="2">
        <v>1.5249999999999999</v>
      </c>
      <c r="Y739" s="6">
        <f t="shared" si="94"/>
        <v>4.070900403085876E-2</v>
      </c>
      <c r="AA739">
        <v>191035</v>
      </c>
      <c r="AB739">
        <v>27241</v>
      </c>
      <c r="AC739">
        <v>10902643</v>
      </c>
      <c r="AD739" t="s">
        <v>5</v>
      </c>
      <c r="AE739">
        <v>84</v>
      </c>
      <c r="AF739">
        <v>1</v>
      </c>
      <c r="AH739" t="s">
        <v>2756</v>
      </c>
      <c r="AI739" t="s">
        <v>2755</v>
      </c>
      <c r="AK739" t="s">
        <v>2754</v>
      </c>
      <c r="AL739">
        <v>14</v>
      </c>
      <c r="AM739" s="5">
        <f t="shared" si="90"/>
        <v>0.4375</v>
      </c>
      <c r="AN739" s="4">
        <f t="shared" si="95"/>
        <v>6.6262779250283988E-4</v>
      </c>
      <c r="AO739" s="3"/>
      <c r="AP739">
        <v>0</v>
      </c>
      <c r="AQ739" t="s">
        <v>1454</v>
      </c>
      <c r="AR739" t="s">
        <v>2753</v>
      </c>
      <c r="AS739" t="s">
        <v>1452</v>
      </c>
      <c r="AT739" s="2">
        <v>3.508</v>
      </c>
      <c r="AU739" s="1">
        <f t="shared" si="91"/>
        <v>2.8695091159351982</v>
      </c>
      <c r="AV739" s="1">
        <f t="shared" si="92"/>
        <v>2.0685815911680798</v>
      </c>
      <c r="AW739" s="1">
        <f t="shared" si="93"/>
        <v>1.2676540664009617</v>
      </c>
    </row>
    <row r="740" spans="1:49" x14ac:dyDescent="0.2">
      <c r="A740">
        <v>738</v>
      </c>
      <c r="B740" t="s">
        <v>2752</v>
      </c>
      <c r="C740" t="s">
        <v>2751</v>
      </c>
      <c r="E740">
        <v>2329003</v>
      </c>
      <c r="F740" t="s">
        <v>2750</v>
      </c>
      <c r="G740" t="s">
        <v>14</v>
      </c>
      <c r="H740" t="s">
        <v>13</v>
      </c>
      <c r="I740" t="s">
        <v>2749</v>
      </c>
      <c r="J740">
        <v>60007592</v>
      </c>
      <c r="K740" t="s">
        <v>2748</v>
      </c>
      <c r="L740" t="s">
        <v>2747</v>
      </c>
      <c r="M740" t="s">
        <v>521</v>
      </c>
      <c r="N740">
        <v>6</v>
      </c>
      <c r="O740" t="s">
        <v>2746</v>
      </c>
      <c r="P740" t="s">
        <v>2745</v>
      </c>
      <c r="Q740" t="s">
        <v>2744</v>
      </c>
      <c r="R740" s="7">
        <v>32874</v>
      </c>
      <c r="S740" s="8">
        <f t="shared" si="88"/>
        <v>1990</v>
      </c>
      <c r="T740" s="8">
        <v>1990</v>
      </c>
      <c r="U740" s="8">
        <f t="shared" si="89"/>
        <v>32</v>
      </c>
      <c r="V740" s="7">
        <v>32933</v>
      </c>
      <c r="W740" t="s">
        <v>2743</v>
      </c>
      <c r="X740" s="2">
        <v>1.1479999999999999</v>
      </c>
      <c r="Y740" s="6">
        <f t="shared" si="94"/>
        <v>3.0645204345853019E-2</v>
      </c>
      <c r="AA740">
        <v>189294</v>
      </c>
      <c r="AB740">
        <v>16318</v>
      </c>
      <c r="AC740">
        <v>15582531</v>
      </c>
      <c r="AD740" t="s">
        <v>5</v>
      </c>
      <c r="AE740">
        <v>37</v>
      </c>
      <c r="AF740">
        <v>3</v>
      </c>
      <c r="AH740" t="s">
        <v>2742</v>
      </c>
      <c r="AI740" t="s">
        <v>2741</v>
      </c>
      <c r="AK740" t="s">
        <v>2740</v>
      </c>
      <c r="AL740">
        <v>109</v>
      </c>
      <c r="AM740" s="5">
        <f t="shared" si="90"/>
        <v>3.40625</v>
      </c>
      <c r="AN740" s="4">
        <f t="shared" si="95"/>
        <v>5.1590306702006816E-3</v>
      </c>
      <c r="AO740" s="3"/>
      <c r="AP740">
        <v>0</v>
      </c>
      <c r="AQ740" t="s">
        <v>2739</v>
      </c>
      <c r="AR740" t="s">
        <v>2738</v>
      </c>
      <c r="AS740" t="s">
        <v>2737</v>
      </c>
      <c r="AT740" s="2" t="s">
        <v>126</v>
      </c>
      <c r="AU740" s="1">
        <f t="shared" si="91"/>
        <v>2.2999352243157318</v>
      </c>
      <c r="AV740" s="1">
        <f t="shared" si="92"/>
        <v>1.7902117508026851</v>
      </c>
      <c r="AW740" s="1">
        <f t="shared" si="93"/>
        <v>1.2804882772896382</v>
      </c>
    </row>
    <row r="741" spans="1:49" x14ac:dyDescent="0.2">
      <c r="A741">
        <v>739</v>
      </c>
      <c r="B741" t="s">
        <v>2736</v>
      </c>
      <c r="C741" t="s">
        <v>2735</v>
      </c>
      <c r="F741" t="s">
        <v>2734</v>
      </c>
      <c r="G741" t="s">
        <v>14</v>
      </c>
      <c r="H741" t="s">
        <v>13</v>
      </c>
      <c r="I741" t="s">
        <v>1004</v>
      </c>
      <c r="J741" t="s">
        <v>2733</v>
      </c>
      <c r="K741" t="s">
        <v>2732</v>
      </c>
      <c r="L741" t="s">
        <v>2731</v>
      </c>
      <c r="M741" t="s">
        <v>2730</v>
      </c>
      <c r="N741">
        <v>4</v>
      </c>
      <c r="O741" t="s">
        <v>2729</v>
      </c>
      <c r="P741" t="s">
        <v>2728</v>
      </c>
      <c r="Q741" t="s">
        <v>2727</v>
      </c>
      <c r="R741" s="7">
        <v>32874</v>
      </c>
      <c r="S741" s="8">
        <f t="shared" si="88"/>
        <v>1990</v>
      </c>
      <c r="T741" s="8">
        <v>1990</v>
      </c>
      <c r="U741" s="8">
        <f t="shared" si="89"/>
        <v>32</v>
      </c>
      <c r="V741" s="7">
        <v>32933</v>
      </c>
      <c r="W741" t="s">
        <v>2249</v>
      </c>
      <c r="X741" s="2">
        <v>1.6519999999999999</v>
      </c>
      <c r="Y741" s="6">
        <f t="shared" si="94"/>
        <v>4.409919649769093E-2</v>
      </c>
      <c r="AA741" t="s">
        <v>2248</v>
      </c>
      <c r="AB741">
        <v>17337</v>
      </c>
      <c r="AC741">
        <v>15582221</v>
      </c>
      <c r="AD741" t="s">
        <v>5</v>
      </c>
      <c r="AE741">
        <v>38</v>
      </c>
      <c r="AF741">
        <v>3</v>
      </c>
      <c r="AH741" t="s">
        <v>2726</v>
      </c>
      <c r="AI741" t="s">
        <v>2725</v>
      </c>
      <c r="AK741" t="s">
        <v>2724</v>
      </c>
      <c r="AL741">
        <v>12</v>
      </c>
      <c r="AM741" s="5">
        <f t="shared" si="90"/>
        <v>0.375</v>
      </c>
      <c r="AN741" s="4">
        <f t="shared" si="95"/>
        <v>5.6796667928814845E-4</v>
      </c>
      <c r="AO741" s="3"/>
      <c r="AP741">
        <v>0</v>
      </c>
      <c r="AR741" t="s">
        <v>0</v>
      </c>
      <c r="AT741" s="2" t="s">
        <v>126</v>
      </c>
      <c r="AU741" s="1">
        <f t="shared" si="91"/>
        <v>3.1039827552170092</v>
      </c>
      <c r="AV741" s="1">
        <f t="shared" si="92"/>
        <v>2.2333581588489539</v>
      </c>
      <c r="AW741" s="1">
        <f t="shared" si="93"/>
        <v>1.3627335624808981</v>
      </c>
    </row>
    <row r="742" spans="1:49" x14ac:dyDescent="0.2">
      <c r="A742">
        <v>740</v>
      </c>
      <c r="B742" t="s">
        <v>2723</v>
      </c>
      <c r="C742" t="s">
        <v>2722</v>
      </c>
      <c r="F742" t="s">
        <v>2721</v>
      </c>
      <c r="G742" t="s">
        <v>14</v>
      </c>
      <c r="H742" t="s">
        <v>13</v>
      </c>
      <c r="I742" t="s">
        <v>1372</v>
      </c>
      <c r="N742">
        <v>1</v>
      </c>
      <c r="O742" t="s">
        <v>1371</v>
      </c>
      <c r="P742">
        <v>24512080300</v>
      </c>
      <c r="R742" s="7">
        <v>32874</v>
      </c>
      <c r="S742" s="8">
        <f t="shared" si="88"/>
        <v>1990</v>
      </c>
      <c r="T742" s="8">
        <v>1990</v>
      </c>
      <c r="U742" s="8">
        <f t="shared" si="89"/>
        <v>32</v>
      </c>
      <c r="V742" s="7">
        <v>32933</v>
      </c>
      <c r="W742" t="s">
        <v>720</v>
      </c>
      <c r="X742" s="2">
        <v>1.137</v>
      </c>
      <c r="Y742" s="6">
        <f t="shared" si="94"/>
        <v>3.0351565628253384E-2</v>
      </c>
      <c r="AA742">
        <v>189251</v>
      </c>
      <c r="AB742">
        <v>17336</v>
      </c>
      <c r="AD742" t="s">
        <v>5</v>
      </c>
      <c r="AE742">
        <v>26</v>
      </c>
      <c r="AF742">
        <v>2</v>
      </c>
      <c r="AH742" t="s">
        <v>2720</v>
      </c>
      <c r="AI742" t="s">
        <v>2719</v>
      </c>
      <c r="AK742" t="s">
        <v>2718</v>
      </c>
      <c r="AL742">
        <v>58</v>
      </c>
      <c r="AM742" s="5">
        <f t="shared" si="90"/>
        <v>1.8125</v>
      </c>
      <c r="AN742" s="4">
        <f t="shared" si="95"/>
        <v>2.7451722832260508E-3</v>
      </c>
      <c r="AO742" s="3"/>
      <c r="AP742">
        <v>0</v>
      </c>
      <c r="AR742" t="s">
        <v>0</v>
      </c>
      <c r="AT742" s="2" t="s">
        <v>126</v>
      </c>
      <c r="AU742" s="1">
        <f t="shared" si="91"/>
        <v>2.2069647624745179</v>
      </c>
      <c r="AV742" s="1">
        <f t="shared" si="92"/>
        <v>1.6548368955739718</v>
      </c>
      <c r="AW742" s="1">
        <f t="shared" si="93"/>
        <v>1.1027090286734251</v>
      </c>
    </row>
    <row r="743" spans="1:49" x14ac:dyDescent="0.2">
      <c r="A743">
        <v>741</v>
      </c>
      <c r="B743" t="s">
        <v>2717</v>
      </c>
      <c r="C743" t="s">
        <v>2716</v>
      </c>
      <c r="F743" t="s">
        <v>2715</v>
      </c>
      <c r="G743" t="s">
        <v>14</v>
      </c>
      <c r="H743" t="s">
        <v>13</v>
      </c>
      <c r="I743" t="s">
        <v>2714</v>
      </c>
      <c r="J743">
        <v>60074719</v>
      </c>
      <c r="K743" t="s">
        <v>2713</v>
      </c>
      <c r="L743" t="s">
        <v>2712</v>
      </c>
      <c r="M743" t="s">
        <v>197</v>
      </c>
      <c r="N743">
        <v>2</v>
      </c>
      <c r="O743" t="s">
        <v>2711</v>
      </c>
      <c r="P743" t="s">
        <v>2710</v>
      </c>
      <c r="Q743" t="s">
        <v>2709</v>
      </c>
      <c r="R743" s="7">
        <v>32874</v>
      </c>
      <c r="S743" s="8">
        <f t="shared" si="88"/>
        <v>1990</v>
      </c>
      <c r="T743" s="8">
        <v>1990</v>
      </c>
      <c r="U743" s="8">
        <f t="shared" si="89"/>
        <v>32</v>
      </c>
      <c r="V743" s="7">
        <v>32933</v>
      </c>
      <c r="W743" t="s">
        <v>2428</v>
      </c>
      <c r="X743" s="2">
        <v>0.78200000000000003</v>
      </c>
      <c r="Y743" s="6">
        <f t="shared" si="94"/>
        <v>2.0875043378446919E-2</v>
      </c>
      <c r="AA743">
        <v>189316</v>
      </c>
      <c r="AB743">
        <v>19901</v>
      </c>
      <c r="AC743">
        <v>15579611</v>
      </c>
      <c r="AD743" t="s">
        <v>5</v>
      </c>
      <c r="AE743">
        <v>36</v>
      </c>
      <c r="AF743">
        <v>1</v>
      </c>
      <c r="AH743" s="9">
        <v>44378</v>
      </c>
      <c r="AI743" t="s">
        <v>2708</v>
      </c>
      <c r="AK743" t="s">
        <v>2707</v>
      </c>
      <c r="AL743">
        <v>1</v>
      </c>
      <c r="AM743" s="5">
        <f t="shared" si="90"/>
        <v>3.125E-2</v>
      </c>
      <c r="AN743" s="4">
        <f t="shared" si="95"/>
        <v>4.73305566073457E-5</v>
      </c>
      <c r="AO743" s="3"/>
      <c r="AP743">
        <v>0</v>
      </c>
      <c r="AR743" t="s">
        <v>0</v>
      </c>
      <c r="AT743" s="2">
        <v>3.863</v>
      </c>
      <c r="AU743" s="1">
        <f t="shared" si="91"/>
        <v>1.4626729531895044</v>
      </c>
      <c r="AV743" s="1">
        <f t="shared" si="92"/>
        <v>1.0461186967527132</v>
      </c>
      <c r="AW743" s="1">
        <f t="shared" si="93"/>
        <v>0.62956444031592174</v>
      </c>
    </row>
    <row r="744" spans="1:49" x14ac:dyDescent="0.2">
      <c r="A744">
        <v>742</v>
      </c>
      <c r="B744" t="s">
        <v>2706</v>
      </c>
      <c r="C744" t="s">
        <v>2705</v>
      </c>
      <c r="F744" t="s">
        <v>2704</v>
      </c>
      <c r="G744" t="s">
        <v>14</v>
      </c>
      <c r="H744" t="s">
        <v>13</v>
      </c>
      <c r="I744" t="s">
        <v>2703</v>
      </c>
      <c r="J744" t="s">
        <v>2702</v>
      </c>
      <c r="K744" t="s">
        <v>2701</v>
      </c>
      <c r="L744" t="s">
        <v>2700</v>
      </c>
      <c r="M744" t="s">
        <v>84</v>
      </c>
      <c r="N744">
        <v>5</v>
      </c>
      <c r="O744" t="s">
        <v>2699</v>
      </c>
      <c r="P744" t="s">
        <v>2698</v>
      </c>
      <c r="Q744" t="s">
        <v>2697</v>
      </c>
      <c r="R744" s="7">
        <v>32874</v>
      </c>
      <c r="S744" s="8">
        <f t="shared" si="88"/>
        <v>1990</v>
      </c>
      <c r="T744" s="8">
        <v>1990</v>
      </c>
      <c r="U744" s="8">
        <f t="shared" si="89"/>
        <v>32</v>
      </c>
      <c r="V744" s="7">
        <v>32933</v>
      </c>
      <c r="W744" t="s">
        <v>2249</v>
      </c>
      <c r="X744" s="2">
        <v>1.6519999999999999</v>
      </c>
      <c r="Y744" s="6">
        <f t="shared" si="94"/>
        <v>4.409919649769093E-2</v>
      </c>
      <c r="AA744" t="s">
        <v>2248</v>
      </c>
      <c r="AB744">
        <v>17337</v>
      </c>
      <c r="AC744">
        <v>15582221</v>
      </c>
      <c r="AD744" t="s">
        <v>5</v>
      </c>
      <c r="AE744">
        <v>38</v>
      </c>
      <c r="AF744">
        <v>3</v>
      </c>
      <c r="AH744" t="s">
        <v>2696</v>
      </c>
      <c r="AI744" t="s">
        <v>2695</v>
      </c>
      <c r="AK744" t="s">
        <v>2694</v>
      </c>
      <c r="AL744">
        <v>4</v>
      </c>
      <c r="AM744" s="5">
        <f t="shared" si="90"/>
        <v>0.125</v>
      </c>
      <c r="AN744" s="4">
        <f t="shared" si="95"/>
        <v>1.893222264293828E-4</v>
      </c>
      <c r="AO744" s="3"/>
      <c r="AP744">
        <v>0</v>
      </c>
      <c r="AR744" t="s">
        <v>0</v>
      </c>
      <c r="AT744" s="2" t="s">
        <v>126</v>
      </c>
      <c r="AU744" s="1">
        <f t="shared" si="91"/>
        <v>3.0926234216312465</v>
      </c>
      <c r="AV744" s="1">
        <f t="shared" si="92"/>
        <v>2.2144259362060157</v>
      </c>
      <c r="AW744" s="1">
        <f t="shared" si="93"/>
        <v>1.3362284507807847</v>
      </c>
    </row>
    <row r="745" spans="1:49" x14ac:dyDescent="0.2">
      <c r="A745">
        <v>743</v>
      </c>
      <c r="B745" t="s">
        <v>2693</v>
      </c>
      <c r="C745" t="s">
        <v>2692</v>
      </c>
      <c r="F745" t="s">
        <v>2691</v>
      </c>
      <c r="G745" t="s">
        <v>14</v>
      </c>
      <c r="H745" t="s">
        <v>13</v>
      </c>
      <c r="I745" t="s">
        <v>2690</v>
      </c>
      <c r="J745" t="s">
        <v>2689</v>
      </c>
      <c r="K745" t="s">
        <v>2688</v>
      </c>
      <c r="L745" t="s">
        <v>2687</v>
      </c>
      <c r="M745" t="s">
        <v>2686</v>
      </c>
      <c r="N745">
        <v>4</v>
      </c>
      <c r="O745" t="s">
        <v>2685</v>
      </c>
      <c r="P745" t="s">
        <v>2684</v>
      </c>
      <c r="Q745" t="s">
        <v>2683</v>
      </c>
      <c r="R745" s="7">
        <v>32874</v>
      </c>
      <c r="S745" s="8">
        <f t="shared" si="88"/>
        <v>1990</v>
      </c>
      <c r="T745" s="8">
        <v>1990</v>
      </c>
      <c r="U745" s="8">
        <f t="shared" si="89"/>
        <v>32</v>
      </c>
      <c r="V745" s="7">
        <v>32933</v>
      </c>
      <c r="W745" t="s">
        <v>38</v>
      </c>
      <c r="X745" s="2">
        <v>0.251</v>
      </c>
      <c r="Y745" s="6">
        <f t="shared" si="94"/>
        <v>6.7003016470462617E-3</v>
      </c>
      <c r="AA745">
        <v>207217</v>
      </c>
      <c r="AB745">
        <v>26145</v>
      </c>
      <c r="AC745">
        <v>13623060</v>
      </c>
      <c r="AD745" t="s">
        <v>5</v>
      </c>
      <c r="AE745">
        <v>68</v>
      </c>
      <c r="AF745">
        <v>3</v>
      </c>
      <c r="AH745" t="s">
        <v>2682</v>
      </c>
      <c r="AI745" t="s">
        <v>2681</v>
      </c>
      <c r="AK745" t="s">
        <v>2680</v>
      </c>
      <c r="AL745">
        <v>0</v>
      </c>
      <c r="AM745" s="5">
        <f t="shared" si="90"/>
        <v>0</v>
      </c>
      <c r="AN745" s="4">
        <f t="shared" si="95"/>
        <v>0</v>
      </c>
      <c r="AO745" s="3"/>
      <c r="AP745">
        <v>0</v>
      </c>
      <c r="AR745" t="s">
        <v>0</v>
      </c>
      <c r="AT745" s="2">
        <v>1.3360000000000001</v>
      </c>
      <c r="AU745" s="1">
        <f t="shared" si="91"/>
        <v>0.46902111529323826</v>
      </c>
      <c r="AV745" s="1">
        <f t="shared" si="92"/>
        <v>0.33501508235231309</v>
      </c>
      <c r="AW745" s="1">
        <f t="shared" si="93"/>
        <v>0.20100904941138784</v>
      </c>
    </row>
    <row r="746" spans="1:49" x14ac:dyDescent="0.2">
      <c r="A746">
        <v>744</v>
      </c>
      <c r="B746" t="s">
        <v>2679</v>
      </c>
      <c r="C746" t="s">
        <v>2678</v>
      </c>
      <c r="F746" t="s">
        <v>2677</v>
      </c>
      <c r="G746" t="s">
        <v>14</v>
      </c>
      <c r="H746" t="s">
        <v>13</v>
      </c>
      <c r="I746" t="s">
        <v>2676</v>
      </c>
      <c r="J746">
        <v>60001439</v>
      </c>
      <c r="K746" t="s">
        <v>2675</v>
      </c>
      <c r="L746" t="s">
        <v>2674</v>
      </c>
      <c r="M746" t="s">
        <v>197</v>
      </c>
      <c r="N746">
        <v>1</v>
      </c>
      <c r="O746" t="s">
        <v>2673</v>
      </c>
      <c r="P746">
        <v>7005852706</v>
      </c>
      <c r="Q746">
        <v>60001439</v>
      </c>
      <c r="R746" s="7">
        <v>32874</v>
      </c>
      <c r="S746" s="8">
        <f t="shared" si="88"/>
        <v>1990</v>
      </c>
      <c r="T746" s="8">
        <v>1990</v>
      </c>
      <c r="U746" s="8">
        <f t="shared" si="89"/>
        <v>32</v>
      </c>
      <c r="V746" s="7">
        <v>32933</v>
      </c>
      <c r="W746" t="s">
        <v>2249</v>
      </c>
      <c r="X746" s="2">
        <v>1.6519999999999999</v>
      </c>
      <c r="Y746" s="6">
        <f t="shared" si="94"/>
        <v>4.409919649769093E-2</v>
      </c>
      <c r="AA746" t="s">
        <v>2248</v>
      </c>
      <c r="AB746">
        <v>17337</v>
      </c>
      <c r="AC746">
        <v>15582221</v>
      </c>
      <c r="AD746" t="s">
        <v>5</v>
      </c>
      <c r="AE746">
        <v>38</v>
      </c>
      <c r="AF746">
        <v>3</v>
      </c>
      <c r="AH746" t="s">
        <v>2672</v>
      </c>
      <c r="AI746" t="s">
        <v>2671</v>
      </c>
      <c r="AK746" t="s">
        <v>2670</v>
      </c>
      <c r="AL746">
        <v>3</v>
      </c>
      <c r="AM746" s="5">
        <f t="shared" si="90"/>
        <v>9.375E-2</v>
      </c>
      <c r="AN746" s="4">
        <f t="shared" si="95"/>
        <v>1.4199166982203711E-4</v>
      </c>
      <c r="AO746" s="3"/>
      <c r="AP746">
        <v>0</v>
      </c>
      <c r="AR746" t="s">
        <v>0</v>
      </c>
      <c r="AT746" s="2" t="s">
        <v>126</v>
      </c>
      <c r="AU746" s="1">
        <f t="shared" si="91"/>
        <v>3.0912035049330262</v>
      </c>
      <c r="AV746" s="1">
        <f t="shared" si="92"/>
        <v>2.2120594083756484</v>
      </c>
      <c r="AW746" s="1">
        <f t="shared" si="93"/>
        <v>1.3329153118182704</v>
      </c>
    </row>
    <row r="747" spans="1:49" x14ac:dyDescent="0.2">
      <c r="A747">
        <v>745</v>
      </c>
      <c r="B747" t="s">
        <v>2669</v>
      </c>
      <c r="C747" t="s">
        <v>2668</v>
      </c>
      <c r="F747" t="s">
        <v>2667</v>
      </c>
      <c r="G747" t="s">
        <v>14</v>
      </c>
      <c r="H747" t="s">
        <v>13</v>
      </c>
      <c r="I747" t="s">
        <v>2666</v>
      </c>
      <c r="J747" t="s">
        <v>2661</v>
      </c>
      <c r="K747" t="s">
        <v>2665</v>
      </c>
      <c r="L747" t="s">
        <v>2664</v>
      </c>
      <c r="M747" t="s">
        <v>84</v>
      </c>
      <c r="N747">
        <v>2</v>
      </c>
      <c r="O747" t="s">
        <v>2663</v>
      </c>
      <c r="P747" t="s">
        <v>2662</v>
      </c>
      <c r="Q747" t="s">
        <v>2661</v>
      </c>
      <c r="R747" s="7">
        <v>32874</v>
      </c>
      <c r="S747" s="8">
        <f t="shared" si="88"/>
        <v>1990</v>
      </c>
      <c r="T747" s="8">
        <v>1990</v>
      </c>
      <c r="U747" s="8">
        <f t="shared" si="89"/>
        <v>32</v>
      </c>
      <c r="V747" s="7">
        <v>32933</v>
      </c>
      <c r="W747" t="s">
        <v>1152</v>
      </c>
      <c r="X747" s="2">
        <v>0.30399999999999999</v>
      </c>
      <c r="Y747" s="6">
        <f t="shared" si="94"/>
        <v>8.115106377299057E-3</v>
      </c>
      <c r="AA747">
        <v>8952477</v>
      </c>
      <c r="AB747">
        <v>12250</v>
      </c>
      <c r="AC747">
        <v>10982760</v>
      </c>
      <c r="AD747" t="s">
        <v>5</v>
      </c>
      <c r="AE747">
        <v>3</v>
      </c>
      <c r="AF747">
        <v>3</v>
      </c>
      <c r="AH747" t="s">
        <v>2660</v>
      </c>
      <c r="AI747" t="s">
        <v>2659</v>
      </c>
      <c r="AJ747" t="s">
        <v>2658</v>
      </c>
      <c r="AK747" t="s">
        <v>2657</v>
      </c>
      <c r="AL747">
        <v>0</v>
      </c>
      <c r="AM747" s="5">
        <f t="shared" si="90"/>
        <v>0</v>
      </c>
      <c r="AN747" s="4">
        <f t="shared" si="95"/>
        <v>0</v>
      </c>
      <c r="AO747" s="3"/>
      <c r="AP747">
        <v>0</v>
      </c>
      <c r="AR747" t="s">
        <v>0</v>
      </c>
      <c r="AT747" s="2" t="s">
        <v>126</v>
      </c>
      <c r="AU747" s="1">
        <f t="shared" si="91"/>
        <v>0.56805744641093392</v>
      </c>
      <c r="AV747" s="1">
        <f t="shared" si="92"/>
        <v>0.40575531886495286</v>
      </c>
      <c r="AW747" s="1">
        <f t="shared" si="93"/>
        <v>0.24345319131897172</v>
      </c>
    </row>
    <row r="748" spans="1:49" x14ac:dyDescent="0.2">
      <c r="A748">
        <v>746</v>
      </c>
      <c r="B748" t="s">
        <v>2656</v>
      </c>
      <c r="C748" t="s">
        <v>2655</v>
      </c>
      <c r="F748" t="s">
        <v>2654</v>
      </c>
      <c r="G748" t="s">
        <v>14</v>
      </c>
      <c r="H748" t="s">
        <v>13</v>
      </c>
      <c r="I748" t="s">
        <v>2653</v>
      </c>
      <c r="J748" t="s">
        <v>2652</v>
      </c>
      <c r="K748" t="s">
        <v>2651</v>
      </c>
      <c r="L748" t="s">
        <v>2650</v>
      </c>
      <c r="M748" t="s">
        <v>2528</v>
      </c>
      <c r="N748">
        <v>3</v>
      </c>
      <c r="O748" t="s">
        <v>2649</v>
      </c>
      <c r="P748" t="s">
        <v>2648</v>
      </c>
      <c r="Q748" t="s">
        <v>2647</v>
      </c>
      <c r="R748" s="7">
        <v>32874</v>
      </c>
      <c r="S748" s="8">
        <f t="shared" si="88"/>
        <v>1990</v>
      </c>
      <c r="T748" s="8">
        <v>1990</v>
      </c>
      <c r="U748" s="8">
        <f t="shared" si="89"/>
        <v>32</v>
      </c>
      <c r="V748" s="7">
        <v>32874</v>
      </c>
      <c r="W748" t="s">
        <v>1380</v>
      </c>
      <c r="X748" s="2">
        <v>0.375</v>
      </c>
      <c r="Y748" s="6">
        <f t="shared" si="94"/>
        <v>1.0010410827260351E-2</v>
      </c>
      <c r="AA748">
        <v>135194</v>
      </c>
      <c r="AB748">
        <v>24918</v>
      </c>
      <c r="AD748" t="s">
        <v>5</v>
      </c>
      <c r="AE748">
        <v>26</v>
      </c>
      <c r="AF748">
        <v>5</v>
      </c>
      <c r="AH748" t="s">
        <v>2646</v>
      </c>
      <c r="AI748" t="s">
        <v>2645</v>
      </c>
      <c r="AJ748" t="s">
        <v>2644</v>
      </c>
      <c r="AK748" t="s">
        <v>2643</v>
      </c>
      <c r="AL748">
        <v>4</v>
      </c>
      <c r="AM748" s="5">
        <f t="shared" si="90"/>
        <v>0.125</v>
      </c>
      <c r="AN748" s="4">
        <f t="shared" si="95"/>
        <v>1.893222264293828E-4</v>
      </c>
      <c r="AO748" s="3"/>
      <c r="AP748">
        <v>0</v>
      </c>
      <c r="AR748" t="s">
        <v>0</v>
      </c>
      <c r="AT748" s="2">
        <v>1.3140000000000001</v>
      </c>
      <c r="AU748" s="1">
        <f t="shared" si="91"/>
        <v>0.7064084247011061</v>
      </c>
      <c r="AV748" s="1">
        <f t="shared" si="92"/>
        <v>0.50998665268448673</v>
      </c>
      <c r="AW748" s="1">
        <f t="shared" si="93"/>
        <v>0.31356488066786731</v>
      </c>
    </row>
    <row r="749" spans="1:49" x14ac:dyDescent="0.2">
      <c r="A749">
        <v>747</v>
      </c>
      <c r="B749" t="s">
        <v>2642</v>
      </c>
      <c r="C749" t="s">
        <v>2641</v>
      </c>
      <c r="F749" t="s">
        <v>2640</v>
      </c>
      <c r="G749" t="s">
        <v>14</v>
      </c>
      <c r="H749" t="s">
        <v>13</v>
      </c>
      <c r="I749" t="s">
        <v>2639</v>
      </c>
      <c r="J749" t="s">
        <v>2638</v>
      </c>
      <c r="K749" t="s">
        <v>2637</v>
      </c>
      <c r="L749" t="s">
        <v>2636</v>
      </c>
      <c r="M749" t="s">
        <v>2635</v>
      </c>
      <c r="N749">
        <v>5</v>
      </c>
      <c r="O749" t="s">
        <v>2634</v>
      </c>
      <c r="P749" t="s">
        <v>2633</v>
      </c>
      <c r="Q749" t="s">
        <v>2632</v>
      </c>
      <c r="R749" s="7">
        <v>32874</v>
      </c>
      <c r="S749" s="8">
        <f t="shared" si="88"/>
        <v>1990</v>
      </c>
      <c r="T749" s="8">
        <v>1990</v>
      </c>
      <c r="U749" s="8">
        <f t="shared" si="89"/>
        <v>32</v>
      </c>
      <c r="V749" s="7">
        <v>32933</v>
      </c>
      <c r="W749" t="s">
        <v>2311</v>
      </c>
      <c r="X749" s="2">
        <v>0.62</v>
      </c>
      <c r="Y749" s="6">
        <f t="shared" si="94"/>
        <v>1.6550545901070447E-2</v>
      </c>
      <c r="AA749">
        <v>189464</v>
      </c>
      <c r="AB749">
        <v>17364</v>
      </c>
      <c r="AC749">
        <v>19410069</v>
      </c>
      <c r="AD749" t="s">
        <v>5</v>
      </c>
      <c r="AE749">
        <v>26</v>
      </c>
      <c r="AF749">
        <v>2</v>
      </c>
      <c r="AH749" t="s">
        <v>2631</v>
      </c>
      <c r="AI749" t="s">
        <v>2630</v>
      </c>
      <c r="AK749" t="s">
        <v>2629</v>
      </c>
      <c r="AL749">
        <v>10</v>
      </c>
      <c r="AM749" s="5">
        <f t="shared" si="90"/>
        <v>0.3125</v>
      </c>
      <c r="AN749" s="4">
        <f t="shared" si="95"/>
        <v>4.7330556607345703E-4</v>
      </c>
      <c r="AO749" s="3"/>
      <c r="AP749">
        <v>0</v>
      </c>
      <c r="AR749" t="s">
        <v>0</v>
      </c>
      <c r="AT749" s="2">
        <v>1.7</v>
      </c>
      <c r="AU749" s="1">
        <f t="shared" si="91"/>
        <v>1.172737380057135</v>
      </c>
      <c r="AV749" s="1">
        <f t="shared" si="92"/>
        <v>0.85119257335719511</v>
      </c>
      <c r="AW749" s="1">
        <f t="shared" si="93"/>
        <v>0.52964776665725544</v>
      </c>
    </row>
    <row r="750" spans="1:49" x14ac:dyDescent="0.2">
      <c r="A750">
        <v>748</v>
      </c>
      <c r="B750" t="s">
        <v>2628</v>
      </c>
      <c r="C750" t="s">
        <v>2627</v>
      </c>
      <c r="F750" t="s">
        <v>2626</v>
      </c>
      <c r="G750" t="s">
        <v>14</v>
      </c>
      <c r="H750" t="s">
        <v>13</v>
      </c>
      <c r="I750" t="s">
        <v>2625</v>
      </c>
      <c r="J750">
        <v>60007776</v>
      </c>
      <c r="K750" t="s">
        <v>2624</v>
      </c>
      <c r="L750" t="s">
        <v>2623</v>
      </c>
      <c r="M750" t="s">
        <v>197</v>
      </c>
      <c r="N750">
        <v>3</v>
      </c>
      <c r="O750" t="s">
        <v>2622</v>
      </c>
      <c r="P750" t="s">
        <v>2621</v>
      </c>
      <c r="Q750" t="s">
        <v>2620</v>
      </c>
      <c r="R750" s="7">
        <v>32874</v>
      </c>
      <c r="S750" s="8">
        <f t="shared" si="88"/>
        <v>1990</v>
      </c>
      <c r="T750" s="8">
        <v>1990</v>
      </c>
      <c r="U750" s="8">
        <f t="shared" si="89"/>
        <v>32</v>
      </c>
      <c r="V750" s="7">
        <v>1990</v>
      </c>
      <c r="W750" t="s">
        <v>1380</v>
      </c>
      <c r="X750" s="2">
        <v>0.375</v>
      </c>
      <c r="Y750" s="6">
        <f t="shared" si="94"/>
        <v>1.0010410827260351E-2</v>
      </c>
      <c r="AA750">
        <v>135194</v>
      </c>
      <c r="AB750">
        <v>24918</v>
      </c>
      <c r="AD750" t="s">
        <v>5</v>
      </c>
      <c r="AE750">
        <v>26</v>
      </c>
      <c r="AF750">
        <v>7</v>
      </c>
      <c r="AH750" t="s">
        <v>2619</v>
      </c>
      <c r="AI750" t="s">
        <v>2618</v>
      </c>
      <c r="AJ750" t="s">
        <v>2617</v>
      </c>
      <c r="AK750" t="s">
        <v>2616</v>
      </c>
      <c r="AL750">
        <v>32</v>
      </c>
      <c r="AM750" s="5">
        <f t="shared" si="90"/>
        <v>1</v>
      </c>
      <c r="AN750" s="4">
        <f t="shared" si="95"/>
        <v>1.5145778114350624E-3</v>
      </c>
      <c r="AO750" s="3"/>
      <c r="AP750">
        <v>0</v>
      </c>
      <c r="AR750" t="s">
        <v>0</v>
      </c>
      <c r="AT750" s="2">
        <v>1.3140000000000001</v>
      </c>
      <c r="AU750" s="1">
        <f t="shared" si="91"/>
        <v>0.74616609225127639</v>
      </c>
      <c r="AV750" s="1">
        <f t="shared" si="92"/>
        <v>0.57624943193477074</v>
      </c>
      <c r="AW750" s="1">
        <f t="shared" si="93"/>
        <v>0.40633277161826492</v>
      </c>
    </row>
    <row r="751" spans="1:49" x14ac:dyDescent="0.2">
      <c r="A751">
        <v>749</v>
      </c>
      <c r="B751" t="s">
        <v>2615</v>
      </c>
      <c r="C751" t="s">
        <v>2614</v>
      </c>
      <c r="F751" t="s">
        <v>2613</v>
      </c>
      <c r="G751" t="s">
        <v>14</v>
      </c>
      <c r="H751" t="s">
        <v>13</v>
      </c>
      <c r="I751" t="s">
        <v>2612</v>
      </c>
      <c r="J751" t="s">
        <v>2611</v>
      </c>
      <c r="K751" t="s">
        <v>2610</v>
      </c>
      <c r="L751" t="s">
        <v>2609</v>
      </c>
      <c r="M751" t="s">
        <v>84</v>
      </c>
      <c r="N751">
        <v>3</v>
      </c>
      <c r="O751" t="s">
        <v>2608</v>
      </c>
      <c r="P751" t="s">
        <v>2607</v>
      </c>
      <c r="Q751" t="s">
        <v>2606</v>
      </c>
      <c r="R751" s="7">
        <v>32874</v>
      </c>
      <c r="S751" s="8">
        <f t="shared" si="88"/>
        <v>1990</v>
      </c>
      <c r="T751" s="8">
        <v>1990</v>
      </c>
      <c r="U751" s="8">
        <f t="shared" si="89"/>
        <v>32</v>
      </c>
      <c r="V751" s="7">
        <v>32933</v>
      </c>
      <c r="W751" t="s">
        <v>2249</v>
      </c>
      <c r="X751" s="2">
        <v>1.6519999999999999</v>
      </c>
      <c r="Y751" s="6">
        <f t="shared" si="94"/>
        <v>4.409919649769093E-2</v>
      </c>
      <c r="AA751" t="s">
        <v>2248</v>
      </c>
      <c r="AB751">
        <v>17337</v>
      </c>
      <c r="AC751">
        <v>15582221</v>
      </c>
      <c r="AD751" t="s">
        <v>5</v>
      </c>
      <c r="AE751">
        <v>38</v>
      </c>
      <c r="AF751">
        <v>3</v>
      </c>
      <c r="AH751" t="s">
        <v>2605</v>
      </c>
      <c r="AI751" t="s">
        <v>2604</v>
      </c>
      <c r="AK751" t="s">
        <v>2603</v>
      </c>
      <c r="AL751">
        <v>69</v>
      </c>
      <c r="AM751" s="5">
        <f t="shared" si="90"/>
        <v>2.15625</v>
      </c>
      <c r="AN751" s="4">
        <f t="shared" si="95"/>
        <v>3.2658084059068535E-3</v>
      </c>
      <c r="AO751" s="3"/>
      <c r="AP751">
        <v>0</v>
      </c>
      <c r="AR751" t="s">
        <v>0</v>
      </c>
      <c r="AT751" s="2" t="s">
        <v>126</v>
      </c>
      <c r="AU751" s="1">
        <f t="shared" si="91"/>
        <v>3.1849180070155705</v>
      </c>
      <c r="AV751" s="1">
        <f t="shared" si="92"/>
        <v>2.368250245179889</v>
      </c>
      <c r="AW751" s="1">
        <f t="shared" si="93"/>
        <v>1.5515824833442076</v>
      </c>
    </row>
    <row r="752" spans="1:49" x14ac:dyDescent="0.2">
      <c r="A752">
        <v>750</v>
      </c>
      <c r="B752" t="s">
        <v>2602</v>
      </c>
      <c r="C752" t="s">
        <v>2601</v>
      </c>
      <c r="F752" t="s">
        <v>2600</v>
      </c>
      <c r="G752" t="s">
        <v>14</v>
      </c>
      <c r="H752" t="s">
        <v>13</v>
      </c>
      <c r="I752" t="s">
        <v>2599</v>
      </c>
      <c r="J752" t="s">
        <v>2598</v>
      </c>
      <c r="K752" t="s">
        <v>2597</v>
      </c>
      <c r="L752" t="s">
        <v>2596</v>
      </c>
      <c r="M752" t="s">
        <v>2595</v>
      </c>
      <c r="N752">
        <v>3</v>
      </c>
      <c r="O752" t="s">
        <v>2594</v>
      </c>
      <c r="P752" t="s">
        <v>2593</v>
      </c>
      <c r="Q752" t="s">
        <v>2592</v>
      </c>
      <c r="R752" s="7">
        <v>32874</v>
      </c>
      <c r="S752" s="8">
        <f t="shared" si="88"/>
        <v>1990</v>
      </c>
      <c r="T752" s="8">
        <v>1990</v>
      </c>
      <c r="U752" s="8">
        <f t="shared" si="89"/>
        <v>32</v>
      </c>
      <c r="V752" s="7">
        <v>32933</v>
      </c>
      <c r="W752" t="s">
        <v>38</v>
      </c>
      <c r="X752" s="2">
        <v>0.251</v>
      </c>
      <c r="Y752" s="6">
        <f t="shared" si="94"/>
        <v>6.7003016470462617E-3</v>
      </c>
      <c r="AA752">
        <v>207217</v>
      </c>
      <c r="AB752">
        <v>26145</v>
      </c>
      <c r="AC752">
        <v>13623060</v>
      </c>
      <c r="AD752" t="s">
        <v>5</v>
      </c>
      <c r="AE752">
        <v>68</v>
      </c>
      <c r="AF752">
        <v>3</v>
      </c>
      <c r="AH752" t="s">
        <v>2591</v>
      </c>
      <c r="AI752" t="s">
        <v>2590</v>
      </c>
      <c r="AK752" t="s">
        <v>2589</v>
      </c>
      <c r="AL752">
        <v>1</v>
      </c>
      <c r="AM752" s="5">
        <f t="shared" si="90"/>
        <v>3.125E-2</v>
      </c>
      <c r="AN752" s="4">
        <f t="shared" si="95"/>
        <v>4.73305566073457E-5</v>
      </c>
      <c r="AO752" s="3"/>
      <c r="AP752">
        <v>0</v>
      </c>
      <c r="AR752" t="s">
        <v>0</v>
      </c>
      <c r="AT752" s="2">
        <v>1.3360000000000001</v>
      </c>
      <c r="AU752" s="1">
        <f t="shared" si="91"/>
        <v>0.47044103199145859</v>
      </c>
      <c r="AV752" s="1">
        <f t="shared" si="92"/>
        <v>0.33738161018268037</v>
      </c>
      <c r="AW752" s="1">
        <f t="shared" si="93"/>
        <v>0.20432218837390204</v>
      </c>
    </row>
    <row r="753" spans="1:49" x14ac:dyDescent="0.2">
      <c r="A753">
        <v>751</v>
      </c>
      <c r="B753" t="s">
        <v>2588</v>
      </c>
      <c r="C753" t="s">
        <v>2587</v>
      </c>
      <c r="F753" t="s">
        <v>2586</v>
      </c>
      <c r="G753" t="s">
        <v>14</v>
      </c>
      <c r="H753" t="s">
        <v>13</v>
      </c>
      <c r="I753" t="s">
        <v>2585</v>
      </c>
      <c r="J753">
        <v>60024266</v>
      </c>
      <c r="K753" t="s">
        <v>2584</v>
      </c>
      <c r="L753" t="s">
        <v>2583</v>
      </c>
      <c r="M753" t="s">
        <v>197</v>
      </c>
      <c r="N753">
        <v>4</v>
      </c>
      <c r="O753" t="s">
        <v>2582</v>
      </c>
      <c r="P753" t="s">
        <v>2581</v>
      </c>
      <c r="Q753" t="s">
        <v>2580</v>
      </c>
      <c r="R753" s="7">
        <v>32874</v>
      </c>
      <c r="S753" s="8">
        <f t="shared" si="88"/>
        <v>1990</v>
      </c>
      <c r="T753" s="8">
        <v>1990</v>
      </c>
      <c r="U753" s="8">
        <f t="shared" si="89"/>
        <v>32</v>
      </c>
      <c r="V753" s="7" t="s">
        <v>2579</v>
      </c>
      <c r="W753" t="s">
        <v>1844</v>
      </c>
      <c r="X753" s="2">
        <v>1.774</v>
      </c>
      <c r="Y753" s="6">
        <f t="shared" si="94"/>
        <v>4.7355916820159633E-2</v>
      </c>
      <c r="AA753">
        <v>295515</v>
      </c>
      <c r="AB753">
        <v>29066</v>
      </c>
      <c r="AD753" t="s">
        <v>5</v>
      </c>
      <c r="AE753">
        <v>30</v>
      </c>
      <c r="AF753">
        <v>3</v>
      </c>
      <c r="AH753" t="s">
        <v>2578</v>
      </c>
      <c r="AI753" t="s">
        <v>2577</v>
      </c>
      <c r="AK753" t="s">
        <v>2576</v>
      </c>
      <c r="AL753">
        <v>16</v>
      </c>
      <c r="AM753" s="5">
        <f t="shared" si="90"/>
        <v>0.5</v>
      </c>
      <c r="AN753" s="4">
        <f t="shared" si="95"/>
        <v>7.572889057175312E-4</v>
      </c>
      <c r="AO753" s="3"/>
      <c r="AP753">
        <v>0</v>
      </c>
      <c r="AR753" t="s">
        <v>0</v>
      </c>
      <c r="AT753" s="2">
        <v>3.1789999999999998</v>
      </c>
      <c r="AU753" s="1">
        <f t="shared" si="91"/>
        <v>3.3376328445826999</v>
      </c>
      <c r="AV753" s="1">
        <f t="shared" si="92"/>
        <v>2.4056602862938581</v>
      </c>
      <c r="AW753" s="1">
        <f t="shared" si="93"/>
        <v>1.473687728005016</v>
      </c>
    </row>
    <row r="754" spans="1:49" x14ac:dyDescent="0.2">
      <c r="A754">
        <v>752</v>
      </c>
      <c r="B754" t="s">
        <v>2575</v>
      </c>
      <c r="C754" t="s">
        <v>2574</v>
      </c>
      <c r="E754">
        <v>2093769</v>
      </c>
      <c r="F754" t="s">
        <v>2573</v>
      </c>
      <c r="G754" t="s">
        <v>14</v>
      </c>
      <c r="H754" t="s">
        <v>13</v>
      </c>
      <c r="I754" t="s">
        <v>2572</v>
      </c>
      <c r="J754">
        <v>60006807</v>
      </c>
      <c r="K754" t="s">
        <v>2571</v>
      </c>
      <c r="L754" t="s">
        <v>2570</v>
      </c>
      <c r="M754" t="s">
        <v>197</v>
      </c>
      <c r="N754">
        <v>1</v>
      </c>
      <c r="O754" t="s">
        <v>2569</v>
      </c>
      <c r="P754">
        <v>7103352864</v>
      </c>
      <c r="Q754">
        <v>60006807</v>
      </c>
      <c r="R754" s="7">
        <v>32874</v>
      </c>
      <c r="S754" s="8">
        <f t="shared" si="88"/>
        <v>1990</v>
      </c>
      <c r="T754" s="8">
        <v>1990</v>
      </c>
      <c r="U754" s="8">
        <f t="shared" si="89"/>
        <v>32</v>
      </c>
      <c r="V754" s="7">
        <v>32933</v>
      </c>
      <c r="W754" t="s">
        <v>602</v>
      </c>
      <c r="X754" s="2" t="s">
        <v>126</v>
      </c>
      <c r="Y754" s="6" t="e">
        <f t="shared" si="94"/>
        <v>#VALUE!</v>
      </c>
      <c r="AA754">
        <v>222585</v>
      </c>
      <c r="AB754">
        <v>20491</v>
      </c>
      <c r="AD754" t="s">
        <v>5</v>
      </c>
      <c r="AE754">
        <v>27</v>
      </c>
      <c r="AF754">
        <v>2</v>
      </c>
      <c r="AH754" t="s">
        <v>2568</v>
      </c>
      <c r="AI754" t="s">
        <v>2567</v>
      </c>
      <c r="AK754" t="s">
        <v>2566</v>
      </c>
      <c r="AL754">
        <v>42</v>
      </c>
      <c r="AM754" s="5">
        <f t="shared" si="90"/>
        <v>1.3125</v>
      </c>
      <c r="AN754" s="4">
        <f t="shared" si="95"/>
        <v>1.9878833775085194E-3</v>
      </c>
      <c r="AO754" s="3"/>
      <c r="AP754">
        <v>0</v>
      </c>
      <c r="AR754" t="s">
        <v>0</v>
      </c>
      <c r="AT754" s="2">
        <v>2.278</v>
      </c>
      <c r="AU754" s="1" t="e">
        <f t="shared" si="91"/>
        <v>#VALUE!</v>
      </c>
      <c r="AV754" s="1" t="e">
        <f t="shared" si="92"/>
        <v>#VALUE!</v>
      </c>
      <c r="AW754" s="1" t="e">
        <f t="shared" si="93"/>
        <v>#VALUE!</v>
      </c>
    </row>
    <row r="755" spans="1:49" x14ac:dyDescent="0.2">
      <c r="A755">
        <v>753</v>
      </c>
      <c r="B755" t="s">
        <v>2565</v>
      </c>
      <c r="C755" t="s">
        <v>2564</v>
      </c>
      <c r="F755" t="s">
        <v>2563</v>
      </c>
      <c r="G755" t="s">
        <v>14</v>
      </c>
      <c r="H755" t="s">
        <v>13</v>
      </c>
      <c r="I755" t="s">
        <v>2562</v>
      </c>
      <c r="J755">
        <v>60102125</v>
      </c>
      <c r="K755" t="s">
        <v>2561</v>
      </c>
      <c r="L755" t="s">
        <v>2560</v>
      </c>
      <c r="M755" t="s">
        <v>1637</v>
      </c>
      <c r="N755">
        <v>3</v>
      </c>
      <c r="O755" t="s">
        <v>2559</v>
      </c>
      <c r="P755" t="s">
        <v>2558</v>
      </c>
      <c r="Q755" t="s">
        <v>2557</v>
      </c>
      <c r="R755" s="7">
        <v>32874</v>
      </c>
      <c r="S755" s="8">
        <f t="shared" si="88"/>
        <v>1990</v>
      </c>
      <c r="T755" s="8">
        <v>1990</v>
      </c>
      <c r="U755" s="8">
        <f t="shared" si="89"/>
        <v>32</v>
      </c>
      <c r="V755" s="7">
        <v>32933</v>
      </c>
      <c r="W755" t="s">
        <v>1309</v>
      </c>
      <c r="X755" s="2">
        <v>1.3720000000000001</v>
      </c>
      <c r="Y755" s="6">
        <f t="shared" si="94"/>
        <v>3.662475641333654E-2</v>
      </c>
      <c r="AA755">
        <v>189480</v>
      </c>
      <c r="AB755">
        <v>17366</v>
      </c>
      <c r="AC755">
        <v>15579670</v>
      </c>
      <c r="AD755" t="s">
        <v>5</v>
      </c>
      <c r="AE755">
        <v>38</v>
      </c>
      <c r="AF755">
        <v>3</v>
      </c>
      <c r="AH755" t="s">
        <v>2556</v>
      </c>
      <c r="AI755" t="s">
        <v>2555</v>
      </c>
      <c r="AK755" t="s">
        <v>2554</v>
      </c>
      <c r="AL755">
        <v>2</v>
      </c>
      <c r="AM755" s="5">
        <f t="shared" si="90"/>
        <v>6.25E-2</v>
      </c>
      <c r="AN755" s="4">
        <f t="shared" si="95"/>
        <v>9.46611132146914E-5</v>
      </c>
      <c r="AO755" s="3"/>
      <c r="AP755">
        <v>0</v>
      </c>
      <c r="AR755" t="s">
        <v>0</v>
      </c>
      <c r="AT755" s="2" t="s">
        <v>126</v>
      </c>
      <c r="AU755" s="1">
        <f t="shared" si="91"/>
        <v>2.5665727823299984</v>
      </c>
      <c r="AV755" s="1">
        <f t="shared" si="92"/>
        <v>1.8359708763275615</v>
      </c>
      <c r="AW755" s="1">
        <f t="shared" si="93"/>
        <v>1.1053689703251246</v>
      </c>
    </row>
    <row r="756" spans="1:49" x14ac:dyDescent="0.2">
      <c r="A756">
        <v>754</v>
      </c>
      <c r="B756" t="s">
        <v>2553</v>
      </c>
      <c r="C756" t="s">
        <v>2552</v>
      </c>
      <c r="F756" t="s">
        <v>2551</v>
      </c>
      <c r="G756" t="s">
        <v>14</v>
      </c>
      <c r="H756" t="s">
        <v>13</v>
      </c>
      <c r="I756" t="s">
        <v>2550</v>
      </c>
      <c r="J756">
        <v>60022195</v>
      </c>
      <c r="K756" t="s">
        <v>1666</v>
      </c>
      <c r="L756" t="s">
        <v>1665</v>
      </c>
      <c r="M756" t="s">
        <v>197</v>
      </c>
      <c r="N756">
        <v>1</v>
      </c>
      <c r="O756" t="s">
        <v>2549</v>
      </c>
      <c r="P756">
        <v>7004926030</v>
      </c>
      <c r="Q756">
        <v>60022195</v>
      </c>
      <c r="R756" s="7">
        <v>32874</v>
      </c>
      <c r="S756" s="8">
        <f t="shared" si="88"/>
        <v>1990</v>
      </c>
      <c r="T756" s="8">
        <v>1990</v>
      </c>
      <c r="U756" s="8">
        <f t="shared" si="89"/>
        <v>32</v>
      </c>
      <c r="V756" s="7">
        <v>32933</v>
      </c>
      <c r="W756" t="s">
        <v>1844</v>
      </c>
      <c r="X756" s="2">
        <v>1.774</v>
      </c>
      <c r="Y756" s="6">
        <f t="shared" si="94"/>
        <v>4.7355916820159633E-2</v>
      </c>
      <c r="AA756">
        <v>295515</v>
      </c>
      <c r="AB756">
        <v>29066</v>
      </c>
      <c r="AC756">
        <v>17414326</v>
      </c>
      <c r="AD756" t="s">
        <v>5</v>
      </c>
      <c r="AE756">
        <v>30</v>
      </c>
      <c r="AF756">
        <v>3</v>
      </c>
      <c r="AH756" t="s">
        <v>2548</v>
      </c>
      <c r="AI756" t="s">
        <v>2547</v>
      </c>
      <c r="AK756" t="s">
        <v>2546</v>
      </c>
      <c r="AL756">
        <v>10</v>
      </c>
      <c r="AM756" s="5">
        <f t="shared" si="90"/>
        <v>0.3125</v>
      </c>
      <c r="AN756" s="4">
        <f t="shared" si="95"/>
        <v>4.7330556607345703E-4</v>
      </c>
      <c r="AO756" s="3"/>
      <c r="AP756">
        <v>0</v>
      </c>
      <c r="AR756" t="s">
        <v>0</v>
      </c>
      <c r="AT756" s="2">
        <v>3.1789999999999998</v>
      </c>
      <c r="AU756" s="1">
        <f t="shared" si="91"/>
        <v>3.3291133443933778</v>
      </c>
      <c r="AV756" s="1">
        <f t="shared" si="92"/>
        <v>2.3914611193116544</v>
      </c>
      <c r="AW756" s="1">
        <f t="shared" si="93"/>
        <v>1.453808894229931</v>
      </c>
    </row>
    <row r="757" spans="1:49" x14ac:dyDescent="0.2">
      <c r="A757">
        <v>755</v>
      </c>
      <c r="B757" t="s">
        <v>2545</v>
      </c>
      <c r="C757" t="s">
        <v>2544</v>
      </c>
      <c r="F757" t="s">
        <v>2543</v>
      </c>
      <c r="G757" t="s">
        <v>14</v>
      </c>
      <c r="H757" t="s">
        <v>13</v>
      </c>
      <c r="I757" t="s">
        <v>2542</v>
      </c>
      <c r="J757">
        <v>60010365</v>
      </c>
      <c r="K757" t="s">
        <v>2541</v>
      </c>
      <c r="L757" t="s">
        <v>2540</v>
      </c>
      <c r="M757" t="s">
        <v>1937</v>
      </c>
      <c r="N757">
        <v>1</v>
      </c>
      <c r="O757" t="s">
        <v>2539</v>
      </c>
      <c r="P757">
        <v>7102336029</v>
      </c>
      <c r="Q757">
        <v>60010365</v>
      </c>
      <c r="R757" s="7">
        <v>32874</v>
      </c>
      <c r="S757" s="8">
        <f t="shared" si="88"/>
        <v>1990</v>
      </c>
      <c r="T757" s="8">
        <v>1990</v>
      </c>
      <c r="U757" s="8">
        <f t="shared" si="89"/>
        <v>32</v>
      </c>
      <c r="V757" s="7">
        <v>32933</v>
      </c>
      <c r="W757" t="s">
        <v>720</v>
      </c>
      <c r="X757" s="2">
        <v>1.137</v>
      </c>
      <c r="Y757" s="6">
        <f t="shared" si="94"/>
        <v>3.0351565628253384E-2</v>
      </c>
      <c r="AA757">
        <v>189251</v>
      </c>
      <c r="AB757">
        <v>17336</v>
      </c>
      <c r="AD757" t="s">
        <v>5</v>
      </c>
      <c r="AE757">
        <v>26</v>
      </c>
      <c r="AF757">
        <v>2</v>
      </c>
      <c r="AH757" t="s">
        <v>2538</v>
      </c>
      <c r="AI757" t="s">
        <v>2537</v>
      </c>
      <c r="AK757" t="s">
        <v>2536</v>
      </c>
      <c r="AL757">
        <v>4</v>
      </c>
      <c r="AM757" s="5">
        <f t="shared" si="90"/>
        <v>0.125</v>
      </c>
      <c r="AN757" s="4">
        <f t="shared" si="95"/>
        <v>1.893222264293828E-4</v>
      </c>
      <c r="AO757" s="3"/>
      <c r="AP757">
        <v>0</v>
      </c>
      <c r="AR757" t="s">
        <v>0</v>
      </c>
      <c r="AT757" s="2" t="s">
        <v>126</v>
      </c>
      <c r="AU757" s="1">
        <f t="shared" si="91"/>
        <v>2.1302892607706179</v>
      </c>
      <c r="AV757" s="1">
        <f t="shared" si="92"/>
        <v>1.5270443927341384</v>
      </c>
      <c r="AW757" s="1">
        <f t="shared" si="93"/>
        <v>0.92379952469765836</v>
      </c>
    </row>
    <row r="758" spans="1:49" x14ac:dyDescent="0.2">
      <c r="A758">
        <v>756</v>
      </c>
      <c r="B758" t="s">
        <v>2535</v>
      </c>
      <c r="C758" t="s">
        <v>2534</v>
      </c>
      <c r="F758" t="s">
        <v>2533</v>
      </c>
      <c r="G758" t="s">
        <v>14</v>
      </c>
      <c r="H758" t="s">
        <v>13</v>
      </c>
      <c r="I758" t="s">
        <v>2532</v>
      </c>
      <c r="J758" t="s">
        <v>2531</v>
      </c>
      <c r="K758" t="s">
        <v>2530</v>
      </c>
      <c r="L758" t="s">
        <v>2529</v>
      </c>
      <c r="M758" t="s">
        <v>2528</v>
      </c>
      <c r="N758">
        <v>2</v>
      </c>
      <c r="O758" t="s">
        <v>2527</v>
      </c>
      <c r="P758" t="s">
        <v>2526</v>
      </c>
      <c r="Q758" t="s">
        <v>2525</v>
      </c>
      <c r="R758" s="7">
        <v>32874</v>
      </c>
      <c r="S758" s="8">
        <f t="shared" si="88"/>
        <v>1990</v>
      </c>
      <c r="T758" s="8">
        <v>1990</v>
      </c>
      <c r="U758" s="8">
        <f t="shared" si="89"/>
        <v>32</v>
      </c>
      <c r="V758" s="7">
        <v>32933</v>
      </c>
      <c r="W758" t="s">
        <v>1222</v>
      </c>
      <c r="X758" s="2">
        <v>1.6379999999999999</v>
      </c>
      <c r="Y758" s="6">
        <f t="shared" si="94"/>
        <v>4.3725474493473214E-2</v>
      </c>
      <c r="AA758">
        <v>963518</v>
      </c>
      <c r="AB758">
        <v>31560</v>
      </c>
      <c r="AD758" t="s">
        <v>5</v>
      </c>
      <c r="AE758">
        <v>38</v>
      </c>
      <c r="AF758">
        <v>3</v>
      </c>
      <c r="AH758" t="s">
        <v>2524</v>
      </c>
      <c r="AI758" t="s">
        <v>2523</v>
      </c>
      <c r="AK758" t="s">
        <v>2522</v>
      </c>
      <c r="AL758">
        <v>6</v>
      </c>
      <c r="AM758" s="5">
        <f t="shared" si="90"/>
        <v>0.1875</v>
      </c>
      <c r="AN758" s="4">
        <f t="shared" si="95"/>
        <v>2.8398333964407423E-4</v>
      </c>
      <c r="AO758" s="3"/>
      <c r="AP758">
        <v>0</v>
      </c>
      <c r="AR758" t="s">
        <v>0</v>
      </c>
      <c r="AT758" s="2" t="s">
        <v>126</v>
      </c>
      <c r="AU758" s="1">
        <f t="shared" si="91"/>
        <v>3.069302714732447</v>
      </c>
      <c r="AV758" s="1">
        <f t="shared" si="92"/>
        <v>2.2004728916558642</v>
      </c>
      <c r="AW758" s="1">
        <f t="shared" si="93"/>
        <v>1.3316430685792815</v>
      </c>
    </row>
    <row r="759" spans="1:49" x14ac:dyDescent="0.2">
      <c r="A759">
        <v>757</v>
      </c>
      <c r="B759" t="s">
        <v>2521</v>
      </c>
      <c r="C759" t="s">
        <v>2520</v>
      </c>
      <c r="F759" t="s">
        <v>2519</v>
      </c>
      <c r="G759" t="s">
        <v>14</v>
      </c>
      <c r="H759" t="s">
        <v>13</v>
      </c>
      <c r="I759" t="s">
        <v>2518</v>
      </c>
      <c r="N759">
        <v>1</v>
      </c>
      <c r="O759" t="s">
        <v>2517</v>
      </c>
      <c r="P759">
        <v>6603095802</v>
      </c>
      <c r="R759" s="7">
        <v>32874</v>
      </c>
      <c r="S759" s="8">
        <f t="shared" si="88"/>
        <v>1990</v>
      </c>
      <c r="T759" s="8">
        <v>1990</v>
      </c>
      <c r="U759" s="8">
        <f t="shared" si="89"/>
        <v>32</v>
      </c>
      <c r="V759" s="7">
        <v>1990</v>
      </c>
      <c r="W759" t="s">
        <v>2360</v>
      </c>
      <c r="X759" s="2" t="s">
        <v>126</v>
      </c>
      <c r="Y759" s="6" t="e">
        <f t="shared" si="94"/>
        <v>#VALUE!</v>
      </c>
      <c r="AA759">
        <v>3875024</v>
      </c>
      <c r="AB759">
        <v>110132</v>
      </c>
      <c r="AD759" t="s">
        <v>5</v>
      </c>
      <c r="AE759">
        <v>56</v>
      </c>
      <c r="AF759">
        <v>523</v>
      </c>
      <c r="AH759" t="s">
        <v>2516</v>
      </c>
      <c r="AI759" t="s">
        <v>2515</v>
      </c>
      <c r="AJ759" t="s">
        <v>2514</v>
      </c>
      <c r="AK759" t="s">
        <v>2513</v>
      </c>
      <c r="AL759">
        <v>0</v>
      </c>
      <c r="AM759" s="5">
        <f t="shared" si="90"/>
        <v>0</v>
      </c>
      <c r="AN759" s="4">
        <f t="shared" si="95"/>
        <v>0</v>
      </c>
      <c r="AO759" s="3"/>
      <c r="AP759">
        <v>1</v>
      </c>
      <c r="AR759" t="s">
        <v>0</v>
      </c>
      <c r="AT759" s="2" t="s">
        <v>126</v>
      </c>
      <c r="AU759" s="1" t="e">
        <f t="shared" si="91"/>
        <v>#VALUE!</v>
      </c>
      <c r="AV759" s="1" t="e">
        <f t="shared" si="92"/>
        <v>#VALUE!</v>
      </c>
      <c r="AW759" s="1" t="e">
        <f t="shared" si="93"/>
        <v>#VALUE!</v>
      </c>
    </row>
    <row r="760" spans="1:49" x14ac:dyDescent="0.2">
      <c r="A760">
        <v>758</v>
      </c>
      <c r="B760" t="s">
        <v>2512</v>
      </c>
      <c r="C760" t="s">
        <v>2511</v>
      </c>
      <c r="F760" t="s">
        <v>2510</v>
      </c>
      <c r="G760" t="s">
        <v>14</v>
      </c>
      <c r="H760" t="s">
        <v>13</v>
      </c>
      <c r="I760" t="s">
        <v>2503</v>
      </c>
      <c r="N760">
        <v>1</v>
      </c>
      <c r="O760" t="s">
        <v>2502</v>
      </c>
      <c r="P760">
        <v>35618021600</v>
      </c>
      <c r="R760" s="7">
        <v>32874</v>
      </c>
      <c r="S760" s="8">
        <f t="shared" si="88"/>
        <v>1990</v>
      </c>
      <c r="T760" s="8">
        <v>1990</v>
      </c>
      <c r="U760" s="8">
        <f t="shared" si="89"/>
        <v>32</v>
      </c>
      <c r="V760" s="7">
        <v>32933</v>
      </c>
      <c r="W760" t="s">
        <v>2428</v>
      </c>
      <c r="X760" s="2">
        <v>0.78200000000000003</v>
      </c>
      <c r="Y760" s="6">
        <f t="shared" si="94"/>
        <v>2.0875043378446919E-2</v>
      </c>
      <c r="AA760">
        <v>189316</v>
      </c>
      <c r="AB760">
        <v>19901</v>
      </c>
      <c r="AC760">
        <v>15579611</v>
      </c>
      <c r="AD760" t="s">
        <v>5</v>
      </c>
      <c r="AE760">
        <v>36</v>
      </c>
      <c r="AF760">
        <v>1</v>
      </c>
      <c r="AH760" t="s">
        <v>2509</v>
      </c>
      <c r="AI760" t="s">
        <v>2508</v>
      </c>
      <c r="AK760" t="s">
        <v>2507</v>
      </c>
      <c r="AL760">
        <v>5</v>
      </c>
      <c r="AM760" s="5">
        <f t="shared" si="90"/>
        <v>0.15625</v>
      </c>
      <c r="AN760" s="4">
        <f t="shared" si="95"/>
        <v>2.3665278303672851E-4</v>
      </c>
      <c r="AO760" s="3"/>
      <c r="AP760">
        <v>0</v>
      </c>
      <c r="AR760" t="s">
        <v>0</v>
      </c>
      <c r="AT760" s="2">
        <v>3.863</v>
      </c>
      <c r="AU760" s="1">
        <f t="shared" si="91"/>
        <v>1.468352619982386</v>
      </c>
      <c r="AV760" s="1">
        <f t="shared" si="92"/>
        <v>1.0555848080741825</v>
      </c>
      <c r="AW760" s="1">
        <f t="shared" si="93"/>
        <v>0.64281699616597854</v>
      </c>
    </row>
    <row r="761" spans="1:49" x14ac:dyDescent="0.2">
      <c r="A761">
        <v>759</v>
      </c>
      <c r="B761" t="s">
        <v>2506</v>
      </c>
      <c r="C761" t="s">
        <v>2505</v>
      </c>
      <c r="F761" t="s">
        <v>2504</v>
      </c>
      <c r="G761" t="s">
        <v>14</v>
      </c>
      <c r="H761" t="s">
        <v>13</v>
      </c>
      <c r="I761" t="s">
        <v>2503</v>
      </c>
      <c r="N761">
        <v>1</v>
      </c>
      <c r="O761" t="s">
        <v>2502</v>
      </c>
      <c r="P761">
        <v>35618021600</v>
      </c>
      <c r="R761" s="7">
        <v>32874</v>
      </c>
      <c r="S761" s="8">
        <f t="shared" si="88"/>
        <v>1990</v>
      </c>
      <c r="T761" s="8">
        <v>1990</v>
      </c>
      <c r="U761" s="8">
        <f t="shared" si="89"/>
        <v>32</v>
      </c>
      <c r="V761" s="7">
        <v>32933</v>
      </c>
      <c r="W761" t="s">
        <v>2428</v>
      </c>
      <c r="X761" s="2">
        <v>0.78200000000000003</v>
      </c>
      <c r="Y761" s="6">
        <f t="shared" si="94"/>
        <v>2.0875043378446919E-2</v>
      </c>
      <c r="AA761">
        <v>189316</v>
      </c>
      <c r="AB761">
        <v>19901</v>
      </c>
      <c r="AC761">
        <v>15579611</v>
      </c>
      <c r="AD761" t="s">
        <v>5</v>
      </c>
      <c r="AE761">
        <v>36</v>
      </c>
      <c r="AF761">
        <v>1</v>
      </c>
      <c r="AH761" t="s">
        <v>2501</v>
      </c>
      <c r="AI761" t="s">
        <v>2500</v>
      </c>
      <c r="AK761" t="s">
        <v>2499</v>
      </c>
      <c r="AL761">
        <v>3</v>
      </c>
      <c r="AM761" s="5">
        <f t="shared" si="90"/>
        <v>9.375E-2</v>
      </c>
      <c r="AN761" s="4">
        <f t="shared" si="95"/>
        <v>1.4199166982203711E-4</v>
      </c>
      <c r="AO761" s="3"/>
      <c r="AP761">
        <v>0</v>
      </c>
      <c r="AR761" t="s">
        <v>0</v>
      </c>
      <c r="AT761" s="2">
        <v>3.863</v>
      </c>
      <c r="AU761" s="1">
        <f t="shared" si="91"/>
        <v>1.4655127865859452</v>
      </c>
      <c r="AV761" s="1">
        <f t="shared" si="92"/>
        <v>1.0508517524134477</v>
      </c>
      <c r="AW761" s="1">
        <f t="shared" si="93"/>
        <v>0.63619071824095019</v>
      </c>
    </row>
    <row r="762" spans="1:49" x14ac:dyDescent="0.2">
      <c r="A762">
        <v>760</v>
      </c>
      <c r="B762" t="s">
        <v>2498</v>
      </c>
      <c r="C762" t="s">
        <v>2497</v>
      </c>
      <c r="F762" t="s">
        <v>2496</v>
      </c>
      <c r="G762" t="s">
        <v>14</v>
      </c>
      <c r="H762" t="s">
        <v>13</v>
      </c>
      <c r="I762" t="s">
        <v>2495</v>
      </c>
      <c r="J762">
        <v>60030551</v>
      </c>
      <c r="K762" t="s">
        <v>2494</v>
      </c>
      <c r="L762" t="s">
        <v>2493</v>
      </c>
      <c r="M762" t="s">
        <v>197</v>
      </c>
      <c r="N762">
        <v>2</v>
      </c>
      <c r="O762" t="s">
        <v>2492</v>
      </c>
      <c r="P762" t="s">
        <v>2491</v>
      </c>
      <c r="Q762" t="s">
        <v>2490</v>
      </c>
      <c r="R762" s="7">
        <v>32874</v>
      </c>
      <c r="S762" s="8">
        <f t="shared" si="88"/>
        <v>1990</v>
      </c>
      <c r="T762" s="8">
        <v>1990</v>
      </c>
      <c r="U762" s="8">
        <f t="shared" si="89"/>
        <v>32</v>
      </c>
      <c r="V762" s="7">
        <v>32933</v>
      </c>
      <c r="W762" t="s">
        <v>2249</v>
      </c>
      <c r="X762" s="2">
        <v>1.6519999999999999</v>
      </c>
      <c r="Y762" s="6">
        <f t="shared" si="94"/>
        <v>4.409919649769093E-2</v>
      </c>
      <c r="AA762" t="s">
        <v>2248</v>
      </c>
      <c r="AB762">
        <v>17337</v>
      </c>
      <c r="AC762">
        <v>15582221</v>
      </c>
      <c r="AD762" t="s">
        <v>5</v>
      </c>
      <c r="AE762">
        <v>38</v>
      </c>
      <c r="AF762">
        <v>3</v>
      </c>
      <c r="AH762" t="s">
        <v>2489</v>
      </c>
      <c r="AI762" t="s">
        <v>2488</v>
      </c>
      <c r="AK762" t="s">
        <v>2487</v>
      </c>
      <c r="AL762">
        <v>88</v>
      </c>
      <c r="AM762" s="5">
        <f t="shared" si="90"/>
        <v>2.75</v>
      </c>
      <c r="AN762" s="4">
        <f t="shared" si="95"/>
        <v>4.1650889814464215E-3</v>
      </c>
      <c r="AO762" s="3"/>
      <c r="AP762">
        <v>0</v>
      </c>
      <c r="AR762" t="s">
        <v>0</v>
      </c>
      <c r="AT762" s="2" t="s">
        <v>126</v>
      </c>
      <c r="AU762" s="1">
        <f t="shared" si="91"/>
        <v>3.211896424281758</v>
      </c>
      <c r="AV762" s="1">
        <f t="shared" si="92"/>
        <v>2.4132142739568674</v>
      </c>
      <c r="AW762" s="1">
        <f t="shared" si="93"/>
        <v>1.6145321236319774</v>
      </c>
    </row>
    <row r="763" spans="1:49" x14ac:dyDescent="0.2">
      <c r="A763">
        <v>761</v>
      </c>
      <c r="B763" t="s">
        <v>2486</v>
      </c>
      <c r="C763" t="s">
        <v>2485</v>
      </c>
      <c r="F763" t="s">
        <v>2484</v>
      </c>
      <c r="G763" t="s">
        <v>14</v>
      </c>
      <c r="H763" t="s">
        <v>13</v>
      </c>
      <c r="I763" t="s">
        <v>2483</v>
      </c>
      <c r="J763" t="s">
        <v>2477</v>
      </c>
      <c r="K763" t="s">
        <v>2482</v>
      </c>
      <c r="L763" t="s">
        <v>2481</v>
      </c>
      <c r="M763" t="s">
        <v>2480</v>
      </c>
      <c r="N763">
        <v>2</v>
      </c>
      <c r="O763" t="s">
        <v>2479</v>
      </c>
      <c r="P763" t="s">
        <v>2478</v>
      </c>
      <c r="Q763" t="s">
        <v>2477</v>
      </c>
      <c r="R763" s="7">
        <v>32874</v>
      </c>
      <c r="S763" s="8">
        <f t="shared" si="88"/>
        <v>1990</v>
      </c>
      <c r="T763" s="8">
        <v>1990</v>
      </c>
      <c r="U763" s="8">
        <f t="shared" si="89"/>
        <v>32</v>
      </c>
      <c r="V763" s="7">
        <v>1990</v>
      </c>
      <c r="W763" t="s">
        <v>1380</v>
      </c>
      <c r="X763" s="2">
        <v>0.375</v>
      </c>
      <c r="Y763" s="6">
        <f t="shared" si="94"/>
        <v>1.0010410827260351E-2</v>
      </c>
      <c r="AA763">
        <v>135194</v>
      </c>
      <c r="AB763">
        <v>24918</v>
      </c>
      <c r="AD763" t="s">
        <v>5</v>
      </c>
      <c r="AE763">
        <v>26</v>
      </c>
      <c r="AF763">
        <v>7</v>
      </c>
      <c r="AH763" t="s">
        <v>2476</v>
      </c>
      <c r="AI763" t="s">
        <v>2475</v>
      </c>
      <c r="AJ763" t="s">
        <v>2474</v>
      </c>
      <c r="AK763" t="s">
        <v>2473</v>
      </c>
      <c r="AL763">
        <v>1</v>
      </c>
      <c r="AM763" s="5">
        <f t="shared" si="90"/>
        <v>3.125E-2</v>
      </c>
      <c r="AN763" s="4">
        <f t="shared" si="95"/>
        <v>4.73305566073457E-5</v>
      </c>
      <c r="AO763" s="3"/>
      <c r="AP763">
        <v>0</v>
      </c>
      <c r="AR763" t="s">
        <v>0</v>
      </c>
      <c r="AT763" s="2">
        <v>1.3140000000000001</v>
      </c>
      <c r="AU763" s="1">
        <f t="shared" si="91"/>
        <v>0.70214867460644492</v>
      </c>
      <c r="AV763" s="1">
        <f t="shared" si="92"/>
        <v>0.50288706919338488</v>
      </c>
      <c r="AW763" s="1">
        <f t="shared" si="93"/>
        <v>0.30362546378032473</v>
      </c>
    </row>
    <row r="764" spans="1:49" x14ac:dyDescent="0.2">
      <c r="A764">
        <v>762</v>
      </c>
      <c r="B764" t="s">
        <v>2472</v>
      </c>
      <c r="C764" t="s">
        <v>2471</v>
      </c>
      <c r="F764" t="s">
        <v>2470</v>
      </c>
      <c r="G764" t="s">
        <v>14</v>
      </c>
      <c r="H764" t="s">
        <v>13</v>
      </c>
      <c r="I764" t="s">
        <v>2469</v>
      </c>
      <c r="J764">
        <v>60019000</v>
      </c>
      <c r="K764" t="s">
        <v>2468</v>
      </c>
      <c r="L764" t="s">
        <v>2467</v>
      </c>
      <c r="M764" t="s">
        <v>1937</v>
      </c>
      <c r="N764">
        <v>2</v>
      </c>
      <c r="O764" t="s">
        <v>2466</v>
      </c>
      <c r="P764" t="s">
        <v>2465</v>
      </c>
      <c r="Q764" t="s">
        <v>2464</v>
      </c>
      <c r="R764" s="7">
        <v>32874</v>
      </c>
      <c r="S764" s="8">
        <f t="shared" si="88"/>
        <v>1990</v>
      </c>
      <c r="T764" s="8">
        <v>1990</v>
      </c>
      <c r="U764" s="8">
        <f t="shared" si="89"/>
        <v>32</v>
      </c>
      <c r="V764" s="7">
        <v>32933</v>
      </c>
      <c r="W764" t="s">
        <v>2249</v>
      </c>
      <c r="X764" s="2">
        <v>1.6519999999999999</v>
      </c>
      <c r="Y764" s="6">
        <f t="shared" si="94"/>
        <v>4.409919649769093E-2</v>
      </c>
      <c r="AA764" t="s">
        <v>2248</v>
      </c>
      <c r="AB764">
        <v>17337</v>
      </c>
      <c r="AC764">
        <v>15582221</v>
      </c>
      <c r="AD764" t="s">
        <v>5</v>
      </c>
      <c r="AE764">
        <v>38</v>
      </c>
      <c r="AF764">
        <v>3</v>
      </c>
      <c r="AH764" t="s">
        <v>2463</v>
      </c>
      <c r="AI764" t="s">
        <v>2462</v>
      </c>
      <c r="AK764" t="s">
        <v>2461</v>
      </c>
      <c r="AL764">
        <v>1</v>
      </c>
      <c r="AM764" s="5">
        <f t="shared" si="90"/>
        <v>3.125E-2</v>
      </c>
      <c r="AN764" s="4">
        <f t="shared" si="95"/>
        <v>4.73305566073457E-5</v>
      </c>
      <c r="AO764" s="3"/>
      <c r="AP764">
        <v>0</v>
      </c>
      <c r="AR764" t="s">
        <v>0</v>
      </c>
      <c r="AT764" s="2" t="s">
        <v>126</v>
      </c>
      <c r="AU764" s="1">
        <f t="shared" si="91"/>
        <v>3.0883636715365856</v>
      </c>
      <c r="AV764" s="1">
        <f t="shared" si="92"/>
        <v>2.2073263527149138</v>
      </c>
      <c r="AW764" s="1">
        <f t="shared" si="93"/>
        <v>1.326289033893242</v>
      </c>
    </row>
    <row r="765" spans="1:49" x14ac:dyDescent="0.2">
      <c r="A765">
        <v>763</v>
      </c>
      <c r="B765" t="s">
        <v>2460</v>
      </c>
      <c r="C765" t="s">
        <v>2459</v>
      </c>
      <c r="F765" t="s">
        <v>2458</v>
      </c>
      <c r="G765" t="s">
        <v>14</v>
      </c>
      <c r="H765" t="s">
        <v>13</v>
      </c>
      <c r="I765" t="s">
        <v>2261</v>
      </c>
      <c r="J765" t="s">
        <v>2256</v>
      </c>
      <c r="K765" t="s">
        <v>2260</v>
      </c>
      <c r="L765" t="s">
        <v>2259</v>
      </c>
      <c r="M765" t="s">
        <v>84</v>
      </c>
      <c r="N765">
        <v>2</v>
      </c>
      <c r="O765" t="s">
        <v>2258</v>
      </c>
      <c r="P765" t="s">
        <v>2257</v>
      </c>
      <c r="Q765" t="s">
        <v>2256</v>
      </c>
      <c r="R765" s="7">
        <v>32874</v>
      </c>
      <c r="S765" s="8">
        <f t="shared" ref="S765:S828" si="96">YEAR(R765)</f>
        <v>1990</v>
      </c>
      <c r="T765" s="8">
        <v>1990</v>
      </c>
      <c r="U765" s="8">
        <f t="shared" ref="U765:U828" si="97">2022-T765</f>
        <v>32</v>
      </c>
      <c r="V765" s="7">
        <v>32933</v>
      </c>
      <c r="W765" t="s">
        <v>2249</v>
      </c>
      <c r="X765" s="2">
        <v>1.6519999999999999</v>
      </c>
      <c r="Y765" s="6">
        <f t="shared" si="94"/>
        <v>4.409919649769093E-2</v>
      </c>
      <c r="AA765" t="s">
        <v>2248</v>
      </c>
      <c r="AB765">
        <v>17337</v>
      </c>
      <c r="AC765">
        <v>15582221</v>
      </c>
      <c r="AD765" t="s">
        <v>5</v>
      </c>
      <c r="AE765">
        <v>38</v>
      </c>
      <c r="AF765">
        <v>3</v>
      </c>
      <c r="AH765" t="s">
        <v>2457</v>
      </c>
      <c r="AI765" t="s">
        <v>2456</v>
      </c>
      <c r="AK765" t="s">
        <v>2455</v>
      </c>
      <c r="AL765">
        <v>632</v>
      </c>
      <c r="AM765" s="5">
        <f t="shared" ref="AM765:AM828" si="98">AL765/U765</f>
        <v>19.75</v>
      </c>
      <c r="AN765" s="4">
        <f t="shared" si="95"/>
        <v>2.9912911775842484E-2</v>
      </c>
      <c r="AO765" s="3"/>
      <c r="AP765">
        <v>0</v>
      </c>
      <c r="AR765" t="s">
        <v>0</v>
      </c>
      <c r="AT765" s="2" t="s">
        <v>126</v>
      </c>
      <c r="AU765" s="1">
        <f t="shared" ref="AU765:AU828" si="99">(Y765*0.7+AN765*0.3)*100</f>
        <v>3.9843311081136394</v>
      </c>
      <c r="AV765" s="1">
        <f t="shared" ref="AV765:AV828" si="100">(Y765*0.5+AN765*0.5)*100</f>
        <v>3.7006054136766706</v>
      </c>
      <c r="AW765" s="1">
        <f t="shared" ref="AW765:AW828" si="101">(Y765*0.3+AN765*0.7)*100</f>
        <v>3.4168797192397014</v>
      </c>
    </row>
    <row r="766" spans="1:49" x14ac:dyDescent="0.2">
      <c r="A766">
        <v>764</v>
      </c>
      <c r="B766" t="s">
        <v>2454</v>
      </c>
      <c r="C766" t="s">
        <v>2453</v>
      </c>
      <c r="F766" t="s">
        <v>2452</v>
      </c>
      <c r="G766" t="s">
        <v>14</v>
      </c>
      <c r="H766" t="s">
        <v>13</v>
      </c>
      <c r="I766" t="s">
        <v>2451</v>
      </c>
      <c r="J766">
        <v>60002947</v>
      </c>
      <c r="K766" t="s">
        <v>2450</v>
      </c>
      <c r="L766" t="s">
        <v>2449</v>
      </c>
      <c r="M766" t="s">
        <v>1141</v>
      </c>
      <c r="N766">
        <v>2</v>
      </c>
      <c r="O766" t="s">
        <v>2448</v>
      </c>
      <c r="P766" t="s">
        <v>2447</v>
      </c>
      <c r="Q766" t="s">
        <v>2446</v>
      </c>
      <c r="R766" s="7">
        <v>32874</v>
      </c>
      <c r="S766" s="8">
        <f t="shared" si="96"/>
        <v>1990</v>
      </c>
      <c r="T766" s="8">
        <v>1990</v>
      </c>
      <c r="U766" s="8">
        <f t="shared" si="97"/>
        <v>32</v>
      </c>
      <c r="V766" s="7">
        <v>32933</v>
      </c>
      <c r="W766" t="s">
        <v>2249</v>
      </c>
      <c r="X766" s="2">
        <v>1.6519999999999999</v>
      </c>
      <c r="Y766" s="6">
        <f t="shared" si="94"/>
        <v>4.409919649769093E-2</v>
      </c>
      <c r="AA766" t="s">
        <v>2248</v>
      </c>
      <c r="AB766">
        <v>17337</v>
      </c>
      <c r="AC766">
        <v>15582221</v>
      </c>
      <c r="AD766" t="s">
        <v>5</v>
      </c>
      <c r="AE766">
        <v>38</v>
      </c>
      <c r="AF766">
        <v>3</v>
      </c>
      <c r="AH766" t="s">
        <v>2445</v>
      </c>
      <c r="AI766" t="s">
        <v>2444</v>
      </c>
      <c r="AK766" t="s">
        <v>2443</v>
      </c>
      <c r="AL766">
        <v>4</v>
      </c>
      <c r="AM766" s="5">
        <f t="shared" si="98"/>
        <v>0.125</v>
      </c>
      <c r="AN766" s="4">
        <f t="shared" si="95"/>
        <v>1.893222264293828E-4</v>
      </c>
      <c r="AO766" s="3"/>
      <c r="AP766">
        <v>0</v>
      </c>
      <c r="AR766" t="s">
        <v>0</v>
      </c>
      <c r="AT766" s="2" t="s">
        <v>126</v>
      </c>
      <c r="AU766" s="1">
        <f t="shared" si="99"/>
        <v>3.0926234216312465</v>
      </c>
      <c r="AV766" s="1">
        <f t="shared" si="100"/>
        <v>2.2144259362060157</v>
      </c>
      <c r="AW766" s="1">
        <f t="shared" si="101"/>
        <v>1.3362284507807847</v>
      </c>
    </row>
    <row r="767" spans="1:49" x14ac:dyDescent="0.2">
      <c r="A767">
        <v>765</v>
      </c>
      <c r="B767" t="s">
        <v>2442</v>
      </c>
      <c r="C767" t="s">
        <v>2441</v>
      </c>
      <c r="F767" t="s">
        <v>2440</v>
      </c>
      <c r="G767" t="s">
        <v>14</v>
      </c>
      <c r="H767" t="s">
        <v>13</v>
      </c>
      <c r="I767" t="s">
        <v>2439</v>
      </c>
      <c r="J767">
        <v>60019102</v>
      </c>
      <c r="K767" t="s">
        <v>1795</v>
      </c>
      <c r="L767" t="s">
        <v>1566</v>
      </c>
      <c r="M767" t="s">
        <v>1565</v>
      </c>
      <c r="N767">
        <v>1</v>
      </c>
      <c r="O767" t="s">
        <v>1794</v>
      </c>
      <c r="P767">
        <v>24341657200</v>
      </c>
      <c r="Q767">
        <v>60019102</v>
      </c>
      <c r="R767" s="7">
        <v>32874</v>
      </c>
      <c r="S767" s="8">
        <f t="shared" si="96"/>
        <v>1990</v>
      </c>
      <c r="T767" s="8">
        <v>1990</v>
      </c>
      <c r="U767" s="8">
        <f t="shared" si="97"/>
        <v>32</v>
      </c>
      <c r="V767" s="7">
        <v>32874</v>
      </c>
      <c r="W767" t="s">
        <v>1380</v>
      </c>
      <c r="X767" s="2">
        <v>0.375</v>
      </c>
      <c r="Y767" s="6">
        <f t="shared" si="94"/>
        <v>1.0010410827260351E-2</v>
      </c>
      <c r="AA767">
        <v>135194</v>
      </c>
      <c r="AB767">
        <v>24918</v>
      </c>
      <c r="AD767" t="s">
        <v>5</v>
      </c>
      <c r="AE767">
        <v>26</v>
      </c>
      <c r="AF767">
        <v>5</v>
      </c>
      <c r="AH767" t="s">
        <v>2438</v>
      </c>
      <c r="AI767" t="s">
        <v>2437</v>
      </c>
      <c r="AJ767" t="s">
        <v>2436</v>
      </c>
      <c r="AK767" t="s">
        <v>2435</v>
      </c>
      <c r="AL767">
        <v>4</v>
      </c>
      <c r="AM767" s="5">
        <f t="shared" si="98"/>
        <v>0.125</v>
      </c>
      <c r="AN767" s="4">
        <f t="shared" si="95"/>
        <v>1.893222264293828E-4</v>
      </c>
      <c r="AO767" s="3"/>
      <c r="AP767">
        <v>0</v>
      </c>
      <c r="AR767" t="s">
        <v>0</v>
      </c>
      <c r="AT767" s="2">
        <v>1.3140000000000001</v>
      </c>
      <c r="AU767" s="1">
        <f t="shared" si="99"/>
        <v>0.7064084247011061</v>
      </c>
      <c r="AV767" s="1">
        <f t="shared" si="100"/>
        <v>0.50998665268448673</v>
      </c>
      <c r="AW767" s="1">
        <f t="shared" si="101"/>
        <v>0.31356488066786731</v>
      </c>
    </row>
    <row r="768" spans="1:49" x14ac:dyDescent="0.2">
      <c r="A768">
        <v>766</v>
      </c>
      <c r="B768" t="s">
        <v>2434</v>
      </c>
      <c r="C768" t="s">
        <v>2433</v>
      </c>
      <c r="F768" t="s">
        <v>2432</v>
      </c>
      <c r="G768" t="s">
        <v>14</v>
      </c>
      <c r="H768" t="s">
        <v>13</v>
      </c>
      <c r="I768" t="s">
        <v>2431</v>
      </c>
      <c r="J768">
        <v>60021902</v>
      </c>
      <c r="K768" t="s">
        <v>11</v>
      </c>
      <c r="L768" t="s">
        <v>10</v>
      </c>
      <c r="M768" t="s">
        <v>9</v>
      </c>
      <c r="N768">
        <v>2</v>
      </c>
      <c r="O768" t="s">
        <v>2430</v>
      </c>
      <c r="P768" t="s">
        <v>2429</v>
      </c>
      <c r="Q768" t="s">
        <v>2301</v>
      </c>
      <c r="R768" s="7">
        <v>32874</v>
      </c>
      <c r="S768" s="8">
        <f t="shared" si="96"/>
        <v>1990</v>
      </c>
      <c r="T768" s="8">
        <v>1990</v>
      </c>
      <c r="U768" s="8">
        <f t="shared" si="97"/>
        <v>32</v>
      </c>
      <c r="V768" s="7">
        <v>32933</v>
      </c>
      <c r="W768" t="s">
        <v>2428</v>
      </c>
      <c r="X768" s="2">
        <v>0.78200000000000003</v>
      </c>
      <c r="Y768" s="6">
        <f t="shared" si="94"/>
        <v>2.0875043378446919E-2</v>
      </c>
      <c r="AA768">
        <v>189316</v>
      </c>
      <c r="AB768">
        <v>19901</v>
      </c>
      <c r="AC768">
        <v>15579611</v>
      </c>
      <c r="AD768" t="s">
        <v>5</v>
      </c>
      <c r="AE768">
        <v>36</v>
      </c>
      <c r="AF768">
        <v>1</v>
      </c>
      <c r="AH768" t="s">
        <v>2427</v>
      </c>
      <c r="AI768" t="s">
        <v>2426</v>
      </c>
      <c r="AK768" t="s">
        <v>2425</v>
      </c>
      <c r="AL768">
        <v>6</v>
      </c>
      <c r="AM768" s="5">
        <f t="shared" si="98"/>
        <v>0.1875</v>
      </c>
      <c r="AN768" s="4">
        <f t="shared" si="95"/>
        <v>2.8398333964407423E-4</v>
      </c>
      <c r="AO768" s="3"/>
      <c r="AP768">
        <v>0</v>
      </c>
      <c r="AR768" t="s">
        <v>0</v>
      </c>
      <c r="AT768" s="2">
        <v>3.863</v>
      </c>
      <c r="AU768" s="1">
        <f t="shared" si="99"/>
        <v>1.4697725366806063</v>
      </c>
      <c r="AV768" s="1">
        <f t="shared" si="100"/>
        <v>1.0579513359045496</v>
      </c>
      <c r="AW768" s="1">
        <f t="shared" si="101"/>
        <v>0.64613013512849271</v>
      </c>
    </row>
    <row r="769" spans="1:49" x14ac:dyDescent="0.2">
      <c r="A769">
        <v>767</v>
      </c>
      <c r="B769" t="s">
        <v>2424</v>
      </c>
      <c r="C769" t="s">
        <v>2423</v>
      </c>
      <c r="F769" t="s">
        <v>2422</v>
      </c>
      <c r="G769" t="s">
        <v>14</v>
      </c>
      <c r="H769" t="s">
        <v>13</v>
      </c>
      <c r="I769" t="s">
        <v>2421</v>
      </c>
      <c r="N769">
        <v>2</v>
      </c>
      <c r="O769" t="s">
        <v>2420</v>
      </c>
      <c r="P769" t="s">
        <v>2419</v>
      </c>
      <c r="Q769" t="s">
        <v>119</v>
      </c>
      <c r="R769" s="7">
        <v>32874</v>
      </c>
      <c r="S769" s="8">
        <f t="shared" si="96"/>
        <v>1990</v>
      </c>
      <c r="T769" s="8">
        <v>1990</v>
      </c>
      <c r="U769" s="8">
        <f t="shared" si="97"/>
        <v>32</v>
      </c>
      <c r="V769" s="7" t="s">
        <v>2238</v>
      </c>
      <c r="W769" t="s">
        <v>110</v>
      </c>
      <c r="X769" s="2">
        <v>0.371</v>
      </c>
      <c r="Y769" s="6">
        <f t="shared" si="94"/>
        <v>9.9036331117695747E-3</v>
      </c>
      <c r="AA769">
        <v>486604</v>
      </c>
      <c r="AB769">
        <v>28580</v>
      </c>
      <c r="AC769" t="s">
        <v>109</v>
      </c>
      <c r="AD769" t="s">
        <v>5</v>
      </c>
      <c r="AE769">
        <v>25</v>
      </c>
      <c r="AF769">
        <v>2</v>
      </c>
      <c r="AH769" t="s">
        <v>2418</v>
      </c>
      <c r="AI769" t="s">
        <v>2417</v>
      </c>
      <c r="AK769" t="s">
        <v>2416</v>
      </c>
      <c r="AL769">
        <v>16</v>
      </c>
      <c r="AM769" s="5">
        <f t="shared" si="98"/>
        <v>0.5</v>
      </c>
      <c r="AN769" s="4">
        <f t="shared" si="95"/>
        <v>7.572889057175312E-4</v>
      </c>
      <c r="AO769" s="3"/>
      <c r="AP769">
        <v>0</v>
      </c>
      <c r="AR769" t="s">
        <v>0</v>
      </c>
      <c r="AT769" s="2">
        <v>1.431</v>
      </c>
      <c r="AU769" s="1">
        <f t="shared" si="99"/>
        <v>0.71597298499539619</v>
      </c>
      <c r="AV769" s="1">
        <f t="shared" si="100"/>
        <v>0.53304610087435522</v>
      </c>
      <c r="AW769" s="1">
        <f t="shared" si="101"/>
        <v>0.35011921675331442</v>
      </c>
    </row>
    <row r="770" spans="1:49" x14ac:dyDescent="0.2">
      <c r="A770">
        <v>768</v>
      </c>
      <c r="B770" t="s">
        <v>2415</v>
      </c>
      <c r="C770" t="s">
        <v>2414</v>
      </c>
      <c r="F770" t="s">
        <v>2413</v>
      </c>
      <c r="G770" t="s">
        <v>14</v>
      </c>
      <c r="H770" t="s">
        <v>13</v>
      </c>
      <c r="I770" t="s">
        <v>2412</v>
      </c>
      <c r="J770">
        <v>60000745</v>
      </c>
      <c r="K770" t="s">
        <v>2214</v>
      </c>
      <c r="L770" t="s">
        <v>2213</v>
      </c>
      <c r="M770" t="s">
        <v>197</v>
      </c>
      <c r="N770">
        <v>3</v>
      </c>
      <c r="O770" t="s">
        <v>2411</v>
      </c>
      <c r="P770" t="s">
        <v>2410</v>
      </c>
      <c r="Q770" t="s">
        <v>2409</v>
      </c>
      <c r="R770" s="7">
        <v>32874</v>
      </c>
      <c r="S770" s="8">
        <f t="shared" si="96"/>
        <v>1990</v>
      </c>
      <c r="T770" s="8">
        <v>1990</v>
      </c>
      <c r="U770" s="8">
        <f t="shared" si="97"/>
        <v>32</v>
      </c>
      <c r="V770" s="7">
        <v>32933</v>
      </c>
      <c r="W770" t="s">
        <v>1152</v>
      </c>
      <c r="X770" s="2">
        <v>0.30399999999999999</v>
      </c>
      <c r="Y770" s="6">
        <f t="shared" ref="Y770:Y833" si="102">(X770-$Z$4)/($Z$3-$Z$4)</f>
        <v>8.115106377299057E-3</v>
      </c>
      <c r="AA770">
        <v>8952477</v>
      </c>
      <c r="AB770">
        <v>12250</v>
      </c>
      <c r="AC770">
        <v>10982760</v>
      </c>
      <c r="AD770" t="s">
        <v>5</v>
      </c>
      <c r="AE770">
        <v>3</v>
      </c>
      <c r="AF770">
        <v>3</v>
      </c>
      <c r="AH770" t="s">
        <v>2408</v>
      </c>
      <c r="AI770" t="s">
        <v>2407</v>
      </c>
      <c r="AJ770" t="s">
        <v>2406</v>
      </c>
      <c r="AK770" t="s">
        <v>2405</v>
      </c>
      <c r="AL770">
        <v>5</v>
      </c>
      <c r="AM770" s="5">
        <f t="shared" si="98"/>
        <v>0.15625</v>
      </c>
      <c r="AN770" s="4">
        <f t="shared" ref="AN770:AN833" si="103">(AM770-$AO$4)/($AO$3-$AO$4)</f>
        <v>2.3665278303672851E-4</v>
      </c>
      <c r="AO770" s="3"/>
      <c r="AP770">
        <v>0</v>
      </c>
      <c r="AR770" t="s">
        <v>0</v>
      </c>
      <c r="AT770" s="2" t="s">
        <v>126</v>
      </c>
      <c r="AU770" s="1">
        <f t="shared" si="99"/>
        <v>0.57515702990203577</v>
      </c>
      <c r="AV770" s="1">
        <f t="shared" si="100"/>
        <v>0.41758795801678922</v>
      </c>
      <c r="AW770" s="1">
        <f t="shared" si="101"/>
        <v>0.26001888613154273</v>
      </c>
    </row>
    <row r="771" spans="1:49" x14ac:dyDescent="0.2">
      <c r="A771">
        <v>769</v>
      </c>
      <c r="B771" t="s">
        <v>2404</v>
      </c>
      <c r="C771" t="s">
        <v>2403</v>
      </c>
      <c r="F771" t="s">
        <v>2402</v>
      </c>
      <c r="G771" t="s">
        <v>14</v>
      </c>
      <c r="H771" t="s">
        <v>13</v>
      </c>
      <c r="I771" t="s">
        <v>2401</v>
      </c>
      <c r="J771" t="s">
        <v>2400</v>
      </c>
      <c r="K771" t="s">
        <v>2399</v>
      </c>
      <c r="L771" t="s">
        <v>2398</v>
      </c>
      <c r="M771" t="s">
        <v>2397</v>
      </c>
      <c r="N771">
        <v>2</v>
      </c>
      <c r="O771" t="s">
        <v>2396</v>
      </c>
      <c r="P771" t="s">
        <v>2395</v>
      </c>
      <c r="Q771" t="s">
        <v>2394</v>
      </c>
      <c r="R771" s="7">
        <v>32874</v>
      </c>
      <c r="S771" s="8">
        <f t="shared" si="96"/>
        <v>1990</v>
      </c>
      <c r="T771" s="8">
        <v>1990</v>
      </c>
      <c r="U771" s="8">
        <f t="shared" si="97"/>
        <v>32</v>
      </c>
      <c r="V771" s="7">
        <v>32933</v>
      </c>
      <c r="W771" t="s">
        <v>1844</v>
      </c>
      <c r="X771" s="2">
        <v>1.774</v>
      </c>
      <c r="Y771" s="6">
        <f t="shared" si="102"/>
        <v>4.7355916820159633E-2</v>
      </c>
      <c r="AA771">
        <v>295515</v>
      </c>
      <c r="AB771">
        <v>29066</v>
      </c>
      <c r="AC771">
        <v>17414326</v>
      </c>
      <c r="AD771" t="s">
        <v>5</v>
      </c>
      <c r="AE771">
        <v>30</v>
      </c>
      <c r="AF771">
        <v>3</v>
      </c>
      <c r="AH771" t="s">
        <v>2393</v>
      </c>
      <c r="AI771" t="s">
        <v>2392</v>
      </c>
      <c r="AK771" t="s">
        <v>2391</v>
      </c>
      <c r="AL771">
        <v>57</v>
      </c>
      <c r="AM771" s="5">
        <f t="shared" si="98"/>
        <v>1.78125</v>
      </c>
      <c r="AN771" s="4">
        <f t="shared" si="103"/>
        <v>2.6978417266187052E-3</v>
      </c>
      <c r="AO771" s="3"/>
      <c r="AP771">
        <v>0</v>
      </c>
      <c r="AR771" t="s">
        <v>0</v>
      </c>
      <c r="AT771" s="2">
        <v>3.1789999999999998</v>
      </c>
      <c r="AU771" s="1">
        <f t="shared" si="99"/>
        <v>3.3958494292097354</v>
      </c>
      <c r="AV771" s="1">
        <f t="shared" si="100"/>
        <v>2.5026879273389167</v>
      </c>
      <c r="AW771" s="1">
        <f t="shared" si="101"/>
        <v>1.6095264254680983</v>
      </c>
    </row>
    <row r="772" spans="1:49" x14ac:dyDescent="0.2">
      <c r="A772">
        <v>770</v>
      </c>
      <c r="B772" t="s">
        <v>2390</v>
      </c>
      <c r="C772" t="s">
        <v>2389</v>
      </c>
      <c r="F772" t="s">
        <v>2388</v>
      </c>
      <c r="G772" t="s">
        <v>14</v>
      </c>
      <c r="H772" t="s">
        <v>13</v>
      </c>
      <c r="I772" t="s">
        <v>2387</v>
      </c>
      <c r="J772">
        <v>60011001</v>
      </c>
      <c r="K772" t="s">
        <v>2386</v>
      </c>
      <c r="L772" t="s">
        <v>2385</v>
      </c>
      <c r="M772" t="s">
        <v>267</v>
      </c>
      <c r="N772">
        <v>3</v>
      </c>
      <c r="O772" t="s">
        <v>2384</v>
      </c>
      <c r="P772" t="s">
        <v>2383</v>
      </c>
      <c r="Q772" t="s">
        <v>2382</v>
      </c>
      <c r="R772" s="7">
        <v>32874</v>
      </c>
      <c r="S772" s="8">
        <f t="shared" si="96"/>
        <v>1990</v>
      </c>
      <c r="T772" s="8">
        <v>1990</v>
      </c>
      <c r="U772" s="8">
        <f t="shared" si="97"/>
        <v>32</v>
      </c>
      <c r="V772" s="7">
        <v>32933</v>
      </c>
      <c r="W772" t="s">
        <v>2288</v>
      </c>
      <c r="X772" s="2">
        <v>0.111</v>
      </c>
      <c r="Y772" s="6">
        <f t="shared" si="102"/>
        <v>2.9630816048690639E-3</v>
      </c>
      <c r="AA772">
        <v>87566621</v>
      </c>
      <c r="AB772">
        <v>24890</v>
      </c>
      <c r="AC772">
        <v>15206424</v>
      </c>
      <c r="AD772" t="s">
        <v>5</v>
      </c>
      <c r="AE772">
        <v>73</v>
      </c>
      <c r="AF772">
        <v>3</v>
      </c>
      <c r="AH772" s="10">
        <v>41275</v>
      </c>
      <c r="AI772" t="s">
        <v>2381</v>
      </c>
      <c r="AK772" t="s">
        <v>2380</v>
      </c>
      <c r="AL772">
        <v>0</v>
      </c>
      <c r="AM772" s="5">
        <f t="shared" si="98"/>
        <v>0</v>
      </c>
      <c r="AN772" s="4">
        <f t="shared" si="103"/>
        <v>0</v>
      </c>
      <c r="AO772" s="3"/>
      <c r="AP772">
        <v>0</v>
      </c>
      <c r="AR772" t="s">
        <v>0</v>
      </c>
      <c r="AT772" s="2" t="s">
        <v>126</v>
      </c>
      <c r="AU772" s="1">
        <f t="shared" si="99"/>
        <v>0.20741571234083445</v>
      </c>
      <c r="AV772" s="1">
        <f t="shared" si="100"/>
        <v>0.1481540802434532</v>
      </c>
      <c r="AW772" s="1">
        <f t="shared" si="101"/>
        <v>8.8892448146071903E-2</v>
      </c>
    </row>
    <row r="773" spans="1:49" x14ac:dyDescent="0.2">
      <c r="A773">
        <v>771</v>
      </c>
      <c r="B773" t="s">
        <v>2379</v>
      </c>
      <c r="C773" t="s">
        <v>2378</v>
      </c>
      <c r="F773" t="s">
        <v>2377</v>
      </c>
      <c r="G773" t="s">
        <v>14</v>
      </c>
      <c r="H773" t="s">
        <v>13</v>
      </c>
      <c r="I773" t="s">
        <v>2376</v>
      </c>
      <c r="J773">
        <v>60015502</v>
      </c>
      <c r="K773" t="s">
        <v>2375</v>
      </c>
      <c r="L773" t="s">
        <v>2374</v>
      </c>
      <c r="M773" t="s">
        <v>1637</v>
      </c>
      <c r="N773">
        <v>3</v>
      </c>
      <c r="O773" t="s">
        <v>2373</v>
      </c>
      <c r="P773" t="s">
        <v>2372</v>
      </c>
      <c r="Q773" t="s">
        <v>2371</v>
      </c>
      <c r="R773" s="7">
        <v>32874</v>
      </c>
      <c r="S773" s="8">
        <f t="shared" si="96"/>
        <v>1990</v>
      </c>
      <c r="T773" s="8">
        <v>1990</v>
      </c>
      <c r="U773" s="8">
        <f t="shared" si="97"/>
        <v>32</v>
      </c>
      <c r="V773" s="7">
        <v>1990</v>
      </c>
      <c r="W773" t="s">
        <v>1380</v>
      </c>
      <c r="X773" s="2">
        <v>0.375</v>
      </c>
      <c r="Y773" s="6">
        <f t="shared" si="102"/>
        <v>1.0010410827260351E-2</v>
      </c>
      <c r="AA773">
        <v>135194</v>
      </c>
      <c r="AB773">
        <v>24918</v>
      </c>
      <c r="AD773" t="s">
        <v>5</v>
      </c>
      <c r="AE773">
        <v>26</v>
      </c>
      <c r="AF773">
        <v>7</v>
      </c>
      <c r="AH773" t="s">
        <v>2370</v>
      </c>
      <c r="AI773" t="s">
        <v>2369</v>
      </c>
      <c r="AJ773" t="s">
        <v>2368</v>
      </c>
      <c r="AK773" t="s">
        <v>2367</v>
      </c>
      <c r="AL773">
        <v>4</v>
      </c>
      <c r="AM773" s="5">
        <f t="shared" si="98"/>
        <v>0.125</v>
      </c>
      <c r="AN773" s="4">
        <f t="shared" si="103"/>
        <v>1.893222264293828E-4</v>
      </c>
      <c r="AO773" s="3"/>
      <c r="AP773">
        <v>0</v>
      </c>
      <c r="AR773" t="s">
        <v>0</v>
      </c>
      <c r="AT773" s="2">
        <v>1.3140000000000001</v>
      </c>
      <c r="AU773" s="1">
        <f t="shared" si="99"/>
        <v>0.7064084247011061</v>
      </c>
      <c r="AV773" s="1">
        <f t="shared" si="100"/>
        <v>0.50998665268448673</v>
      </c>
      <c r="AW773" s="1">
        <f t="shared" si="101"/>
        <v>0.31356488066786731</v>
      </c>
    </row>
    <row r="774" spans="1:49" x14ac:dyDescent="0.2">
      <c r="A774">
        <v>772</v>
      </c>
      <c r="B774" t="s">
        <v>2366</v>
      </c>
      <c r="C774" t="s">
        <v>2365</v>
      </c>
      <c r="F774" t="s">
        <v>2364</v>
      </c>
      <c r="G774" t="s">
        <v>14</v>
      </c>
      <c r="H774" t="s">
        <v>13</v>
      </c>
      <c r="I774" t="s">
        <v>2363</v>
      </c>
      <c r="N774">
        <v>2</v>
      </c>
      <c r="O774" t="s">
        <v>2362</v>
      </c>
      <c r="P774" t="s">
        <v>2361</v>
      </c>
      <c r="Q774" t="s">
        <v>119</v>
      </c>
      <c r="R774" s="7">
        <v>32874</v>
      </c>
      <c r="S774" s="8">
        <f t="shared" si="96"/>
        <v>1990</v>
      </c>
      <c r="T774" s="8">
        <v>1990</v>
      </c>
      <c r="U774" s="8">
        <f t="shared" si="97"/>
        <v>32</v>
      </c>
      <c r="V774" s="7">
        <v>1990</v>
      </c>
      <c r="W774" t="s">
        <v>2360</v>
      </c>
      <c r="X774" s="2" t="s">
        <v>126</v>
      </c>
      <c r="Y774" s="6" t="e">
        <f t="shared" si="102"/>
        <v>#VALUE!</v>
      </c>
      <c r="AA774">
        <v>3875024</v>
      </c>
      <c r="AB774">
        <v>110132</v>
      </c>
      <c r="AD774" t="s">
        <v>5</v>
      </c>
      <c r="AE774">
        <v>56</v>
      </c>
      <c r="AF774">
        <v>522</v>
      </c>
      <c r="AH774" t="s">
        <v>2359</v>
      </c>
      <c r="AI774" t="s">
        <v>2358</v>
      </c>
      <c r="AJ774" t="s">
        <v>2357</v>
      </c>
      <c r="AK774" t="s">
        <v>2356</v>
      </c>
      <c r="AL774">
        <v>4</v>
      </c>
      <c r="AM774" s="5">
        <f t="shared" si="98"/>
        <v>0.125</v>
      </c>
      <c r="AN774" s="4">
        <f t="shared" si="103"/>
        <v>1.893222264293828E-4</v>
      </c>
      <c r="AO774" s="3"/>
      <c r="AP774">
        <v>1</v>
      </c>
      <c r="AR774" t="s">
        <v>0</v>
      </c>
      <c r="AT774" s="2" t="s">
        <v>126</v>
      </c>
      <c r="AU774" s="1" t="e">
        <f t="shared" si="99"/>
        <v>#VALUE!</v>
      </c>
      <c r="AV774" s="1" t="e">
        <f t="shared" si="100"/>
        <v>#VALUE!</v>
      </c>
      <c r="AW774" s="1" t="e">
        <f t="shared" si="101"/>
        <v>#VALUE!</v>
      </c>
    </row>
    <row r="775" spans="1:49" x14ac:dyDescent="0.2">
      <c r="A775">
        <v>773</v>
      </c>
      <c r="B775" t="s">
        <v>2355</v>
      </c>
      <c r="C775" t="s">
        <v>2354</v>
      </c>
      <c r="F775" t="s">
        <v>2353</v>
      </c>
      <c r="G775" t="s">
        <v>14</v>
      </c>
      <c r="H775" t="s">
        <v>13</v>
      </c>
      <c r="I775" t="s">
        <v>2352</v>
      </c>
      <c r="J775">
        <v>60006164</v>
      </c>
      <c r="K775" t="s">
        <v>2351</v>
      </c>
      <c r="L775" t="s">
        <v>2350</v>
      </c>
      <c r="M775" t="s">
        <v>197</v>
      </c>
      <c r="N775">
        <v>1</v>
      </c>
      <c r="O775" t="s">
        <v>2349</v>
      </c>
      <c r="P775">
        <v>7006644378</v>
      </c>
      <c r="Q775">
        <v>60006164</v>
      </c>
      <c r="R775" s="7">
        <v>32874</v>
      </c>
      <c r="S775" s="8">
        <f t="shared" si="96"/>
        <v>1990</v>
      </c>
      <c r="T775" s="8">
        <v>1990</v>
      </c>
      <c r="U775" s="8">
        <f t="shared" si="97"/>
        <v>32</v>
      </c>
      <c r="V775" s="7">
        <v>32933</v>
      </c>
      <c r="W775" t="s">
        <v>2348</v>
      </c>
      <c r="X775" s="2">
        <v>0.82799999999999996</v>
      </c>
      <c r="Y775" s="6">
        <f t="shared" si="102"/>
        <v>2.2102987106590855E-2</v>
      </c>
      <c r="AA775">
        <v>189383</v>
      </c>
      <c r="AB775">
        <v>26052</v>
      </c>
      <c r="AC775">
        <v>15579646</v>
      </c>
      <c r="AD775" t="s">
        <v>5</v>
      </c>
      <c r="AE775">
        <v>37</v>
      </c>
      <c r="AF775">
        <v>3</v>
      </c>
      <c r="AH775" t="s">
        <v>2347</v>
      </c>
      <c r="AI775" t="s">
        <v>2346</v>
      </c>
      <c r="AK775" t="s">
        <v>2345</v>
      </c>
      <c r="AL775">
        <v>3</v>
      </c>
      <c r="AM775" s="5">
        <f t="shared" si="98"/>
        <v>9.375E-2</v>
      </c>
      <c r="AN775" s="4">
        <f t="shared" si="103"/>
        <v>1.4199166982203711E-4</v>
      </c>
      <c r="AO775" s="3"/>
      <c r="AP775">
        <v>0</v>
      </c>
      <c r="AR775" t="s">
        <v>0</v>
      </c>
      <c r="AT775" s="2">
        <v>2.9169999999999998</v>
      </c>
      <c r="AU775" s="1">
        <f t="shared" si="99"/>
        <v>1.5514688475560208</v>
      </c>
      <c r="AV775" s="1">
        <f t="shared" si="100"/>
        <v>1.1122489388206445</v>
      </c>
      <c r="AW775" s="1">
        <f t="shared" si="101"/>
        <v>0.67302903008526815</v>
      </c>
    </row>
    <row r="776" spans="1:49" x14ac:dyDescent="0.2">
      <c r="A776">
        <v>774</v>
      </c>
      <c r="B776" t="s">
        <v>2344</v>
      </c>
      <c r="C776" t="s">
        <v>2343</v>
      </c>
      <c r="F776" t="s">
        <v>2342</v>
      </c>
      <c r="G776" t="s">
        <v>14</v>
      </c>
      <c r="H776" t="s">
        <v>13</v>
      </c>
      <c r="I776" t="s">
        <v>2341</v>
      </c>
      <c r="N776">
        <v>1</v>
      </c>
      <c r="O776" t="s">
        <v>2340</v>
      </c>
      <c r="P776">
        <v>35586046100</v>
      </c>
      <c r="R776" s="7">
        <v>32874</v>
      </c>
      <c r="S776" s="8">
        <f t="shared" si="96"/>
        <v>1990</v>
      </c>
      <c r="T776" s="8">
        <v>1990</v>
      </c>
      <c r="U776" s="8">
        <f t="shared" si="97"/>
        <v>32</v>
      </c>
      <c r="V776" s="7" t="s">
        <v>2238</v>
      </c>
      <c r="W776" t="s">
        <v>110</v>
      </c>
      <c r="X776" s="2">
        <v>0.371</v>
      </c>
      <c r="Y776" s="6">
        <f t="shared" si="102"/>
        <v>9.9036331117695747E-3</v>
      </c>
      <c r="AA776">
        <v>486604</v>
      </c>
      <c r="AB776">
        <v>28580</v>
      </c>
      <c r="AC776" t="s">
        <v>109</v>
      </c>
      <c r="AD776" t="s">
        <v>5</v>
      </c>
      <c r="AE776">
        <v>25</v>
      </c>
      <c r="AF776">
        <v>2</v>
      </c>
      <c r="AH776" t="s">
        <v>2339</v>
      </c>
      <c r="AI776" t="s">
        <v>2338</v>
      </c>
      <c r="AK776" t="s">
        <v>2337</v>
      </c>
      <c r="AL776">
        <v>61</v>
      </c>
      <c r="AM776" s="5">
        <f t="shared" si="98"/>
        <v>1.90625</v>
      </c>
      <c r="AN776" s="4">
        <f t="shared" si="103"/>
        <v>2.8871639530480878E-3</v>
      </c>
      <c r="AO776" s="3"/>
      <c r="AP776">
        <v>0</v>
      </c>
      <c r="AR776" t="s">
        <v>0</v>
      </c>
      <c r="AT776" s="2">
        <v>1.431</v>
      </c>
      <c r="AU776" s="1">
        <f t="shared" si="99"/>
        <v>0.77986923641531281</v>
      </c>
      <c r="AV776" s="1">
        <f t="shared" si="100"/>
        <v>0.63953985324088314</v>
      </c>
      <c r="AW776" s="1">
        <f t="shared" si="101"/>
        <v>0.49921047006645342</v>
      </c>
    </row>
    <row r="777" spans="1:49" x14ac:dyDescent="0.2">
      <c r="A777">
        <v>775</v>
      </c>
      <c r="B777" t="s">
        <v>2336</v>
      </c>
      <c r="C777" t="s">
        <v>2335</v>
      </c>
      <c r="F777" t="s">
        <v>2334</v>
      </c>
      <c r="G777" t="s">
        <v>14</v>
      </c>
      <c r="H777" t="s">
        <v>13</v>
      </c>
      <c r="I777" t="s">
        <v>2333</v>
      </c>
      <c r="J777">
        <v>60027090</v>
      </c>
      <c r="K777" t="s">
        <v>2332</v>
      </c>
      <c r="L777" t="s">
        <v>2331</v>
      </c>
      <c r="M777" t="s">
        <v>197</v>
      </c>
      <c r="N777">
        <v>2</v>
      </c>
      <c r="O777" t="s">
        <v>2330</v>
      </c>
      <c r="P777" t="s">
        <v>2329</v>
      </c>
      <c r="Q777" t="s">
        <v>2328</v>
      </c>
      <c r="R777" s="7">
        <v>32874</v>
      </c>
      <c r="S777" s="8">
        <f t="shared" si="96"/>
        <v>1990</v>
      </c>
      <c r="T777" s="8">
        <v>1990</v>
      </c>
      <c r="U777" s="8">
        <f t="shared" si="97"/>
        <v>32</v>
      </c>
      <c r="V777" s="7">
        <v>32933</v>
      </c>
      <c r="W777" t="s">
        <v>1190</v>
      </c>
      <c r="X777" s="2">
        <v>1.573</v>
      </c>
      <c r="Y777" s="6">
        <f t="shared" si="102"/>
        <v>4.1990336616748086E-2</v>
      </c>
      <c r="AA777">
        <v>7315090</v>
      </c>
      <c r="AB777">
        <v>29586</v>
      </c>
      <c r="AD777" t="s">
        <v>5</v>
      </c>
      <c r="AE777">
        <v>13</v>
      </c>
      <c r="AF777">
        <v>2</v>
      </c>
      <c r="AH777" t="s">
        <v>2327</v>
      </c>
      <c r="AI777" t="s">
        <v>2326</v>
      </c>
      <c r="AK777" t="s">
        <v>2325</v>
      </c>
      <c r="AL777">
        <v>47</v>
      </c>
      <c r="AM777" s="5">
        <f t="shared" si="98"/>
        <v>1.46875</v>
      </c>
      <c r="AN777" s="4">
        <f t="shared" si="103"/>
        <v>2.2245361605452482E-3</v>
      </c>
      <c r="AO777" s="3"/>
      <c r="AP777">
        <v>0</v>
      </c>
      <c r="AQ777" t="s">
        <v>2324</v>
      </c>
      <c r="AR777" t="s">
        <v>2323</v>
      </c>
      <c r="AS777" t="s">
        <v>2322</v>
      </c>
      <c r="AT777" s="2" t="s">
        <v>126</v>
      </c>
      <c r="AU777" s="1">
        <f t="shared" si="99"/>
        <v>3.0060596479887232</v>
      </c>
      <c r="AV777" s="1">
        <f t="shared" si="100"/>
        <v>2.2107436388646668</v>
      </c>
      <c r="AW777" s="1">
        <f t="shared" si="101"/>
        <v>1.4154276297406099</v>
      </c>
    </row>
    <row r="778" spans="1:49" x14ac:dyDescent="0.2">
      <c r="A778">
        <v>776</v>
      </c>
      <c r="B778" t="s">
        <v>2321</v>
      </c>
      <c r="C778" t="s">
        <v>2320</v>
      </c>
      <c r="F778" t="s">
        <v>2319</v>
      </c>
      <c r="G778" t="s">
        <v>14</v>
      </c>
      <c r="H778" t="s">
        <v>13</v>
      </c>
      <c r="I778" t="s">
        <v>2318</v>
      </c>
      <c r="J778" t="s">
        <v>2317</v>
      </c>
      <c r="K778" t="s">
        <v>2316</v>
      </c>
      <c r="L778" t="s">
        <v>2315</v>
      </c>
      <c r="M778" t="s">
        <v>1972</v>
      </c>
      <c r="N778">
        <v>3</v>
      </c>
      <c r="O778" t="s">
        <v>2314</v>
      </c>
      <c r="P778" t="s">
        <v>2313</v>
      </c>
      <c r="Q778" t="s">
        <v>2312</v>
      </c>
      <c r="R778" s="7">
        <v>32874</v>
      </c>
      <c r="S778" s="8">
        <f t="shared" si="96"/>
        <v>1990</v>
      </c>
      <c r="T778" s="8">
        <v>1990</v>
      </c>
      <c r="U778" s="8">
        <f t="shared" si="97"/>
        <v>32</v>
      </c>
      <c r="V778" s="7">
        <v>32933</v>
      </c>
      <c r="W778" t="s">
        <v>2311</v>
      </c>
      <c r="X778" s="2">
        <v>0.62</v>
      </c>
      <c r="Y778" s="6">
        <f t="shared" si="102"/>
        <v>1.6550545901070447E-2</v>
      </c>
      <c r="AA778">
        <v>189464</v>
      </c>
      <c r="AB778">
        <v>17364</v>
      </c>
      <c r="AC778">
        <v>19410069</v>
      </c>
      <c r="AD778" t="s">
        <v>5</v>
      </c>
      <c r="AE778">
        <v>26</v>
      </c>
      <c r="AF778">
        <v>2</v>
      </c>
      <c r="AH778" t="s">
        <v>2310</v>
      </c>
      <c r="AI778" t="s">
        <v>2309</v>
      </c>
      <c r="AK778" t="s">
        <v>2308</v>
      </c>
      <c r="AL778">
        <v>2</v>
      </c>
      <c r="AM778" s="5">
        <f t="shared" si="98"/>
        <v>6.25E-2</v>
      </c>
      <c r="AN778" s="4">
        <f t="shared" si="103"/>
        <v>9.46611132146914E-5</v>
      </c>
      <c r="AO778" s="3"/>
      <c r="AP778">
        <v>0</v>
      </c>
      <c r="AR778" t="s">
        <v>0</v>
      </c>
      <c r="AT778" s="2">
        <v>1.7</v>
      </c>
      <c r="AU778" s="1">
        <f t="shared" si="99"/>
        <v>1.1613780464713719</v>
      </c>
      <c r="AV778" s="1">
        <f t="shared" si="100"/>
        <v>0.83226035071425686</v>
      </c>
      <c r="AW778" s="1">
        <f t="shared" si="101"/>
        <v>0.50314265495714183</v>
      </c>
    </row>
    <row r="779" spans="1:49" x14ac:dyDescent="0.2">
      <c r="A779">
        <v>777</v>
      </c>
      <c r="B779" t="s">
        <v>2307</v>
      </c>
      <c r="C779" t="s">
        <v>2306</v>
      </c>
      <c r="F779" t="s">
        <v>2305</v>
      </c>
      <c r="G779" t="s">
        <v>14</v>
      </c>
      <c r="H779" t="s">
        <v>13</v>
      </c>
      <c r="I779" t="s">
        <v>2304</v>
      </c>
      <c r="J779">
        <v>60021902</v>
      </c>
      <c r="K779" t="s">
        <v>11</v>
      </c>
      <c r="L779" t="s">
        <v>10</v>
      </c>
      <c r="M779" t="s">
        <v>9</v>
      </c>
      <c r="N779">
        <v>2</v>
      </c>
      <c r="O779" t="s">
        <v>2303</v>
      </c>
      <c r="P779" t="s">
        <v>2302</v>
      </c>
      <c r="Q779" t="s">
        <v>2301</v>
      </c>
      <c r="R779" s="7">
        <v>32874</v>
      </c>
      <c r="S779" s="8">
        <f t="shared" si="96"/>
        <v>1990</v>
      </c>
      <c r="T779" s="8">
        <v>1990</v>
      </c>
      <c r="U779" s="8">
        <f t="shared" si="97"/>
        <v>32</v>
      </c>
      <c r="V779" s="7">
        <v>32933</v>
      </c>
      <c r="W779" t="s">
        <v>1152</v>
      </c>
      <c r="X779" s="2">
        <v>0.30399999999999999</v>
      </c>
      <c r="Y779" s="6">
        <f t="shared" si="102"/>
        <v>8.115106377299057E-3</v>
      </c>
      <c r="AA779">
        <v>8952477</v>
      </c>
      <c r="AB779">
        <v>12250</v>
      </c>
      <c r="AC779">
        <v>10982760</v>
      </c>
      <c r="AD779" t="s">
        <v>5</v>
      </c>
      <c r="AE779">
        <v>3</v>
      </c>
      <c r="AF779">
        <v>3</v>
      </c>
      <c r="AH779" t="s">
        <v>2300</v>
      </c>
      <c r="AI779" t="s">
        <v>2299</v>
      </c>
      <c r="AJ779" t="s">
        <v>2298</v>
      </c>
      <c r="AK779" t="s">
        <v>2297</v>
      </c>
      <c r="AL779">
        <v>0</v>
      </c>
      <c r="AM779" s="5">
        <f t="shared" si="98"/>
        <v>0</v>
      </c>
      <c r="AN779" s="4">
        <f t="shared" si="103"/>
        <v>0</v>
      </c>
      <c r="AO779" s="3"/>
      <c r="AP779">
        <v>0</v>
      </c>
      <c r="AR779" t="s">
        <v>0</v>
      </c>
      <c r="AT779" s="2" t="s">
        <v>126</v>
      </c>
      <c r="AU779" s="1">
        <f t="shared" si="99"/>
        <v>0.56805744641093392</v>
      </c>
      <c r="AV779" s="1">
        <f t="shared" si="100"/>
        <v>0.40575531886495286</v>
      </c>
      <c r="AW779" s="1">
        <f t="shared" si="101"/>
        <v>0.24345319131897172</v>
      </c>
    </row>
    <row r="780" spans="1:49" x14ac:dyDescent="0.2">
      <c r="A780">
        <v>778</v>
      </c>
      <c r="B780" t="s">
        <v>2296</v>
      </c>
      <c r="C780" t="s">
        <v>2295</v>
      </c>
      <c r="F780" t="s">
        <v>2294</v>
      </c>
      <c r="G780" t="s">
        <v>14</v>
      </c>
      <c r="H780" t="s">
        <v>13</v>
      </c>
      <c r="I780" t="s">
        <v>2293</v>
      </c>
      <c r="J780">
        <v>60021208</v>
      </c>
      <c r="K780" t="s">
        <v>2292</v>
      </c>
      <c r="L780" t="s">
        <v>466</v>
      </c>
      <c r="M780" t="s">
        <v>267</v>
      </c>
      <c r="N780">
        <v>2</v>
      </c>
      <c r="O780" t="s">
        <v>2291</v>
      </c>
      <c r="P780" t="s">
        <v>2290</v>
      </c>
      <c r="Q780" t="s">
        <v>2289</v>
      </c>
      <c r="R780" s="7">
        <v>32874</v>
      </c>
      <c r="S780" s="8">
        <f t="shared" si="96"/>
        <v>1990</v>
      </c>
      <c r="T780" s="8">
        <v>1990</v>
      </c>
      <c r="U780" s="8">
        <f t="shared" si="97"/>
        <v>32</v>
      </c>
      <c r="V780" s="7">
        <v>32933</v>
      </c>
      <c r="W780" t="s">
        <v>2288</v>
      </c>
      <c r="X780" s="2">
        <v>0.111</v>
      </c>
      <c r="Y780" s="6">
        <f t="shared" si="102"/>
        <v>2.9630816048690639E-3</v>
      </c>
      <c r="AA780">
        <v>87566621</v>
      </c>
      <c r="AB780">
        <v>24890</v>
      </c>
      <c r="AC780">
        <v>15206424</v>
      </c>
      <c r="AD780" t="s">
        <v>5</v>
      </c>
      <c r="AE780">
        <v>73</v>
      </c>
      <c r="AF780">
        <v>3</v>
      </c>
      <c r="AH780" t="s">
        <v>2287</v>
      </c>
      <c r="AI780" t="s">
        <v>2286</v>
      </c>
      <c r="AK780" t="s">
        <v>2285</v>
      </c>
      <c r="AL780">
        <v>0</v>
      </c>
      <c r="AM780" s="5">
        <f t="shared" si="98"/>
        <v>0</v>
      </c>
      <c r="AN780" s="4">
        <f t="shared" si="103"/>
        <v>0</v>
      </c>
      <c r="AO780" s="3"/>
      <c r="AP780">
        <v>0</v>
      </c>
      <c r="AR780" t="s">
        <v>0</v>
      </c>
      <c r="AT780" s="2" t="s">
        <v>126</v>
      </c>
      <c r="AU780" s="1">
        <f t="shared" si="99"/>
        <v>0.20741571234083445</v>
      </c>
      <c r="AV780" s="1">
        <f t="shared" si="100"/>
        <v>0.1481540802434532</v>
      </c>
      <c r="AW780" s="1">
        <f t="shared" si="101"/>
        <v>8.8892448146071903E-2</v>
      </c>
    </row>
    <row r="781" spans="1:49" x14ac:dyDescent="0.2">
      <c r="A781">
        <v>779</v>
      </c>
      <c r="B781" t="s">
        <v>2284</v>
      </c>
      <c r="C781" t="s">
        <v>2283</v>
      </c>
      <c r="F781" t="s">
        <v>2282</v>
      </c>
      <c r="G781" t="s">
        <v>14</v>
      </c>
      <c r="H781" t="s">
        <v>13</v>
      </c>
      <c r="I781" t="s">
        <v>2281</v>
      </c>
      <c r="J781">
        <v>60027271</v>
      </c>
      <c r="K781" t="s">
        <v>2280</v>
      </c>
      <c r="L781" t="s">
        <v>2279</v>
      </c>
      <c r="M781" t="s">
        <v>197</v>
      </c>
      <c r="N781">
        <v>1</v>
      </c>
      <c r="O781" t="s">
        <v>2278</v>
      </c>
      <c r="P781">
        <v>35607620700</v>
      </c>
      <c r="Q781">
        <v>60027271</v>
      </c>
      <c r="R781" s="7">
        <v>32874</v>
      </c>
      <c r="S781" s="8">
        <f t="shared" si="96"/>
        <v>1990</v>
      </c>
      <c r="T781" s="8">
        <v>1990</v>
      </c>
      <c r="U781" s="8">
        <f t="shared" si="97"/>
        <v>32</v>
      </c>
      <c r="V781" s="7">
        <v>32933</v>
      </c>
      <c r="W781" t="s">
        <v>720</v>
      </c>
      <c r="X781" s="2">
        <v>1.137</v>
      </c>
      <c r="Y781" s="6">
        <f t="shared" si="102"/>
        <v>3.0351565628253384E-2</v>
      </c>
      <c r="AA781">
        <v>189251</v>
      </c>
      <c r="AB781">
        <v>17336</v>
      </c>
      <c r="AD781" t="s">
        <v>5</v>
      </c>
      <c r="AE781">
        <v>26</v>
      </c>
      <c r="AF781">
        <v>2</v>
      </c>
      <c r="AH781" t="s">
        <v>2277</v>
      </c>
      <c r="AI781" t="s">
        <v>2276</v>
      </c>
      <c r="AK781" t="s">
        <v>2275</v>
      </c>
      <c r="AL781">
        <v>3</v>
      </c>
      <c r="AM781" s="5">
        <f t="shared" si="98"/>
        <v>9.375E-2</v>
      </c>
      <c r="AN781" s="4">
        <f t="shared" si="103"/>
        <v>1.4199166982203711E-4</v>
      </c>
      <c r="AO781" s="3"/>
      <c r="AP781">
        <v>0</v>
      </c>
      <c r="AR781" t="s">
        <v>0</v>
      </c>
      <c r="AT781" s="2" t="s">
        <v>126</v>
      </c>
      <c r="AU781" s="1">
        <f t="shared" si="99"/>
        <v>2.128869344072398</v>
      </c>
      <c r="AV781" s="1">
        <f t="shared" si="100"/>
        <v>1.5246778649037709</v>
      </c>
      <c r="AW781" s="1">
        <f t="shared" si="101"/>
        <v>0.92048638573514419</v>
      </c>
    </row>
    <row r="782" spans="1:49" x14ac:dyDescent="0.2">
      <c r="A782">
        <v>780</v>
      </c>
      <c r="B782" t="s">
        <v>2274</v>
      </c>
      <c r="C782" t="s">
        <v>2273</v>
      </c>
      <c r="F782" t="s">
        <v>2272</v>
      </c>
      <c r="G782" t="s">
        <v>14</v>
      </c>
      <c r="H782" t="s">
        <v>13</v>
      </c>
      <c r="I782" t="s">
        <v>2271</v>
      </c>
      <c r="J782">
        <v>60012288</v>
      </c>
      <c r="K782" t="s">
        <v>269</v>
      </c>
      <c r="L782" t="s">
        <v>268</v>
      </c>
      <c r="M782" t="s">
        <v>267</v>
      </c>
      <c r="N782">
        <v>4</v>
      </c>
      <c r="O782" t="s">
        <v>2270</v>
      </c>
      <c r="P782" t="s">
        <v>2269</v>
      </c>
      <c r="Q782" t="s">
        <v>2268</v>
      </c>
      <c r="R782" s="7">
        <v>32874</v>
      </c>
      <c r="S782" s="8">
        <f t="shared" si="96"/>
        <v>1990</v>
      </c>
      <c r="T782" s="8">
        <v>1990</v>
      </c>
      <c r="U782" s="8">
        <f t="shared" si="97"/>
        <v>32</v>
      </c>
      <c r="V782" s="7">
        <v>32933</v>
      </c>
      <c r="W782" t="s">
        <v>1844</v>
      </c>
      <c r="X782" s="2">
        <v>1.774</v>
      </c>
      <c r="Y782" s="6">
        <f t="shared" si="102"/>
        <v>4.7355916820159633E-2</v>
      </c>
      <c r="AA782">
        <v>295515</v>
      </c>
      <c r="AB782">
        <v>29066</v>
      </c>
      <c r="AC782">
        <v>17414326</v>
      </c>
      <c r="AD782" t="s">
        <v>5</v>
      </c>
      <c r="AE782">
        <v>30</v>
      </c>
      <c r="AF782">
        <v>3</v>
      </c>
      <c r="AH782" t="s">
        <v>2267</v>
      </c>
      <c r="AI782" t="s">
        <v>2266</v>
      </c>
      <c r="AK782" t="s">
        <v>2265</v>
      </c>
      <c r="AL782">
        <v>3</v>
      </c>
      <c r="AM782" s="5">
        <f t="shared" si="98"/>
        <v>9.375E-2</v>
      </c>
      <c r="AN782" s="4">
        <f t="shared" si="103"/>
        <v>1.4199166982203711E-4</v>
      </c>
      <c r="AO782" s="3"/>
      <c r="AP782">
        <v>0</v>
      </c>
      <c r="AR782" t="s">
        <v>0</v>
      </c>
      <c r="AT782" s="2">
        <v>3.1789999999999998</v>
      </c>
      <c r="AU782" s="1">
        <f t="shared" si="99"/>
        <v>3.319173927505835</v>
      </c>
      <c r="AV782" s="1">
        <f t="shared" si="100"/>
        <v>2.3748954244990834</v>
      </c>
      <c r="AW782" s="1">
        <f t="shared" si="101"/>
        <v>1.4306169214923317</v>
      </c>
    </row>
    <row r="783" spans="1:49" x14ac:dyDescent="0.2">
      <c r="A783">
        <v>781</v>
      </c>
      <c r="B783" t="s">
        <v>2264</v>
      </c>
      <c r="C783" t="s">
        <v>2263</v>
      </c>
      <c r="F783" t="s">
        <v>2262</v>
      </c>
      <c r="G783" t="s">
        <v>14</v>
      </c>
      <c r="H783" t="s">
        <v>13</v>
      </c>
      <c r="I783" t="s">
        <v>2261</v>
      </c>
      <c r="J783" t="s">
        <v>2256</v>
      </c>
      <c r="K783" t="s">
        <v>2260</v>
      </c>
      <c r="L783" t="s">
        <v>2259</v>
      </c>
      <c r="M783" t="s">
        <v>84</v>
      </c>
      <c r="N783">
        <v>2</v>
      </c>
      <c r="O783" t="s">
        <v>2258</v>
      </c>
      <c r="P783" t="s">
        <v>2257</v>
      </c>
      <c r="Q783" t="s">
        <v>2256</v>
      </c>
      <c r="R783" s="7">
        <v>32874</v>
      </c>
      <c r="S783" s="8">
        <f t="shared" si="96"/>
        <v>1990</v>
      </c>
      <c r="T783" s="8">
        <v>1990</v>
      </c>
      <c r="U783" s="8">
        <f t="shared" si="97"/>
        <v>32</v>
      </c>
      <c r="V783" s="7">
        <v>32933</v>
      </c>
      <c r="W783" t="s">
        <v>2249</v>
      </c>
      <c r="X783" s="2">
        <v>1.6519999999999999</v>
      </c>
      <c r="Y783" s="6">
        <f t="shared" si="102"/>
        <v>4.409919649769093E-2</v>
      </c>
      <c r="AA783" t="s">
        <v>2248</v>
      </c>
      <c r="AB783">
        <v>17337</v>
      </c>
      <c r="AC783">
        <v>15582221</v>
      </c>
      <c r="AD783" t="s">
        <v>5</v>
      </c>
      <c r="AE783">
        <v>38</v>
      </c>
      <c r="AF783">
        <v>3</v>
      </c>
      <c r="AH783" t="s">
        <v>2255</v>
      </c>
      <c r="AI783" t="s">
        <v>2254</v>
      </c>
      <c r="AK783" t="s">
        <v>2253</v>
      </c>
      <c r="AL783">
        <v>139</v>
      </c>
      <c r="AM783" s="5">
        <f t="shared" si="98"/>
        <v>4.34375</v>
      </c>
      <c r="AN783" s="4">
        <f t="shared" si="103"/>
        <v>6.5789473684210523E-3</v>
      </c>
      <c r="AO783" s="3"/>
      <c r="AP783">
        <v>0</v>
      </c>
      <c r="AR783" t="s">
        <v>0</v>
      </c>
      <c r="AT783" s="2" t="s">
        <v>126</v>
      </c>
      <c r="AU783" s="1">
        <f t="shared" si="99"/>
        <v>3.2843121758909968</v>
      </c>
      <c r="AV783" s="1">
        <f t="shared" si="100"/>
        <v>2.5339071933055992</v>
      </c>
      <c r="AW783" s="1">
        <f t="shared" si="101"/>
        <v>1.7835022107202014</v>
      </c>
    </row>
    <row r="784" spans="1:49" x14ac:dyDescent="0.2">
      <c r="A784">
        <v>782</v>
      </c>
      <c r="B784" t="s">
        <v>2252</v>
      </c>
      <c r="C784" t="s">
        <v>2251</v>
      </c>
      <c r="F784" t="s">
        <v>2250</v>
      </c>
      <c r="G784" t="s">
        <v>14</v>
      </c>
      <c r="H784" t="s">
        <v>13</v>
      </c>
      <c r="I784" t="s">
        <v>1614</v>
      </c>
      <c r="N784">
        <v>1</v>
      </c>
      <c r="O784" t="s">
        <v>1613</v>
      </c>
      <c r="P784">
        <v>7202865709</v>
      </c>
      <c r="R784" s="7">
        <v>32874</v>
      </c>
      <c r="S784" s="8">
        <f t="shared" si="96"/>
        <v>1990</v>
      </c>
      <c r="T784" s="8">
        <v>1990</v>
      </c>
      <c r="U784" s="8">
        <f t="shared" si="97"/>
        <v>32</v>
      </c>
      <c r="V784" s="7">
        <v>32933</v>
      </c>
      <c r="W784" t="s">
        <v>2249</v>
      </c>
      <c r="X784" s="2">
        <v>1.6519999999999999</v>
      </c>
      <c r="Y784" s="6">
        <f t="shared" si="102"/>
        <v>4.409919649769093E-2</v>
      </c>
      <c r="AA784" t="s">
        <v>2248</v>
      </c>
      <c r="AB784">
        <v>17337</v>
      </c>
      <c r="AC784">
        <v>15582221</v>
      </c>
      <c r="AD784" t="s">
        <v>5</v>
      </c>
      <c r="AE784">
        <v>38</v>
      </c>
      <c r="AF784">
        <v>3</v>
      </c>
      <c r="AH784" t="s">
        <v>2247</v>
      </c>
      <c r="AI784" t="s">
        <v>2246</v>
      </c>
      <c r="AK784" t="s">
        <v>2245</v>
      </c>
      <c r="AL784">
        <v>0</v>
      </c>
      <c r="AM784" s="5">
        <f t="shared" si="98"/>
        <v>0</v>
      </c>
      <c r="AN784" s="4">
        <f t="shared" si="103"/>
        <v>0</v>
      </c>
      <c r="AO784" s="3"/>
      <c r="AP784">
        <v>0</v>
      </c>
      <c r="AR784" t="s">
        <v>0</v>
      </c>
      <c r="AT784" s="2" t="s">
        <v>126</v>
      </c>
      <c r="AU784" s="1">
        <f t="shared" si="99"/>
        <v>3.0869437548383649</v>
      </c>
      <c r="AV784" s="1">
        <f t="shared" si="100"/>
        <v>2.2049598248845466</v>
      </c>
      <c r="AW784" s="1">
        <f t="shared" si="101"/>
        <v>1.3229758949307278</v>
      </c>
    </row>
    <row r="785" spans="1:49" x14ac:dyDescent="0.2">
      <c r="A785">
        <v>783</v>
      </c>
      <c r="B785" t="s">
        <v>2244</v>
      </c>
      <c r="C785" t="s">
        <v>2243</v>
      </c>
      <c r="F785" t="s">
        <v>2242</v>
      </c>
      <c r="G785" t="s">
        <v>14</v>
      </c>
      <c r="H785" t="s">
        <v>13</v>
      </c>
      <c r="I785" t="s">
        <v>2241</v>
      </c>
      <c r="N785">
        <v>4</v>
      </c>
      <c r="O785" t="s">
        <v>2240</v>
      </c>
      <c r="P785" t="s">
        <v>2239</v>
      </c>
      <c r="Q785" t="s">
        <v>329</v>
      </c>
      <c r="R785" s="7">
        <v>32874</v>
      </c>
      <c r="S785" s="8">
        <f t="shared" si="96"/>
        <v>1990</v>
      </c>
      <c r="T785" s="8">
        <v>1990</v>
      </c>
      <c r="U785" s="8">
        <f t="shared" si="97"/>
        <v>32</v>
      </c>
      <c r="V785" s="7" t="s">
        <v>2238</v>
      </c>
      <c r="W785" t="s">
        <v>110</v>
      </c>
      <c r="X785" s="2">
        <v>0.371</v>
      </c>
      <c r="Y785" s="6">
        <f t="shared" si="102"/>
        <v>9.9036331117695747E-3</v>
      </c>
      <c r="AA785">
        <v>486604</v>
      </c>
      <c r="AB785">
        <v>28580</v>
      </c>
      <c r="AC785" t="s">
        <v>109</v>
      </c>
      <c r="AD785" t="s">
        <v>5</v>
      </c>
      <c r="AE785">
        <v>25</v>
      </c>
      <c r="AF785">
        <v>2</v>
      </c>
      <c r="AH785" t="s">
        <v>2237</v>
      </c>
      <c r="AI785" t="s">
        <v>2236</v>
      </c>
      <c r="AK785" t="s">
        <v>2235</v>
      </c>
      <c r="AL785">
        <v>11</v>
      </c>
      <c r="AM785" s="5">
        <f t="shared" si="98"/>
        <v>0.34375</v>
      </c>
      <c r="AN785" s="4">
        <f t="shared" si="103"/>
        <v>5.2063612268080268E-4</v>
      </c>
      <c r="AO785" s="3"/>
      <c r="AP785">
        <v>0</v>
      </c>
      <c r="AR785" t="s">
        <v>0</v>
      </c>
      <c r="AT785" s="2">
        <v>1.431</v>
      </c>
      <c r="AU785" s="1">
        <f t="shared" si="99"/>
        <v>0.70887340150429423</v>
      </c>
      <c r="AV785" s="1">
        <f t="shared" si="100"/>
        <v>0.52121346172251892</v>
      </c>
      <c r="AW785" s="1">
        <f t="shared" si="101"/>
        <v>0.33355352194074345</v>
      </c>
    </row>
    <row r="786" spans="1:49" x14ac:dyDescent="0.2">
      <c r="A786">
        <v>784</v>
      </c>
      <c r="B786" t="s">
        <v>2234</v>
      </c>
      <c r="C786" t="s">
        <v>2233</v>
      </c>
      <c r="F786" t="s">
        <v>2232</v>
      </c>
      <c r="G786" t="s">
        <v>14</v>
      </c>
      <c r="H786" t="s">
        <v>13</v>
      </c>
      <c r="I786" t="s">
        <v>2231</v>
      </c>
      <c r="N786">
        <v>1</v>
      </c>
      <c r="O786" t="s">
        <v>2230</v>
      </c>
      <c r="P786">
        <v>56160297000</v>
      </c>
      <c r="R786" s="7">
        <v>32874</v>
      </c>
      <c r="S786" s="8">
        <f t="shared" si="96"/>
        <v>1990</v>
      </c>
      <c r="T786" s="8">
        <v>1990</v>
      </c>
      <c r="U786" s="8">
        <f t="shared" si="97"/>
        <v>32</v>
      </c>
      <c r="V786" s="7">
        <v>32905</v>
      </c>
      <c r="W786" t="s">
        <v>2229</v>
      </c>
      <c r="X786" s="2">
        <v>0.22500000000000001</v>
      </c>
      <c r="Y786" s="6">
        <f t="shared" si="102"/>
        <v>6.0062464963562111E-3</v>
      </c>
      <c r="AA786">
        <v>189235</v>
      </c>
      <c r="AB786">
        <v>17318</v>
      </c>
      <c r="AD786" t="s">
        <v>5</v>
      </c>
      <c r="AE786">
        <v>27</v>
      </c>
      <c r="AF786">
        <v>2</v>
      </c>
      <c r="AH786" t="s">
        <v>2228</v>
      </c>
      <c r="AL786">
        <v>0</v>
      </c>
      <c r="AM786" s="5">
        <f t="shared" si="98"/>
        <v>0</v>
      </c>
      <c r="AN786" s="4">
        <f t="shared" si="103"/>
        <v>0</v>
      </c>
      <c r="AO786" s="3"/>
      <c r="AP786">
        <v>0</v>
      </c>
      <c r="AR786" t="s">
        <v>0</v>
      </c>
      <c r="AT786" s="2">
        <v>2.875</v>
      </c>
      <c r="AU786" s="1">
        <f t="shared" si="99"/>
        <v>0.42043725474493476</v>
      </c>
      <c r="AV786" s="1">
        <f t="shared" si="100"/>
        <v>0.30031232481781056</v>
      </c>
      <c r="AW786" s="1">
        <f t="shared" si="101"/>
        <v>0.18018739489068633</v>
      </c>
    </row>
    <row r="787" spans="1:49" x14ac:dyDescent="0.2">
      <c r="A787">
        <v>785</v>
      </c>
      <c r="B787" t="s">
        <v>2227</v>
      </c>
      <c r="C787" t="s">
        <v>2226</v>
      </c>
      <c r="F787" t="s">
        <v>2225</v>
      </c>
      <c r="G787" t="s">
        <v>14</v>
      </c>
      <c r="H787" t="s">
        <v>13</v>
      </c>
      <c r="I787" t="s">
        <v>2224</v>
      </c>
      <c r="J787">
        <v>60023053</v>
      </c>
      <c r="K787" t="s">
        <v>2223</v>
      </c>
      <c r="L787" t="s">
        <v>2222</v>
      </c>
      <c r="M787" t="s">
        <v>197</v>
      </c>
      <c r="N787">
        <v>1</v>
      </c>
      <c r="O787" t="s">
        <v>2221</v>
      </c>
      <c r="P787">
        <v>35578175900</v>
      </c>
      <c r="Q787">
        <v>60023053</v>
      </c>
      <c r="R787" s="7">
        <v>32874</v>
      </c>
      <c r="S787" s="8">
        <f t="shared" si="96"/>
        <v>1990</v>
      </c>
      <c r="T787" s="8">
        <v>1990</v>
      </c>
      <c r="U787" s="8">
        <f t="shared" si="97"/>
        <v>32</v>
      </c>
      <c r="V787" s="7">
        <v>32905</v>
      </c>
      <c r="W787" t="s">
        <v>2156</v>
      </c>
      <c r="X787" s="2">
        <v>0.65500000000000003</v>
      </c>
      <c r="Y787" s="6">
        <f t="shared" si="102"/>
        <v>1.7484850911614749E-2</v>
      </c>
      <c r="AA787">
        <v>189375</v>
      </c>
      <c r="AB787">
        <v>26051</v>
      </c>
      <c r="AC787" t="s">
        <v>2155</v>
      </c>
      <c r="AD787" t="s">
        <v>5</v>
      </c>
      <c r="AE787">
        <v>32</v>
      </c>
      <c r="AF787">
        <v>1</v>
      </c>
      <c r="AH787" s="9">
        <v>44413</v>
      </c>
      <c r="AI787" t="s">
        <v>2220</v>
      </c>
      <c r="AK787" t="s">
        <v>2219</v>
      </c>
      <c r="AL787">
        <v>5</v>
      </c>
      <c r="AM787" s="5">
        <f t="shared" si="98"/>
        <v>0.15625</v>
      </c>
      <c r="AN787" s="4">
        <f t="shared" si="103"/>
        <v>2.3665278303672851E-4</v>
      </c>
      <c r="AO787" s="3"/>
      <c r="AP787">
        <v>0</v>
      </c>
      <c r="AR787" t="s">
        <v>0</v>
      </c>
      <c r="AT787" s="2" t="s">
        <v>126</v>
      </c>
      <c r="AU787" s="1">
        <f t="shared" si="99"/>
        <v>1.231039147304134</v>
      </c>
      <c r="AV787" s="1">
        <f t="shared" si="100"/>
        <v>0.88607518473257396</v>
      </c>
      <c r="AW787" s="1">
        <f t="shared" si="101"/>
        <v>0.54111122216101348</v>
      </c>
    </row>
    <row r="788" spans="1:49" x14ac:dyDescent="0.2">
      <c r="A788">
        <v>786</v>
      </c>
      <c r="B788" t="s">
        <v>2218</v>
      </c>
      <c r="C788" t="s">
        <v>2217</v>
      </c>
      <c r="F788" t="s">
        <v>2216</v>
      </c>
      <c r="G788" t="s">
        <v>14</v>
      </c>
      <c r="H788" t="s">
        <v>13</v>
      </c>
      <c r="I788" t="s">
        <v>2215</v>
      </c>
      <c r="J788">
        <v>60000745</v>
      </c>
      <c r="K788" t="s">
        <v>2214</v>
      </c>
      <c r="L788" t="s">
        <v>2213</v>
      </c>
      <c r="M788" t="s">
        <v>197</v>
      </c>
      <c r="N788">
        <v>1</v>
      </c>
      <c r="O788" t="s">
        <v>2212</v>
      </c>
      <c r="P788">
        <v>56838430600</v>
      </c>
      <c r="Q788">
        <v>60000745</v>
      </c>
      <c r="R788" s="7">
        <v>32874</v>
      </c>
      <c r="S788" s="8">
        <f t="shared" si="96"/>
        <v>1990</v>
      </c>
      <c r="T788" s="8">
        <v>1990</v>
      </c>
      <c r="U788" s="8">
        <f t="shared" si="97"/>
        <v>32</v>
      </c>
      <c r="V788" s="7">
        <v>32905</v>
      </c>
      <c r="W788" t="s">
        <v>1909</v>
      </c>
      <c r="X788" s="2">
        <v>0.91600000000000004</v>
      </c>
      <c r="Y788" s="6">
        <f t="shared" si="102"/>
        <v>2.4452096847387951E-2</v>
      </c>
      <c r="AA788">
        <v>189359</v>
      </c>
      <c r="AB788">
        <v>17344</v>
      </c>
      <c r="AC788">
        <v>15579638</v>
      </c>
      <c r="AD788" t="s">
        <v>5</v>
      </c>
      <c r="AE788">
        <v>33</v>
      </c>
      <c r="AF788">
        <v>1</v>
      </c>
      <c r="AH788" t="s">
        <v>2211</v>
      </c>
      <c r="AI788" t="s">
        <v>2210</v>
      </c>
      <c r="AK788" t="s">
        <v>2209</v>
      </c>
      <c r="AL788">
        <v>12</v>
      </c>
      <c r="AM788" s="5">
        <f t="shared" si="98"/>
        <v>0.375</v>
      </c>
      <c r="AN788" s="4">
        <f t="shared" si="103"/>
        <v>5.6796667928814845E-4</v>
      </c>
      <c r="AO788" s="3"/>
      <c r="AP788">
        <v>0</v>
      </c>
      <c r="AR788" t="s">
        <v>0</v>
      </c>
      <c r="AT788" s="2">
        <v>2.1160000000000001</v>
      </c>
      <c r="AU788" s="1">
        <f t="shared" si="99"/>
        <v>1.7286857796958006</v>
      </c>
      <c r="AV788" s="1">
        <f t="shared" si="100"/>
        <v>1.251003176333805</v>
      </c>
      <c r="AW788" s="1">
        <f t="shared" si="101"/>
        <v>0.77332057297180889</v>
      </c>
    </row>
    <row r="789" spans="1:49" x14ac:dyDescent="0.2">
      <c r="A789">
        <v>787</v>
      </c>
      <c r="B789" t="s">
        <v>2208</v>
      </c>
      <c r="C789" t="s">
        <v>2207</v>
      </c>
      <c r="F789" t="s">
        <v>2206</v>
      </c>
      <c r="G789" t="s">
        <v>14</v>
      </c>
      <c r="H789" t="s">
        <v>13</v>
      </c>
      <c r="I789" t="s">
        <v>2205</v>
      </c>
      <c r="J789">
        <v>60009697</v>
      </c>
      <c r="K789" t="s">
        <v>1939</v>
      </c>
      <c r="L789" t="s">
        <v>1938</v>
      </c>
      <c r="M789" t="s">
        <v>1937</v>
      </c>
      <c r="N789">
        <v>2</v>
      </c>
      <c r="O789" t="s">
        <v>2204</v>
      </c>
      <c r="P789" t="s">
        <v>2203</v>
      </c>
      <c r="Q789" t="s">
        <v>1934</v>
      </c>
      <c r="R789" s="7">
        <v>32874</v>
      </c>
      <c r="S789" s="8">
        <f t="shared" si="96"/>
        <v>1990</v>
      </c>
      <c r="T789" s="8">
        <v>1990</v>
      </c>
      <c r="U789" s="8">
        <f t="shared" si="97"/>
        <v>32</v>
      </c>
      <c r="V789" s="7" t="s">
        <v>1793</v>
      </c>
      <c r="W789" t="s">
        <v>2202</v>
      </c>
      <c r="X789" s="2">
        <v>0.46400000000000002</v>
      </c>
      <c r="Y789" s="6">
        <f t="shared" si="102"/>
        <v>1.2386214996930142E-2</v>
      </c>
      <c r="AA789">
        <v>8408688</v>
      </c>
      <c r="AB789">
        <v>26200</v>
      </c>
      <c r="AD789" t="s">
        <v>5</v>
      </c>
      <c r="AE789">
        <v>15</v>
      </c>
      <c r="AF789">
        <v>1</v>
      </c>
      <c r="AH789" s="10">
        <v>42248</v>
      </c>
      <c r="AI789" t="s">
        <v>2201</v>
      </c>
      <c r="AK789" t="s">
        <v>2200</v>
      </c>
      <c r="AL789">
        <v>1</v>
      </c>
      <c r="AM789" s="5">
        <f t="shared" si="98"/>
        <v>3.125E-2</v>
      </c>
      <c r="AN789" s="4">
        <f t="shared" si="103"/>
        <v>4.73305566073457E-5</v>
      </c>
      <c r="AO789" s="3"/>
      <c r="AP789">
        <v>0</v>
      </c>
      <c r="AR789" t="s">
        <v>0</v>
      </c>
      <c r="AT789" s="2" t="s">
        <v>126</v>
      </c>
      <c r="AU789" s="1">
        <f t="shared" si="99"/>
        <v>0.86845496648333032</v>
      </c>
      <c r="AV789" s="1">
        <f t="shared" si="100"/>
        <v>0.62167727767687442</v>
      </c>
      <c r="AW789" s="1">
        <f t="shared" si="101"/>
        <v>0.37489958887041847</v>
      </c>
    </row>
    <row r="790" spans="1:49" x14ac:dyDescent="0.2">
      <c r="A790">
        <v>788</v>
      </c>
      <c r="B790" t="s">
        <v>2199</v>
      </c>
      <c r="C790" t="s">
        <v>2198</v>
      </c>
      <c r="F790" t="s">
        <v>2197</v>
      </c>
      <c r="G790" t="s">
        <v>14</v>
      </c>
      <c r="H790" t="s">
        <v>13</v>
      </c>
      <c r="I790" t="s">
        <v>2196</v>
      </c>
      <c r="J790" t="s">
        <v>2195</v>
      </c>
      <c r="K790" t="s">
        <v>2194</v>
      </c>
      <c r="L790" t="s">
        <v>2193</v>
      </c>
      <c r="M790" t="s">
        <v>2192</v>
      </c>
      <c r="N790">
        <v>3</v>
      </c>
      <c r="O790" t="s">
        <v>2191</v>
      </c>
      <c r="P790" t="s">
        <v>2190</v>
      </c>
      <c r="Q790" t="s">
        <v>2189</v>
      </c>
      <c r="R790" s="7">
        <v>32874</v>
      </c>
      <c r="S790" s="8">
        <f t="shared" si="96"/>
        <v>1990</v>
      </c>
      <c r="T790" s="8">
        <v>1990</v>
      </c>
      <c r="U790" s="8">
        <f t="shared" si="97"/>
        <v>32</v>
      </c>
      <c r="V790" s="7">
        <v>32874</v>
      </c>
      <c r="W790" t="s">
        <v>1380</v>
      </c>
      <c r="X790" s="2">
        <v>0.375</v>
      </c>
      <c r="Y790" s="6">
        <f t="shared" si="102"/>
        <v>1.0010410827260351E-2</v>
      </c>
      <c r="AA790">
        <v>135194</v>
      </c>
      <c r="AB790">
        <v>24918</v>
      </c>
      <c r="AD790" t="s">
        <v>5</v>
      </c>
      <c r="AE790">
        <v>26</v>
      </c>
      <c r="AF790">
        <v>4</v>
      </c>
      <c r="AH790" t="s">
        <v>2188</v>
      </c>
      <c r="AI790" t="s">
        <v>2187</v>
      </c>
      <c r="AJ790" t="s">
        <v>2186</v>
      </c>
      <c r="AK790" t="s">
        <v>2185</v>
      </c>
      <c r="AL790">
        <v>0</v>
      </c>
      <c r="AM790" s="5">
        <f t="shared" si="98"/>
        <v>0</v>
      </c>
      <c r="AN790" s="4">
        <f t="shared" si="103"/>
        <v>0</v>
      </c>
      <c r="AO790" s="3"/>
      <c r="AP790">
        <v>0</v>
      </c>
      <c r="AR790" t="s">
        <v>0</v>
      </c>
      <c r="AT790" s="2">
        <v>1.3140000000000001</v>
      </c>
      <c r="AU790" s="1">
        <f t="shared" si="99"/>
        <v>0.70072875790822453</v>
      </c>
      <c r="AV790" s="1">
        <f t="shared" si="100"/>
        <v>0.5005205413630176</v>
      </c>
      <c r="AW790" s="1">
        <f t="shared" si="101"/>
        <v>0.30031232481781051</v>
      </c>
    </row>
    <row r="791" spans="1:49" x14ac:dyDescent="0.2">
      <c r="A791">
        <v>789</v>
      </c>
      <c r="B791" t="s">
        <v>2184</v>
      </c>
      <c r="C791" t="s">
        <v>2183</v>
      </c>
      <c r="F791" t="s">
        <v>2182</v>
      </c>
      <c r="G791" t="s">
        <v>14</v>
      </c>
      <c r="H791" t="s">
        <v>13</v>
      </c>
      <c r="I791" t="s">
        <v>2181</v>
      </c>
      <c r="J791">
        <v>60005304</v>
      </c>
      <c r="K791" t="s">
        <v>747</v>
      </c>
      <c r="L791" t="s">
        <v>746</v>
      </c>
      <c r="M791" t="s">
        <v>197</v>
      </c>
      <c r="N791">
        <v>1</v>
      </c>
      <c r="O791" t="s">
        <v>2180</v>
      </c>
      <c r="P791">
        <v>7004942669</v>
      </c>
      <c r="Q791">
        <v>60005304</v>
      </c>
      <c r="R791" s="7">
        <v>32874</v>
      </c>
      <c r="S791" s="8">
        <f t="shared" si="96"/>
        <v>1990</v>
      </c>
      <c r="T791" s="8">
        <v>1990</v>
      </c>
      <c r="U791" s="8">
        <f t="shared" si="97"/>
        <v>32</v>
      </c>
      <c r="V791" s="7">
        <v>32905</v>
      </c>
      <c r="W791" t="s">
        <v>1883</v>
      </c>
      <c r="X791" s="2">
        <v>1.365</v>
      </c>
      <c r="Y791" s="6">
        <f t="shared" si="102"/>
        <v>3.6437895411227675E-2</v>
      </c>
      <c r="AA791">
        <v>189545</v>
      </c>
      <c r="AB791">
        <v>17393</v>
      </c>
      <c r="AC791">
        <v>19399359</v>
      </c>
      <c r="AD791" t="s">
        <v>5</v>
      </c>
      <c r="AE791">
        <v>39</v>
      </c>
      <c r="AF791">
        <v>1</v>
      </c>
      <c r="AH791" t="s">
        <v>1562</v>
      </c>
      <c r="AI791" t="s">
        <v>2179</v>
      </c>
      <c r="AK791" t="s">
        <v>2178</v>
      </c>
      <c r="AL791">
        <v>17</v>
      </c>
      <c r="AM791" s="5">
        <f t="shared" si="98"/>
        <v>0.53125</v>
      </c>
      <c r="AN791" s="4">
        <f t="shared" si="103"/>
        <v>8.0461946232487697E-4</v>
      </c>
      <c r="AO791" s="3"/>
      <c r="AP791">
        <v>0</v>
      </c>
      <c r="AR791" t="s">
        <v>0</v>
      </c>
      <c r="AT791" s="2" t="s">
        <v>126</v>
      </c>
      <c r="AU791" s="1">
        <f t="shared" si="99"/>
        <v>2.5747912626556833</v>
      </c>
      <c r="AV791" s="1">
        <f t="shared" si="100"/>
        <v>1.8621257436776277</v>
      </c>
      <c r="AW791" s="1">
        <f t="shared" si="101"/>
        <v>1.1494602246995715</v>
      </c>
    </row>
    <row r="792" spans="1:49" x14ac:dyDescent="0.2">
      <c r="A792">
        <v>790</v>
      </c>
      <c r="B792" t="s">
        <v>2177</v>
      </c>
      <c r="C792" t="s">
        <v>2176</v>
      </c>
      <c r="F792" t="s">
        <v>2175</v>
      </c>
      <c r="G792" t="s">
        <v>14</v>
      </c>
      <c r="H792" t="s">
        <v>13</v>
      </c>
      <c r="I792" t="s">
        <v>2174</v>
      </c>
      <c r="J792" t="s">
        <v>2173</v>
      </c>
      <c r="K792" t="s">
        <v>2172</v>
      </c>
      <c r="L792" t="s">
        <v>2171</v>
      </c>
      <c r="M792" t="s">
        <v>1702</v>
      </c>
      <c r="N792">
        <v>3</v>
      </c>
      <c r="O792" t="s">
        <v>2170</v>
      </c>
      <c r="P792" t="s">
        <v>2169</v>
      </c>
      <c r="Q792" t="s">
        <v>2168</v>
      </c>
      <c r="R792" s="7">
        <v>32874</v>
      </c>
      <c r="S792" s="8">
        <f t="shared" si="96"/>
        <v>1990</v>
      </c>
      <c r="T792" s="8">
        <v>1990</v>
      </c>
      <c r="U792" s="8">
        <f t="shared" si="97"/>
        <v>32</v>
      </c>
      <c r="V792" s="7">
        <v>32905</v>
      </c>
      <c r="W792" t="s">
        <v>2167</v>
      </c>
      <c r="X792" s="2">
        <v>0.64</v>
      </c>
      <c r="Y792" s="6">
        <f t="shared" si="102"/>
        <v>1.7084434478524334E-2</v>
      </c>
      <c r="AA792">
        <v>218669</v>
      </c>
      <c r="AB792">
        <v>29583</v>
      </c>
      <c r="AD792" t="s">
        <v>5</v>
      </c>
      <c r="AE792">
        <v>27</v>
      </c>
      <c r="AF792">
        <v>2</v>
      </c>
      <c r="AH792" t="s">
        <v>2166</v>
      </c>
      <c r="AI792" t="s">
        <v>2165</v>
      </c>
      <c r="AK792" t="s">
        <v>2164</v>
      </c>
      <c r="AL792">
        <v>14</v>
      </c>
      <c r="AM792" s="5">
        <f t="shared" si="98"/>
        <v>0.4375</v>
      </c>
      <c r="AN792" s="4">
        <f t="shared" si="103"/>
        <v>6.6262779250283988E-4</v>
      </c>
      <c r="AO792" s="3"/>
      <c r="AP792">
        <v>0</v>
      </c>
      <c r="AR792" t="s">
        <v>0</v>
      </c>
      <c r="AT792" s="2">
        <v>1.2490000000000001</v>
      </c>
      <c r="AU792" s="1">
        <f t="shared" si="99"/>
        <v>1.2157892472717884</v>
      </c>
      <c r="AV792" s="1">
        <f t="shared" si="100"/>
        <v>0.88735311355135871</v>
      </c>
      <c r="AW792" s="1">
        <f t="shared" si="101"/>
        <v>0.5589169798309287</v>
      </c>
    </row>
    <row r="793" spans="1:49" x14ac:dyDescent="0.2">
      <c r="A793">
        <v>791</v>
      </c>
      <c r="B793" t="s">
        <v>2163</v>
      </c>
      <c r="C793" t="s">
        <v>2162</v>
      </c>
      <c r="F793" t="s">
        <v>2161</v>
      </c>
      <c r="G793" t="s">
        <v>14</v>
      </c>
      <c r="H793" t="s">
        <v>13</v>
      </c>
      <c r="I793" t="s">
        <v>2160</v>
      </c>
      <c r="J793">
        <v>60033012</v>
      </c>
      <c r="K793" t="s">
        <v>2159</v>
      </c>
      <c r="L793" t="s">
        <v>2158</v>
      </c>
      <c r="M793" t="s">
        <v>197</v>
      </c>
      <c r="N793">
        <v>1</v>
      </c>
      <c r="O793" t="s">
        <v>2157</v>
      </c>
      <c r="P793">
        <v>7202945960</v>
      </c>
      <c r="Q793">
        <v>60033012</v>
      </c>
      <c r="R793" s="7">
        <v>32874</v>
      </c>
      <c r="S793" s="8">
        <f t="shared" si="96"/>
        <v>1990</v>
      </c>
      <c r="T793" s="8">
        <v>1990</v>
      </c>
      <c r="U793" s="8">
        <f t="shared" si="97"/>
        <v>32</v>
      </c>
      <c r="V793" s="7">
        <v>32905</v>
      </c>
      <c r="W793" t="s">
        <v>2156</v>
      </c>
      <c r="X793" s="2">
        <v>0.65500000000000003</v>
      </c>
      <c r="Y793" s="6">
        <f t="shared" si="102"/>
        <v>1.7484850911614749E-2</v>
      </c>
      <c r="AA793">
        <v>189375</v>
      </c>
      <c r="AB793">
        <v>26051</v>
      </c>
      <c r="AC793" t="s">
        <v>2155</v>
      </c>
      <c r="AD793" t="s">
        <v>5</v>
      </c>
      <c r="AE793">
        <v>32</v>
      </c>
      <c r="AF793">
        <v>1</v>
      </c>
      <c r="AH793" t="s">
        <v>2154</v>
      </c>
      <c r="AI793" t="s">
        <v>2153</v>
      </c>
      <c r="AK793" t="s">
        <v>2152</v>
      </c>
      <c r="AL793">
        <v>4</v>
      </c>
      <c r="AM793" s="5">
        <f t="shared" si="98"/>
        <v>0.125</v>
      </c>
      <c r="AN793" s="4">
        <f t="shared" si="103"/>
        <v>1.893222264293828E-4</v>
      </c>
      <c r="AO793" s="3"/>
      <c r="AP793">
        <v>0</v>
      </c>
      <c r="AR793" t="s">
        <v>0</v>
      </c>
      <c r="AT793" s="2" t="s">
        <v>126</v>
      </c>
      <c r="AU793" s="1">
        <f t="shared" si="99"/>
        <v>1.2296192306059137</v>
      </c>
      <c r="AV793" s="1">
        <f t="shared" si="100"/>
        <v>0.88370865690220668</v>
      </c>
      <c r="AW793" s="1">
        <f t="shared" si="101"/>
        <v>0.53779808319849931</v>
      </c>
    </row>
    <row r="794" spans="1:49" x14ac:dyDescent="0.2">
      <c r="A794">
        <v>792</v>
      </c>
      <c r="B794" t="s">
        <v>2151</v>
      </c>
      <c r="C794" t="s">
        <v>2150</v>
      </c>
      <c r="F794" t="s">
        <v>2149</v>
      </c>
      <c r="G794" t="s">
        <v>14</v>
      </c>
      <c r="H794" t="s">
        <v>13</v>
      </c>
      <c r="I794" t="s">
        <v>2148</v>
      </c>
      <c r="J794">
        <v>60002286</v>
      </c>
      <c r="K794" t="s">
        <v>2147</v>
      </c>
      <c r="L794" t="s">
        <v>2146</v>
      </c>
      <c r="M794" t="s">
        <v>223</v>
      </c>
      <c r="N794">
        <v>1</v>
      </c>
      <c r="O794" t="s">
        <v>2145</v>
      </c>
      <c r="P794">
        <v>15034907500</v>
      </c>
      <c r="Q794">
        <v>60002286</v>
      </c>
      <c r="R794" s="7">
        <v>32874</v>
      </c>
      <c r="S794" s="8">
        <f t="shared" si="96"/>
        <v>1990</v>
      </c>
      <c r="T794" s="8">
        <v>1990</v>
      </c>
      <c r="U794" s="8">
        <f t="shared" si="97"/>
        <v>32</v>
      </c>
      <c r="V794" s="7">
        <v>32905</v>
      </c>
      <c r="W794" t="s">
        <v>1152</v>
      </c>
      <c r="X794" s="2">
        <v>0.30399999999999999</v>
      </c>
      <c r="Y794" s="6">
        <f t="shared" si="102"/>
        <v>8.115106377299057E-3</v>
      </c>
      <c r="AA794">
        <v>8952477</v>
      </c>
      <c r="AB794">
        <v>12250</v>
      </c>
      <c r="AC794">
        <v>10982760</v>
      </c>
      <c r="AD794" t="s">
        <v>5</v>
      </c>
      <c r="AE794">
        <v>3</v>
      </c>
      <c r="AF794">
        <v>2</v>
      </c>
      <c r="AH794" t="s">
        <v>2144</v>
      </c>
      <c r="AI794" t="s">
        <v>2143</v>
      </c>
      <c r="AJ794" t="s">
        <v>2142</v>
      </c>
      <c r="AK794" t="s">
        <v>2141</v>
      </c>
      <c r="AL794">
        <v>6</v>
      </c>
      <c r="AM794" s="5">
        <f t="shared" si="98"/>
        <v>0.1875</v>
      </c>
      <c r="AN794" s="4">
        <f t="shared" si="103"/>
        <v>2.8398333964407423E-4</v>
      </c>
      <c r="AO794" s="3"/>
      <c r="AP794">
        <v>0</v>
      </c>
      <c r="AR794" t="s">
        <v>0</v>
      </c>
      <c r="AT794" s="2" t="s">
        <v>126</v>
      </c>
      <c r="AU794" s="1">
        <f t="shared" si="99"/>
        <v>0.57657694660025616</v>
      </c>
      <c r="AV794" s="1">
        <f t="shared" si="100"/>
        <v>0.41995448584715661</v>
      </c>
      <c r="AW794" s="1">
        <f t="shared" si="101"/>
        <v>0.26333202509405695</v>
      </c>
    </row>
    <row r="795" spans="1:49" x14ac:dyDescent="0.2">
      <c r="A795">
        <v>793</v>
      </c>
      <c r="B795" t="s">
        <v>2140</v>
      </c>
      <c r="C795" t="s">
        <v>2139</v>
      </c>
      <c r="F795" t="s">
        <v>2138</v>
      </c>
      <c r="G795" t="s">
        <v>14</v>
      </c>
      <c r="H795" t="s">
        <v>13</v>
      </c>
      <c r="I795" t="s">
        <v>2137</v>
      </c>
      <c r="J795">
        <v>60011357</v>
      </c>
      <c r="K795" t="s">
        <v>2136</v>
      </c>
      <c r="L795" t="s">
        <v>2135</v>
      </c>
      <c r="M795" t="s">
        <v>2134</v>
      </c>
      <c r="N795">
        <v>1</v>
      </c>
      <c r="O795" t="s">
        <v>2133</v>
      </c>
      <c r="P795">
        <v>35460663000</v>
      </c>
      <c r="Q795">
        <v>60011357</v>
      </c>
      <c r="R795" s="7">
        <v>32874</v>
      </c>
      <c r="S795" s="8">
        <f t="shared" si="96"/>
        <v>1990</v>
      </c>
      <c r="T795" s="8">
        <v>1990</v>
      </c>
      <c r="U795" s="8">
        <f t="shared" si="97"/>
        <v>32</v>
      </c>
      <c r="V795" s="7" t="s">
        <v>1793</v>
      </c>
      <c r="W795" s="11" t="s">
        <v>1933</v>
      </c>
      <c r="X795" s="2">
        <v>2.383</v>
      </c>
      <c r="Y795" s="6">
        <f t="shared" si="102"/>
        <v>6.3612824003630442E-2</v>
      </c>
      <c r="AA795" t="s">
        <v>1932</v>
      </c>
      <c r="AB795">
        <v>101151</v>
      </c>
      <c r="AD795" t="s">
        <v>5</v>
      </c>
      <c r="AE795">
        <v>137</v>
      </c>
      <c r="AF795">
        <v>1</v>
      </c>
      <c r="AH795" t="s">
        <v>2132</v>
      </c>
      <c r="AI795" t="s">
        <v>2131</v>
      </c>
      <c r="AK795" t="s">
        <v>2130</v>
      </c>
      <c r="AL795">
        <v>2</v>
      </c>
      <c r="AM795" s="5">
        <f t="shared" si="98"/>
        <v>6.25E-2</v>
      </c>
      <c r="AN795" s="4">
        <f t="shared" si="103"/>
        <v>9.46611132146914E-5</v>
      </c>
      <c r="AO795" s="3"/>
      <c r="AP795">
        <v>0</v>
      </c>
      <c r="AR795" t="s">
        <v>0</v>
      </c>
      <c r="AT795" s="2" t="s">
        <v>126</v>
      </c>
      <c r="AU795" s="1">
        <f t="shared" si="99"/>
        <v>4.4557375136505719</v>
      </c>
      <c r="AV795" s="1">
        <f t="shared" si="100"/>
        <v>3.1853742558422571</v>
      </c>
      <c r="AW795" s="1">
        <f t="shared" si="101"/>
        <v>1.9150109980339416</v>
      </c>
    </row>
    <row r="796" spans="1:49" x14ac:dyDescent="0.2">
      <c r="A796">
        <v>794</v>
      </c>
      <c r="B796" t="s">
        <v>2129</v>
      </c>
      <c r="C796" t="s">
        <v>2128</v>
      </c>
      <c r="F796" t="s">
        <v>2127</v>
      </c>
      <c r="G796" t="s">
        <v>14</v>
      </c>
      <c r="H796" t="s">
        <v>13</v>
      </c>
      <c r="I796" t="s">
        <v>2126</v>
      </c>
      <c r="J796">
        <v>60015815</v>
      </c>
      <c r="K796" t="s">
        <v>2125</v>
      </c>
      <c r="L796" t="s">
        <v>136</v>
      </c>
      <c r="M796" t="s">
        <v>135</v>
      </c>
      <c r="N796">
        <v>2</v>
      </c>
      <c r="O796" t="s">
        <v>2124</v>
      </c>
      <c r="P796" t="s">
        <v>2123</v>
      </c>
      <c r="Q796" t="s">
        <v>2122</v>
      </c>
      <c r="R796" s="7">
        <v>32874</v>
      </c>
      <c r="S796" s="8">
        <f t="shared" si="96"/>
        <v>1990</v>
      </c>
      <c r="T796" s="8">
        <v>1990</v>
      </c>
      <c r="U796" s="8">
        <f t="shared" si="97"/>
        <v>32</v>
      </c>
      <c r="V796" s="7">
        <v>32874</v>
      </c>
      <c r="W796" t="s">
        <v>1380</v>
      </c>
      <c r="X796" s="2">
        <v>0.375</v>
      </c>
      <c r="Y796" s="6">
        <f t="shared" si="102"/>
        <v>1.0010410827260351E-2</v>
      </c>
      <c r="AA796">
        <v>135194</v>
      </c>
      <c r="AB796">
        <v>24918</v>
      </c>
      <c r="AD796" t="s">
        <v>5</v>
      </c>
      <c r="AE796">
        <v>26</v>
      </c>
      <c r="AF796">
        <v>4</v>
      </c>
      <c r="AH796" t="s">
        <v>2121</v>
      </c>
      <c r="AI796" t="s">
        <v>2120</v>
      </c>
      <c r="AJ796" t="s">
        <v>2119</v>
      </c>
      <c r="AK796" t="s">
        <v>2118</v>
      </c>
      <c r="AL796">
        <v>1</v>
      </c>
      <c r="AM796" s="5">
        <f t="shared" si="98"/>
        <v>3.125E-2</v>
      </c>
      <c r="AN796" s="4">
        <f t="shared" si="103"/>
        <v>4.73305566073457E-5</v>
      </c>
      <c r="AO796" s="3"/>
      <c r="AP796">
        <v>0</v>
      </c>
      <c r="AR796" t="s">
        <v>0</v>
      </c>
      <c r="AT796" s="2">
        <v>1.3140000000000001</v>
      </c>
      <c r="AU796" s="1">
        <f t="shared" si="99"/>
        <v>0.70214867460644492</v>
      </c>
      <c r="AV796" s="1">
        <f t="shared" si="100"/>
        <v>0.50288706919338488</v>
      </c>
      <c r="AW796" s="1">
        <f t="shared" si="101"/>
        <v>0.30362546378032473</v>
      </c>
    </row>
    <row r="797" spans="1:49" x14ac:dyDescent="0.2">
      <c r="A797">
        <v>795</v>
      </c>
      <c r="B797" t="s">
        <v>2117</v>
      </c>
      <c r="C797" t="s">
        <v>2116</v>
      </c>
      <c r="F797" t="s">
        <v>2115</v>
      </c>
      <c r="G797" t="s">
        <v>14</v>
      </c>
      <c r="H797" t="s">
        <v>13</v>
      </c>
      <c r="I797" t="s">
        <v>2114</v>
      </c>
      <c r="J797">
        <v>60032730</v>
      </c>
      <c r="K797" t="s">
        <v>2113</v>
      </c>
      <c r="L797" t="s">
        <v>358</v>
      </c>
      <c r="M797" t="s">
        <v>357</v>
      </c>
      <c r="N797">
        <v>3</v>
      </c>
      <c r="O797" t="s">
        <v>2112</v>
      </c>
      <c r="P797" t="s">
        <v>2111</v>
      </c>
      <c r="Q797" t="s">
        <v>2110</v>
      </c>
      <c r="R797" s="7">
        <v>32874</v>
      </c>
      <c r="S797" s="8">
        <f t="shared" si="96"/>
        <v>1990</v>
      </c>
      <c r="T797" s="8">
        <v>1990</v>
      </c>
      <c r="U797" s="8">
        <f t="shared" si="97"/>
        <v>32</v>
      </c>
      <c r="V797" s="7">
        <v>32905</v>
      </c>
      <c r="W797" t="s">
        <v>2109</v>
      </c>
      <c r="X797" s="2">
        <v>0.46</v>
      </c>
      <c r="Y797" s="6">
        <f t="shared" si="102"/>
        <v>1.2279437281439364E-2</v>
      </c>
      <c r="AA797">
        <v>933813</v>
      </c>
      <c r="AB797">
        <v>28031</v>
      </c>
      <c r="AC797">
        <v>19399375</v>
      </c>
      <c r="AD797" t="s">
        <v>5</v>
      </c>
      <c r="AE797">
        <v>18</v>
      </c>
      <c r="AF797">
        <v>1</v>
      </c>
      <c r="AH797" t="s">
        <v>2108</v>
      </c>
      <c r="AI797" t="s">
        <v>2107</v>
      </c>
      <c r="AK797" t="s">
        <v>2106</v>
      </c>
      <c r="AL797">
        <v>20</v>
      </c>
      <c r="AM797" s="5">
        <f t="shared" si="98"/>
        <v>0.625</v>
      </c>
      <c r="AN797" s="4">
        <f t="shared" si="103"/>
        <v>9.4661113214691405E-4</v>
      </c>
      <c r="AO797" s="3"/>
      <c r="AP797">
        <v>0</v>
      </c>
      <c r="AQ797" t="s">
        <v>2105</v>
      </c>
      <c r="AR797" t="s">
        <v>0</v>
      </c>
      <c r="AS797" t="s">
        <v>2104</v>
      </c>
      <c r="AT797" s="2">
        <v>1.222</v>
      </c>
      <c r="AU797" s="1">
        <f t="shared" si="99"/>
        <v>0.88795894366516281</v>
      </c>
      <c r="AV797" s="1">
        <f t="shared" si="100"/>
        <v>0.66130242067931388</v>
      </c>
      <c r="AW797" s="1">
        <f t="shared" si="101"/>
        <v>0.43464589769346484</v>
      </c>
    </row>
    <row r="798" spans="1:49" x14ac:dyDescent="0.2">
      <c r="A798">
        <v>796</v>
      </c>
      <c r="B798" t="s">
        <v>2103</v>
      </c>
      <c r="C798" t="s">
        <v>2102</v>
      </c>
      <c r="F798" t="s">
        <v>2101</v>
      </c>
      <c r="G798" t="s">
        <v>14</v>
      </c>
      <c r="H798" t="s">
        <v>13</v>
      </c>
      <c r="I798" t="s">
        <v>2100</v>
      </c>
      <c r="J798">
        <v>60020650</v>
      </c>
      <c r="K798" t="s">
        <v>2099</v>
      </c>
      <c r="L798" t="s">
        <v>2098</v>
      </c>
      <c r="M798" t="s">
        <v>253</v>
      </c>
      <c r="N798">
        <v>4</v>
      </c>
      <c r="O798" t="s">
        <v>2097</v>
      </c>
      <c r="P798" t="s">
        <v>2096</v>
      </c>
      <c r="Q798" t="s">
        <v>2095</v>
      </c>
      <c r="R798" s="7">
        <v>32874</v>
      </c>
      <c r="S798" s="8">
        <f t="shared" si="96"/>
        <v>1990</v>
      </c>
      <c r="T798" s="8">
        <v>1990</v>
      </c>
      <c r="U798" s="8">
        <f t="shared" si="97"/>
        <v>32</v>
      </c>
      <c r="V798" s="7">
        <v>32905</v>
      </c>
      <c r="W798" t="s">
        <v>1883</v>
      </c>
      <c r="X798" s="2">
        <v>1.365</v>
      </c>
      <c r="Y798" s="6">
        <f t="shared" si="102"/>
        <v>3.6437895411227675E-2</v>
      </c>
      <c r="AA798">
        <v>189545</v>
      </c>
      <c r="AB798">
        <v>17393</v>
      </c>
      <c r="AC798">
        <v>19399359</v>
      </c>
      <c r="AD798" t="s">
        <v>5</v>
      </c>
      <c r="AE798">
        <v>39</v>
      </c>
      <c r="AF798">
        <v>1</v>
      </c>
      <c r="AH798" t="s">
        <v>2094</v>
      </c>
      <c r="AI798" t="s">
        <v>2093</v>
      </c>
      <c r="AK798" t="s">
        <v>2092</v>
      </c>
      <c r="AL798">
        <v>251</v>
      </c>
      <c r="AM798" s="5">
        <f t="shared" si="98"/>
        <v>7.84375</v>
      </c>
      <c r="AN798" s="4">
        <f t="shared" si="103"/>
        <v>1.1879969708443771E-2</v>
      </c>
      <c r="AO798" s="3"/>
      <c r="AP798">
        <v>0</v>
      </c>
      <c r="AQ798" t="s">
        <v>571</v>
      </c>
      <c r="AR798" t="s">
        <v>0</v>
      </c>
      <c r="AS798" t="s">
        <v>2091</v>
      </c>
      <c r="AT798" s="2" t="s">
        <v>126</v>
      </c>
      <c r="AU798" s="1">
        <f t="shared" si="99"/>
        <v>2.9070517700392502</v>
      </c>
      <c r="AV798" s="1">
        <f t="shared" si="100"/>
        <v>2.4158932559835722</v>
      </c>
      <c r="AW798" s="1">
        <f t="shared" si="101"/>
        <v>1.9247347419278942</v>
      </c>
    </row>
    <row r="799" spans="1:49" x14ac:dyDescent="0.2">
      <c r="A799">
        <v>797</v>
      </c>
      <c r="B799" t="s">
        <v>2090</v>
      </c>
      <c r="C799" t="s">
        <v>2089</v>
      </c>
      <c r="F799" t="s">
        <v>2088</v>
      </c>
      <c r="G799" t="s">
        <v>14</v>
      </c>
      <c r="H799" t="s">
        <v>13</v>
      </c>
      <c r="I799" t="s">
        <v>2087</v>
      </c>
      <c r="J799">
        <v>60033154</v>
      </c>
      <c r="K799" t="s">
        <v>2086</v>
      </c>
      <c r="L799" t="s">
        <v>2085</v>
      </c>
      <c r="M799" t="s">
        <v>1937</v>
      </c>
      <c r="N799">
        <v>1</v>
      </c>
      <c r="O799" t="s">
        <v>2084</v>
      </c>
      <c r="P799">
        <v>7006097946</v>
      </c>
      <c r="Q799">
        <v>60033154</v>
      </c>
      <c r="R799" s="7">
        <v>32874</v>
      </c>
      <c r="S799" s="8">
        <f t="shared" si="96"/>
        <v>1990</v>
      </c>
      <c r="T799" s="8">
        <v>1990</v>
      </c>
      <c r="U799" s="8">
        <f t="shared" si="97"/>
        <v>32</v>
      </c>
      <c r="V799" s="7">
        <v>32905</v>
      </c>
      <c r="W799" t="s">
        <v>1909</v>
      </c>
      <c r="X799" s="2">
        <v>0.91600000000000004</v>
      </c>
      <c r="Y799" s="6">
        <f t="shared" si="102"/>
        <v>2.4452096847387951E-2</v>
      </c>
      <c r="AA799">
        <v>189359</v>
      </c>
      <c r="AB799">
        <v>17344</v>
      </c>
      <c r="AC799">
        <v>15579638</v>
      </c>
      <c r="AD799" t="s">
        <v>5</v>
      </c>
      <c r="AE799">
        <v>33</v>
      </c>
      <c r="AF799">
        <v>1</v>
      </c>
      <c r="AH799" t="s">
        <v>2083</v>
      </c>
      <c r="AI799" t="s">
        <v>2082</v>
      </c>
      <c r="AK799" t="s">
        <v>2081</v>
      </c>
      <c r="AL799">
        <v>10</v>
      </c>
      <c r="AM799" s="5">
        <f t="shared" si="98"/>
        <v>0.3125</v>
      </c>
      <c r="AN799" s="4">
        <f t="shared" si="103"/>
        <v>4.7330556607345703E-4</v>
      </c>
      <c r="AO799" s="3"/>
      <c r="AP799">
        <v>0</v>
      </c>
      <c r="AR799" t="s">
        <v>0</v>
      </c>
      <c r="AT799" s="2">
        <v>2.1160000000000001</v>
      </c>
      <c r="AU799" s="1">
        <f t="shared" si="99"/>
        <v>1.7258459462993598</v>
      </c>
      <c r="AV799" s="1">
        <f t="shared" si="100"/>
        <v>1.2462701206730704</v>
      </c>
      <c r="AW799" s="1">
        <f t="shared" si="101"/>
        <v>0.76669429504678044</v>
      </c>
    </row>
    <row r="800" spans="1:49" x14ac:dyDescent="0.2">
      <c r="A800">
        <v>798</v>
      </c>
      <c r="B800" t="s">
        <v>2080</v>
      </c>
      <c r="C800" t="s">
        <v>2079</v>
      </c>
      <c r="F800" t="s">
        <v>2078</v>
      </c>
      <c r="G800" t="s">
        <v>14</v>
      </c>
      <c r="H800" t="s">
        <v>13</v>
      </c>
      <c r="I800" t="s">
        <v>1316</v>
      </c>
      <c r="J800" t="s">
        <v>1315</v>
      </c>
      <c r="K800" t="s">
        <v>1314</v>
      </c>
      <c r="L800" t="s">
        <v>1313</v>
      </c>
      <c r="M800" t="s">
        <v>84</v>
      </c>
      <c r="N800">
        <v>3</v>
      </c>
      <c r="O800" t="s">
        <v>1312</v>
      </c>
      <c r="P800" t="s">
        <v>1311</v>
      </c>
      <c r="Q800" t="s">
        <v>1310</v>
      </c>
      <c r="R800" s="7">
        <v>32874</v>
      </c>
      <c r="S800" s="8">
        <f t="shared" si="96"/>
        <v>1990</v>
      </c>
      <c r="T800" s="8">
        <v>1990</v>
      </c>
      <c r="U800" s="8">
        <f t="shared" si="97"/>
        <v>32</v>
      </c>
      <c r="V800" s="7">
        <v>32905</v>
      </c>
      <c r="W800" t="s">
        <v>1309</v>
      </c>
      <c r="X800" s="2">
        <v>1.3720000000000001</v>
      </c>
      <c r="Y800" s="6">
        <f t="shared" si="102"/>
        <v>3.662475641333654E-2</v>
      </c>
      <c r="AA800">
        <v>189480</v>
      </c>
      <c r="AB800">
        <v>17366</v>
      </c>
      <c r="AC800">
        <v>15579670</v>
      </c>
      <c r="AD800" t="s">
        <v>5</v>
      </c>
      <c r="AE800">
        <v>38</v>
      </c>
      <c r="AF800">
        <v>2</v>
      </c>
      <c r="AH800" t="s">
        <v>2077</v>
      </c>
      <c r="AI800" t="s">
        <v>2076</v>
      </c>
      <c r="AK800" t="s">
        <v>2075</v>
      </c>
      <c r="AL800">
        <v>12</v>
      </c>
      <c r="AM800" s="5">
        <f t="shared" si="98"/>
        <v>0.375</v>
      </c>
      <c r="AN800" s="4">
        <f t="shared" si="103"/>
        <v>5.6796667928814845E-4</v>
      </c>
      <c r="AO800" s="3"/>
      <c r="AP800">
        <v>0</v>
      </c>
      <c r="AR800" t="s">
        <v>0</v>
      </c>
      <c r="AT800" s="2" t="s">
        <v>126</v>
      </c>
      <c r="AU800" s="1">
        <f t="shared" si="99"/>
        <v>2.5807719493122017</v>
      </c>
      <c r="AV800" s="1">
        <f t="shared" si="100"/>
        <v>1.8596361546312346</v>
      </c>
      <c r="AW800" s="1">
        <f t="shared" si="101"/>
        <v>1.1385003599502665</v>
      </c>
    </row>
    <row r="801" spans="1:49" x14ac:dyDescent="0.2">
      <c r="A801">
        <v>799</v>
      </c>
      <c r="B801" t="s">
        <v>2074</v>
      </c>
      <c r="C801" t="s">
        <v>2073</v>
      </c>
      <c r="F801" t="s">
        <v>2072</v>
      </c>
      <c r="G801" t="s">
        <v>14</v>
      </c>
      <c r="H801" t="s">
        <v>13</v>
      </c>
      <c r="I801" t="s">
        <v>2071</v>
      </c>
      <c r="J801">
        <v>60103653</v>
      </c>
      <c r="K801" t="s">
        <v>2070</v>
      </c>
      <c r="L801" t="s">
        <v>2069</v>
      </c>
      <c r="M801" t="s">
        <v>2068</v>
      </c>
      <c r="N801">
        <v>3</v>
      </c>
      <c r="O801" t="s">
        <v>2067</v>
      </c>
      <c r="P801" t="s">
        <v>2066</v>
      </c>
      <c r="Q801" t="s">
        <v>2065</v>
      </c>
      <c r="R801" s="7">
        <v>32874</v>
      </c>
      <c r="S801" s="8">
        <f t="shared" si="96"/>
        <v>1990</v>
      </c>
      <c r="T801" s="8">
        <v>1990</v>
      </c>
      <c r="U801" s="8">
        <f t="shared" si="97"/>
        <v>32</v>
      </c>
      <c r="V801" s="7">
        <v>32905</v>
      </c>
      <c r="W801" t="s">
        <v>1152</v>
      </c>
      <c r="X801" s="2">
        <v>0.30399999999999999</v>
      </c>
      <c r="Y801" s="6">
        <f t="shared" si="102"/>
        <v>8.115106377299057E-3</v>
      </c>
      <c r="AA801">
        <v>8952477</v>
      </c>
      <c r="AB801">
        <v>12250</v>
      </c>
      <c r="AC801">
        <v>10982760</v>
      </c>
      <c r="AD801" t="s">
        <v>5</v>
      </c>
      <c r="AE801">
        <v>3</v>
      </c>
      <c r="AF801">
        <v>2</v>
      </c>
      <c r="AH801" t="s">
        <v>2064</v>
      </c>
      <c r="AI801" t="s">
        <v>2063</v>
      </c>
      <c r="AJ801" t="s">
        <v>2062</v>
      </c>
      <c r="AK801" t="s">
        <v>2061</v>
      </c>
      <c r="AL801">
        <v>6</v>
      </c>
      <c r="AM801" s="5">
        <f t="shared" si="98"/>
        <v>0.1875</v>
      </c>
      <c r="AN801" s="4">
        <f t="shared" si="103"/>
        <v>2.8398333964407423E-4</v>
      </c>
      <c r="AO801" s="3"/>
      <c r="AP801">
        <v>0</v>
      </c>
      <c r="AR801" t="s">
        <v>0</v>
      </c>
      <c r="AT801" s="2" t="s">
        <v>126</v>
      </c>
      <c r="AU801" s="1">
        <f t="shared" si="99"/>
        <v>0.57657694660025616</v>
      </c>
      <c r="AV801" s="1">
        <f t="shared" si="100"/>
        <v>0.41995448584715661</v>
      </c>
      <c r="AW801" s="1">
        <f t="shared" si="101"/>
        <v>0.26333202509405695</v>
      </c>
    </row>
    <row r="802" spans="1:49" x14ac:dyDescent="0.2">
      <c r="A802">
        <v>800</v>
      </c>
      <c r="B802" t="s">
        <v>2060</v>
      </c>
      <c r="C802" t="s">
        <v>2059</v>
      </c>
      <c r="F802" t="s">
        <v>2058</v>
      </c>
      <c r="G802" t="s">
        <v>14</v>
      </c>
      <c r="H802" t="s">
        <v>13</v>
      </c>
      <c r="I802" t="s">
        <v>2057</v>
      </c>
      <c r="J802">
        <v>60072791</v>
      </c>
      <c r="K802" t="s">
        <v>2056</v>
      </c>
      <c r="L802" t="s">
        <v>2055</v>
      </c>
      <c r="M802" t="s">
        <v>2054</v>
      </c>
      <c r="N802">
        <v>1</v>
      </c>
      <c r="O802" t="s">
        <v>2053</v>
      </c>
      <c r="P802">
        <v>35936069800</v>
      </c>
      <c r="Q802">
        <v>60072791</v>
      </c>
      <c r="R802" s="7">
        <v>32874</v>
      </c>
      <c r="S802" s="8">
        <f t="shared" si="96"/>
        <v>1990</v>
      </c>
      <c r="T802" s="8">
        <v>1990</v>
      </c>
      <c r="U802" s="8">
        <f t="shared" si="97"/>
        <v>32</v>
      </c>
      <c r="V802" s="7">
        <v>32905</v>
      </c>
      <c r="W802" t="s">
        <v>38</v>
      </c>
      <c r="X802" s="2">
        <v>0.251</v>
      </c>
      <c r="Y802" s="6">
        <f t="shared" si="102"/>
        <v>6.7003016470462617E-3</v>
      </c>
      <c r="AA802">
        <v>207217</v>
      </c>
      <c r="AB802">
        <v>26145</v>
      </c>
      <c r="AC802">
        <v>13623060</v>
      </c>
      <c r="AD802" t="s">
        <v>5</v>
      </c>
      <c r="AE802">
        <v>68</v>
      </c>
      <c r="AF802">
        <v>2</v>
      </c>
      <c r="AH802" t="s">
        <v>2052</v>
      </c>
      <c r="AI802" t="s">
        <v>2051</v>
      </c>
      <c r="AK802" t="s">
        <v>2050</v>
      </c>
      <c r="AL802">
        <v>2</v>
      </c>
      <c r="AM802" s="5">
        <f t="shared" si="98"/>
        <v>6.25E-2</v>
      </c>
      <c r="AN802" s="4">
        <f t="shared" si="103"/>
        <v>9.46611132146914E-5</v>
      </c>
      <c r="AO802" s="3"/>
      <c r="AP802">
        <v>0</v>
      </c>
      <c r="AR802" t="s">
        <v>0</v>
      </c>
      <c r="AT802" s="2">
        <v>1.3360000000000001</v>
      </c>
      <c r="AU802" s="1">
        <f t="shared" si="99"/>
        <v>0.47186094868967898</v>
      </c>
      <c r="AV802" s="1">
        <f t="shared" si="100"/>
        <v>0.33974813801304765</v>
      </c>
      <c r="AW802" s="1">
        <f t="shared" si="101"/>
        <v>0.20763532733641624</v>
      </c>
    </row>
    <row r="803" spans="1:49" x14ac:dyDescent="0.2">
      <c r="A803">
        <v>801</v>
      </c>
      <c r="B803" t="s">
        <v>2049</v>
      </c>
      <c r="C803" t="s">
        <v>2048</v>
      </c>
      <c r="F803" t="s">
        <v>2047</v>
      </c>
      <c r="G803" t="s">
        <v>14</v>
      </c>
      <c r="H803" t="s">
        <v>13</v>
      </c>
      <c r="I803" t="s">
        <v>2046</v>
      </c>
      <c r="J803">
        <v>122843045</v>
      </c>
      <c r="K803" t="s">
        <v>2045</v>
      </c>
      <c r="L803" t="s">
        <v>2044</v>
      </c>
      <c r="M803" t="s">
        <v>1872</v>
      </c>
      <c r="N803">
        <v>2</v>
      </c>
      <c r="O803" t="s">
        <v>2043</v>
      </c>
      <c r="P803" t="s">
        <v>2042</v>
      </c>
      <c r="Q803" t="s">
        <v>2041</v>
      </c>
      <c r="R803" s="7">
        <v>32874</v>
      </c>
      <c r="S803" s="8">
        <f t="shared" si="96"/>
        <v>1990</v>
      </c>
      <c r="T803" s="8">
        <v>1990</v>
      </c>
      <c r="U803" s="8">
        <f t="shared" si="97"/>
        <v>32</v>
      </c>
      <c r="V803" s="7">
        <v>33208</v>
      </c>
      <c r="W803" t="s">
        <v>1380</v>
      </c>
      <c r="X803" s="2">
        <v>0.375</v>
      </c>
      <c r="Y803" s="6">
        <f t="shared" si="102"/>
        <v>1.0010410827260351E-2</v>
      </c>
      <c r="AA803">
        <v>135194</v>
      </c>
      <c r="AB803">
        <v>24918</v>
      </c>
      <c r="AD803" t="s">
        <v>5</v>
      </c>
      <c r="AE803">
        <v>26</v>
      </c>
      <c r="AF803">
        <v>4</v>
      </c>
      <c r="AH803" t="s">
        <v>2040</v>
      </c>
      <c r="AI803" t="s">
        <v>2039</v>
      </c>
      <c r="AJ803" t="s">
        <v>2038</v>
      </c>
      <c r="AK803" t="s">
        <v>2037</v>
      </c>
      <c r="AL803">
        <v>1</v>
      </c>
      <c r="AM803" s="5">
        <f t="shared" si="98"/>
        <v>3.125E-2</v>
      </c>
      <c r="AN803" s="4">
        <f t="shared" si="103"/>
        <v>4.73305566073457E-5</v>
      </c>
      <c r="AO803" s="3"/>
      <c r="AP803">
        <v>0</v>
      </c>
      <c r="AR803" t="s">
        <v>0</v>
      </c>
      <c r="AT803" s="2">
        <v>1.3140000000000001</v>
      </c>
      <c r="AU803" s="1">
        <f t="shared" si="99"/>
        <v>0.70214867460644492</v>
      </c>
      <c r="AV803" s="1">
        <f t="shared" si="100"/>
        <v>0.50288706919338488</v>
      </c>
      <c r="AW803" s="1">
        <f t="shared" si="101"/>
        <v>0.30362546378032473</v>
      </c>
    </row>
    <row r="804" spans="1:49" x14ac:dyDescent="0.2">
      <c r="A804">
        <v>802</v>
      </c>
      <c r="B804" t="s">
        <v>2036</v>
      </c>
      <c r="C804" t="s">
        <v>2035</v>
      </c>
      <c r="F804" t="s">
        <v>2034</v>
      </c>
      <c r="G804" t="s">
        <v>14</v>
      </c>
      <c r="H804" t="s">
        <v>13</v>
      </c>
      <c r="I804" t="s">
        <v>2033</v>
      </c>
      <c r="J804">
        <v>60015457</v>
      </c>
      <c r="K804" t="s">
        <v>1581</v>
      </c>
      <c r="L804" t="s">
        <v>2032</v>
      </c>
      <c r="M804" t="s">
        <v>197</v>
      </c>
      <c r="N804">
        <v>3</v>
      </c>
      <c r="O804" t="s">
        <v>2031</v>
      </c>
      <c r="P804" t="s">
        <v>2030</v>
      </c>
      <c r="Q804" t="s">
        <v>2029</v>
      </c>
      <c r="R804" s="7">
        <v>32874</v>
      </c>
      <c r="S804" s="8">
        <f t="shared" si="96"/>
        <v>1990</v>
      </c>
      <c r="T804" s="8">
        <v>1990</v>
      </c>
      <c r="U804" s="8">
        <f t="shared" si="97"/>
        <v>32</v>
      </c>
      <c r="V804" s="7">
        <v>32905</v>
      </c>
      <c r="W804" t="s">
        <v>1918</v>
      </c>
      <c r="X804" s="2">
        <v>0.82</v>
      </c>
      <c r="Y804" s="6">
        <f t="shared" si="102"/>
        <v>2.1889431675609299E-2</v>
      </c>
      <c r="AA804">
        <v>189456</v>
      </c>
      <c r="AB804">
        <v>15361</v>
      </c>
      <c r="AC804">
        <v>15579662</v>
      </c>
      <c r="AD804" t="s">
        <v>5</v>
      </c>
      <c r="AE804">
        <v>39</v>
      </c>
      <c r="AF804">
        <v>1</v>
      </c>
      <c r="AH804" t="s">
        <v>2028</v>
      </c>
      <c r="AI804" t="s">
        <v>2027</v>
      </c>
      <c r="AK804" t="s">
        <v>2026</v>
      </c>
      <c r="AL804">
        <v>7</v>
      </c>
      <c r="AM804" s="5">
        <f t="shared" si="98"/>
        <v>0.21875</v>
      </c>
      <c r="AN804" s="4">
        <f t="shared" si="103"/>
        <v>3.3131389625141994E-4</v>
      </c>
      <c r="AO804" s="3"/>
      <c r="AP804">
        <v>0</v>
      </c>
      <c r="AR804" t="s">
        <v>0</v>
      </c>
      <c r="AT804" s="2" t="s">
        <v>126</v>
      </c>
      <c r="AU804" s="1">
        <f t="shared" si="99"/>
        <v>1.5421996341801933</v>
      </c>
      <c r="AV804" s="1">
        <f t="shared" si="100"/>
        <v>1.111037278593036</v>
      </c>
      <c r="AW804" s="1">
        <f t="shared" si="101"/>
        <v>0.67987492300587837</v>
      </c>
    </row>
    <row r="805" spans="1:49" x14ac:dyDescent="0.2">
      <c r="A805">
        <v>803</v>
      </c>
      <c r="B805" t="s">
        <v>2025</v>
      </c>
      <c r="C805" t="s">
        <v>2024</v>
      </c>
      <c r="F805" t="s">
        <v>2023</v>
      </c>
      <c r="G805" t="s">
        <v>14</v>
      </c>
      <c r="H805" t="s">
        <v>13</v>
      </c>
      <c r="I805" t="s">
        <v>2022</v>
      </c>
      <c r="J805">
        <v>60011604</v>
      </c>
      <c r="K805" t="s">
        <v>2021</v>
      </c>
      <c r="L805" t="s">
        <v>2020</v>
      </c>
      <c r="M805" t="s">
        <v>135</v>
      </c>
      <c r="N805">
        <v>1</v>
      </c>
      <c r="O805" t="s">
        <v>2019</v>
      </c>
      <c r="P805">
        <v>7003780679</v>
      </c>
      <c r="Q805">
        <v>60011604</v>
      </c>
      <c r="R805" s="7">
        <v>32874</v>
      </c>
      <c r="S805" s="8">
        <f t="shared" si="96"/>
        <v>1990</v>
      </c>
      <c r="T805" s="8">
        <v>1990</v>
      </c>
      <c r="U805" s="8">
        <f t="shared" si="97"/>
        <v>32</v>
      </c>
      <c r="V805" s="7" t="s">
        <v>1793</v>
      </c>
      <c r="W805" s="11" t="s">
        <v>1933</v>
      </c>
      <c r="X805" s="2">
        <v>2.383</v>
      </c>
      <c r="Y805" s="6">
        <f t="shared" si="102"/>
        <v>6.3612824003630442E-2</v>
      </c>
      <c r="AA805" t="s">
        <v>1932</v>
      </c>
      <c r="AB805">
        <v>101151</v>
      </c>
      <c r="AD805" t="s">
        <v>5</v>
      </c>
      <c r="AE805">
        <v>137</v>
      </c>
      <c r="AF805">
        <v>1</v>
      </c>
      <c r="AH805" t="s">
        <v>2018</v>
      </c>
      <c r="AI805" t="s">
        <v>2017</v>
      </c>
      <c r="AK805" t="s">
        <v>2016</v>
      </c>
      <c r="AL805">
        <v>5</v>
      </c>
      <c r="AM805" s="5">
        <f t="shared" si="98"/>
        <v>0.15625</v>
      </c>
      <c r="AN805" s="4">
        <f t="shared" si="103"/>
        <v>2.3665278303672851E-4</v>
      </c>
      <c r="AO805" s="3"/>
      <c r="AP805">
        <v>0</v>
      </c>
      <c r="AR805" t="s">
        <v>0</v>
      </c>
      <c r="AT805" s="2" t="s">
        <v>126</v>
      </c>
      <c r="AU805" s="1">
        <f t="shared" si="99"/>
        <v>4.4599972637452332</v>
      </c>
      <c r="AV805" s="1">
        <f t="shared" si="100"/>
        <v>3.192473839333358</v>
      </c>
      <c r="AW805" s="1">
        <f t="shared" si="101"/>
        <v>1.9249504149214842</v>
      </c>
    </row>
    <row r="806" spans="1:49" x14ac:dyDescent="0.2">
      <c r="A806">
        <v>804</v>
      </c>
      <c r="B806" t="s">
        <v>2015</v>
      </c>
      <c r="C806" t="s">
        <v>2014</v>
      </c>
      <c r="F806" t="s">
        <v>2013</v>
      </c>
      <c r="G806" t="s">
        <v>14</v>
      </c>
      <c r="H806" t="s">
        <v>13</v>
      </c>
      <c r="I806" t="s">
        <v>2012</v>
      </c>
      <c r="J806">
        <v>60033125</v>
      </c>
      <c r="K806" t="s">
        <v>2011</v>
      </c>
      <c r="L806" t="s">
        <v>2010</v>
      </c>
      <c r="M806" t="s">
        <v>253</v>
      </c>
      <c r="N806">
        <v>3</v>
      </c>
      <c r="O806" t="s">
        <v>2009</v>
      </c>
      <c r="P806" t="s">
        <v>2008</v>
      </c>
      <c r="Q806" t="s">
        <v>2007</v>
      </c>
      <c r="R806" s="7">
        <v>32874</v>
      </c>
      <c r="S806" s="8">
        <f t="shared" si="96"/>
        <v>1990</v>
      </c>
      <c r="T806" s="8">
        <v>1990</v>
      </c>
      <c r="U806" s="8">
        <f t="shared" si="97"/>
        <v>32</v>
      </c>
      <c r="V806" s="7" t="s">
        <v>1793</v>
      </c>
      <c r="W806" s="11" t="s">
        <v>1933</v>
      </c>
      <c r="X806" s="2">
        <v>2.383</v>
      </c>
      <c r="Y806" s="6">
        <f t="shared" si="102"/>
        <v>6.3612824003630442E-2</v>
      </c>
      <c r="AA806" t="s">
        <v>1932</v>
      </c>
      <c r="AB806">
        <v>101151</v>
      </c>
      <c r="AD806" t="s">
        <v>5</v>
      </c>
      <c r="AE806">
        <v>137</v>
      </c>
      <c r="AF806">
        <v>1</v>
      </c>
      <c r="AH806" t="s">
        <v>2006</v>
      </c>
      <c r="AI806" t="s">
        <v>2005</v>
      </c>
      <c r="AK806" t="s">
        <v>2004</v>
      </c>
      <c r="AL806">
        <v>3</v>
      </c>
      <c r="AM806" s="5">
        <f t="shared" si="98"/>
        <v>9.375E-2</v>
      </c>
      <c r="AN806" s="4">
        <f t="shared" si="103"/>
        <v>1.4199166982203711E-4</v>
      </c>
      <c r="AO806" s="3"/>
      <c r="AP806">
        <v>0</v>
      </c>
      <c r="AR806" t="s">
        <v>0</v>
      </c>
      <c r="AT806" s="2" t="s">
        <v>126</v>
      </c>
      <c r="AU806" s="1">
        <f t="shared" si="99"/>
        <v>4.4571574303487917</v>
      </c>
      <c r="AV806" s="1">
        <f t="shared" si="100"/>
        <v>3.1877407836726239</v>
      </c>
      <c r="AW806" s="1">
        <f t="shared" si="101"/>
        <v>1.9183241369964559</v>
      </c>
    </row>
    <row r="807" spans="1:49" x14ac:dyDescent="0.2">
      <c r="A807">
        <v>805</v>
      </c>
      <c r="B807" t="s">
        <v>2003</v>
      </c>
      <c r="C807" t="s">
        <v>2002</v>
      </c>
      <c r="F807" t="s">
        <v>2001</v>
      </c>
      <c r="G807" t="s">
        <v>14</v>
      </c>
      <c r="H807" t="s">
        <v>13</v>
      </c>
      <c r="I807" t="s">
        <v>2000</v>
      </c>
      <c r="J807">
        <v>100631478</v>
      </c>
      <c r="K807" t="s">
        <v>1999</v>
      </c>
      <c r="M807" t="s">
        <v>253</v>
      </c>
      <c r="N807">
        <v>2</v>
      </c>
      <c r="O807" t="s">
        <v>1998</v>
      </c>
      <c r="P807" t="s">
        <v>1997</v>
      </c>
      <c r="Q807" t="s">
        <v>1996</v>
      </c>
      <c r="R807" s="7">
        <v>32874</v>
      </c>
      <c r="S807" s="8">
        <f t="shared" si="96"/>
        <v>1990</v>
      </c>
      <c r="T807" s="8">
        <v>1990</v>
      </c>
      <c r="U807" s="8">
        <f t="shared" si="97"/>
        <v>32</v>
      </c>
      <c r="V807" s="7" t="s">
        <v>1793</v>
      </c>
      <c r="W807" s="11" t="s">
        <v>1933</v>
      </c>
      <c r="X807" s="2">
        <v>2.383</v>
      </c>
      <c r="Y807" s="6">
        <f t="shared" si="102"/>
        <v>6.3612824003630442E-2</v>
      </c>
      <c r="AA807" t="s">
        <v>1932</v>
      </c>
      <c r="AB807">
        <v>101151</v>
      </c>
      <c r="AD807" t="s">
        <v>5</v>
      </c>
      <c r="AE807">
        <v>137</v>
      </c>
      <c r="AF807">
        <v>1</v>
      </c>
      <c r="AH807" s="10">
        <v>43040</v>
      </c>
      <c r="AI807" t="s">
        <v>1995</v>
      </c>
      <c r="AK807" t="s">
        <v>1994</v>
      </c>
      <c r="AL807">
        <v>2</v>
      </c>
      <c r="AM807" s="5">
        <f t="shared" si="98"/>
        <v>6.25E-2</v>
      </c>
      <c r="AN807" s="4">
        <f t="shared" si="103"/>
        <v>9.46611132146914E-5</v>
      </c>
      <c r="AO807" s="3"/>
      <c r="AP807">
        <v>0</v>
      </c>
      <c r="AR807" t="s">
        <v>0</v>
      </c>
      <c r="AT807" s="2" t="s">
        <v>126</v>
      </c>
      <c r="AU807" s="1">
        <f t="shared" si="99"/>
        <v>4.4557375136505719</v>
      </c>
      <c r="AV807" s="1">
        <f t="shared" si="100"/>
        <v>3.1853742558422571</v>
      </c>
      <c r="AW807" s="1">
        <f t="shared" si="101"/>
        <v>1.9150109980339416</v>
      </c>
    </row>
    <row r="808" spans="1:49" x14ac:dyDescent="0.2">
      <c r="A808">
        <v>806</v>
      </c>
      <c r="B808" t="s">
        <v>1993</v>
      </c>
      <c r="C808" t="s">
        <v>1992</v>
      </c>
      <c r="F808" t="s">
        <v>1991</v>
      </c>
      <c r="G808" t="s">
        <v>14</v>
      </c>
      <c r="H808" t="s">
        <v>13</v>
      </c>
      <c r="I808" t="s">
        <v>1990</v>
      </c>
      <c r="J808" t="s">
        <v>1989</v>
      </c>
      <c r="K808" t="s">
        <v>1988</v>
      </c>
      <c r="L808" t="s">
        <v>1987</v>
      </c>
      <c r="M808" t="s">
        <v>1986</v>
      </c>
      <c r="N808">
        <v>26</v>
      </c>
      <c r="O808" t="s">
        <v>1985</v>
      </c>
      <c r="P808" t="s">
        <v>1984</v>
      </c>
      <c r="Q808" t="s">
        <v>1983</v>
      </c>
      <c r="R808" s="7">
        <v>32874</v>
      </c>
      <c r="S808" s="8">
        <f t="shared" si="96"/>
        <v>1990</v>
      </c>
      <c r="T808" s="8">
        <v>1990</v>
      </c>
      <c r="U808" s="8">
        <f t="shared" si="97"/>
        <v>32</v>
      </c>
      <c r="V808" s="7">
        <v>32905</v>
      </c>
      <c r="W808" t="s">
        <v>1844</v>
      </c>
      <c r="X808" s="2">
        <v>1.774</v>
      </c>
      <c r="Y808" s="6">
        <f t="shared" si="102"/>
        <v>4.7355916820159633E-2</v>
      </c>
      <c r="AA808">
        <v>295515</v>
      </c>
      <c r="AB808">
        <v>29066</v>
      </c>
      <c r="AC808">
        <v>17414326</v>
      </c>
      <c r="AD808" t="s">
        <v>5</v>
      </c>
      <c r="AE808">
        <v>30</v>
      </c>
      <c r="AF808">
        <v>2</v>
      </c>
      <c r="AH808" t="s">
        <v>1982</v>
      </c>
      <c r="AI808" t="s">
        <v>1981</v>
      </c>
      <c r="AK808" t="s">
        <v>1980</v>
      </c>
      <c r="AL808">
        <v>13</v>
      </c>
      <c r="AM808" s="5">
        <f t="shared" si="98"/>
        <v>0.40625</v>
      </c>
      <c r="AN808" s="4">
        <f t="shared" si="103"/>
        <v>6.1529723589549411E-4</v>
      </c>
      <c r="AO808" s="3"/>
      <c r="AP808">
        <v>0</v>
      </c>
      <c r="AR808" t="s">
        <v>0</v>
      </c>
      <c r="AT808" s="2">
        <v>3.1789999999999998</v>
      </c>
      <c r="AU808" s="1">
        <f t="shared" si="99"/>
        <v>3.3333730944880386</v>
      </c>
      <c r="AV808" s="1">
        <f t="shared" si="100"/>
        <v>2.3985607028027562</v>
      </c>
      <c r="AW808" s="1">
        <f t="shared" si="101"/>
        <v>1.4637483111174734</v>
      </c>
    </row>
    <row r="809" spans="1:49" x14ac:dyDescent="0.2">
      <c r="A809">
        <v>807</v>
      </c>
      <c r="B809" t="s">
        <v>1979</v>
      </c>
      <c r="C809" t="s">
        <v>1978</v>
      </c>
      <c r="F809" t="s">
        <v>1977</v>
      </c>
      <c r="G809" t="s">
        <v>14</v>
      </c>
      <c r="H809" t="s">
        <v>13</v>
      </c>
      <c r="I809" t="s">
        <v>1976</v>
      </c>
      <c r="J809" t="s">
        <v>1975</v>
      </c>
      <c r="K809" t="s">
        <v>1974</v>
      </c>
      <c r="L809" t="s">
        <v>1973</v>
      </c>
      <c r="M809" t="s">
        <v>1972</v>
      </c>
      <c r="N809">
        <v>3</v>
      </c>
      <c r="O809" t="s">
        <v>1971</v>
      </c>
      <c r="P809" t="s">
        <v>1970</v>
      </c>
      <c r="Q809" t="s">
        <v>1969</v>
      </c>
      <c r="R809" s="7">
        <v>32874</v>
      </c>
      <c r="S809" s="8">
        <f t="shared" si="96"/>
        <v>1990</v>
      </c>
      <c r="T809" s="8">
        <v>1990</v>
      </c>
      <c r="U809" s="8">
        <f t="shared" si="97"/>
        <v>32</v>
      </c>
      <c r="V809" s="7">
        <v>32905</v>
      </c>
      <c r="W809" t="s">
        <v>1968</v>
      </c>
      <c r="X809" s="2">
        <v>0.82799999999999996</v>
      </c>
      <c r="Y809" s="6">
        <f t="shared" si="102"/>
        <v>2.2102987106590855E-2</v>
      </c>
      <c r="AA809">
        <v>11452</v>
      </c>
      <c r="AB809">
        <v>29964</v>
      </c>
      <c r="AD809" t="s">
        <v>5</v>
      </c>
      <c r="AE809">
        <v>28</v>
      </c>
      <c r="AF809">
        <v>2</v>
      </c>
      <c r="AH809" t="s">
        <v>1967</v>
      </c>
      <c r="AI809" t="s">
        <v>1966</v>
      </c>
      <c r="AK809" t="s">
        <v>1965</v>
      </c>
      <c r="AL809">
        <v>58</v>
      </c>
      <c r="AM809" s="5">
        <f t="shared" si="98"/>
        <v>1.8125</v>
      </c>
      <c r="AN809" s="4">
        <f t="shared" si="103"/>
        <v>2.7451722832260508E-3</v>
      </c>
      <c r="AO809" s="3"/>
      <c r="AP809">
        <v>0</v>
      </c>
      <c r="AR809" t="s">
        <v>0</v>
      </c>
      <c r="AT809" s="2">
        <v>2.1269999999999998</v>
      </c>
      <c r="AU809" s="1">
        <f t="shared" si="99"/>
        <v>1.6295642659581413</v>
      </c>
      <c r="AV809" s="1">
        <f t="shared" si="100"/>
        <v>1.2424079694908452</v>
      </c>
      <c r="AW809" s="1">
        <f t="shared" si="101"/>
        <v>0.8552516730235491</v>
      </c>
    </row>
    <row r="810" spans="1:49" x14ac:dyDescent="0.2">
      <c r="A810">
        <v>808</v>
      </c>
      <c r="B810" t="s">
        <v>1964</v>
      </c>
      <c r="C810" t="s">
        <v>1963</v>
      </c>
      <c r="F810" t="s">
        <v>1962</v>
      </c>
      <c r="G810" t="s">
        <v>14</v>
      </c>
      <c r="H810" t="s">
        <v>13</v>
      </c>
      <c r="I810" t="s">
        <v>1961</v>
      </c>
      <c r="J810">
        <v>60025225</v>
      </c>
      <c r="K810" t="s">
        <v>1960</v>
      </c>
      <c r="L810" t="s">
        <v>1959</v>
      </c>
      <c r="M810" t="s">
        <v>253</v>
      </c>
      <c r="N810">
        <v>3</v>
      </c>
      <c r="O810" t="s">
        <v>1958</v>
      </c>
      <c r="P810" t="s">
        <v>1957</v>
      </c>
      <c r="Q810" t="s">
        <v>1956</v>
      </c>
      <c r="R810" s="7">
        <v>32874</v>
      </c>
      <c r="S810" s="8">
        <f t="shared" si="96"/>
        <v>1990</v>
      </c>
      <c r="T810" s="8">
        <v>1990</v>
      </c>
      <c r="U810" s="8">
        <f t="shared" si="97"/>
        <v>32</v>
      </c>
      <c r="V810" s="7" t="s">
        <v>1793</v>
      </c>
      <c r="W810" s="11" t="s">
        <v>1933</v>
      </c>
      <c r="X810" s="2">
        <v>2.383</v>
      </c>
      <c r="Y810" s="6">
        <f t="shared" si="102"/>
        <v>6.3612824003630442E-2</v>
      </c>
      <c r="AA810" t="s">
        <v>1932</v>
      </c>
      <c r="AB810">
        <v>101151</v>
      </c>
      <c r="AD810" t="s">
        <v>5</v>
      </c>
      <c r="AE810">
        <v>137</v>
      </c>
      <c r="AF810">
        <v>1</v>
      </c>
      <c r="AH810" t="s">
        <v>1166</v>
      </c>
      <c r="AI810" t="s">
        <v>1955</v>
      </c>
      <c r="AK810" t="s">
        <v>1954</v>
      </c>
      <c r="AL810">
        <v>3</v>
      </c>
      <c r="AM810" s="5">
        <f t="shared" si="98"/>
        <v>9.375E-2</v>
      </c>
      <c r="AN810" s="4">
        <f t="shared" si="103"/>
        <v>1.4199166982203711E-4</v>
      </c>
      <c r="AO810" s="3"/>
      <c r="AP810">
        <v>0</v>
      </c>
      <c r="AR810" t="s">
        <v>0</v>
      </c>
      <c r="AT810" s="2" t="s">
        <v>126</v>
      </c>
      <c r="AU810" s="1">
        <f t="shared" si="99"/>
        <v>4.4571574303487917</v>
      </c>
      <c r="AV810" s="1">
        <f t="shared" si="100"/>
        <v>3.1877407836726239</v>
      </c>
      <c r="AW810" s="1">
        <f t="shared" si="101"/>
        <v>1.9183241369964559</v>
      </c>
    </row>
    <row r="811" spans="1:49" x14ac:dyDescent="0.2">
      <c r="A811">
        <v>809</v>
      </c>
      <c r="B811" t="s">
        <v>1953</v>
      </c>
      <c r="C811" t="s">
        <v>1952</v>
      </c>
      <c r="F811" t="s">
        <v>1951</v>
      </c>
      <c r="G811" t="s">
        <v>14</v>
      </c>
      <c r="H811" t="s">
        <v>13</v>
      </c>
      <c r="I811" t="s">
        <v>1950</v>
      </c>
      <c r="J811">
        <v>60025779</v>
      </c>
      <c r="K811" t="s">
        <v>1131</v>
      </c>
      <c r="L811" t="s">
        <v>1130</v>
      </c>
      <c r="M811" t="s">
        <v>253</v>
      </c>
      <c r="N811">
        <v>3</v>
      </c>
      <c r="O811" t="s">
        <v>1949</v>
      </c>
      <c r="P811" t="s">
        <v>1948</v>
      </c>
      <c r="Q811" t="s">
        <v>1947</v>
      </c>
      <c r="R811" s="7">
        <v>32874</v>
      </c>
      <c r="S811" s="8">
        <f t="shared" si="96"/>
        <v>1990</v>
      </c>
      <c r="T811" s="8">
        <v>1990</v>
      </c>
      <c r="U811" s="8">
        <f t="shared" si="97"/>
        <v>32</v>
      </c>
      <c r="V811" s="7" t="s">
        <v>1793</v>
      </c>
      <c r="W811" s="11" t="s">
        <v>1933</v>
      </c>
      <c r="X811" s="2">
        <v>2.383</v>
      </c>
      <c r="Y811" s="6">
        <f t="shared" si="102"/>
        <v>6.3612824003630442E-2</v>
      </c>
      <c r="AA811" t="s">
        <v>1932</v>
      </c>
      <c r="AB811">
        <v>101151</v>
      </c>
      <c r="AD811" t="s">
        <v>5</v>
      </c>
      <c r="AE811">
        <v>137</v>
      </c>
      <c r="AF811">
        <v>1</v>
      </c>
      <c r="AH811" t="s">
        <v>1946</v>
      </c>
      <c r="AI811" t="s">
        <v>1945</v>
      </c>
      <c r="AK811" t="s">
        <v>1944</v>
      </c>
      <c r="AL811">
        <v>6</v>
      </c>
      <c r="AM811" s="5">
        <f t="shared" si="98"/>
        <v>0.1875</v>
      </c>
      <c r="AN811" s="4">
        <f t="shared" si="103"/>
        <v>2.8398333964407423E-4</v>
      </c>
      <c r="AO811" s="3"/>
      <c r="AP811">
        <v>0</v>
      </c>
      <c r="AR811" t="s">
        <v>0</v>
      </c>
      <c r="AT811" s="2" t="s">
        <v>126</v>
      </c>
      <c r="AU811" s="1">
        <f t="shared" si="99"/>
        <v>4.461417180443453</v>
      </c>
      <c r="AV811" s="1">
        <f t="shared" si="100"/>
        <v>3.1948403671637262</v>
      </c>
      <c r="AW811" s="1">
        <f t="shared" si="101"/>
        <v>1.9282635538839985</v>
      </c>
    </row>
    <row r="812" spans="1:49" x14ac:dyDescent="0.2">
      <c r="A812">
        <v>810</v>
      </c>
      <c r="B812" t="s">
        <v>1943</v>
      </c>
      <c r="C812" t="s">
        <v>1942</v>
      </c>
      <c r="F812" t="s">
        <v>1941</v>
      </c>
      <c r="G812" t="s">
        <v>14</v>
      </c>
      <c r="H812" t="s">
        <v>13</v>
      </c>
      <c r="I812" t="s">
        <v>1940</v>
      </c>
      <c r="J812">
        <v>60009697</v>
      </c>
      <c r="K812" t="s">
        <v>1939</v>
      </c>
      <c r="L812" t="s">
        <v>1938</v>
      </c>
      <c r="M812" t="s">
        <v>1937</v>
      </c>
      <c r="N812">
        <v>2</v>
      </c>
      <c r="O812" t="s">
        <v>1936</v>
      </c>
      <c r="P812" t="s">
        <v>1935</v>
      </c>
      <c r="Q812" t="s">
        <v>1934</v>
      </c>
      <c r="R812" s="7">
        <v>32874</v>
      </c>
      <c r="S812" s="8">
        <f t="shared" si="96"/>
        <v>1990</v>
      </c>
      <c r="T812" s="8">
        <v>1990</v>
      </c>
      <c r="U812" s="8">
        <f t="shared" si="97"/>
        <v>32</v>
      </c>
      <c r="V812" s="7" t="s">
        <v>1793</v>
      </c>
      <c r="W812" s="11" t="s">
        <v>1933</v>
      </c>
      <c r="X812" s="2">
        <v>2.383</v>
      </c>
      <c r="Y812" s="6">
        <f t="shared" si="102"/>
        <v>6.3612824003630442E-2</v>
      </c>
      <c r="AA812" t="s">
        <v>1932</v>
      </c>
      <c r="AB812">
        <v>101151</v>
      </c>
      <c r="AD812" t="s">
        <v>5</v>
      </c>
      <c r="AE812">
        <v>137</v>
      </c>
      <c r="AF812">
        <v>1</v>
      </c>
      <c r="AH812" t="s">
        <v>1931</v>
      </c>
      <c r="AI812" t="s">
        <v>1930</v>
      </c>
      <c r="AK812" t="s">
        <v>1929</v>
      </c>
      <c r="AL812">
        <v>27</v>
      </c>
      <c r="AM812" s="5">
        <f t="shared" si="98"/>
        <v>0.84375</v>
      </c>
      <c r="AN812" s="4">
        <f t="shared" si="103"/>
        <v>1.2779250283983339E-3</v>
      </c>
      <c r="AO812" s="3"/>
      <c r="AP812">
        <v>0</v>
      </c>
      <c r="AR812" t="s">
        <v>0</v>
      </c>
      <c r="AT812" s="2" t="s">
        <v>126</v>
      </c>
      <c r="AU812" s="1">
        <f t="shared" si="99"/>
        <v>4.4912354311060811</v>
      </c>
      <c r="AV812" s="1">
        <f t="shared" si="100"/>
        <v>3.2445374516014391</v>
      </c>
      <c r="AW812" s="1">
        <f t="shared" si="101"/>
        <v>1.9978394720967967</v>
      </c>
    </row>
    <row r="813" spans="1:49" x14ac:dyDescent="0.2">
      <c r="A813">
        <v>811</v>
      </c>
      <c r="B813" t="s">
        <v>1928</v>
      </c>
      <c r="C813" t="s">
        <v>1927</v>
      </c>
      <c r="F813" t="s">
        <v>1926</v>
      </c>
      <c r="G813" t="s">
        <v>14</v>
      </c>
      <c r="H813" t="s">
        <v>13</v>
      </c>
      <c r="I813" t="s">
        <v>1925</v>
      </c>
      <c r="J813" t="s">
        <v>1924</v>
      </c>
      <c r="K813" t="s">
        <v>1923</v>
      </c>
      <c r="L813" t="s">
        <v>1922</v>
      </c>
      <c r="M813" t="s">
        <v>1702</v>
      </c>
      <c r="N813">
        <v>3</v>
      </c>
      <c r="O813" t="s">
        <v>1921</v>
      </c>
      <c r="P813" t="s">
        <v>1920</v>
      </c>
      <c r="Q813" t="s">
        <v>1919</v>
      </c>
      <c r="R813" s="7">
        <v>32874</v>
      </c>
      <c r="S813" s="8">
        <f t="shared" si="96"/>
        <v>1990</v>
      </c>
      <c r="T813" s="8">
        <v>1990</v>
      </c>
      <c r="U813" s="8">
        <f t="shared" si="97"/>
        <v>32</v>
      </c>
      <c r="V813" s="7">
        <v>32905</v>
      </c>
      <c r="W813" t="s">
        <v>1918</v>
      </c>
      <c r="X813" s="2">
        <v>0.82</v>
      </c>
      <c r="Y813" s="6">
        <f t="shared" si="102"/>
        <v>2.1889431675609299E-2</v>
      </c>
      <c r="AA813">
        <v>189456</v>
      </c>
      <c r="AB813">
        <v>15361</v>
      </c>
      <c r="AC813">
        <v>15579662</v>
      </c>
      <c r="AD813" t="s">
        <v>5</v>
      </c>
      <c r="AE813">
        <v>39</v>
      </c>
      <c r="AF813">
        <v>1</v>
      </c>
      <c r="AH813" t="s">
        <v>1868</v>
      </c>
      <c r="AI813" t="s">
        <v>1917</v>
      </c>
      <c r="AK813" t="s">
        <v>1916</v>
      </c>
      <c r="AL813">
        <v>4</v>
      </c>
      <c r="AM813" s="5">
        <f t="shared" si="98"/>
        <v>0.125</v>
      </c>
      <c r="AN813" s="4">
        <f t="shared" si="103"/>
        <v>1.893222264293828E-4</v>
      </c>
      <c r="AO813" s="3"/>
      <c r="AP813">
        <v>0</v>
      </c>
      <c r="AR813" t="s">
        <v>0</v>
      </c>
      <c r="AT813" s="2" t="s">
        <v>126</v>
      </c>
      <c r="AU813" s="1">
        <f t="shared" si="99"/>
        <v>1.5379398840855323</v>
      </c>
      <c r="AV813" s="1">
        <f t="shared" si="100"/>
        <v>1.1039376951019342</v>
      </c>
      <c r="AW813" s="1">
        <f t="shared" si="101"/>
        <v>0.66993550611833574</v>
      </c>
    </row>
    <row r="814" spans="1:49" x14ac:dyDescent="0.2">
      <c r="A814">
        <v>812</v>
      </c>
      <c r="B814" t="s">
        <v>1915</v>
      </c>
      <c r="C814" t="s">
        <v>1914</v>
      </c>
      <c r="F814" t="s">
        <v>1913</v>
      </c>
      <c r="G814" t="s">
        <v>14</v>
      </c>
      <c r="H814" t="s">
        <v>13</v>
      </c>
      <c r="I814" t="s">
        <v>1912</v>
      </c>
      <c r="J814">
        <v>60022195</v>
      </c>
      <c r="K814" t="s">
        <v>1666</v>
      </c>
      <c r="L814" t="s">
        <v>1665</v>
      </c>
      <c r="M814" t="s">
        <v>197</v>
      </c>
      <c r="N814">
        <v>2</v>
      </c>
      <c r="O814" t="s">
        <v>1911</v>
      </c>
      <c r="P814" t="s">
        <v>1910</v>
      </c>
      <c r="Q814" t="s">
        <v>1662</v>
      </c>
      <c r="R814" s="7">
        <v>32874</v>
      </c>
      <c r="S814" s="8">
        <f t="shared" si="96"/>
        <v>1990</v>
      </c>
      <c r="T814" s="8">
        <v>1990</v>
      </c>
      <c r="U814" s="8">
        <f t="shared" si="97"/>
        <v>32</v>
      </c>
      <c r="V814" s="7">
        <v>32905</v>
      </c>
      <c r="W814" t="s">
        <v>1909</v>
      </c>
      <c r="X814" s="2">
        <v>0.91600000000000004</v>
      </c>
      <c r="Y814" s="6">
        <f t="shared" si="102"/>
        <v>2.4452096847387951E-2</v>
      </c>
      <c r="AA814">
        <v>189359</v>
      </c>
      <c r="AB814">
        <v>17344</v>
      </c>
      <c r="AC814">
        <v>15579638</v>
      </c>
      <c r="AD814" t="s">
        <v>5</v>
      </c>
      <c r="AE814">
        <v>33</v>
      </c>
      <c r="AF814">
        <v>1</v>
      </c>
      <c r="AH814" t="s">
        <v>1908</v>
      </c>
      <c r="AI814" t="s">
        <v>1907</v>
      </c>
      <c r="AK814" t="s">
        <v>1906</v>
      </c>
      <c r="AL814">
        <v>4</v>
      </c>
      <c r="AM814" s="5">
        <f t="shared" si="98"/>
        <v>0.125</v>
      </c>
      <c r="AN814" s="4">
        <f t="shared" si="103"/>
        <v>1.893222264293828E-4</v>
      </c>
      <c r="AO814" s="3"/>
      <c r="AP814">
        <v>0</v>
      </c>
      <c r="AR814" t="s">
        <v>0</v>
      </c>
      <c r="AT814" s="2">
        <v>2.1160000000000001</v>
      </c>
      <c r="AU814" s="1">
        <f t="shared" si="99"/>
        <v>1.7173264461100377</v>
      </c>
      <c r="AV814" s="1">
        <f t="shared" si="100"/>
        <v>1.2320709536908667</v>
      </c>
      <c r="AW814" s="1">
        <f t="shared" si="101"/>
        <v>0.74681546127169529</v>
      </c>
    </row>
    <row r="815" spans="1:49" x14ac:dyDescent="0.2">
      <c r="A815">
        <v>813</v>
      </c>
      <c r="B815" t="s">
        <v>1905</v>
      </c>
      <c r="C815" t="s">
        <v>1904</v>
      </c>
      <c r="F815" t="s">
        <v>1903</v>
      </c>
      <c r="G815" t="s">
        <v>14</v>
      </c>
      <c r="H815" t="s">
        <v>13</v>
      </c>
      <c r="I815" t="s">
        <v>1902</v>
      </c>
      <c r="J815">
        <v>60030000</v>
      </c>
      <c r="K815" t="s">
        <v>1901</v>
      </c>
      <c r="L815" t="s">
        <v>1900</v>
      </c>
      <c r="M815" t="s">
        <v>1224</v>
      </c>
      <c r="N815">
        <v>2</v>
      </c>
      <c r="O815" t="s">
        <v>1899</v>
      </c>
      <c r="P815" t="s">
        <v>1898</v>
      </c>
      <c r="Q815" t="s">
        <v>1897</v>
      </c>
      <c r="R815" s="7">
        <v>32874</v>
      </c>
      <c r="S815" s="8">
        <f t="shared" si="96"/>
        <v>1990</v>
      </c>
      <c r="T815" s="8">
        <v>1990</v>
      </c>
      <c r="U815" s="8">
        <f t="shared" si="97"/>
        <v>32</v>
      </c>
      <c r="V815" s="7">
        <v>33208</v>
      </c>
      <c r="W815" t="s">
        <v>1380</v>
      </c>
      <c r="X815" s="2">
        <v>0.375</v>
      </c>
      <c r="Y815" s="6">
        <f t="shared" si="102"/>
        <v>1.0010410827260351E-2</v>
      </c>
      <c r="AA815">
        <v>135194</v>
      </c>
      <c r="AB815">
        <v>24918</v>
      </c>
      <c r="AD815" t="s">
        <v>5</v>
      </c>
      <c r="AE815">
        <v>26</v>
      </c>
      <c r="AF815">
        <v>4</v>
      </c>
      <c r="AH815" t="s">
        <v>1896</v>
      </c>
      <c r="AI815" t="s">
        <v>1895</v>
      </c>
      <c r="AJ815" t="s">
        <v>1894</v>
      </c>
      <c r="AK815" t="s">
        <v>1893</v>
      </c>
      <c r="AL815">
        <v>5</v>
      </c>
      <c r="AM815" s="5">
        <f t="shared" si="98"/>
        <v>0.15625</v>
      </c>
      <c r="AN815" s="4">
        <f t="shared" si="103"/>
        <v>2.3665278303672851E-4</v>
      </c>
      <c r="AO815" s="3"/>
      <c r="AP815">
        <v>0</v>
      </c>
      <c r="AR815" t="s">
        <v>0</v>
      </c>
      <c r="AT815" s="2">
        <v>1.3140000000000001</v>
      </c>
      <c r="AU815" s="1">
        <f t="shared" si="99"/>
        <v>0.70782834139932649</v>
      </c>
      <c r="AV815" s="1">
        <f t="shared" si="100"/>
        <v>0.51235318051485401</v>
      </c>
      <c r="AW815" s="1">
        <f t="shared" si="101"/>
        <v>0.31687801963038154</v>
      </c>
    </row>
    <row r="816" spans="1:49" x14ac:dyDescent="0.2">
      <c r="A816">
        <v>814</v>
      </c>
      <c r="B816" t="s">
        <v>1892</v>
      </c>
      <c r="C816" t="s">
        <v>1891</v>
      </c>
      <c r="F816" t="s">
        <v>1890</v>
      </c>
      <c r="G816" t="s">
        <v>14</v>
      </c>
      <c r="H816" t="s">
        <v>13</v>
      </c>
      <c r="I816" t="s">
        <v>1889</v>
      </c>
      <c r="J816">
        <v>60011410</v>
      </c>
      <c r="K816" t="s">
        <v>1888</v>
      </c>
      <c r="L816" t="s">
        <v>1887</v>
      </c>
      <c r="M816" t="s">
        <v>197</v>
      </c>
      <c r="N816">
        <v>2</v>
      </c>
      <c r="O816" t="s">
        <v>1886</v>
      </c>
      <c r="P816" t="s">
        <v>1885</v>
      </c>
      <c r="Q816" t="s">
        <v>1884</v>
      </c>
      <c r="R816" s="7">
        <v>32874</v>
      </c>
      <c r="S816" s="8">
        <f t="shared" si="96"/>
        <v>1990</v>
      </c>
      <c r="T816" s="8">
        <v>1990</v>
      </c>
      <c r="U816" s="8">
        <f t="shared" si="97"/>
        <v>32</v>
      </c>
      <c r="V816" s="7">
        <v>32905</v>
      </c>
      <c r="W816" t="s">
        <v>1883</v>
      </c>
      <c r="X816" s="2">
        <v>1.365</v>
      </c>
      <c r="Y816" s="6">
        <f t="shared" si="102"/>
        <v>3.6437895411227675E-2</v>
      </c>
      <c r="AA816">
        <v>189545</v>
      </c>
      <c r="AB816">
        <v>17393</v>
      </c>
      <c r="AC816">
        <v>19399359</v>
      </c>
      <c r="AD816" t="s">
        <v>5</v>
      </c>
      <c r="AE816">
        <v>39</v>
      </c>
      <c r="AF816">
        <v>1</v>
      </c>
      <c r="AH816" t="s">
        <v>1882</v>
      </c>
      <c r="AI816" t="s">
        <v>1881</v>
      </c>
      <c r="AK816" t="s">
        <v>1880</v>
      </c>
      <c r="AL816">
        <v>40</v>
      </c>
      <c r="AM816" s="5">
        <f t="shared" si="98"/>
        <v>1.25</v>
      </c>
      <c r="AN816" s="4">
        <f t="shared" si="103"/>
        <v>1.8932222642938281E-3</v>
      </c>
      <c r="AO816" s="3"/>
      <c r="AP816">
        <v>0</v>
      </c>
      <c r="AR816" t="s">
        <v>1879</v>
      </c>
      <c r="AT816" s="2" t="s">
        <v>126</v>
      </c>
      <c r="AU816" s="1">
        <f t="shared" si="99"/>
        <v>2.6074493467147519</v>
      </c>
      <c r="AV816" s="1">
        <f t="shared" si="100"/>
        <v>1.9165558837760752</v>
      </c>
      <c r="AW816" s="1">
        <f t="shared" si="101"/>
        <v>1.2256624208373983</v>
      </c>
    </row>
    <row r="817" spans="1:49" x14ac:dyDescent="0.2">
      <c r="A817">
        <v>815</v>
      </c>
      <c r="B817" t="s">
        <v>1878</v>
      </c>
      <c r="C817" t="s">
        <v>1877</v>
      </c>
      <c r="F817" t="s">
        <v>1876</v>
      </c>
      <c r="G817" t="s">
        <v>14</v>
      </c>
      <c r="H817" t="s">
        <v>13</v>
      </c>
      <c r="I817" t="s">
        <v>1875</v>
      </c>
      <c r="J817">
        <v>60020585</v>
      </c>
      <c r="K817" t="s">
        <v>1874</v>
      </c>
      <c r="L817" t="s">
        <v>1873</v>
      </c>
      <c r="M817" t="s">
        <v>1872</v>
      </c>
      <c r="N817">
        <v>2</v>
      </c>
      <c r="O817" t="s">
        <v>1871</v>
      </c>
      <c r="P817" t="s">
        <v>1870</v>
      </c>
      <c r="Q817" t="s">
        <v>1869</v>
      </c>
      <c r="R817" s="7">
        <v>32874</v>
      </c>
      <c r="S817" s="8">
        <f t="shared" si="96"/>
        <v>1990</v>
      </c>
      <c r="T817" s="8">
        <v>1990</v>
      </c>
      <c r="U817" s="8">
        <f t="shared" si="97"/>
        <v>32</v>
      </c>
      <c r="V817" s="7" t="s">
        <v>1793</v>
      </c>
      <c r="W817" s="11" t="s">
        <v>1792</v>
      </c>
      <c r="X817" s="2">
        <v>2.383</v>
      </c>
      <c r="Y817" s="6">
        <f t="shared" si="102"/>
        <v>6.3612824003630442E-2</v>
      </c>
      <c r="AA817">
        <v>1437070</v>
      </c>
      <c r="AB817">
        <v>39742</v>
      </c>
      <c r="AD817" t="s">
        <v>5</v>
      </c>
      <c r="AE817">
        <v>137</v>
      </c>
      <c r="AF817">
        <v>1</v>
      </c>
      <c r="AH817" t="s">
        <v>1868</v>
      </c>
      <c r="AI817" t="s">
        <v>1867</v>
      </c>
      <c r="AK817" t="s">
        <v>1866</v>
      </c>
      <c r="AL817">
        <v>0</v>
      </c>
      <c r="AM817" s="5">
        <f t="shared" si="98"/>
        <v>0</v>
      </c>
      <c r="AN817" s="4">
        <f t="shared" si="103"/>
        <v>0</v>
      </c>
      <c r="AO817" s="3"/>
      <c r="AP817">
        <v>0</v>
      </c>
      <c r="AR817" t="s">
        <v>0</v>
      </c>
      <c r="AT817" s="2" t="s">
        <v>126</v>
      </c>
      <c r="AU817" s="1">
        <f t="shared" si="99"/>
        <v>4.4528976802541305</v>
      </c>
      <c r="AV817" s="1">
        <f t="shared" si="100"/>
        <v>3.1806412001815221</v>
      </c>
      <c r="AW817" s="1">
        <f t="shared" si="101"/>
        <v>1.9083847201089132</v>
      </c>
    </row>
    <row r="818" spans="1:49" x14ac:dyDescent="0.2">
      <c r="A818">
        <v>816</v>
      </c>
      <c r="B818" t="s">
        <v>1865</v>
      </c>
      <c r="C818" t="s">
        <v>1864</v>
      </c>
      <c r="F818" t="s">
        <v>1863</v>
      </c>
      <c r="G818" t="s">
        <v>14</v>
      </c>
      <c r="H818" t="s">
        <v>13</v>
      </c>
      <c r="I818" t="s">
        <v>1862</v>
      </c>
      <c r="J818">
        <v>60009658</v>
      </c>
      <c r="K818" t="s">
        <v>1861</v>
      </c>
      <c r="L818" t="s">
        <v>1860</v>
      </c>
      <c r="M818" t="s">
        <v>253</v>
      </c>
      <c r="N818">
        <v>1</v>
      </c>
      <c r="O818" t="s">
        <v>1859</v>
      </c>
      <c r="P818">
        <v>7403018268</v>
      </c>
      <c r="Q818">
        <v>60009658</v>
      </c>
      <c r="R818" s="7">
        <v>32874</v>
      </c>
      <c r="S818" s="8">
        <f t="shared" si="96"/>
        <v>1990</v>
      </c>
      <c r="T818" s="8">
        <v>1990</v>
      </c>
      <c r="U818" s="8">
        <f t="shared" si="97"/>
        <v>32</v>
      </c>
      <c r="V818" s="7">
        <v>32905</v>
      </c>
      <c r="W818" t="s">
        <v>1858</v>
      </c>
      <c r="X818" s="2">
        <v>0.88100000000000001</v>
      </c>
      <c r="Y818" s="6">
        <f t="shared" si="102"/>
        <v>2.3517791836843653E-2</v>
      </c>
      <c r="AA818">
        <v>10459243</v>
      </c>
      <c r="AB818">
        <v>17248</v>
      </c>
      <c r="AD818" t="s">
        <v>5</v>
      </c>
      <c r="AE818">
        <v>32</v>
      </c>
      <c r="AF818">
        <v>1</v>
      </c>
      <c r="AH818" s="10">
        <v>43252</v>
      </c>
      <c r="AI818" t="s">
        <v>1857</v>
      </c>
      <c r="AK818" t="s">
        <v>1856</v>
      </c>
      <c r="AL818">
        <v>8</v>
      </c>
      <c r="AM818" s="5">
        <f t="shared" si="98"/>
        <v>0.25</v>
      </c>
      <c r="AN818" s="4">
        <f t="shared" si="103"/>
        <v>3.786444528587656E-4</v>
      </c>
      <c r="AO818" s="3"/>
      <c r="AP818">
        <v>0</v>
      </c>
      <c r="AR818" t="s">
        <v>0</v>
      </c>
      <c r="AT818" s="2" t="s">
        <v>126</v>
      </c>
      <c r="AU818" s="1">
        <f t="shared" si="99"/>
        <v>1.6576047621648184</v>
      </c>
      <c r="AV818" s="1">
        <f t="shared" si="100"/>
        <v>1.1948218144851208</v>
      </c>
      <c r="AW818" s="1">
        <f t="shared" si="101"/>
        <v>0.73203886680542318</v>
      </c>
    </row>
    <row r="819" spans="1:49" x14ac:dyDescent="0.2">
      <c r="A819">
        <v>817</v>
      </c>
      <c r="B819" t="s">
        <v>1855</v>
      </c>
      <c r="C819" t="s">
        <v>1854</v>
      </c>
      <c r="F819" t="s">
        <v>1853</v>
      </c>
      <c r="G819" t="s">
        <v>14</v>
      </c>
      <c r="H819" t="s">
        <v>13</v>
      </c>
      <c r="I819" t="s">
        <v>1852</v>
      </c>
      <c r="J819" t="s">
        <v>1851</v>
      </c>
      <c r="K819" t="s">
        <v>1850</v>
      </c>
      <c r="L819" t="s">
        <v>1849</v>
      </c>
      <c r="M819" t="s">
        <v>1848</v>
      </c>
      <c r="N819">
        <v>4</v>
      </c>
      <c r="O819" t="s">
        <v>1847</v>
      </c>
      <c r="P819" t="s">
        <v>1846</v>
      </c>
      <c r="Q819" t="s">
        <v>1845</v>
      </c>
      <c r="R819" s="7">
        <v>32874</v>
      </c>
      <c r="S819" s="8">
        <f t="shared" si="96"/>
        <v>1990</v>
      </c>
      <c r="T819" s="8">
        <v>1990</v>
      </c>
      <c r="U819" s="8">
        <f t="shared" si="97"/>
        <v>32</v>
      </c>
      <c r="V819" s="7">
        <v>32905</v>
      </c>
      <c r="W819" t="s">
        <v>1844</v>
      </c>
      <c r="X819" s="2">
        <v>1.774</v>
      </c>
      <c r="Y819" s="6">
        <f t="shared" si="102"/>
        <v>4.7355916820159633E-2</v>
      </c>
      <c r="AA819">
        <v>295515</v>
      </c>
      <c r="AB819">
        <v>29066</v>
      </c>
      <c r="AC819">
        <v>17414326</v>
      </c>
      <c r="AD819" t="s">
        <v>5</v>
      </c>
      <c r="AE819">
        <v>30</v>
      </c>
      <c r="AF819">
        <v>2</v>
      </c>
      <c r="AH819" t="s">
        <v>1843</v>
      </c>
      <c r="AI819" t="s">
        <v>1842</v>
      </c>
      <c r="AK819" t="s">
        <v>1841</v>
      </c>
      <c r="AL819">
        <v>17</v>
      </c>
      <c r="AM819" s="5">
        <f t="shared" si="98"/>
        <v>0.53125</v>
      </c>
      <c r="AN819" s="4">
        <f t="shared" si="103"/>
        <v>8.0461946232487697E-4</v>
      </c>
      <c r="AO819" s="3"/>
      <c r="AP819">
        <v>0</v>
      </c>
      <c r="AR819" t="s">
        <v>0</v>
      </c>
      <c r="AT819" s="2">
        <v>3.1789999999999998</v>
      </c>
      <c r="AU819" s="1">
        <f t="shared" si="99"/>
        <v>3.3390527612809202</v>
      </c>
      <c r="AV819" s="1">
        <f t="shared" si="100"/>
        <v>2.4080268141242254</v>
      </c>
      <c r="AW819" s="1">
        <f t="shared" si="101"/>
        <v>1.4770008669675303</v>
      </c>
    </row>
    <row r="820" spans="1:49" x14ac:dyDescent="0.2">
      <c r="A820">
        <v>818</v>
      </c>
      <c r="B820" t="s">
        <v>1840</v>
      </c>
      <c r="C820" t="s">
        <v>1839</v>
      </c>
      <c r="F820" t="s">
        <v>1838</v>
      </c>
      <c r="G820" t="s">
        <v>14</v>
      </c>
      <c r="H820" t="s">
        <v>13</v>
      </c>
      <c r="I820" t="s">
        <v>1837</v>
      </c>
      <c r="J820">
        <v>60029738</v>
      </c>
      <c r="K820" t="s">
        <v>1836</v>
      </c>
      <c r="L820" t="s">
        <v>1835</v>
      </c>
      <c r="M820" t="s">
        <v>253</v>
      </c>
      <c r="N820">
        <v>2</v>
      </c>
      <c r="O820" t="s">
        <v>1834</v>
      </c>
      <c r="P820" t="s">
        <v>1833</v>
      </c>
      <c r="Q820" t="s">
        <v>1832</v>
      </c>
      <c r="R820" s="7">
        <v>32874</v>
      </c>
      <c r="S820" s="8">
        <f t="shared" si="96"/>
        <v>1990</v>
      </c>
      <c r="T820" s="8">
        <v>1990</v>
      </c>
      <c r="U820" s="8">
        <f t="shared" si="97"/>
        <v>32</v>
      </c>
      <c r="V820" s="7">
        <v>32874</v>
      </c>
      <c r="W820" t="s">
        <v>1380</v>
      </c>
      <c r="X820" s="2">
        <v>0.375</v>
      </c>
      <c r="Y820" s="6">
        <f t="shared" si="102"/>
        <v>1.0010410827260351E-2</v>
      </c>
      <c r="AA820">
        <v>135194</v>
      </c>
      <c r="AB820">
        <v>24918</v>
      </c>
      <c r="AD820" t="s">
        <v>5</v>
      </c>
      <c r="AE820">
        <v>26</v>
      </c>
      <c r="AF820">
        <v>4</v>
      </c>
      <c r="AH820" t="s">
        <v>1831</v>
      </c>
      <c r="AI820" t="s">
        <v>1830</v>
      </c>
      <c r="AJ820" t="s">
        <v>1829</v>
      </c>
      <c r="AK820" t="s">
        <v>1828</v>
      </c>
      <c r="AL820">
        <v>7</v>
      </c>
      <c r="AM820" s="5">
        <f t="shared" si="98"/>
        <v>0.21875</v>
      </c>
      <c r="AN820" s="4">
        <f t="shared" si="103"/>
        <v>3.3131389625141994E-4</v>
      </c>
      <c r="AO820" s="3"/>
      <c r="AP820">
        <v>0</v>
      </c>
      <c r="AR820" t="s">
        <v>0</v>
      </c>
      <c r="AT820" s="2">
        <v>1.3140000000000001</v>
      </c>
      <c r="AU820" s="1">
        <f t="shared" si="99"/>
        <v>0.71066817479576716</v>
      </c>
      <c r="AV820" s="1">
        <f t="shared" si="100"/>
        <v>0.51708623617558858</v>
      </c>
      <c r="AW820" s="1">
        <f t="shared" si="101"/>
        <v>0.32350429755540988</v>
      </c>
    </row>
    <row r="821" spans="1:49" x14ac:dyDescent="0.2">
      <c r="A821">
        <v>819</v>
      </c>
      <c r="B821" t="s">
        <v>1827</v>
      </c>
      <c r="C821" t="s">
        <v>1826</v>
      </c>
      <c r="F821" t="s">
        <v>1825</v>
      </c>
      <c r="G821" t="s">
        <v>14</v>
      </c>
      <c r="H821" t="s">
        <v>13</v>
      </c>
      <c r="I821" t="s">
        <v>1824</v>
      </c>
      <c r="J821" t="s">
        <v>1823</v>
      </c>
      <c r="K821" t="s">
        <v>1822</v>
      </c>
      <c r="L821" t="s">
        <v>1821</v>
      </c>
      <c r="M821" t="s">
        <v>1820</v>
      </c>
      <c r="N821">
        <v>4</v>
      </c>
      <c r="O821" t="s">
        <v>1819</v>
      </c>
      <c r="P821" t="s">
        <v>1818</v>
      </c>
      <c r="Q821" t="s">
        <v>1817</v>
      </c>
      <c r="R821" s="7">
        <v>32874</v>
      </c>
      <c r="S821" s="8">
        <f t="shared" si="96"/>
        <v>1990</v>
      </c>
      <c r="T821" s="8">
        <v>1990</v>
      </c>
      <c r="U821" s="8">
        <f t="shared" si="97"/>
        <v>32</v>
      </c>
      <c r="V821" s="7">
        <v>33208</v>
      </c>
      <c r="W821" t="s">
        <v>1380</v>
      </c>
      <c r="X821" s="2">
        <v>0.375</v>
      </c>
      <c r="Y821" s="6">
        <f t="shared" si="102"/>
        <v>1.0010410827260351E-2</v>
      </c>
      <c r="AA821">
        <v>135194</v>
      </c>
      <c r="AB821">
        <v>24918</v>
      </c>
      <c r="AD821" t="s">
        <v>5</v>
      </c>
      <c r="AE821">
        <v>26</v>
      </c>
      <c r="AF821">
        <v>4</v>
      </c>
      <c r="AH821" t="s">
        <v>1816</v>
      </c>
      <c r="AI821" t="s">
        <v>1815</v>
      </c>
      <c r="AJ821" t="s">
        <v>1814</v>
      </c>
      <c r="AK821" t="s">
        <v>1813</v>
      </c>
      <c r="AL821">
        <v>3</v>
      </c>
      <c r="AM821" s="5">
        <f t="shared" si="98"/>
        <v>9.375E-2</v>
      </c>
      <c r="AN821" s="4">
        <f t="shared" si="103"/>
        <v>1.4199166982203711E-4</v>
      </c>
      <c r="AO821" s="3"/>
      <c r="AP821">
        <v>0</v>
      </c>
      <c r="AR821" t="s">
        <v>0</v>
      </c>
      <c r="AT821" s="2">
        <v>1.3140000000000001</v>
      </c>
      <c r="AU821" s="1">
        <f t="shared" si="99"/>
        <v>0.70498850800288559</v>
      </c>
      <c r="AV821" s="1">
        <f t="shared" si="100"/>
        <v>0.50762012485411945</v>
      </c>
      <c r="AW821" s="1">
        <f t="shared" si="101"/>
        <v>0.31025174170535308</v>
      </c>
    </row>
    <row r="822" spans="1:49" x14ac:dyDescent="0.2">
      <c r="A822">
        <v>820</v>
      </c>
      <c r="B822" t="s">
        <v>1812</v>
      </c>
      <c r="C822" t="s">
        <v>1811</v>
      </c>
      <c r="F822" t="s">
        <v>1810</v>
      </c>
      <c r="G822" t="s">
        <v>14</v>
      </c>
      <c r="H822" t="s">
        <v>13</v>
      </c>
      <c r="I822" t="s">
        <v>1214</v>
      </c>
      <c r="J822" t="s">
        <v>1809</v>
      </c>
      <c r="K822" t="s">
        <v>1808</v>
      </c>
      <c r="L822" t="s">
        <v>1807</v>
      </c>
      <c r="M822" t="s">
        <v>580</v>
      </c>
      <c r="N822">
        <v>2</v>
      </c>
      <c r="O822" t="s">
        <v>1806</v>
      </c>
      <c r="P822" t="s">
        <v>1805</v>
      </c>
      <c r="Q822" t="s">
        <v>1804</v>
      </c>
      <c r="R822" s="7">
        <v>32874</v>
      </c>
      <c r="S822" s="8">
        <f t="shared" si="96"/>
        <v>1990</v>
      </c>
      <c r="T822" s="8">
        <v>1990</v>
      </c>
      <c r="U822" s="8">
        <f t="shared" si="97"/>
        <v>32</v>
      </c>
      <c r="V822" s="7">
        <v>32874</v>
      </c>
      <c r="W822" t="s">
        <v>1380</v>
      </c>
      <c r="X822" s="2">
        <v>0.375</v>
      </c>
      <c r="Y822" s="6">
        <f t="shared" si="102"/>
        <v>1.0010410827260351E-2</v>
      </c>
      <c r="AA822">
        <v>135194</v>
      </c>
      <c r="AB822">
        <v>24918</v>
      </c>
      <c r="AD822" t="s">
        <v>5</v>
      </c>
      <c r="AE822">
        <v>26</v>
      </c>
      <c r="AF822">
        <v>3</v>
      </c>
      <c r="AH822" t="s">
        <v>1803</v>
      </c>
      <c r="AI822" t="s">
        <v>1802</v>
      </c>
      <c r="AJ822" t="s">
        <v>1801</v>
      </c>
      <c r="AK822" t="s">
        <v>1800</v>
      </c>
      <c r="AL822">
        <v>13</v>
      </c>
      <c r="AM822" s="5">
        <f t="shared" si="98"/>
        <v>0.40625</v>
      </c>
      <c r="AN822" s="4">
        <f t="shared" si="103"/>
        <v>6.1529723589549411E-4</v>
      </c>
      <c r="AO822" s="3"/>
      <c r="AP822">
        <v>0</v>
      </c>
      <c r="AR822" t="s">
        <v>0</v>
      </c>
      <c r="AT822" s="2">
        <v>1.3140000000000001</v>
      </c>
      <c r="AU822" s="1">
        <f t="shared" si="99"/>
        <v>0.7191876749850894</v>
      </c>
      <c r="AV822" s="1">
        <f t="shared" si="100"/>
        <v>0.53128540315779227</v>
      </c>
      <c r="AW822" s="1">
        <f t="shared" si="101"/>
        <v>0.34338313133049508</v>
      </c>
    </row>
    <row r="823" spans="1:49" x14ac:dyDescent="0.2">
      <c r="A823">
        <v>821</v>
      </c>
      <c r="B823" t="s">
        <v>1799</v>
      </c>
      <c r="C823" t="s">
        <v>1798</v>
      </c>
      <c r="F823" t="s">
        <v>1797</v>
      </c>
      <c r="G823" t="s">
        <v>14</v>
      </c>
      <c r="H823" t="s">
        <v>13</v>
      </c>
      <c r="I823" t="s">
        <v>1796</v>
      </c>
      <c r="J823">
        <v>60019102</v>
      </c>
      <c r="K823" t="s">
        <v>1795</v>
      </c>
      <c r="L823" t="s">
        <v>1566</v>
      </c>
      <c r="M823" t="s">
        <v>1565</v>
      </c>
      <c r="N823">
        <v>1</v>
      </c>
      <c r="O823" t="s">
        <v>1794</v>
      </c>
      <c r="P823">
        <v>24341657200</v>
      </c>
      <c r="Q823">
        <v>60019102</v>
      </c>
      <c r="R823" s="7">
        <v>32874</v>
      </c>
      <c r="S823" s="8">
        <f t="shared" si="96"/>
        <v>1990</v>
      </c>
      <c r="T823" s="8">
        <v>1990</v>
      </c>
      <c r="U823" s="8">
        <f t="shared" si="97"/>
        <v>32</v>
      </c>
      <c r="V823" s="7" t="s">
        <v>1793</v>
      </c>
      <c r="W823" s="11" t="s">
        <v>1792</v>
      </c>
      <c r="X823" s="2">
        <v>2.383</v>
      </c>
      <c r="Y823" s="6">
        <f t="shared" si="102"/>
        <v>6.3612824003630442E-2</v>
      </c>
      <c r="AA823">
        <v>1437070</v>
      </c>
      <c r="AB823">
        <v>39742</v>
      </c>
      <c r="AD823" t="s">
        <v>5</v>
      </c>
      <c r="AE823">
        <v>137</v>
      </c>
      <c r="AF823">
        <v>1</v>
      </c>
      <c r="AH823" t="s">
        <v>1791</v>
      </c>
      <c r="AI823" t="s">
        <v>1790</v>
      </c>
      <c r="AK823" t="s">
        <v>1789</v>
      </c>
      <c r="AL823">
        <v>6</v>
      </c>
      <c r="AM823" s="5">
        <f t="shared" si="98"/>
        <v>0.1875</v>
      </c>
      <c r="AN823" s="4">
        <f t="shared" si="103"/>
        <v>2.8398333964407423E-4</v>
      </c>
      <c r="AO823" s="3"/>
      <c r="AP823">
        <v>0</v>
      </c>
      <c r="AR823" t="s">
        <v>0</v>
      </c>
      <c r="AT823" s="2" t="s">
        <v>126</v>
      </c>
      <c r="AU823" s="1">
        <f t="shared" si="99"/>
        <v>4.461417180443453</v>
      </c>
      <c r="AV823" s="1">
        <f t="shared" si="100"/>
        <v>3.1948403671637262</v>
      </c>
      <c r="AW823" s="1">
        <f t="shared" si="101"/>
        <v>1.9282635538839985</v>
      </c>
    </row>
    <row r="824" spans="1:49" x14ac:dyDescent="0.2">
      <c r="A824">
        <v>822</v>
      </c>
      <c r="B824" t="s">
        <v>1788</v>
      </c>
      <c r="C824" t="s">
        <v>1787</v>
      </c>
      <c r="F824" t="s">
        <v>1786</v>
      </c>
      <c r="G824" t="s">
        <v>14</v>
      </c>
      <c r="H824" t="s">
        <v>13</v>
      </c>
      <c r="I824" t="s">
        <v>1785</v>
      </c>
      <c r="J824">
        <v>60030526</v>
      </c>
      <c r="K824" t="s">
        <v>1784</v>
      </c>
      <c r="L824" t="s">
        <v>466</v>
      </c>
      <c r="M824" t="s">
        <v>267</v>
      </c>
      <c r="N824">
        <v>3</v>
      </c>
      <c r="O824" t="s">
        <v>1783</v>
      </c>
      <c r="P824" t="s">
        <v>1782</v>
      </c>
      <c r="Q824" t="s">
        <v>1781</v>
      </c>
      <c r="R824" s="7">
        <v>32874</v>
      </c>
      <c r="S824" s="8">
        <f t="shared" si="96"/>
        <v>1990</v>
      </c>
      <c r="T824" s="8">
        <v>1990</v>
      </c>
      <c r="U824" s="8">
        <f t="shared" si="97"/>
        <v>32</v>
      </c>
      <c r="V824" s="7">
        <v>32874</v>
      </c>
      <c r="W824" t="s">
        <v>1380</v>
      </c>
      <c r="X824" s="2">
        <v>0.375</v>
      </c>
      <c r="Y824" s="6">
        <f t="shared" si="102"/>
        <v>1.0010410827260351E-2</v>
      </c>
      <c r="AA824">
        <v>135194</v>
      </c>
      <c r="AB824">
        <v>24918</v>
      </c>
      <c r="AD824" t="s">
        <v>5</v>
      </c>
      <c r="AE824">
        <v>26</v>
      </c>
      <c r="AF824">
        <v>3</v>
      </c>
      <c r="AH824" t="s">
        <v>1780</v>
      </c>
      <c r="AI824" t="s">
        <v>1779</v>
      </c>
      <c r="AJ824" t="s">
        <v>1778</v>
      </c>
      <c r="AK824" t="s">
        <v>1777</v>
      </c>
      <c r="AL824">
        <v>2</v>
      </c>
      <c r="AM824" s="5">
        <f t="shared" si="98"/>
        <v>6.25E-2</v>
      </c>
      <c r="AN824" s="4">
        <f t="shared" si="103"/>
        <v>9.46611132146914E-5</v>
      </c>
      <c r="AO824" s="3"/>
      <c r="AP824">
        <v>0</v>
      </c>
      <c r="AR824" t="s">
        <v>0</v>
      </c>
      <c r="AT824" s="2">
        <v>1.3140000000000001</v>
      </c>
      <c r="AU824" s="1">
        <f t="shared" si="99"/>
        <v>0.70356859130466531</v>
      </c>
      <c r="AV824" s="1">
        <f t="shared" si="100"/>
        <v>0.50525359702375217</v>
      </c>
      <c r="AW824" s="1">
        <f t="shared" si="101"/>
        <v>0.30693860274283891</v>
      </c>
    </row>
    <row r="825" spans="1:49" x14ac:dyDescent="0.2">
      <c r="A825">
        <v>823</v>
      </c>
      <c r="B825" t="s">
        <v>1776</v>
      </c>
      <c r="C825" t="s">
        <v>1775</v>
      </c>
      <c r="D825" t="s">
        <v>1774</v>
      </c>
      <c r="E825">
        <v>2323978</v>
      </c>
      <c r="F825" t="s">
        <v>1773</v>
      </c>
      <c r="G825" t="s">
        <v>14</v>
      </c>
      <c r="H825" t="s">
        <v>13</v>
      </c>
      <c r="I825" t="s">
        <v>1772</v>
      </c>
      <c r="J825">
        <v>60025488</v>
      </c>
      <c r="K825" t="s">
        <v>1771</v>
      </c>
      <c r="L825" t="s">
        <v>1770</v>
      </c>
      <c r="M825" t="s">
        <v>197</v>
      </c>
      <c r="N825">
        <v>3</v>
      </c>
      <c r="O825" t="s">
        <v>1769</v>
      </c>
      <c r="P825" t="s">
        <v>1768</v>
      </c>
      <c r="Q825" t="s">
        <v>1767</v>
      </c>
      <c r="R825" s="7">
        <v>32874</v>
      </c>
      <c r="S825" s="8">
        <f t="shared" si="96"/>
        <v>1990</v>
      </c>
      <c r="T825" s="8">
        <v>1990</v>
      </c>
      <c r="U825" s="8">
        <f t="shared" si="97"/>
        <v>32</v>
      </c>
      <c r="V825" s="7">
        <v>32964</v>
      </c>
      <c r="W825" t="s">
        <v>486</v>
      </c>
      <c r="X825" s="2" t="s">
        <v>126</v>
      </c>
      <c r="Y825" s="6" t="e">
        <f t="shared" si="102"/>
        <v>#VALUE!</v>
      </c>
      <c r="AA825">
        <v>3603016</v>
      </c>
      <c r="AB825">
        <v>17191</v>
      </c>
      <c r="AD825" t="s">
        <v>5</v>
      </c>
      <c r="AE825">
        <v>18</v>
      </c>
      <c r="AF825">
        <v>4</v>
      </c>
      <c r="AH825" t="s">
        <v>1766</v>
      </c>
      <c r="AI825" t="s">
        <v>1765</v>
      </c>
      <c r="AJ825" t="s">
        <v>1764</v>
      </c>
      <c r="AK825" t="s">
        <v>1763</v>
      </c>
      <c r="AL825">
        <v>8</v>
      </c>
      <c r="AM825" s="5">
        <f t="shared" si="98"/>
        <v>0.25</v>
      </c>
      <c r="AN825" s="4">
        <f t="shared" si="103"/>
        <v>3.786444528587656E-4</v>
      </c>
      <c r="AO825" s="3"/>
      <c r="AP825">
        <v>0</v>
      </c>
      <c r="AR825" t="s">
        <v>0</v>
      </c>
      <c r="AT825" s="2" t="s">
        <v>126</v>
      </c>
      <c r="AU825" s="1" t="e">
        <f t="shared" si="99"/>
        <v>#VALUE!</v>
      </c>
      <c r="AV825" s="1" t="e">
        <f t="shared" si="100"/>
        <v>#VALUE!</v>
      </c>
      <c r="AW825" s="1" t="e">
        <f t="shared" si="101"/>
        <v>#VALUE!</v>
      </c>
    </row>
    <row r="826" spans="1:49" x14ac:dyDescent="0.2">
      <c r="A826">
        <v>824</v>
      </c>
      <c r="B826" t="s">
        <v>1762</v>
      </c>
      <c r="C826" t="s">
        <v>1761</v>
      </c>
      <c r="D826" t="s">
        <v>1760</v>
      </c>
      <c r="F826" t="s">
        <v>1759</v>
      </c>
      <c r="G826" t="s">
        <v>14</v>
      </c>
      <c r="H826" t="s">
        <v>13</v>
      </c>
      <c r="I826" t="s">
        <v>809</v>
      </c>
      <c r="J826">
        <v>60005460</v>
      </c>
      <c r="K826" t="s">
        <v>295</v>
      </c>
      <c r="L826" t="s">
        <v>294</v>
      </c>
      <c r="M826" t="s">
        <v>135</v>
      </c>
      <c r="N826">
        <v>2</v>
      </c>
      <c r="O826" t="s">
        <v>1758</v>
      </c>
      <c r="P826" t="s">
        <v>807</v>
      </c>
      <c r="Q826" t="s">
        <v>806</v>
      </c>
      <c r="R826" s="7">
        <v>32874</v>
      </c>
      <c r="S826" s="8">
        <f t="shared" si="96"/>
        <v>1990</v>
      </c>
      <c r="T826" s="8">
        <v>1990</v>
      </c>
      <c r="U826" s="8">
        <f t="shared" si="97"/>
        <v>32</v>
      </c>
      <c r="V826" s="7">
        <v>1990</v>
      </c>
      <c r="W826" t="s">
        <v>805</v>
      </c>
      <c r="X826" s="2">
        <v>0.58399999999999996</v>
      </c>
      <c r="Y826" s="6">
        <f t="shared" si="102"/>
        <v>1.5589546461653453E-2</v>
      </c>
      <c r="AA826">
        <v>408166</v>
      </c>
      <c r="AB826">
        <v>19057</v>
      </c>
      <c r="AD826" t="s">
        <v>5</v>
      </c>
      <c r="AE826">
        <v>22</v>
      </c>
      <c r="AF826">
        <v>3</v>
      </c>
      <c r="AH826" t="s">
        <v>1757</v>
      </c>
      <c r="AI826" t="s">
        <v>1756</v>
      </c>
      <c r="AJ826" t="s">
        <v>1755</v>
      </c>
      <c r="AK826" t="s">
        <v>1754</v>
      </c>
      <c r="AL826">
        <v>21</v>
      </c>
      <c r="AM826" s="5">
        <f t="shared" si="98"/>
        <v>0.65625</v>
      </c>
      <c r="AN826" s="4">
        <f t="shared" si="103"/>
        <v>9.9394168875425971E-4</v>
      </c>
      <c r="AO826" s="3"/>
      <c r="AP826">
        <v>0</v>
      </c>
      <c r="AR826" t="s">
        <v>0</v>
      </c>
      <c r="AT826" s="2" t="s">
        <v>126</v>
      </c>
      <c r="AU826" s="1">
        <f t="shared" si="99"/>
        <v>1.1210865029783694</v>
      </c>
      <c r="AV826" s="1">
        <f t="shared" si="100"/>
        <v>0.82917440752038551</v>
      </c>
      <c r="AW826" s="1">
        <f t="shared" si="101"/>
        <v>0.53726231206240183</v>
      </c>
    </row>
    <row r="827" spans="1:49" x14ac:dyDescent="0.2">
      <c r="A827">
        <v>825</v>
      </c>
      <c r="B827" t="s">
        <v>1753</v>
      </c>
      <c r="C827" t="s">
        <v>1752</v>
      </c>
      <c r="F827" t="s">
        <v>1751</v>
      </c>
      <c r="G827" t="s">
        <v>14</v>
      </c>
      <c r="H827" t="s">
        <v>13</v>
      </c>
      <c r="I827" t="s">
        <v>1750</v>
      </c>
      <c r="J827" t="s">
        <v>1749</v>
      </c>
      <c r="K827" t="s">
        <v>1748</v>
      </c>
      <c r="L827" t="s">
        <v>1747</v>
      </c>
      <c r="M827" t="s">
        <v>1746</v>
      </c>
      <c r="N827">
        <v>2</v>
      </c>
      <c r="O827" t="s">
        <v>1745</v>
      </c>
      <c r="P827" t="s">
        <v>1744</v>
      </c>
      <c r="Q827" t="s">
        <v>1743</v>
      </c>
      <c r="R827" s="7">
        <v>32874</v>
      </c>
      <c r="S827" s="8">
        <f t="shared" si="96"/>
        <v>1990</v>
      </c>
      <c r="T827" s="8">
        <v>1990</v>
      </c>
      <c r="U827" s="8">
        <f t="shared" si="97"/>
        <v>32</v>
      </c>
      <c r="V827" s="7">
        <v>32994</v>
      </c>
      <c r="W827" t="s">
        <v>1742</v>
      </c>
      <c r="X827" s="2">
        <v>5.0110000000000001</v>
      </c>
      <c r="Y827" s="6">
        <f t="shared" si="102"/>
        <v>0.13376578308107098</v>
      </c>
      <c r="AA827">
        <v>278424</v>
      </c>
      <c r="AB827">
        <v>21121</v>
      </c>
      <c r="AD827" t="s">
        <v>5</v>
      </c>
      <c r="AE827">
        <v>87</v>
      </c>
      <c r="AF827">
        <v>9</v>
      </c>
      <c r="AH827" t="s">
        <v>1741</v>
      </c>
      <c r="AI827" t="s">
        <v>1740</v>
      </c>
      <c r="AJ827" t="s">
        <v>1739</v>
      </c>
      <c r="AK827" t="s">
        <v>1738</v>
      </c>
      <c r="AL827">
        <v>20</v>
      </c>
      <c r="AM827" s="5">
        <f t="shared" si="98"/>
        <v>0.625</v>
      </c>
      <c r="AN827" s="4">
        <f t="shared" si="103"/>
        <v>9.4661113214691405E-4</v>
      </c>
      <c r="AO827" s="3"/>
      <c r="AP827">
        <v>0</v>
      </c>
      <c r="AR827" t="s">
        <v>0</v>
      </c>
      <c r="AT827" s="2" t="s">
        <v>126</v>
      </c>
      <c r="AU827" s="1">
        <f t="shared" si="99"/>
        <v>9.3920031496393754</v>
      </c>
      <c r="AV827" s="1">
        <f t="shared" si="100"/>
        <v>6.7356197106608953</v>
      </c>
      <c r="AW827" s="1">
        <f t="shared" si="101"/>
        <v>4.0792362716824133</v>
      </c>
    </row>
    <row r="828" spans="1:49" x14ac:dyDescent="0.2">
      <c r="A828">
        <v>826</v>
      </c>
      <c r="B828" t="s">
        <v>1737</v>
      </c>
      <c r="C828" t="s">
        <v>1736</v>
      </c>
      <c r="F828" t="s">
        <v>1735</v>
      </c>
      <c r="G828" t="s">
        <v>14</v>
      </c>
      <c r="H828" t="s">
        <v>13</v>
      </c>
      <c r="I828" t="s">
        <v>1734</v>
      </c>
      <c r="J828" t="s">
        <v>1728</v>
      </c>
      <c r="K828" t="s">
        <v>1733</v>
      </c>
      <c r="L828" t="s">
        <v>1732</v>
      </c>
      <c r="M828" t="s">
        <v>1731</v>
      </c>
      <c r="N828">
        <v>2</v>
      </c>
      <c r="O828" t="s">
        <v>1730</v>
      </c>
      <c r="P828" t="s">
        <v>1729</v>
      </c>
      <c r="Q828" t="s">
        <v>1728</v>
      </c>
      <c r="R828" s="7">
        <v>32874</v>
      </c>
      <c r="S828" s="8">
        <f t="shared" si="96"/>
        <v>1990</v>
      </c>
      <c r="T828" s="8">
        <v>1990</v>
      </c>
      <c r="U828" s="8">
        <f t="shared" si="97"/>
        <v>32</v>
      </c>
      <c r="V828" s="7">
        <v>32905</v>
      </c>
      <c r="W828" t="s">
        <v>1727</v>
      </c>
      <c r="X828" s="2">
        <v>0.8</v>
      </c>
      <c r="Y828" s="6">
        <f t="shared" si="102"/>
        <v>2.1355543098155415E-2</v>
      </c>
      <c r="AA828">
        <v>3407594</v>
      </c>
      <c r="AB828">
        <v>23456</v>
      </c>
      <c r="AC828">
        <v>14321351</v>
      </c>
      <c r="AD828" t="s">
        <v>5</v>
      </c>
      <c r="AE828">
        <v>166</v>
      </c>
      <c r="AF828">
        <v>4</v>
      </c>
      <c r="AH828" t="s">
        <v>1726</v>
      </c>
      <c r="AI828" t="s">
        <v>1725</v>
      </c>
      <c r="AJ828" t="s">
        <v>1724</v>
      </c>
      <c r="AK828" t="s">
        <v>1723</v>
      </c>
      <c r="AL828">
        <v>14</v>
      </c>
      <c r="AM828" s="5">
        <f t="shared" si="98"/>
        <v>0.4375</v>
      </c>
      <c r="AN828" s="4">
        <f t="shared" si="103"/>
        <v>6.6262779250283988E-4</v>
      </c>
      <c r="AO828" s="3"/>
      <c r="AP828">
        <v>0</v>
      </c>
      <c r="AR828" t="s">
        <v>0</v>
      </c>
      <c r="AT828" s="2" t="s">
        <v>126</v>
      </c>
      <c r="AU828" s="1">
        <f t="shared" si="99"/>
        <v>1.5147668506459642</v>
      </c>
      <c r="AV828" s="1">
        <f t="shared" si="100"/>
        <v>1.1009085445329128</v>
      </c>
      <c r="AW828" s="1">
        <f t="shared" si="101"/>
        <v>0.68705023841986124</v>
      </c>
    </row>
    <row r="829" spans="1:49" x14ac:dyDescent="0.2">
      <c r="A829">
        <v>827</v>
      </c>
      <c r="B829" t="s">
        <v>1722</v>
      </c>
      <c r="C829" t="s">
        <v>1721</v>
      </c>
      <c r="E829">
        <v>2376677</v>
      </c>
      <c r="F829" t="s">
        <v>1720</v>
      </c>
      <c r="G829" t="s">
        <v>14</v>
      </c>
      <c r="H829" t="s">
        <v>13</v>
      </c>
      <c r="I829" t="s">
        <v>1719</v>
      </c>
      <c r="J829">
        <v>60006263</v>
      </c>
      <c r="K829" t="s">
        <v>1718</v>
      </c>
      <c r="L829" t="s">
        <v>1717</v>
      </c>
      <c r="M829" t="s">
        <v>197</v>
      </c>
      <c r="N829">
        <v>4</v>
      </c>
      <c r="O829" t="s">
        <v>1716</v>
      </c>
      <c r="P829" t="s">
        <v>1715</v>
      </c>
      <c r="Q829" t="s">
        <v>1714</v>
      </c>
      <c r="R829" s="7">
        <v>32874</v>
      </c>
      <c r="S829" s="8">
        <f t="shared" ref="S829:S892" si="104">YEAR(R829)</f>
        <v>1990</v>
      </c>
      <c r="T829" s="8">
        <v>1990</v>
      </c>
      <c r="U829" s="8">
        <f t="shared" ref="U829:U892" si="105">2022-T829</f>
        <v>32</v>
      </c>
      <c r="V829" s="7">
        <v>1990</v>
      </c>
      <c r="W829" t="s">
        <v>576</v>
      </c>
      <c r="X829" s="2">
        <v>0.89600000000000002</v>
      </c>
      <c r="Y829" s="6">
        <f t="shared" si="102"/>
        <v>2.3918208269934065E-2</v>
      </c>
      <c r="AA829">
        <v>2656736</v>
      </c>
      <c r="AB829">
        <v>29901</v>
      </c>
      <c r="AD829" t="s">
        <v>5</v>
      </c>
      <c r="AE829">
        <v>6</v>
      </c>
      <c r="AF829">
        <v>3</v>
      </c>
      <c r="AH829" t="s">
        <v>1713</v>
      </c>
      <c r="AI829" t="s">
        <v>1712</v>
      </c>
      <c r="AJ829" t="s">
        <v>1711</v>
      </c>
      <c r="AK829" t="s">
        <v>1710</v>
      </c>
      <c r="AL829">
        <v>31</v>
      </c>
      <c r="AM829" s="5">
        <f t="shared" ref="AM829:AM892" si="106">AL829/U829</f>
        <v>0.96875</v>
      </c>
      <c r="AN829" s="4">
        <f t="shared" si="103"/>
        <v>1.4672472548277167E-3</v>
      </c>
      <c r="AO829" s="3"/>
      <c r="AP829">
        <v>0</v>
      </c>
      <c r="AR829" t="s">
        <v>0</v>
      </c>
      <c r="AT829" s="2">
        <v>3.9140000000000001</v>
      </c>
      <c r="AU829" s="1">
        <f t="shared" ref="AU829:AU892" si="107">(Y829*0.7+AN829*0.3)*100</f>
        <v>1.7182919965402159</v>
      </c>
      <c r="AV829" s="1">
        <f t="shared" ref="AV829:AV892" si="108">(Y829*0.5+AN829*0.5)*100</f>
        <v>1.2692727762380891</v>
      </c>
      <c r="AW829" s="1">
        <f t="shared" ref="AW829:AW892" si="109">(Y829*0.3+AN829*0.7)*100</f>
        <v>0.82025355593596194</v>
      </c>
    </row>
    <row r="830" spans="1:49" x14ac:dyDescent="0.2">
      <c r="A830">
        <v>828</v>
      </c>
      <c r="B830" t="s">
        <v>1709</v>
      </c>
      <c r="C830" t="s">
        <v>1708</v>
      </c>
      <c r="D830">
        <v>12160690900906</v>
      </c>
      <c r="E830">
        <v>2373260</v>
      </c>
      <c r="F830" t="s">
        <v>1707</v>
      </c>
      <c r="G830" t="s">
        <v>14</v>
      </c>
      <c r="H830" t="s">
        <v>13</v>
      </c>
      <c r="I830" t="s">
        <v>1706</v>
      </c>
      <c r="J830" t="s">
        <v>1705</v>
      </c>
      <c r="K830" t="s">
        <v>1704</v>
      </c>
      <c r="L830" t="s">
        <v>1703</v>
      </c>
      <c r="M830" t="s">
        <v>1702</v>
      </c>
      <c r="N830">
        <v>5</v>
      </c>
      <c r="O830" t="s">
        <v>1701</v>
      </c>
      <c r="P830" t="s">
        <v>1700</v>
      </c>
      <c r="Q830" t="s">
        <v>1699</v>
      </c>
      <c r="R830" s="7">
        <v>32874</v>
      </c>
      <c r="S830" s="8">
        <f t="shared" si="104"/>
        <v>1990</v>
      </c>
      <c r="T830" s="8">
        <v>1990</v>
      </c>
      <c r="U830" s="8">
        <f t="shared" si="105"/>
        <v>32</v>
      </c>
      <c r="V830" s="7">
        <v>33086</v>
      </c>
      <c r="W830" t="s">
        <v>1698</v>
      </c>
      <c r="X830" s="2">
        <v>1.77</v>
      </c>
      <c r="Y830" s="6">
        <f t="shared" si="102"/>
        <v>4.7249139104668859E-2</v>
      </c>
      <c r="AA830">
        <v>121606</v>
      </c>
      <c r="AB830">
        <v>14536</v>
      </c>
      <c r="AD830" t="s">
        <v>5</v>
      </c>
      <c r="AE830">
        <v>140</v>
      </c>
      <c r="AF830">
        <v>2</v>
      </c>
      <c r="AH830" t="s">
        <v>1697</v>
      </c>
      <c r="AI830" t="s">
        <v>1696</v>
      </c>
      <c r="AK830" t="s">
        <v>1695</v>
      </c>
      <c r="AL830">
        <v>45</v>
      </c>
      <c r="AM830" s="5">
        <f t="shared" si="106"/>
        <v>1.40625</v>
      </c>
      <c r="AN830" s="4">
        <f t="shared" si="103"/>
        <v>2.1298750473305564E-3</v>
      </c>
      <c r="AO830" s="3"/>
      <c r="AP830">
        <v>0</v>
      </c>
      <c r="AQ830" t="s">
        <v>1454</v>
      </c>
      <c r="AR830" t="s">
        <v>0</v>
      </c>
      <c r="AS830" t="s">
        <v>1452</v>
      </c>
      <c r="AT830" s="2">
        <v>3.5819999999999999</v>
      </c>
      <c r="AU830" s="1">
        <f t="shared" si="107"/>
        <v>3.3713359887467367</v>
      </c>
      <c r="AV830" s="1">
        <f t="shared" si="108"/>
        <v>2.468950707599971</v>
      </c>
      <c r="AW830" s="1">
        <f t="shared" si="109"/>
        <v>1.5665654264532047</v>
      </c>
    </row>
    <row r="831" spans="1:49" x14ac:dyDescent="0.2">
      <c r="A831">
        <v>829</v>
      </c>
      <c r="B831" t="s">
        <v>1694</v>
      </c>
      <c r="C831" t="s">
        <v>1693</v>
      </c>
      <c r="E831">
        <v>2386806</v>
      </c>
      <c r="F831" t="s">
        <v>1692</v>
      </c>
      <c r="G831" t="s">
        <v>14</v>
      </c>
      <c r="H831" t="s">
        <v>13</v>
      </c>
      <c r="I831" t="s">
        <v>1691</v>
      </c>
      <c r="J831" t="s">
        <v>1690</v>
      </c>
      <c r="K831" t="s">
        <v>1689</v>
      </c>
      <c r="L831" t="s">
        <v>1688</v>
      </c>
      <c r="M831" t="s">
        <v>1687</v>
      </c>
      <c r="N831">
        <v>3</v>
      </c>
      <c r="O831" t="s">
        <v>1686</v>
      </c>
      <c r="P831" t="s">
        <v>1685</v>
      </c>
      <c r="Q831" t="s">
        <v>1684</v>
      </c>
      <c r="R831" s="7">
        <v>32874</v>
      </c>
      <c r="S831" s="8">
        <f t="shared" si="104"/>
        <v>1990</v>
      </c>
      <c r="T831" s="8">
        <v>1990</v>
      </c>
      <c r="U831" s="8">
        <f t="shared" si="105"/>
        <v>32</v>
      </c>
      <c r="V831" s="7" t="s">
        <v>1683</v>
      </c>
      <c r="W831" t="s">
        <v>1682</v>
      </c>
      <c r="X831" s="2">
        <v>0.55600000000000005</v>
      </c>
      <c r="Y831" s="6">
        <f t="shared" si="102"/>
        <v>1.4842102453218015E-2</v>
      </c>
      <c r="AA831">
        <v>63525</v>
      </c>
      <c r="AB831">
        <v>25799</v>
      </c>
      <c r="AC831">
        <v>10970282</v>
      </c>
      <c r="AD831" t="s">
        <v>5</v>
      </c>
      <c r="AE831">
        <v>29</v>
      </c>
      <c r="AF831" s="10">
        <v>41609</v>
      </c>
      <c r="AH831" t="s">
        <v>1681</v>
      </c>
      <c r="AI831" t="s">
        <v>1680</v>
      </c>
      <c r="AK831" t="s">
        <v>1679</v>
      </c>
      <c r="AL831">
        <v>46</v>
      </c>
      <c r="AM831" s="5">
        <f t="shared" si="106"/>
        <v>1.4375</v>
      </c>
      <c r="AN831" s="4">
        <f t="shared" si="103"/>
        <v>2.1772056039379025E-3</v>
      </c>
      <c r="AO831" s="3"/>
      <c r="AP831">
        <v>0</v>
      </c>
      <c r="AR831" t="s">
        <v>0</v>
      </c>
      <c r="AT831" s="2">
        <v>2.5049999999999999</v>
      </c>
      <c r="AU831" s="1">
        <f t="shared" si="107"/>
        <v>1.1042633398433981</v>
      </c>
      <c r="AV831" s="1">
        <f t="shared" si="108"/>
        <v>0.85096540285779576</v>
      </c>
      <c r="AW831" s="1">
        <f t="shared" si="109"/>
        <v>0.59766746587219355</v>
      </c>
    </row>
    <row r="832" spans="1:49" x14ac:dyDescent="0.2">
      <c r="A832">
        <v>830</v>
      </c>
      <c r="B832" t="s">
        <v>1678</v>
      </c>
      <c r="E832">
        <v>2167012</v>
      </c>
      <c r="F832" t="s">
        <v>1677</v>
      </c>
      <c r="G832" t="s">
        <v>14</v>
      </c>
      <c r="H832" t="s">
        <v>13</v>
      </c>
      <c r="I832" t="s">
        <v>1519</v>
      </c>
      <c r="J832">
        <v>60016416</v>
      </c>
      <c r="K832" t="s">
        <v>1518</v>
      </c>
      <c r="L832" t="s">
        <v>1517</v>
      </c>
      <c r="M832" t="s">
        <v>267</v>
      </c>
      <c r="N832">
        <v>7</v>
      </c>
      <c r="O832" t="s">
        <v>1676</v>
      </c>
      <c r="P832" t="s">
        <v>1675</v>
      </c>
      <c r="Q832" t="s">
        <v>1674</v>
      </c>
      <c r="R832" s="7">
        <v>32874</v>
      </c>
      <c r="S832" s="8">
        <f t="shared" si="104"/>
        <v>1990</v>
      </c>
      <c r="T832" s="8">
        <v>1990</v>
      </c>
      <c r="U832" s="8">
        <f t="shared" si="105"/>
        <v>32</v>
      </c>
      <c r="V832" s="7">
        <v>1990</v>
      </c>
      <c r="W832" t="s">
        <v>1513</v>
      </c>
      <c r="X832" s="2">
        <v>1.589</v>
      </c>
      <c r="Y832" s="6">
        <f t="shared" si="102"/>
        <v>4.2417447478711193E-2</v>
      </c>
      <c r="AA832">
        <v>29440</v>
      </c>
      <c r="AB832">
        <v>27062</v>
      </c>
      <c r="AD832" t="s">
        <v>5</v>
      </c>
      <c r="AE832">
        <v>137</v>
      </c>
      <c r="AF832">
        <v>2</v>
      </c>
      <c r="AH832" t="s">
        <v>1673</v>
      </c>
      <c r="AI832" t="s">
        <v>1672</v>
      </c>
      <c r="AK832" t="s">
        <v>1671</v>
      </c>
      <c r="AL832">
        <v>13</v>
      </c>
      <c r="AM832" s="5">
        <f t="shared" si="106"/>
        <v>0.40625</v>
      </c>
      <c r="AN832" s="4">
        <f t="shared" si="103"/>
        <v>6.1529723589549411E-4</v>
      </c>
      <c r="AO832" s="3"/>
      <c r="AP832">
        <v>0</v>
      </c>
      <c r="AR832" t="s">
        <v>0</v>
      </c>
      <c r="AT832" s="2">
        <v>4.3070000000000004</v>
      </c>
      <c r="AU832" s="1">
        <f t="shared" si="107"/>
        <v>2.9876802405866481</v>
      </c>
      <c r="AV832" s="1">
        <f t="shared" si="108"/>
        <v>2.1516372357303344</v>
      </c>
      <c r="AW832" s="1">
        <f t="shared" si="109"/>
        <v>1.3155942308740203</v>
      </c>
    </row>
    <row r="833" spans="1:49" x14ac:dyDescent="0.2">
      <c r="A833">
        <v>831</v>
      </c>
      <c r="B833" t="s">
        <v>1670</v>
      </c>
      <c r="C833" t="s">
        <v>1669</v>
      </c>
      <c r="F833" t="s">
        <v>1668</v>
      </c>
      <c r="G833" t="s">
        <v>14</v>
      </c>
      <c r="H833" t="s">
        <v>13</v>
      </c>
      <c r="I833" t="s">
        <v>1667</v>
      </c>
      <c r="J833">
        <v>60022195</v>
      </c>
      <c r="K833" t="s">
        <v>1666</v>
      </c>
      <c r="L833" t="s">
        <v>1665</v>
      </c>
      <c r="M833" t="s">
        <v>197</v>
      </c>
      <c r="N833">
        <v>2</v>
      </c>
      <c r="O833" t="s">
        <v>1664</v>
      </c>
      <c r="P833" t="s">
        <v>1663</v>
      </c>
      <c r="Q833" t="s">
        <v>1662</v>
      </c>
      <c r="R833" s="7">
        <v>32874</v>
      </c>
      <c r="S833" s="8">
        <f t="shared" si="104"/>
        <v>1990</v>
      </c>
      <c r="T833" s="8">
        <v>1990</v>
      </c>
      <c r="U833" s="8">
        <f t="shared" si="105"/>
        <v>32</v>
      </c>
      <c r="V833" s="7">
        <v>33055</v>
      </c>
      <c r="W833" t="s">
        <v>1661</v>
      </c>
      <c r="X833" s="2">
        <v>0.61899999999999999</v>
      </c>
      <c r="Y833" s="6">
        <f t="shared" si="102"/>
        <v>1.6523851472197752E-2</v>
      </c>
      <c r="AA833">
        <v>14966</v>
      </c>
      <c r="AB833">
        <v>12936</v>
      </c>
      <c r="AC833" t="s">
        <v>925</v>
      </c>
      <c r="AD833" t="s">
        <v>5</v>
      </c>
      <c r="AE833">
        <v>88</v>
      </c>
      <c r="AF833">
        <v>1</v>
      </c>
      <c r="AH833" t="s">
        <v>1660</v>
      </c>
      <c r="AI833" t="s">
        <v>1659</v>
      </c>
      <c r="AK833" t="s">
        <v>1658</v>
      </c>
      <c r="AL833">
        <v>15</v>
      </c>
      <c r="AM833" s="5">
        <f t="shared" si="106"/>
        <v>0.46875</v>
      </c>
      <c r="AN833" s="4">
        <f t="shared" si="103"/>
        <v>7.0995834911018554E-4</v>
      </c>
      <c r="AO833" s="3"/>
      <c r="AP833">
        <v>0</v>
      </c>
      <c r="AR833" t="s">
        <v>0</v>
      </c>
      <c r="AT833" s="2" t="s">
        <v>126</v>
      </c>
      <c r="AU833" s="1">
        <f t="shared" si="107"/>
        <v>1.1779683535271481</v>
      </c>
      <c r="AV833" s="1">
        <f t="shared" si="108"/>
        <v>0.86169049106539686</v>
      </c>
      <c r="AW833" s="1">
        <f t="shared" si="109"/>
        <v>0.54541262860364559</v>
      </c>
    </row>
    <row r="834" spans="1:49" x14ac:dyDescent="0.2">
      <c r="A834">
        <v>832</v>
      </c>
      <c r="B834" t="s">
        <v>1657</v>
      </c>
      <c r="C834" t="s">
        <v>1656</v>
      </c>
      <c r="D834" t="s">
        <v>1655</v>
      </c>
      <c r="F834" t="s">
        <v>1654</v>
      </c>
      <c r="G834" t="s">
        <v>14</v>
      </c>
      <c r="H834" t="s">
        <v>13</v>
      </c>
      <c r="I834" t="s">
        <v>1653</v>
      </c>
      <c r="J834">
        <v>60072285</v>
      </c>
      <c r="K834" t="s">
        <v>1652</v>
      </c>
      <c r="L834" t="s">
        <v>1651</v>
      </c>
      <c r="M834" t="s">
        <v>135</v>
      </c>
      <c r="N834">
        <v>2</v>
      </c>
      <c r="O834" t="s">
        <v>1650</v>
      </c>
      <c r="P834" t="s">
        <v>1649</v>
      </c>
      <c r="Q834" t="s">
        <v>1648</v>
      </c>
      <c r="R834" s="7">
        <v>32874</v>
      </c>
      <c r="S834" s="8">
        <f t="shared" si="104"/>
        <v>1990</v>
      </c>
      <c r="T834" s="8">
        <v>1990</v>
      </c>
      <c r="U834" s="8">
        <f t="shared" si="105"/>
        <v>32</v>
      </c>
      <c r="V834" s="7">
        <v>1990</v>
      </c>
      <c r="W834" t="s">
        <v>1647</v>
      </c>
      <c r="X834" s="2">
        <v>1.7130000000000001</v>
      </c>
      <c r="Y834" s="6">
        <f t="shared" ref="Y834:Y897" si="110">(X834-$Z$4)/($Z$3-$Z$4)</f>
        <v>4.5727556658925285E-2</v>
      </c>
      <c r="AA834">
        <v>63495</v>
      </c>
      <c r="AB834">
        <v>14859</v>
      </c>
      <c r="AD834" t="s">
        <v>5</v>
      </c>
      <c r="AE834">
        <v>57</v>
      </c>
      <c r="AF834">
        <v>6</v>
      </c>
      <c r="AH834" t="s">
        <v>1646</v>
      </c>
      <c r="AI834" t="s">
        <v>1645</v>
      </c>
      <c r="AK834" t="s">
        <v>1644</v>
      </c>
      <c r="AL834">
        <v>21</v>
      </c>
      <c r="AM834" s="5">
        <f t="shared" si="106"/>
        <v>0.65625</v>
      </c>
      <c r="AN834" s="4">
        <f t="shared" ref="AN834:AN897" si="111">(AM834-$AO$4)/($AO$3-$AO$4)</f>
        <v>9.9394168875425971E-4</v>
      </c>
      <c r="AO834" s="3"/>
      <c r="AP834">
        <v>1</v>
      </c>
      <c r="AR834" t="s">
        <v>0</v>
      </c>
      <c r="AT834" s="2">
        <v>4.0330000000000004</v>
      </c>
      <c r="AU834" s="1">
        <f t="shared" si="107"/>
        <v>3.2307472167873974</v>
      </c>
      <c r="AV834" s="1">
        <f t="shared" si="108"/>
        <v>2.3360749173839772</v>
      </c>
      <c r="AW834" s="1">
        <f t="shared" si="109"/>
        <v>1.4414026179805566</v>
      </c>
    </row>
    <row r="835" spans="1:49" x14ac:dyDescent="0.2">
      <c r="A835">
        <v>833</v>
      </c>
      <c r="B835" t="s">
        <v>1643</v>
      </c>
      <c r="C835" t="s">
        <v>1642</v>
      </c>
      <c r="D835">
        <v>40816690900277</v>
      </c>
      <c r="F835" t="s">
        <v>1641</v>
      </c>
      <c r="G835" t="s">
        <v>14</v>
      </c>
      <c r="H835" t="s">
        <v>13</v>
      </c>
      <c r="I835" t="s">
        <v>1640</v>
      </c>
      <c r="J835">
        <v>100337450</v>
      </c>
      <c r="K835" t="s">
        <v>1639</v>
      </c>
      <c r="L835" t="s">
        <v>1638</v>
      </c>
      <c r="M835" t="s">
        <v>1637</v>
      </c>
      <c r="N835">
        <v>1</v>
      </c>
      <c r="O835" t="s">
        <v>1636</v>
      </c>
      <c r="P835">
        <v>6602654288</v>
      </c>
      <c r="Q835">
        <v>100337450</v>
      </c>
      <c r="R835" s="7">
        <v>32874</v>
      </c>
      <c r="S835" s="8">
        <f t="shared" si="104"/>
        <v>1990</v>
      </c>
      <c r="T835" s="8">
        <v>1990</v>
      </c>
      <c r="U835" s="8">
        <f t="shared" si="105"/>
        <v>32</v>
      </c>
      <c r="V835" s="7">
        <v>1990</v>
      </c>
      <c r="W835" t="s">
        <v>805</v>
      </c>
      <c r="X835" s="2">
        <v>0.58399999999999996</v>
      </c>
      <c r="Y835" s="6">
        <f t="shared" si="110"/>
        <v>1.5589546461653453E-2</v>
      </c>
      <c r="AA835">
        <v>408166</v>
      </c>
      <c r="AB835">
        <v>19057</v>
      </c>
      <c r="AD835" t="s">
        <v>5</v>
      </c>
      <c r="AE835">
        <v>22</v>
      </c>
      <c r="AF835">
        <v>2</v>
      </c>
      <c r="AH835" t="s">
        <v>1635</v>
      </c>
      <c r="AI835" t="s">
        <v>1634</v>
      </c>
      <c r="AJ835" t="s">
        <v>1633</v>
      </c>
      <c r="AK835" t="s">
        <v>1632</v>
      </c>
      <c r="AL835">
        <v>5</v>
      </c>
      <c r="AM835" s="5">
        <f t="shared" si="106"/>
        <v>0.15625</v>
      </c>
      <c r="AN835" s="4">
        <f t="shared" si="111"/>
        <v>2.3665278303672851E-4</v>
      </c>
      <c r="AO835" s="3"/>
      <c r="AP835">
        <v>0</v>
      </c>
      <c r="AR835" t="s">
        <v>0</v>
      </c>
      <c r="AT835" s="2" t="s">
        <v>126</v>
      </c>
      <c r="AU835" s="1">
        <f t="shared" si="107"/>
        <v>1.0983678358068434</v>
      </c>
      <c r="AV835" s="1">
        <f t="shared" si="108"/>
        <v>0.791309962234509</v>
      </c>
      <c r="AW835" s="1">
        <f t="shared" si="109"/>
        <v>0.48425208866217462</v>
      </c>
    </row>
    <row r="836" spans="1:49" x14ac:dyDescent="0.2">
      <c r="A836">
        <v>834</v>
      </c>
      <c r="B836" t="s">
        <v>1631</v>
      </c>
      <c r="C836" t="s">
        <v>1630</v>
      </c>
      <c r="E836">
        <v>2376676</v>
      </c>
      <c r="F836" t="s">
        <v>1629</v>
      </c>
      <c r="G836" t="s">
        <v>14</v>
      </c>
      <c r="H836" t="s">
        <v>13</v>
      </c>
      <c r="I836" t="s">
        <v>1628</v>
      </c>
      <c r="J836" t="s">
        <v>1627</v>
      </c>
      <c r="K836" t="s">
        <v>1626</v>
      </c>
      <c r="L836" t="s">
        <v>1625</v>
      </c>
      <c r="M836" t="s">
        <v>84</v>
      </c>
      <c r="N836">
        <v>4</v>
      </c>
      <c r="O836" t="s">
        <v>1624</v>
      </c>
      <c r="P836" t="s">
        <v>1623</v>
      </c>
      <c r="Q836" t="s">
        <v>1622</v>
      </c>
      <c r="R836" s="7">
        <v>32874</v>
      </c>
      <c r="S836" s="8">
        <f t="shared" si="104"/>
        <v>1990</v>
      </c>
      <c r="T836" s="8">
        <v>1990</v>
      </c>
      <c r="U836" s="8">
        <f t="shared" si="105"/>
        <v>32</v>
      </c>
      <c r="V836" s="7">
        <v>1990</v>
      </c>
      <c r="W836" t="s">
        <v>576</v>
      </c>
      <c r="X836" s="2">
        <v>0.89600000000000002</v>
      </c>
      <c r="Y836" s="6">
        <f t="shared" si="110"/>
        <v>2.3918208269934065E-2</v>
      </c>
      <c r="AA836">
        <v>2656736</v>
      </c>
      <c r="AB836">
        <v>29901</v>
      </c>
      <c r="AD836" t="s">
        <v>5</v>
      </c>
      <c r="AE836">
        <v>6</v>
      </c>
      <c r="AF836">
        <v>3</v>
      </c>
      <c r="AH836" t="s">
        <v>1621</v>
      </c>
      <c r="AI836" t="s">
        <v>1620</v>
      </c>
      <c r="AK836" t="s">
        <v>1619</v>
      </c>
      <c r="AL836">
        <v>2</v>
      </c>
      <c r="AM836" s="5">
        <f t="shared" si="106"/>
        <v>6.25E-2</v>
      </c>
      <c r="AN836" s="4">
        <f t="shared" si="111"/>
        <v>9.46611132146914E-5</v>
      </c>
      <c r="AO836" s="3"/>
      <c r="AP836">
        <v>0</v>
      </c>
      <c r="AQ836" t="s">
        <v>545</v>
      </c>
      <c r="AR836" t="s">
        <v>1618</v>
      </c>
      <c r="AS836" t="s">
        <v>543</v>
      </c>
      <c r="AT836" s="2">
        <v>3.9140000000000001</v>
      </c>
      <c r="AU836" s="1">
        <f t="shared" si="107"/>
        <v>1.6771144122918251</v>
      </c>
      <c r="AV836" s="1">
        <f t="shared" si="108"/>
        <v>1.2006434691574377</v>
      </c>
      <c r="AW836" s="1">
        <f t="shared" si="109"/>
        <v>0.72417252602305027</v>
      </c>
    </row>
    <row r="837" spans="1:49" x14ac:dyDescent="0.2">
      <c r="A837">
        <v>835</v>
      </c>
      <c r="B837" t="s">
        <v>1617</v>
      </c>
      <c r="C837" t="s">
        <v>1616</v>
      </c>
      <c r="F837" t="s">
        <v>1615</v>
      </c>
      <c r="G837" t="s">
        <v>14</v>
      </c>
      <c r="H837" t="s">
        <v>13</v>
      </c>
      <c r="I837" t="s">
        <v>1614</v>
      </c>
      <c r="N837">
        <v>1</v>
      </c>
      <c r="O837" t="s">
        <v>1613</v>
      </c>
      <c r="P837">
        <v>7202865709</v>
      </c>
      <c r="R837" s="7">
        <v>32874</v>
      </c>
      <c r="S837" s="8">
        <f t="shared" si="104"/>
        <v>1990</v>
      </c>
      <c r="T837" s="8">
        <v>1990</v>
      </c>
      <c r="U837" s="8">
        <f t="shared" si="105"/>
        <v>32</v>
      </c>
      <c r="V837" s="7">
        <v>32874</v>
      </c>
      <c r="W837" t="s">
        <v>1283</v>
      </c>
      <c r="X837" s="2">
        <v>2.141</v>
      </c>
      <c r="Y837" s="6">
        <f t="shared" si="110"/>
        <v>5.7152772216438434E-2</v>
      </c>
      <c r="AA837">
        <v>1962892</v>
      </c>
      <c r="AB837">
        <v>17360</v>
      </c>
      <c r="AC837">
        <v>15580644</v>
      </c>
      <c r="AD837" t="s">
        <v>5</v>
      </c>
      <c r="AE837">
        <v>28</v>
      </c>
      <c r="AF837">
        <v>1</v>
      </c>
      <c r="AH837" t="s">
        <v>1612</v>
      </c>
      <c r="AI837" t="s">
        <v>1611</v>
      </c>
      <c r="AJ837" t="s">
        <v>1610</v>
      </c>
      <c r="AK837" t="s">
        <v>1609</v>
      </c>
      <c r="AL837">
        <v>2</v>
      </c>
      <c r="AM837" s="5">
        <f t="shared" si="106"/>
        <v>6.25E-2</v>
      </c>
      <c r="AN837" s="4">
        <f t="shared" si="111"/>
        <v>9.46611132146914E-5</v>
      </c>
      <c r="AO837" s="3"/>
      <c r="AP837">
        <v>0</v>
      </c>
      <c r="AR837" t="s">
        <v>0</v>
      </c>
      <c r="AT837" s="2" t="s">
        <v>126</v>
      </c>
      <c r="AU837" s="1">
        <f t="shared" si="107"/>
        <v>4.003533888547131</v>
      </c>
      <c r="AV837" s="1">
        <f t="shared" si="108"/>
        <v>2.8623716664826562</v>
      </c>
      <c r="AW837" s="1">
        <f t="shared" si="109"/>
        <v>1.7212094444181814</v>
      </c>
    </row>
    <row r="838" spans="1:49" x14ac:dyDescent="0.2">
      <c r="A838">
        <v>836</v>
      </c>
      <c r="B838" t="s">
        <v>1608</v>
      </c>
      <c r="F838" t="s">
        <v>1607</v>
      </c>
      <c r="G838" t="s">
        <v>14</v>
      </c>
      <c r="H838" t="s">
        <v>13</v>
      </c>
      <c r="I838" t="s">
        <v>1606</v>
      </c>
      <c r="N838">
        <v>1</v>
      </c>
      <c r="O838" t="s">
        <v>1605</v>
      </c>
      <c r="P838">
        <v>7004837481</v>
      </c>
      <c r="R838" s="7">
        <v>32874</v>
      </c>
      <c r="S838" s="8">
        <f t="shared" si="104"/>
        <v>1990</v>
      </c>
      <c r="T838" s="8">
        <v>1990</v>
      </c>
      <c r="U838" s="8">
        <f t="shared" si="105"/>
        <v>32</v>
      </c>
      <c r="V838" s="7">
        <v>1990</v>
      </c>
      <c r="W838" t="s">
        <v>564</v>
      </c>
      <c r="X838" s="2" t="s">
        <v>126</v>
      </c>
      <c r="Y838" s="6" t="e">
        <f t="shared" si="110"/>
        <v>#VALUE!</v>
      </c>
      <c r="AA838">
        <v>87566648</v>
      </c>
      <c r="AB838">
        <v>74127</v>
      </c>
      <c r="AD838" t="s">
        <v>5</v>
      </c>
      <c r="AE838">
        <v>35</v>
      </c>
      <c r="AF838">
        <v>1</v>
      </c>
      <c r="AH838" t="s">
        <v>1604</v>
      </c>
      <c r="AI838" t="s">
        <v>1603</v>
      </c>
      <c r="AK838" t="s">
        <v>1602</v>
      </c>
      <c r="AL838">
        <v>0</v>
      </c>
      <c r="AM838" s="5">
        <f t="shared" si="106"/>
        <v>0</v>
      </c>
      <c r="AN838" s="4">
        <f t="shared" si="111"/>
        <v>0</v>
      </c>
      <c r="AO838" s="3"/>
      <c r="AP838">
        <v>0</v>
      </c>
      <c r="AR838" t="s">
        <v>0</v>
      </c>
      <c r="AT838" s="2" t="s">
        <v>126</v>
      </c>
      <c r="AU838" s="1" t="e">
        <f t="shared" si="107"/>
        <v>#VALUE!</v>
      </c>
      <c r="AV838" s="1" t="e">
        <f t="shared" si="108"/>
        <v>#VALUE!</v>
      </c>
      <c r="AW838" s="1" t="e">
        <f t="shared" si="109"/>
        <v>#VALUE!</v>
      </c>
    </row>
    <row r="839" spans="1:49" x14ac:dyDescent="0.2">
      <c r="A839">
        <v>837</v>
      </c>
      <c r="B839" t="s">
        <v>1601</v>
      </c>
      <c r="C839" t="s">
        <v>1600</v>
      </c>
      <c r="D839" t="s">
        <v>1599</v>
      </c>
      <c r="F839" t="s">
        <v>1598</v>
      </c>
      <c r="G839" t="s">
        <v>14</v>
      </c>
      <c r="H839" t="s">
        <v>13</v>
      </c>
      <c r="I839" t="s">
        <v>1597</v>
      </c>
      <c r="J839">
        <v>60032179</v>
      </c>
      <c r="K839" t="s">
        <v>1596</v>
      </c>
      <c r="L839" t="s">
        <v>1595</v>
      </c>
      <c r="M839" t="s">
        <v>197</v>
      </c>
      <c r="N839">
        <v>2</v>
      </c>
      <c r="O839" t="s">
        <v>1594</v>
      </c>
      <c r="P839" t="s">
        <v>1593</v>
      </c>
      <c r="Q839" t="s">
        <v>1592</v>
      </c>
      <c r="R839" s="7">
        <v>32874</v>
      </c>
      <c r="S839" s="8">
        <f t="shared" si="104"/>
        <v>1990</v>
      </c>
      <c r="T839" s="8">
        <v>1990</v>
      </c>
      <c r="U839" s="8">
        <f t="shared" si="105"/>
        <v>32</v>
      </c>
      <c r="V839" s="7">
        <v>32874</v>
      </c>
      <c r="W839" t="s">
        <v>1537</v>
      </c>
      <c r="X839" s="2">
        <v>1.2609999999999999</v>
      </c>
      <c r="Y839" s="6">
        <f t="shared" si="110"/>
        <v>3.3661674808467469E-2</v>
      </c>
      <c r="AA839">
        <v>33472</v>
      </c>
      <c r="AB839">
        <v>24580</v>
      </c>
      <c r="AD839" t="s">
        <v>5</v>
      </c>
      <c r="AE839">
        <v>39</v>
      </c>
      <c r="AF839">
        <v>1</v>
      </c>
      <c r="AH839" t="s">
        <v>1591</v>
      </c>
      <c r="AI839" t="s">
        <v>1590</v>
      </c>
      <c r="AK839" t="s">
        <v>1589</v>
      </c>
      <c r="AL839">
        <v>31</v>
      </c>
      <c r="AM839" s="5">
        <f t="shared" si="106"/>
        <v>0.96875</v>
      </c>
      <c r="AN839" s="4">
        <f t="shared" si="111"/>
        <v>1.4672472548277167E-3</v>
      </c>
      <c r="AO839" s="3"/>
      <c r="AP839">
        <v>0</v>
      </c>
      <c r="AQ839" t="s">
        <v>1588</v>
      </c>
      <c r="AR839" t="s">
        <v>1587</v>
      </c>
      <c r="AS839" t="s">
        <v>1586</v>
      </c>
      <c r="AT839" s="2">
        <v>2.8439999999999999</v>
      </c>
      <c r="AU839" s="1">
        <f t="shared" si="107"/>
        <v>2.4003346542375543</v>
      </c>
      <c r="AV839" s="1">
        <f t="shared" si="108"/>
        <v>1.7564461031647594</v>
      </c>
      <c r="AW839" s="1">
        <f t="shared" si="109"/>
        <v>1.1125575520919644</v>
      </c>
    </row>
    <row r="840" spans="1:49" x14ac:dyDescent="0.2">
      <c r="A840">
        <v>838</v>
      </c>
      <c r="B840" t="s">
        <v>1585</v>
      </c>
      <c r="C840" t="s">
        <v>1584</v>
      </c>
      <c r="F840" t="s">
        <v>1583</v>
      </c>
      <c r="G840" t="s">
        <v>14</v>
      </c>
      <c r="H840" t="s">
        <v>13</v>
      </c>
      <c r="I840" t="s">
        <v>1582</v>
      </c>
      <c r="J840">
        <v>109727347</v>
      </c>
      <c r="K840" t="s">
        <v>1581</v>
      </c>
      <c r="L840" t="s">
        <v>1580</v>
      </c>
      <c r="M840" t="s">
        <v>197</v>
      </c>
      <c r="N840">
        <v>4</v>
      </c>
      <c r="O840" t="s">
        <v>1579</v>
      </c>
      <c r="P840" t="s">
        <v>1578</v>
      </c>
      <c r="Q840" t="s">
        <v>1577</v>
      </c>
      <c r="R840" s="7">
        <v>32874</v>
      </c>
      <c r="S840" s="8">
        <f t="shared" si="104"/>
        <v>1990</v>
      </c>
      <c r="T840" s="8">
        <v>1990</v>
      </c>
      <c r="U840" s="8">
        <f t="shared" si="105"/>
        <v>32</v>
      </c>
      <c r="V840" s="7">
        <v>32874</v>
      </c>
      <c r="W840" t="s">
        <v>1576</v>
      </c>
      <c r="X840" s="2">
        <v>0.34899999999999998</v>
      </c>
      <c r="Y840" s="6">
        <f t="shared" si="110"/>
        <v>9.3163556765702999E-3</v>
      </c>
      <c r="AA840">
        <v>2721716</v>
      </c>
      <c r="AB840">
        <v>25518</v>
      </c>
      <c r="AD840" t="s">
        <v>5</v>
      </c>
      <c r="AE840">
        <v>10</v>
      </c>
      <c r="AF840">
        <v>1</v>
      </c>
      <c r="AH840" t="s">
        <v>1575</v>
      </c>
      <c r="AI840" t="s">
        <v>1574</v>
      </c>
      <c r="AK840" t="s">
        <v>1573</v>
      </c>
      <c r="AL840">
        <v>2</v>
      </c>
      <c r="AM840" s="5">
        <f t="shared" si="106"/>
        <v>6.25E-2</v>
      </c>
      <c r="AN840" s="4">
        <f t="shared" si="111"/>
        <v>9.46611132146914E-5</v>
      </c>
      <c r="AO840" s="3"/>
      <c r="AP840">
        <v>0</v>
      </c>
      <c r="AR840" t="s">
        <v>0</v>
      </c>
      <c r="AT840" s="2" t="s">
        <v>126</v>
      </c>
      <c r="AU840" s="1">
        <f t="shared" si="107"/>
        <v>0.65498473075636165</v>
      </c>
      <c r="AV840" s="1">
        <f t="shared" si="108"/>
        <v>0.47055083948924958</v>
      </c>
      <c r="AW840" s="1">
        <f t="shared" si="109"/>
        <v>0.2861169482221374</v>
      </c>
    </row>
    <row r="841" spans="1:49" x14ac:dyDescent="0.2">
      <c r="A841">
        <v>839</v>
      </c>
      <c r="B841" t="s">
        <v>1572</v>
      </c>
      <c r="C841" t="s">
        <v>1571</v>
      </c>
      <c r="D841" t="s">
        <v>1570</v>
      </c>
      <c r="F841" t="s">
        <v>1569</v>
      </c>
      <c r="G841" t="s">
        <v>14</v>
      </c>
      <c r="H841" t="s">
        <v>13</v>
      </c>
      <c r="I841" t="s">
        <v>1568</v>
      </c>
      <c r="J841">
        <v>60005510</v>
      </c>
      <c r="K841" t="s">
        <v>1567</v>
      </c>
      <c r="L841" t="s">
        <v>1566</v>
      </c>
      <c r="M841" t="s">
        <v>1565</v>
      </c>
      <c r="N841">
        <v>1</v>
      </c>
      <c r="O841" t="s">
        <v>1564</v>
      </c>
      <c r="P841">
        <v>7102842938</v>
      </c>
      <c r="Q841">
        <v>60005510</v>
      </c>
      <c r="R841" s="7">
        <v>32874</v>
      </c>
      <c r="S841" s="8">
        <f t="shared" si="104"/>
        <v>1990</v>
      </c>
      <c r="T841" s="8">
        <v>1990</v>
      </c>
      <c r="U841" s="8">
        <f t="shared" si="105"/>
        <v>32</v>
      </c>
      <c r="V841" s="7">
        <v>32874</v>
      </c>
      <c r="W841" t="s">
        <v>1563</v>
      </c>
      <c r="X841" s="2">
        <v>0.90700000000000003</v>
      </c>
      <c r="Y841" s="6">
        <f t="shared" si="110"/>
        <v>2.4211846987533703E-2</v>
      </c>
      <c r="AA841">
        <v>1651684</v>
      </c>
      <c r="AB841">
        <v>25548</v>
      </c>
      <c r="AD841" t="s">
        <v>5</v>
      </c>
      <c r="AE841">
        <v>19</v>
      </c>
      <c r="AF841">
        <v>1</v>
      </c>
      <c r="AH841" t="s">
        <v>1562</v>
      </c>
      <c r="AI841" t="s">
        <v>1561</v>
      </c>
      <c r="AJ841" t="s">
        <v>1560</v>
      </c>
      <c r="AK841" t="s">
        <v>1559</v>
      </c>
      <c r="AL841">
        <v>15</v>
      </c>
      <c r="AM841" s="5">
        <f t="shared" si="106"/>
        <v>0.46875</v>
      </c>
      <c r="AN841" s="4">
        <f t="shared" si="111"/>
        <v>7.0995834911018554E-4</v>
      </c>
      <c r="AO841" s="3"/>
      <c r="AP841">
        <v>0</v>
      </c>
      <c r="AR841" t="s">
        <v>0</v>
      </c>
      <c r="AT841" s="2">
        <v>4.6619999999999999</v>
      </c>
      <c r="AU841" s="1">
        <f t="shared" si="107"/>
        <v>1.7161280396006644</v>
      </c>
      <c r="AV841" s="1">
        <f t="shared" si="108"/>
        <v>1.2460902668321945</v>
      </c>
      <c r="AW841" s="1">
        <f t="shared" si="109"/>
        <v>0.77605249406372401</v>
      </c>
    </row>
    <row r="842" spans="1:49" x14ac:dyDescent="0.2">
      <c r="A842">
        <v>840</v>
      </c>
      <c r="B842" t="s">
        <v>1558</v>
      </c>
      <c r="C842" t="s">
        <v>1557</v>
      </c>
      <c r="D842" t="s">
        <v>1556</v>
      </c>
      <c r="E842">
        <v>1691792</v>
      </c>
      <c r="F842" t="s">
        <v>1555</v>
      </c>
      <c r="G842" t="s">
        <v>14</v>
      </c>
      <c r="H842" t="s">
        <v>13</v>
      </c>
      <c r="I842" t="s">
        <v>1554</v>
      </c>
      <c r="J842">
        <v>60015183</v>
      </c>
      <c r="K842" t="s">
        <v>1553</v>
      </c>
      <c r="L842" t="s">
        <v>280</v>
      </c>
      <c r="M842" t="s">
        <v>197</v>
      </c>
      <c r="N842">
        <v>5</v>
      </c>
      <c r="O842" t="s">
        <v>1552</v>
      </c>
      <c r="P842" t="s">
        <v>1551</v>
      </c>
      <c r="Q842" t="s">
        <v>1550</v>
      </c>
      <c r="R842" s="7">
        <v>32874</v>
      </c>
      <c r="S842" s="8">
        <f t="shared" si="104"/>
        <v>1990</v>
      </c>
      <c r="T842" s="8">
        <v>1990</v>
      </c>
      <c r="U842" s="8">
        <f t="shared" si="105"/>
        <v>32</v>
      </c>
      <c r="V842" s="7">
        <v>1990</v>
      </c>
      <c r="W842" t="s">
        <v>1549</v>
      </c>
      <c r="X842" s="2">
        <v>2.4020000000000001</v>
      </c>
      <c r="Y842" s="6">
        <f t="shared" si="110"/>
        <v>6.4120018152211633E-2</v>
      </c>
      <c r="AA842">
        <v>225347</v>
      </c>
      <c r="AB842">
        <v>19975</v>
      </c>
      <c r="AD842" t="s">
        <v>5</v>
      </c>
      <c r="AE842">
        <v>143</v>
      </c>
      <c r="AF842">
        <v>5</v>
      </c>
      <c r="AH842" t="s">
        <v>1548</v>
      </c>
      <c r="AI842" t="s">
        <v>1547</v>
      </c>
      <c r="AK842" t="s">
        <v>1546</v>
      </c>
      <c r="AL842">
        <v>61</v>
      </c>
      <c r="AM842" s="5">
        <f t="shared" si="106"/>
        <v>1.90625</v>
      </c>
      <c r="AN842" s="4">
        <f t="shared" si="111"/>
        <v>2.8871639530480878E-3</v>
      </c>
      <c r="AO842" s="3"/>
      <c r="AP842">
        <v>0</v>
      </c>
      <c r="AR842" t="s">
        <v>0</v>
      </c>
      <c r="AT842" s="2">
        <v>7.45</v>
      </c>
      <c r="AU842" s="1">
        <f t="shared" si="107"/>
        <v>4.5750161892462566</v>
      </c>
      <c r="AV842" s="1">
        <f t="shared" si="108"/>
        <v>3.350359105262986</v>
      </c>
      <c r="AW842" s="1">
        <f t="shared" si="109"/>
        <v>2.1257020212797149</v>
      </c>
    </row>
    <row r="843" spans="1:49" x14ac:dyDescent="0.2">
      <c r="A843">
        <v>841</v>
      </c>
      <c r="B843" t="s">
        <v>1545</v>
      </c>
      <c r="C843" t="s">
        <v>1544</v>
      </c>
      <c r="D843" t="s">
        <v>1543</v>
      </c>
      <c r="F843" t="s">
        <v>1542</v>
      </c>
      <c r="G843" t="s">
        <v>14</v>
      </c>
      <c r="H843" t="s">
        <v>13</v>
      </c>
      <c r="I843" t="s">
        <v>1541</v>
      </c>
      <c r="J843">
        <v>60000112</v>
      </c>
      <c r="K843" t="s">
        <v>1540</v>
      </c>
      <c r="L843" t="s">
        <v>1539</v>
      </c>
      <c r="M843" t="s">
        <v>253</v>
      </c>
      <c r="N843">
        <v>1</v>
      </c>
      <c r="O843" t="s">
        <v>1538</v>
      </c>
      <c r="P843">
        <v>7102927080</v>
      </c>
      <c r="Q843">
        <v>60000112</v>
      </c>
      <c r="R843" s="7">
        <v>32874</v>
      </c>
      <c r="S843" s="8">
        <f t="shared" si="104"/>
        <v>1990</v>
      </c>
      <c r="T843" s="8">
        <v>1990</v>
      </c>
      <c r="U843" s="8">
        <f t="shared" si="105"/>
        <v>32</v>
      </c>
      <c r="V843" s="7">
        <v>32964</v>
      </c>
      <c r="W843" t="s">
        <v>1537</v>
      </c>
      <c r="X843" s="2">
        <v>1.2609999999999999</v>
      </c>
      <c r="Y843" s="6">
        <f t="shared" si="110"/>
        <v>3.3661674808467469E-2</v>
      </c>
      <c r="AA843">
        <v>33472</v>
      </c>
      <c r="AB843">
        <v>24580</v>
      </c>
      <c r="AD843" t="s">
        <v>5</v>
      </c>
      <c r="AE843">
        <v>39</v>
      </c>
      <c r="AF843">
        <v>4</v>
      </c>
      <c r="AH843" t="s">
        <v>1536</v>
      </c>
      <c r="AI843" t="s">
        <v>1535</v>
      </c>
      <c r="AK843" t="s">
        <v>1534</v>
      </c>
      <c r="AL843">
        <v>31</v>
      </c>
      <c r="AM843" s="5">
        <f t="shared" si="106"/>
        <v>0.96875</v>
      </c>
      <c r="AN843" s="4">
        <f t="shared" si="111"/>
        <v>1.4672472548277167E-3</v>
      </c>
      <c r="AO843" s="3"/>
      <c r="AP843">
        <v>0</v>
      </c>
      <c r="AR843" t="s">
        <v>0</v>
      </c>
      <c r="AT843" s="2">
        <v>2.8439999999999999</v>
      </c>
      <c r="AU843" s="1">
        <f t="shared" si="107"/>
        <v>2.4003346542375543</v>
      </c>
      <c r="AV843" s="1">
        <f t="shared" si="108"/>
        <v>1.7564461031647594</v>
      </c>
      <c r="AW843" s="1">
        <f t="shared" si="109"/>
        <v>1.1125575520919644</v>
      </c>
    </row>
    <row r="844" spans="1:49" x14ac:dyDescent="0.2">
      <c r="A844">
        <v>842</v>
      </c>
      <c r="B844" t="s">
        <v>1533</v>
      </c>
      <c r="C844" t="s">
        <v>1532</v>
      </c>
      <c r="F844" t="s">
        <v>1531</v>
      </c>
      <c r="G844" t="s">
        <v>14</v>
      </c>
      <c r="H844" t="s">
        <v>13</v>
      </c>
      <c r="I844" t="s">
        <v>1530</v>
      </c>
      <c r="J844">
        <v>60028672</v>
      </c>
      <c r="K844" t="s">
        <v>1529</v>
      </c>
      <c r="L844" t="s">
        <v>1528</v>
      </c>
      <c r="M844" t="s">
        <v>197</v>
      </c>
      <c r="N844">
        <v>6</v>
      </c>
      <c r="O844" t="s">
        <v>1527</v>
      </c>
      <c r="P844" t="s">
        <v>1526</v>
      </c>
      <c r="Q844" t="s">
        <v>1525</v>
      </c>
      <c r="R844" s="7">
        <v>32874</v>
      </c>
      <c r="S844" s="8">
        <f t="shared" si="104"/>
        <v>1990</v>
      </c>
      <c r="T844" s="8">
        <v>1990</v>
      </c>
      <c r="U844" s="8">
        <f t="shared" si="105"/>
        <v>32</v>
      </c>
      <c r="V844" s="7">
        <v>32874</v>
      </c>
      <c r="W844" t="s">
        <v>1524</v>
      </c>
      <c r="X844" s="2">
        <v>0.39600000000000002</v>
      </c>
      <c r="Y844" s="6">
        <f t="shared" si="110"/>
        <v>1.0570993833586931E-2</v>
      </c>
      <c r="AA844">
        <v>8858985</v>
      </c>
      <c r="AB844">
        <v>25993</v>
      </c>
      <c r="AD844" t="s">
        <v>5</v>
      </c>
      <c r="AE844">
        <v>5</v>
      </c>
      <c r="AF844">
        <v>1</v>
      </c>
      <c r="AH844" s="10">
        <v>43374</v>
      </c>
      <c r="AI844" t="s">
        <v>1523</v>
      </c>
      <c r="AK844" t="s">
        <v>1522</v>
      </c>
      <c r="AL844">
        <v>0</v>
      </c>
      <c r="AM844" s="5">
        <f t="shared" si="106"/>
        <v>0</v>
      </c>
      <c r="AN844" s="4">
        <f t="shared" si="111"/>
        <v>0</v>
      </c>
      <c r="AO844" s="3"/>
      <c r="AP844">
        <v>0</v>
      </c>
      <c r="AR844" t="s">
        <v>0</v>
      </c>
      <c r="AT844" s="2" t="s">
        <v>126</v>
      </c>
      <c r="AU844" s="1">
        <f t="shared" si="107"/>
        <v>0.73996956835108518</v>
      </c>
      <c r="AV844" s="1">
        <f t="shared" si="108"/>
        <v>0.52854969167934651</v>
      </c>
      <c r="AW844" s="1">
        <f t="shared" si="109"/>
        <v>0.3171298150076079</v>
      </c>
    </row>
    <row r="845" spans="1:49" x14ac:dyDescent="0.2">
      <c r="A845">
        <v>843</v>
      </c>
      <c r="B845" t="s">
        <v>1521</v>
      </c>
      <c r="E845">
        <v>2240156</v>
      </c>
      <c r="F845" t="s">
        <v>1520</v>
      </c>
      <c r="G845" t="s">
        <v>14</v>
      </c>
      <c r="H845" t="s">
        <v>13</v>
      </c>
      <c r="I845" t="s">
        <v>1519</v>
      </c>
      <c r="J845">
        <v>60016416</v>
      </c>
      <c r="K845" t="s">
        <v>1518</v>
      </c>
      <c r="L845" t="s">
        <v>1517</v>
      </c>
      <c r="M845" t="s">
        <v>267</v>
      </c>
      <c r="N845">
        <v>4</v>
      </c>
      <c r="O845" t="s">
        <v>1516</v>
      </c>
      <c r="P845" t="s">
        <v>1515</v>
      </c>
      <c r="Q845" t="s">
        <v>1514</v>
      </c>
      <c r="R845" s="7">
        <v>32874</v>
      </c>
      <c r="S845" s="8">
        <f t="shared" si="104"/>
        <v>1990</v>
      </c>
      <c r="T845" s="8">
        <v>1990</v>
      </c>
      <c r="U845" s="8">
        <f t="shared" si="105"/>
        <v>32</v>
      </c>
      <c r="V845" s="7">
        <v>1990</v>
      </c>
      <c r="W845" t="s">
        <v>1513</v>
      </c>
      <c r="X845" s="2">
        <v>1.589</v>
      </c>
      <c r="Y845" s="6">
        <f t="shared" si="110"/>
        <v>4.2417447478711193E-2</v>
      </c>
      <c r="AA845">
        <v>29440</v>
      </c>
      <c r="AB845">
        <v>27062</v>
      </c>
      <c r="AD845" t="s">
        <v>5</v>
      </c>
      <c r="AE845">
        <v>137</v>
      </c>
      <c r="AF845">
        <v>5</v>
      </c>
      <c r="AH845" t="s">
        <v>1512</v>
      </c>
      <c r="AI845" t="s">
        <v>1511</v>
      </c>
      <c r="AK845" t="s">
        <v>1510</v>
      </c>
      <c r="AL845">
        <v>42</v>
      </c>
      <c r="AM845" s="5">
        <f t="shared" si="106"/>
        <v>1.3125</v>
      </c>
      <c r="AN845" s="4">
        <f t="shared" si="111"/>
        <v>1.9878833775085194E-3</v>
      </c>
      <c r="AO845" s="3"/>
      <c r="AP845">
        <v>0</v>
      </c>
      <c r="AR845" t="s">
        <v>0</v>
      </c>
      <c r="AT845" s="2">
        <v>4.3070000000000004</v>
      </c>
      <c r="AU845" s="1">
        <f t="shared" si="107"/>
        <v>3.0288578248350388</v>
      </c>
      <c r="AV845" s="1">
        <f t="shared" si="108"/>
        <v>2.2202665428109856</v>
      </c>
      <c r="AW845" s="1">
        <f t="shared" si="109"/>
        <v>1.4116752607869321</v>
      </c>
    </row>
    <row r="846" spans="1:49" x14ac:dyDescent="0.2">
      <c r="A846">
        <v>844</v>
      </c>
      <c r="B846" t="s">
        <v>1509</v>
      </c>
      <c r="C846" t="s">
        <v>1508</v>
      </c>
      <c r="F846" t="s">
        <v>1507</v>
      </c>
      <c r="G846" t="s">
        <v>14</v>
      </c>
      <c r="H846" t="s">
        <v>13</v>
      </c>
      <c r="I846" t="s">
        <v>1506</v>
      </c>
      <c r="J846">
        <v>60025475</v>
      </c>
      <c r="K846" t="s">
        <v>1505</v>
      </c>
      <c r="L846" t="s">
        <v>1504</v>
      </c>
      <c r="M846" t="s">
        <v>253</v>
      </c>
      <c r="N846">
        <v>2</v>
      </c>
      <c r="O846" t="s">
        <v>1503</v>
      </c>
      <c r="P846" t="s">
        <v>1502</v>
      </c>
      <c r="Q846" t="s">
        <v>1501</v>
      </c>
      <c r="R846" s="7">
        <v>32874</v>
      </c>
      <c r="S846" s="8">
        <f t="shared" si="104"/>
        <v>1990</v>
      </c>
      <c r="T846" s="8">
        <v>1990</v>
      </c>
      <c r="U846" s="8">
        <f t="shared" si="105"/>
        <v>32</v>
      </c>
      <c r="V846" s="7" t="s">
        <v>1212</v>
      </c>
      <c r="W846" t="s">
        <v>1211</v>
      </c>
      <c r="X846" s="2">
        <v>0.33800000000000002</v>
      </c>
      <c r="Y846" s="6">
        <f t="shared" si="110"/>
        <v>9.0227169589706634E-3</v>
      </c>
      <c r="AA846">
        <v>7372884</v>
      </c>
      <c r="AB846">
        <v>70506</v>
      </c>
      <c r="AC846">
        <v>10991247</v>
      </c>
      <c r="AD846" t="s">
        <v>5</v>
      </c>
      <c r="AE846">
        <v>8</v>
      </c>
      <c r="AF846">
        <v>1</v>
      </c>
      <c r="AH846" t="s">
        <v>1500</v>
      </c>
      <c r="AI846" t="s">
        <v>1499</v>
      </c>
      <c r="AJ846" t="s">
        <v>1498</v>
      </c>
      <c r="AK846" t="s">
        <v>1497</v>
      </c>
      <c r="AL846">
        <v>13</v>
      </c>
      <c r="AM846" s="5">
        <f t="shared" si="106"/>
        <v>0.40625</v>
      </c>
      <c r="AN846" s="4">
        <f t="shared" si="111"/>
        <v>6.1529723589549411E-4</v>
      </c>
      <c r="AO846" s="3"/>
      <c r="AP846">
        <v>0</v>
      </c>
      <c r="AR846" t="s">
        <v>0</v>
      </c>
      <c r="AT846" s="2" t="s">
        <v>126</v>
      </c>
      <c r="AU846" s="1">
        <f t="shared" si="107"/>
        <v>0.65004910420481121</v>
      </c>
      <c r="AV846" s="1">
        <f t="shared" si="108"/>
        <v>0.4819007097433079</v>
      </c>
      <c r="AW846" s="1">
        <f t="shared" si="109"/>
        <v>0.31375231528180447</v>
      </c>
    </row>
    <row r="847" spans="1:49" x14ac:dyDescent="0.2">
      <c r="A847">
        <v>845</v>
      </c>
      <c r="B847" t="s">
        <v>1496</v>
      </c>
      <c r="C847" t="s">
        <v>1495</v>
      </c>
      <c r="F847" t="s">
        <v>1494</v>
      </c>
      <c r="G847" t="s">
        <v>14</v>
      </c>
      <c r="H847" t="s">
        <v>13</v>
      </c>
      <c r="I847" t="s">
        <v>1493</v>
      </c>
      <c r="J847">
        <v>60019647</v>
      </c>
      <c r="K847" t="s">
        <v>1492</v>
      </c>
      <c r="L847" t="s">
        <v>629</v>
      </c>
      <c r="M847" t="s">
        <v>197</v>
      </c>
      <c r="N847">
        <v>1</v>
      </c>
      <c r="O847" t="s">
        <v>1491</v>
      </c>
      <c r="P847">
        <v>7005264251</v>
      </c>
      <c r="Q847">
        <v>60019647</v>
      </c>
      <c r="R847" s="7">
        <v>32874</v>
      </c>
      <c r="S847" s="8">
        <f t="shared" si="104"/>
        <v>1990</v>
      </c>
      <c r="T847" s="8">
        <v>1990</v>
      </c>
      <c r="U847" s="8">
        <f t="shared" si="105"/>
        <v>32</v>
      </c>
      <c r="V847" s="7">
        <v>32874</v>
      </c>
      <c r="W847" t="s">
        <v>1458</v>
      </c>
      <c r="X847" s="2">
        <v>2.383</v>
      </c>
      <c r="Y847" s="6">
        <f t="shared" si="110"/>
        <v>6.3612824003630442E-2</v>
      </c>
      <c r="AA847">
        <v>189219</v>
      </c>
      <c r="AB847">
        <v>17915</v>
      </c>
      <c r="AC847">
        <v>15582256</v>
      </c>
      <c r="AD847" t="s">
        <v>5</v>
      </c>
      <c r="AE847">
        <v>78</v>
      </c>
      <c r="AF847">
        <v>1</v>
      </c>
      <c r="AH847" s="10">
        <v>11079</v>
      </c>
      <c r="AI847" t="s">
        <v>1490</v>
      </c>
      <c r="AK847" t="s">
        <v>1489</v>
      </c>
      <c r="AL847">
        <v>3</v>
      </c>
      <c r="AM847" s="5">
        <f t="shared" si="106"/>
        <v>9.375E-2</v>
      </c>
      <c r="AN847" s="4">
        <f t="shared" si="111"/>
        <v>1.4199166982203711E-4</v>
      </c>
      <c r="AO847" s="3"/>
      <c r="AP847">
        <v>0</v>
      </c>
      <c r="AQ847" t="s">
        <v>1454</v>
      </c>
      <c r="AR847" t="s">
        <v>0</v>
      </c>
      <c r="AS847" t="s">
        <v>1452</v>
      </c>
      <c r="AT847" s="2">
        <v>10.961</v>
      </c>
      <c r="AU847" s="1">
        <f t="shared" si="107"/>
        <v>4.4571574303487917</v>
      </c>
      <c r="AV847" s="1">
        <f t="shared" si="108"/>
        <v>3.1877407836726239</v>
      </c>
      <c r="AW847" s="1">
        <f t="shared" si="109"/>
        <v>1.9183241369964559</v>
      </c>
    </row>
    <row r="848" spans="1:49" x14ac:dyDescent="0.2">
      <c r="A848">
        <v>846</v>
      </c>
      <c r="B848" t="s">
        <v>1488</v>
      </c>
      <c r="C848" t="s">
        <v>1487</v>
      </c>
      <c r="F848" t="s">
        <v>1486</v>
      </c>
      <c r="G848" t="s">
        <v>14</v>
      </c>
      <c r="H848" t="s">
        <v>13</v>
      </c>
      <c r="I848" t="s">
        <v>1485</v>
      </c>
      <c r="J848" t="s">
        <v>1484</v>
      </c>
      <c r="K848" t="s">
        <v>1483</v>
      </c>
      <c r="L848" t="s">
        <v>1482</v>
      </c>
      <c r="M848" t="s">
        <v>1481</v>
      </c>
      <c r="N848">
        <v>19</v>
      </c>
      <c r="O848" t="s">
        <v>1480</v>
      </c>
      <c r="P848" t="s">
        <v>1479</v>
      </c>
      <c r="Q848" t="s">
        <v>1478</v>
      </c>
      <c r="R848" s="7">
        <v>32874</v>
      </c>
      <c r="S848" s="8">
        <f t="shared" si="104"/>
        <v>1990</v>
      </c>
      <c r="T848" s="8">
        <v>1990</v>
      </c>
      <c r="U848" s="8">
        <f t="shared" si="105"/>
        <v>32</v>
      </c>
      <c r="V848" s="7">
        <v>1990</v>
      </c>
      <c r="W848" t="s">
        <v>1477</v>
      </c>
      <c r="X848" s="2">
        <v>0.2</v>
      </c>
      <c r="Y848" s="6">
        <f t="shared" si="110"/>
        <v>5.3388857745388539E-3</v>
      </c>
      <c r="AA848">
        <v>161136</v>
      </c>
      <c r="AB848">
        <v>16718</v>
      </c>
      <c r="AC848">
        <v>21916349</v>
      </c>
      <c r="AD848" t="s">
        <v>5</v>
      </c>
      <c r="AE848">
        <v>44</v>
      </c>
      <c r="AF848">
        <v>1</v>
      </c>
      <c r="AH848" s="10">
        <v>42614</v>
      </c>
      <c r="AI848" t="s">
        <v>1476</v>
      </c>
      <c r="AK848" t="s">
        <v>1475</v>
      </c>
      <c r="AL848">
        <v>35</v>
      </c>
      <c r="AM848" s="5">
        <f t="shared" si="106"/>
        <v>1.09375</v>
      </c>
      <c r="AN848" s="4">
        <f t="shared" si="111"/>
        <v>1.6565694812570996E-3</v>
      </c>
      <c r="AO848" s="3"/>
      <c r="AP848">
        <v>0</v>
      </c>
      <c r="AR848" t="s">
        <v>0</v>
      </c>
      <c r="AT848" s="2">
        <v>0.72599999999999998</v>
      </c>
      <c r="AU848" s="1">
        <f t="shared" si="107"/>
        <v>0.42341908865543271</v>
      </c>
      <c r="AV848" s="1">
        <f t="shared" si="108"/>
        <v>0.34977276278979769</v>
      </c>
      <c r="AW848" s="1">
        <f t="shared" si="109"/>
        <v>0.27612643692416255</v>
      </c>
    </row>
    <row r="849" spans="1:49" x14ac:dyDescent="0.2">
      <c r="A849">
        <v>847</v>
      </c>
      <c r="B849" t="s">
        <v>1474</v>
      </c>
      <c r="C849" t="s">
        <v>1473</v>
      </c>
      <c r="D849">
        <v>40609090904138</v>
      </c>
      <c r="F849" t="s">
        <v>1472</v>
      </c>
      <c r="G849" t="s">
        <v>14</v>
      </c>
      <c r="H849" t="s">
        <v>13</v>
      </c>
      <c r="I849" t="s">
        <v>1471</v>
      </c>
      <c r="J849">
        <v>60085149</v>
      </c>
      <c r="K849" t="s">
        <v>1470</v>
      </c>
      <c r="L849" t="s">
        <v>136</v>
      </c>
      <c r="M849" t="s">
        <v>135</v>
      </c>
      <c r="N849">
        <v>1</v>
      </c>
      <c r="O849" t="s">
        <v>1469</v>
      </c>
      <c r="P849">
        <v>7004589090</v>
      </c>
      <c r="Q849">
        <v>60085149</v>
      </c>
      <c r="R849" s="7">
        <v>32874</v>
      </c>
      <c r="S849" s="8">
        <f t="shared" si="104"/>
        <v>1990</v>
      </c>
      <c r="T849" s="8">
        <v>1990</v>
      </c>
      <c r="U849" s="8">
        <f t="shared" si="105"/>
        <v>32</v>
      </c>
      <c r="V849" s="7">
        <v>32874</v>
      </c>
      <c r="W849" t="s">
        <v>1468</v>
      </c>
      <c r="X849" s="2">
        <v>0.54400000000000004</v>
      </c>
      <c r="Y849" s="6">
        <f t="shared" si="110"/>
        <v>1.4521769306745683E-2</v>
      </c>
      <c r="AA849">
        <v>406090</v>
      </c>
      <c r="AB849">
        <v>12347</v>
      </c>
      <c r="AD849" t="s">
        <v>5</v>
      </c>
      <c r="AE849">
        <v>184</v>
      </c>
      <c r="AF849" s="9">
        <v>44228</v>
      </c>
      <c r="AH849" t="s">
        <v>1467</v>
      </c>
      <c r="AI849" t="s">
        <v>1466</v>
      </c>
      <c r="AK849" t="s">
        <v>1465</v>
      </c>
      <c r="AL849">
        <v>5</v>
      </c>
      <c r="AM849" s="5">
        <f t="shared" si="106"/>
        <v>0.15625</v>
      </c>
      <c r="AN849" s="4">
        <f t="shared" si="111"/>
        <v>2.3665278303672851E-4</v>
      </c>
      <c r="AO849" s="3"/>
      <c r="AP849">
        <v>0</v>
      </c>
      <c r="AR849" t="s">
        <v>0</v>
      </c>
      <c r="AT849" s="2">
        <v>2.1829999999999998</v>
      </c>
      <c r="AU849" s="1">
        <f t="shared" si="107"/>
        <v>1.0236234349632995</v>
      </c>
      <c r="AV849" s="1">
        <f t="shared" si="108"/>
        <v>0.73792110448912052</v>
      </c>
      <c r="AW849" s="1">
        <f t="shared" si="109"/>
        <v>0.45221877401494143</v>
      </c>
    </row>
    <row r="850" spans="1:49" x14ac:dyDescent="0.2">
      <c r="A850">
        <v>848</v>
      </c>
      <c r="B850" t="s">
        <v>1464</v>
      </c>
      <c r="C850" t="s">
        <v>1463</v>
      </c>
      <c r="F850" t="s">
        <v>1462</v>
      </c>
      <c r="G850" t="s">
        <v>14</v>
      </c>
      <c r="H850" t="s">
        <v>13</v>
      </c>
      <c r="I850" t="s">
        <v>1461</v>
      </c>
      <c r="J850">
        <v>60031581</v>
      </c>
      <c r="K850" t="s">
        <v>1460</v>
      </c>
      <c r="L850" t="s">
        <v>651</v>
      </c>
      <c r="M850" t="s">
        <v>197</v>
      </c>
      <c r="N850">
        <v>1</v>
      </c>
      <c r="O850" t="s">
        <v>1459</v>
      </c>
      <c r="P850">
        <v>7102445872</v>
      </c>
      <c r="Q850">
        <v>60031581</v>
      </c>
      <c r="R850" s="7">
        <v>32874</v>
      </c>
      <c r="S850" s="8">
        <f t="shared" si="104"/>
        <v>1990</v>
      </c>
      <c r="T850" s="8">
        <v>1990</v>
      </c>
      <c r="U850" s="8">
        <f t="shared" si="105"/>
        <v>32</v>
      </c>
      <c r="V850" s="7">
        <v>32874</v>
      </c>
      <c r="W850" t="s">
        <v>1458</v>
      </c>
      <c r="X850" s="2">
        <v>2.383</v>
      </c>
      <c r="Y850" s="6">
        <f t="shared" si="110"/>
        <v>6.3612824003630442E-2</v>
      </c>
      <c r="AA850">
        <v>189219</v>
      </c>
      <c r="AB850">
        <v>17915</v>
      </c>
      <c r="AC850">
        <v>15582256</v>
      </c>
      <c r="AD850" t="s">
        <v>5</v>
      </c>
      <c r="AE850">
        <v>78</v>
      </c>
      <c r="AF850">
        <v>1</v>
      </c>
      <c r="AH850" t="s">
        <v>1457</v>
      </c>
      <c r="AI850" t="s">
        <v>1456</v>
      </c>
      <c r="AK850" t="s">
        <v>1455</v>
      </c>
      <c r="AL850">
        <v>657</v>
      </c>
      <c r="AM850" s="5">
        <f t="shared" si="106"/>
        <v>20.53125</v>
      </c>
      <c r="AN850" s="4">
        <f t="shared" si="111"/>
        <v>3.1096175691026125E-2</v>
      </c>
      <c r="AO850" s="3"/>
      <c r="AP850">
        <v>0</v>
      </c>
      <c r="AQ850" t="s">
        <v>1454</v>
      </c>
      <c r="AR850" t="s">
        <v>1453</v>
      </c>
      <c r="AS850" t="s">
        <v>1452</v>
      </c>
      <c r="AT850" s="2">
        <v>10.961</v>
      </c>
      <c r="AU850" s="1">
        <f t="shared" si="107"/>
        <v>5.3857829509849147</v>
      </c>
      <c r="AV850" s="1">
        <f t="shared" si="108"/>
        <v>4.7354499847328286</v>
      </c>
      <c r="AW850" s="1">
        <f t="shared" si="109"/>
        <v>4.0851170184807417</v>
      </c>
    </row>
    <row r="851" spans="1:49" x14ac:dyDescent="0.2">
      <c r="A851">
        <v>849</v>
      </c>
      <c r="B851" t="s">
        <v>1451</v>
      </c>
      <c r="F851" t="s">
        <v>1450</v>
      </c>
      <c r="G851" t="s">
        <v>14</v>
      </c>
      <c r="H851" t="s">
        <v>13</v>
      </c>
      <c r="I851" t="s">
        <v>1449</v>
      </c>
      <c r="J851">
        <v>60025555</v>
      </c>
      <c r="K851" t="s">
        <v>1448</v>
      </c>
      <c r="L851" t="s">
        <v>466</v>
      </c>
      <c r="M851" t="s">
        <v>267</v>
      </c>
      <c r="N851">
        <v>2</v>
      </c>
      <c r="O851" t="s">
        <v>1447</v>
      </c>
      <c r="P851" t="s">
        <v>1446</v>
      </c>
      <c r="Q851" t="s">
        <v>1445</v>
      </c>
      <c r="R851" s="7">
        <v>32874</v>
      </c>
      <c r="S851" s="8">
        <f t="shared" si="104"/>
        <v>1990</v>
      </c>
      <c r="T851" s="8">
        <v>1990</v>
      </c>
      <c r="U851" s="8">
        <f t="shared" si="105"/>
        <v>32</v>
      </c>
      <c r="V851" s="7">
        <v>32874</v>
      </c>
      <c r="W851" t="s">
        <v>1444</v>
      </c>
      <c r="X851" s="2">
        <v>0.111</v>
      </c>
      <c r="Y851" s="6">
        <f t="shared" si="110"/>
        <v>2.9630816048690639E-3</v>
      </c>
      <c r="AA851">
        <v>87566621</v>
      </c>
      <c r="AB851">
        <v>24890</v>
      </c>
      <c r="AD851" t="s">
        <v>5</v>
      </c>
      <c r="AE851">
        <v>73</v>
      </c>
      <c r="AF851">
        <v>1</v>
      </c>
      <c r="AH851" t="s">
        <v>1443</v>
      </c>
      <c r="AI851" t="s">
        <v>1442</v>
      </c>
      <c r="AK851" t="s">
        <v>1441</v>
      </c>
      <c r="AL851">
        <v>1</v>
      </c>
      <c r="AM851" s="5">
        <f t="shared" si="106"/>
        <v>3.125E-2</v>
      </c>
      <c r="AN851" s="4">
        <f t="shared" si="111"/>
        <v>4.73305566073457E-5</v>
      </c>
      <c r="AO851" s="3"/>
      <c r="AP851">
        <v>0</v>
      </c>
      <c r="AR851" t="s">
        <v>0</v>
      </c>
      <c r="AT851" s="2" t="s">
        <v>126</v>
      </c>
      <c r="AU851" s="1">
        <f t="shared" si="107"/>
        <v>0.20883562903905478</v>
      </c>
      <c r="AV851" s="1">
        <f t="shared" si="108"/>
        <v>0.15052060807382048</v>
      </c>
      <c r="AW851" s="1">
        <f t="shared" si="109"/>
        <v>9.2205587108586104E-2</v>
      </c>
    </row>
    <row r="852" spans="1:49" x14ac:dyDescent="0.2">
      <c r="A852">
        <v>850</v>
      </c>
      <c r="B852" t="s">
        <v>1440</v>
      </c>
      <c r="C852" t="s">
        <v>1439</v>
      </c>
      <c r="E852">
        <v>2324581</v>
      </c>
      <c r="F852" t="s">
        <v>1438</v>
      </c>
      <c r="G852" t="s">
        <v>14</v>
      </c>
      <c r="H852" t="s">
        <v>13</v>
      </c>
      <c r="I852" t="s">
        <v>1437</v>
      </c>
      <c r="J852" t="s">
        <v>1436</v>
      </c>
      <c r="K852" t="s">
        <v>1435</v>
      </c>
      <c r="L852" t="s">
        <v>1434</v>
      </c>
      <c r="M852" t="s">
        <v>1433</v>
      </c>
      <c r="N852">
        <v>5</v>
      </c>
      <c r="O852" t="s">
        <v>1432</v>
      </c>
      <c r="P852" t="s">
        <v>1431</v>
      </c>
      <c r="Q852" t="s">
        <v>1430</v>
      </c>
      <c r="R852" s="7">
        <v>32874</v>
      </c>
      <c r="S852" s="8">
        <f t="shared" si="104"/>
        <v>1990</v>
      </c>
      <c r="T852" s="8">
        <v>1990</v>
      </c>
      <c r="U852" s="8">
        <f t="shared" si="105"/>
        <v>32</v>
      </c>
      <c r="V852" s="7">
        <v>1990</v>
      </c>
      <c r="W852" t="s">
        <v>576</v>
      </c>
      <c r="X852" s="2">
        <v>0.89600000000000002</v>
      </c>
      <c r="Y852" s="6">
        <f t="shared" si="110"/>
        <v>2.3918208269934065E-2</v>
      </c>
      <c r="AA852">
        <v>2656736</v>
      </c>
      <c r="AB852">
        <v>29901</v>
      </c>
      <c r="AD852" t="s">
        <v>5</v>
      </c>
      <c r="AE852">
        <v>6</v>
      </c>
      <c r="AF852">
        <v>2</v>
      </c>
      <c r="AH852" t="s">
        <v>1429</v>
      </c>
      <c r="AI852" t="s">
        <v>1428</v>
      </c>
      <c r="AJ852" t="s">
        <v>1427</v>
      </c>
      <c r="AK852" t="s">
        <v>1426</v>
      </c>
      <c r="AL852">
        <v>17</v>
      </c>
      <c r="AM852" s="5">
        <f t="shared" si="106"/>
        <v>0.53125</v>
      </c>
      <c r="AN852" s="4">
        <f t="shared" si="111"/>
        <v>8.0461946232487697E-4</v>
      </c>
      <c r="AO852" s="3"/>
      <c r="AP852">
        <v>0</v>
      </c>
      <c r="AQ852" t="s">
        <v>1425</v>
      </c>
      <c r="AR852" t="s">
        <v>1424</v>
      </c>
      <c r="AS852" t="s">
        <v>1423</v>
      </c>
      <c r="AT852" s="2">
        <v>3.9140000000000001</v>
      </c>
      <c r="AU852" s="1">
        <f t="shared" si="107"/>
        <v>1.6984131627651307</v>
      </c>
      <c r="AV852" s="1">
        <f t="shared" si="108"/>
        <v>1.2361413866129469</v>
      </c>
      <c r="AW852" s="1">
        <f t="shared" si="109"/>
        <v>0.7738696104607633</v>
      </c>
    </row>
    <row r="853" spans="1:49" x14ac:dyDescent="0.2">
      <c r="A853">
        <v>851</v>
      </c>
      <c r="B853" t="s">
        <v>1422</v>
      </c>
      <c r="C853" t="s">
        <v>1421</v>
      </c>
      <c r="E853">
        <v>2304084</v>
      </c>
      <c r="F853" t="s">
        <v>1420</v>
      </c>
      <c r="G853" t="s">
        <v>14</v>
      </c>
      <c r="H853" t="s">
        <v>13</v>
      </c>
      <c r="I853" t="s">
        <v>1419</v>
      </c>
      <c r="J853">
        <v>60031004</v>
      </c>
      <c r="K853" t="s">
        <v>1418</v>
      </c>
      <c r="L853" t="s">
        <v>1417</v>
      </c>
      <c r="M853" t="s">
        <v>1224</v>
      </c>
      <c r="N853">
        <v>1</v>
      </c>
      <c r="O853" t="s">
        <v>1416</v>
      </c>
      <c r="P853">
        <v>55322877300</v>
      </c>
      <c r="Q853">
        <v>60031004</v>
      </c>
      <c r="R853" s="7">
        <v>32874</v>
      </c>
      <c r="S853" s="8">
        <f t="shared" si="104"/>
        <v>1990</v>
      </c>
      <c r="T853" s="8">
        <v>1990</v>
      </c>
      <c r="U853" s="8">
        <f t="shared" si="105"/>
        <v>32</v>
      </c>
      <c r="V853" s="7">
        <v>32905</v>
      </c>
      <c r="W853" t="s">
        <v>1415</v>
      </c>
      <c r="X853" s="2">
        <v>0.65200000000000002</v>
      </c>
      <c r="Y853" s="6">
        <f t="shared" si="110"/>
        <v>1.7404767624996664E-2</v>
      </c>
      <c r="AA853">
        <v>3622525</v>
      </c>
      <c r="AB853">
        <v>29629</v>
      </c>
      <c r="AC853">
        <v>10974687</v>
      </c>
      <c r="AD853" t="s">
        <v>5</v>
      </c>
      <c r="AE853">
        <v>203</v>
      </c>
      <c r="AF853">
        <v>2</v>
      </c>
      <c r="AH853" t="s">
        <v>1414</v>
      </c>
      <c r="AI853" t="s">
        <v>1413</v>
      </c>
      <c r="AK853" t="s">
        <v>1412</v>
      </c>
      <c r="AL853">
        <v>8</v>
      </c>
      <c r="AM853" s="5">
        <f t="shared" si="106"/>
        <v>0.25</v>
      </c>
      <c r="AN853" s="4">
        <f t="shared" si="111"/>
        <v>3.786444528587656E-4</v>
      </c>
      <c r="AO853" s="3"/>
      <c r="AP853">
        <v>0</v>
      </c>
      <c r="AR853" t="s">
        <v>0</v>
      </c>
      <c r="AT853" s="2">
        <v>1.804</v>
      </c>
      <c r="AU853" s="1">
        <f t="shared" si="107"/>
        <v>1.2296930673355295</v>
      </c>
      <c r="AV853" s="1">
        <f t="shared" si="108"/>
        <v>0.88917060389277147</v>
      </c>
      <c r="AW853" s="1">
        <f t="shared" si="109"/>
        <v>0.54864814045001342</v>
      </c>
    </row>
    <row r="854" spans="1:49" x14ac:dyDescent="0.2">
      <c r="A854">
        <v>852</v>
      </c>
      <c r="B854" t="s">
        <v>1411</v>
      </c>
      <c r="C854" t="s">
        <v>1410</v>
      </c>
      <c r="D854" t="s">
        <v>1409</v>
      </c>
      <c r="F854" t="s">
        <v>1408</v>
      </c>
      <c r="G854" t="s">
        <v>14</v>
      </c>
      <c r="H854" t="s">
        <v>13</v>
      </c>
      <c r="I854" t="s">
        <v>1407</v>
      </c>
      <c r="J854">
        <v>60003662</v>
      </c>
      <c r="K854" t="s">
        <v>1406</v>
      </c>
      <c r="L854" t="s">
        <v>1405</v>
      </c>
      <c r="M854" t="s">
        <v>521</v>
      </c>
      <c r="N854">
        <v>2</v>
      </c>
      <c r="O854" t="s">
        <v>1404</v>
      </c>
      <c r="P854" t="s">
        <v>1403</v>
      </c>
      <c r="Q854" t="s">
        <v>1402</v>
      </c>
      <c r="R854" s="7">
        <v>32874</v>
      </c>
      <c r="S854" s="8">
        <f t="shared" si="104"/>
        <v>1990</v>
      </c>
      <c r="T854" s="8">
        <v>1990</v>
      </c>
      <c r="U854" s="8">
        <f t="shared" si="105"/>
        <v>32</v>
      </c>
      <c r="V854" s="7">
        <v>32905</v>
      </c>
      <c r="W854" t="s">
        <v>1401</v>
      </c>
      <c r="X854" s="2">
        <v>0.73299999999999998</v>
      </c>
      <c r="Y854" s="6">
        <f t="shared" si="110"/>
        <v>1.9567016363684898E-2</v>
      </c>
      <c r="AA854">
        <v>3043770</v>
      </c>
      <c r="AB854">
        <v>16728</v>
      </c>
      <c r="AD854" t="s">
        <v>5</v>
      </c>
      <c r="AE854">
        <v>36</v>
      </c>
      <c r="AF854">
        <v>2</v>
      </c>
      <c r="AH854" t="s">
        <v>1400</v>
      </c>
      <c r="AI854" t="s">
        <v>1399</v>
      </c>
      <c r="AK854" t="s">
        <v>1398</v>
      </c>
      <c r="AL854">
        <v>23</v>
      </c>
      <c r="AM854" s="5">
        <f t="shared" si="106"/>
        <v>0.71875</v>
      </c>
      <c r="AN854" s="4">
        <f t="shared" si="111"/>
        <v>1.0886028019689512E-3</v>
      </c>
      <c r="AO854" s="3"/>
      <c r="AP854">
        <v>0</v>
      </c>
      <c r="AR854" t="s">
        <v>0</v>
      </c>
      <c r="AT854" s="2">
        <v>2.4729999999999999</v>
      </c>
      <c r="AU854" s="1">
        <f t="shared" si="107"/>
        <v>1.4023492295170112</v>
      </c>
      <c r="AV854" s="1">
        <f t="shared" si="108"/>
        <v>1.0327809582826923</v>
      </c>
      <c r="AW854" s="1">
        <f t="shared" si="109"/>
        <v>0.66321268704837344</v>
      </c>
    </row>
    <row r="855" spans="1:49" x14ac:dyDescent="0.2">
      <c r="A855">
        <v>853</v>
      </c>
      <c r="B855" t="s">
        <v>1397</v>
      </c>
      <c r="C855" t="s">
        <v>1396</v>
      </c>
      <c r="F855" t="s">
        <v>1395</v>
      </c>
      <c r="G855" t="s">
        <v>14</v>
      </c>
      <c r="H855" t="s">
        <v>13</v>
      </c>
      <c r="I855" t="s">
        <v>1394</v>
      </c>
      <c r="N855">
        <v>2</v>
      </c>
      <c r="O855" t="s">
        <v>1393</v>
      </c>
      <c r="P855" t="s">
        <v>1392</v>
      </c>
      <c r="Q855" t="s">
        <v>119</v>
      </c>
      <c r="R855" s="7">
        <v>32874</v>
      </c>
      <c r="S855" s="8">
        <f t="shared" si="104"/>
        <v>1990</v>
      </c>
      <c r="T855" s="8">
        <v>1990</v>
      </c>
      <c r="U855" s="8">
        <f t="shared" si="105"/>
        <v>32</v>
      </c>
      <c r="V855" s="7" t="s">
        <v>1391</v>
      </c>
      <c r="W855" t="s">
        <v>110</v>
      </c>
      <c r="X855" s="2">
        <v>0.371</v>
      </c>
      <c r="Y855" s="6">
        <f t="shared" si="110"/>
        <v>9.9036331117695747E-3</v>
      </c>
      <c r="AA855">
        <v>486604</v>
      </c>
      <c r="AB855">
        <v>28580</v>
      </c>
      <c r="AC855" t="s">
        <v>109</v>
      </c>
      <c r="AD855" t="s">
        <v>5</v>
      </c>
      <c r="AE855">
        <v>25</v>
      </c>
      <c r="AF855">
        <v>1</v>
      </c>
      <c r="AH855" t="s">
        <v>1390</v>
      </c>
      <c r="AI855" t="s">
        <v>1389</v>
      </c>
      <c r="AK855" t="s">
        <v>1388</v>
      </c>
      <c r="AL855">
        <v>3</v>
      </c>
      <c r="AM855" s="5">
        <f t="shared" si="106"/>
        <v>9.375E-2</v>
      </c>
      <c r="AN855" s="4">
        <f t="shared" si="111"/>
        <v>1.4199166982203711E-4</v>
      </c>
      <c r="AO855" s="3"/>
      <c r="AP855">
        <v>0</v>
      </c>
      <c r="AR855" t="s">
        <v>0</v>
      </c>
      <c r="AT855" s="2">
        <v>1.431</v>
      </c>
      <c r="AU855" s="1">
        <f t="shared" si="107"/>
        <v>0.69751406791853121</v>
      </c>
      <c r="AV855" s="1">
        <f t="shared" si="108"/>
        <v>0.50228123907958055</v>
      </c>
      <c r="AW855" s="1">
        <f t="shared" si="109"/>
        <v>0.30704841024062984</v>
      </c>
    </row>
    <row r="856" spans="1:49" x14ac:dyDescent="0.2">
      <c r="A856">
        <v>854</v>
      </c>
      <c r="B856" t="s">
        <v>1387</v>
      </c>
      <c r="C856" t="s">
        <v>1386</v>
      </c>
      <c r="F856" t="s">
        <v>1385</v>
      </c>
      <c r="G856" t="s">
        <v>14</v>
      </c>
      <c r="H856" t="s">
        <v>13</v>
      </c>
      <c r="I856" t="s">
        <v>1384</v>
      </c>
      <c r="J856">
        <v>60017366</v>
      </c>
      <c r="K856" t="s">
        <v>425</v>
      </c>
      <c r="L856" t="s">
        <v>424</v>
      </c>
      <c r="M856" t="s">
        <v>197</v>
      </c>
      <c r="N856">
        <v>3</v>
      </c>
      <c r="O856" t="s">
        <v>1383</v>
      </c>
      <c r="P856" t="s">
        <v>1382</v>
      </c>
      <c r="Q856" t="s">
        <v>1381</v>
      </c>
      <c r="R856" s="7">
        <v>32874</v>
      </c>
      <c r="S856" s="8">
        <f t="shared" si="104"/>
        <v>1990</v>
      </c>
      <c r="T856" s="8">
        <v>1990</v>
      </c>
      <c r="U856" s="8">
        <f t="shared" si="105"/>
        <v>32</v>
      </c>
      <c r="V856" s="7">
        <v>32874</v>
      </c>
      <c r="W856" t="s">
        <v>1380</v>
      </c>
      <c r="X856" s="2">
        <v>0.375</v>
      </c>
      <c r="Y856" s="6">
        <f t="shared" si="110"/>
        <v>1.0010410827260351E-2</v>
      </c>
      <c r="AA856">
        <v>135194</v>
      </c>
      <c r="AB856">
        <v>24918</v>
      </c>
      <c r="AD856" t="s">
        <v>5</v>
      </c>
      <c r="AE856">
        <v>26</v>
      </c>
      <c r="AF856">
        <v>2</v>
      </c>
      <c r="AH856" t="s">
        <v>1379</v>
      </c>
      <c r="AI856" t="s">
        <v>1378</v>
      </c>
      <c r="AJ856" t="s">
        <v>1377</v>
      </c>
      <c r="AK856" t="s">
        <v>1376</v>
      </c>
      <c r="AL856">
        <v>21</v>
      </c>
      <c r="AM856" s="5">
        <f t="shared" si="106"/>
        <v>0.65625</v>
      </c>
      <c r="AN856" s="4">
        <f t="shared" si="111"/>
        <v>9.9394168875425971E-4</v>
      </c>
      <c r="AO856" s="3"/>
      <c r="AP856">
        <v>0</v>
      </c>
      <c r="AR856" t="s">
        <v>0</v>
      </c>
      <c r="AT856" s="2">
        <v>1.3140000000000001</v>
      </c>
      <c r="AU856" s="1">
        <f t="shared" si="107"/>
        <v>0.73054700857085231</v>
      </c>
      <c r="AV856" s="1">
        <f t="shared" si="108"/>
        <v>0.55021762580073053</v>
      </c>
      <c r="AW856" s="1">
        <f t="shared" si="109"/>
        <v>0.36988824303060869</v>
      </c>
    </row>
    <row r="857" spans="1:49" x14ac:dyDescent="0.2">
      <c r="A857">
        <v>855</v>
      </c>
      <c r="B857" t="s">
        <v>1375</v>
      </c>
      <c r="C857" t="s">
        <v>1374</v>
      </c>
      <c r="F857" t="s">
        <v>1373</v>
      </c>
      <c r="G857" t="s">
        <v>14</v>
      </c>
      <c r="H857" t="s">
        <v>13</v>
      </c>
      <c r="I857" t="s">
        <v>1372</v>
      </c>
      <c r="N857">
        <v>1</v>
      </c>
      <c r="O857" t="s">
        <v>1371</v>
      </c>
      <c r="P857">
        <v>24512080300</v>
      </c>
      <c r="R857" s="7">
        <v>32874</v>
      </c>
      <c r="S857" s="8">
        <f t="shared" si="104"/>
        <v>1990</v>
      </c>
      <c r="T857" s="8">
        <v>1990</v>
      </c>
      <c r="U857" s="8">
        <f t="shared" si="105"/>
        <v>32</v>
      </c>
      <c r="V857" s="7">
        <v>32874</v>
      </c>
      <c r="W857" t="s">
        <v>1152</v>
      </c>
      <c r="X857" s="2">
        <v>0.30399999999999999</v>
      </c>
      <c r="Y857" s="6">
        <f t="shared" si="110"/>
        <v>8.115106377299057E-3</v>
      </c>
      <c r="AA857">
        <v>8952477</v>
      </c>
      <c r="AB857">
        <v>12250</v>
      </c>
      <c r="AC857">
        <v>10982760</v>
      </c>
      <c r="AD857" t="s">
        <v>5</v>
      </c>
      <c r="AE857">
        <v>3</v>
      </c>
      <c r="AF857">
        <v>1</v>
      </c>
      <c r="AH857" s="9">
        <v>44475</v>
      </c>
      <c r="AI857" t="s">
        <v>1370</v>
      </c>
      <c r="AJ857" t="s">
        <v>1369</v>
      </c>
      <c r="AK857" t="s">
        <v>1368</v>
      </c>
      <c r="AL857">
        <v>6</v>
      </c>
      <c r="AM857" s="5">
        <f t="shared" si="106"/>
        <v>0.1875</v>
      </c>
      <c r="AN857" s="4">
        <f t="shared" si="111"/>
        <v>2.8398333964407423E-4</v>
      </c>
      <c r="AO857" s="3"/>
      <c r="AP857">
        <v>0</v>
      </c>
      <c r="AR857" t="s">
        <v>0</v>
      </c>
      <c r="AT857" s="2" t="s">
        <v>126</v>
      </c>
      <c r="AU857" s="1">
        <f t="shared" si="107"/>
        <v>0.57657694660025616</v>
      </c>
      <c r="AV857" s="1">
        <f t="shared" si="108"/>
        <v>0.41995448584715661</v>
      </c>
      <c r="AW857" s="1">
        <f t="shared" si="109"/>
        <v>0.26333202509405695</v>
      </c>
    </row>
    <row r="858" spans="1:49" x14ac:dyDescent="0.2">
      <c r="A858">
        <v>856</v>
      </c>
      <c r="B858" t="s">
        <v>1367</v>
      </c>
      <c r="F858" t="s">
        <v>1366</v>
      </c>
      <c r="G858" t="s">
        <v>14</v>
      </c>
      <c r="H858" t="s">
        <v>13</v>
      </c>
      <c r="I858" t="s">
        <v>1365</v>
      </c>
      <c r="N858">
        <v>1</v>
      </c>
      <c r="O858" t="s">
        <v>1364</v>
      </c>
      <c r="P858">
        <v>7003763320</v>
      </c>
      <c r="R858" s="7">
        <v>32874</v>
      </c>
      <c r="S858" s="8">
        <f t="shared" si="104"/>
        <v>1990</v>
      </c>
      <c r="T858" s="8">
        <v>1990</v>
      </c>
      <c r="U858" s="8">
        <f t="shared" si="105"/>
        <v>32</v>
      </c>
      <c r="V858" s="7">
        <v>1990</v>
      </c>
      <c r="W858" t="s">
        <v>564</v>
      </c>
      <c r="X858" s="2" t="s">
        <v>126</v>
      </c>
      <c r="Y858" s="6" t="e">
        <f t="shared" si="110"/>
        <v>#VALUE!</v>
      </c>
      <c r="AA858">
        <v>87566648</v>
      </c>
      <c r="AB858">
        <v>74127</v>
      </c>
      <c r="AD858" t="s">
        <v>5</v>
      </c>
      <c r="AE858">
        <v>35</v>
      </c>
      <c r="AF858">
        <v>3</v>
      </c>
      <c r="AH858" t="s">
        <v>1363</v>
      </c>
      <c r="AI858" t="s">
        <v>1362</v>
      </c>
      <c r="AK858" t="s">
        <v>1361</v>
      </c>
      <c r="AL858">
        <v>0</v>
      </c>
      <c r="AM858" s="5">
        <f t="shared" si="106"/>
        <v>0</v>
      </c>
      <c r="AN858" s="4">
        <f t="shared" si="111"/>
        <v>0</v>
      </c>
      <c r="AO858" s="3"/>
      <c r="AP858">
        <v>0</v>
      </c>
      <c r="AR858" t="s">
        <v>0</v>
      </c>
      <c r="AT858" s="2" t="s">
        <v>126</v>
      </c>
      <c r="AU858" s="1" t="e">
        <f t="shared" si="107"/>
        <v>#VALUE!</v>
      </c>
      <c r="AV858" s="1" t="e">
        <f t="shared" si="108"/>
        <v>#VALUE!</v>
      </c>
      <c r="AW858" s="1" t="e">
        <f t="shared" si="109"/>
        <v>#VALUE!</v>
      </c>
    </row>
    <row r="859" spans="1:49" x14ac:dyDescent="0.2">
      <c r="A859">
        <v>857</v>
      </c>
      <c r="B859" t="s">
        <v>1360</v>
      </c>
      <c r="F859" t="s">
        <v>1359</v>
      </c>
      <c r="G859" t="s">
        <v>14</v>
      </c>
      <c r="H859" t="s">
        <v>13</v>
      </c>
      <c r="I859" t="s">
        <v>1358</v>
      </c>
      <c r="N859">
        <v>3</v>
      </c>
      <c r="O859" t="s">
        <v>1357</v>
      </c>
      <c r="P859" t="s">
        <v>1356</v>
      </c>
      <c r="Q859" t="s">
        <v>391</v>
      </c>
      <c r="R859" s="7">
        <v>32874</v>
      </c>
      <c r="S859" s="8">
        <f t="shared" si="104"/>
        <v>1990</v>
      </c>
      <c r="T859" s="8">
        <v>1990</v>
      </c>
      <c r="U859" s="8">
        <f t="shared" si="105"/>
        <v>32</v>
      </c>
      <c r="V859" s="7">
        <v>1990</v>
      </c>
      <c r="W859" t="s">
        <v>564</v>
      </c>
      <c r="X859" s="2" t="s">
        <v>126</v>
      </c>
      <c r="Y859" s="6" t="e">
        <f t="shared" si="110"/>
        <v>#VALUE!</v>
      </c>
      <c r="AA859">
        <v>87566648</v>
      </c>
      <c r="AB859">
        <v>74127</v>
      </c>
      <c r="AD859" t="s">
        <v>5</v>
      </c>
      <c r="AE859">
        <v>35</v>
      </c>
      <c r="AF859">
        <v>3</v>
      </c>
      <c r="AH859" t="s">
        <v>1355</v>
      </c>
      <c r="AI859" t="s">
        <v>1354</v>
      </c>
      <c r="AK859" t="s">
        <v>1353</v>
      </c>
      <c r="AL859">
        <v>0</v>
      </c>
      <c r="AM859" s="5">
        <f t="shared" si="106"/>
        <v>0</v>
      </c>
      <c r="AN859" s="4">
        <f t="shared" si="111"/>
        <v>0</v>
      </c>
      <c r="AO859" s="3"/>
      <c r="AP859">
        <v>0</v>
      </c>
      <c r="AR859" t="s">
        <v>0</v>
      </c>
      <c r="AT859" s="2" t="s">
        <v>126</v>
      </c>
      <c r="AU859" s="1" t="e">
        <f t="shared" si="107"/>
        <v>#VALUE!</v>
      </c>
      <c r="AV859" s="1" t="e">
        <f t="shared" si="108"/>
        <v>#VALUE!</v>
      </c>
      <c r="AW859" s="1" t="e">
        <f t="shared" si="109"/>
        <v>#VALUE!</v>
      </c>
    </row>
    <row r="860" spans="1:49" x14ac:dyDescent="0.2">
      <c r="A860">
        <v>858</v>
      </c>
      <c r="B860" t="s">
        <v>1352</v>
      </c>
      <c r="C860" t="s">
        <v>1351</v>
      </c>
      <c r="E860">
        <v>2319305</v>
      </c>
      <c r="F860" t="s">
        <v>1350</v>
      </c>
      <c r="G860" t="s">
        <v>14</v>
      </c>
      <c r="H860" t="s">
        <v>13</v>
      </c>
      <c r="I860" t="s">
        <v>1349</v>
      </c>
      <c r="J860">
        <v>60010065</v>
      </c>
      <c r="K860" t="s">
        <v>1261</v>
      </c>
      <c r="L860" t="s">
        <v>1035</v>
      </c>
      <c r="M860" t="s">
        <v>197</v>
      </c>
      <c r="N860">
        <v>2</v>
      </c>
      <c r="O860" t="s">
        <v>1348</v>
      </c>
      <c r="P860" t="s">
        <v>1347</v>
      </c>
      <c r="Q860" t="s">
        <v>1258</v>
      </c>
      <c r="R860" s="7">
        <v>32874</v>
      </c>
      <c r="S860" s="8">
        <f t="shared" si="104"/>
        <v>1990</v>
      </c>
      <c r="T860" s="8">
        <v>1990</v>
      </c>
      <c r="U860" s="8">
        <f t="shared" si="105"/>
        <v>32</v>
      </c>
      <c r="V860" s="7">
        <v>1990</v>
      </c>
      <c r="W860" t="s">
        <v>1257</v>
      </c>
      <c r="X860" s="2">
        <v>3.4830000000000001</v>
      </c>
      <c r="Y860" s="6">
        <f t="shared" si="110"/>
        <v>9.2976695763594144E-2</v>
      </c>
      <c r="AA860">
        <v>2706474</v>
      </c>
      <c r="AB860">
        <v>16764</v>
      </c>
      <c r="AD860" t="s">
        <v>5</v>
      </c>
      <c r="AE860">
        <v>10</v>
      </c>
      <c r="AF860">
        <v>3</v>
      </c>
      <c r="AH860" t="s">
        <v>1346</v>
      </c>
      <c r="AI860" t="s">
        <v>1345</v>
      </c>
      <c r="AK860" t="s">
        <v>1344</v>
      </c>
      <c r="AL860">
        <v>35</v>
      </c>
      <c r="AM860" s="5">
        <f t="shared" si="106"/>
        <v>1.09375</v>
      </c>
      <c r="AN860" s="4">
        <f t="shared" si="111"/>
        <v>1.6565694812570996E-3</v>
      </c>
      <c r="AO860" s="3"/>
      <c r="AP860">
        <v>1</v>
      </c>
      <c r="AQ860" t="s">
        <v>1253</v>
      </c>
      <c r="AR860" t="s">
        <v>1252</v>
      </c>
      <c r="AS860" t="s">
        <v>1251</v>
      </c>
      <c r="AT860" s="2">
        <v>6.1669999999999998</v>
      </c>
      <c r="AU860" s="1">
        <f t="shared" si="107"/>
        <v>6.5580657878893014</v>
      </c>
      <c r="AV860" s="1">
        <f t="shared" si="108"/>
        <v>4.7316632622425621</v>
      </c>
      <c r="AW860" s="1">
        <f t="shared" si="109"/>
        <v>2.9052607365958214</v>
      </c>
    </row>
    <row r="861" spans="1:49" x14ac:dyDescent="0.2">
      <c r="A861">
        <v>859</v>
      </c>
      <c r="B861" t="s">
        <v>1343</v>
      </c>
      <c r="C861" t="s">
        <v>1342</v>
      </c>
      <c r="F861" t="s">
        <v>1341</v>
      </c>
      <c r="G861" t="s">
        <v>14</v>
      </c>
      <c r="H861" t="s">
        <v>13</v>
      </c>
      <c r="I861" t="s">
        <v>1340</v>
      </c>
      <c r="J861" t="s">
        <v>1339</v>
      </c>
      <c r="K861" t="s">
        <v>1338</v>
      </c>
      <c r="L861" t="s">
        <v>1337</v>
      </c>
      <c r="M861" t="s">
        <v>84</v>
      </c>
      <c r="N861">
        <v>1</v>
      </c>
      <c r="O861" t="s">
        <v>1336</v>
      </c>
      <c r="P861">
        <v>7004256094</v>
      </c>
      <c r="Q861" t="s">
        <v>1335</v>
      </c>
      <c r="R861" s="7">
        <v>32874</v>
      </c>
      <c r="S861" s="8">
        <f t="shared" si="104"/>
        <v>1990</v>
      </c>
      <c r="T861" s="8">
        <v>1990</v>
      </c>
      <c r="U861" s="8">
        <f t="shared" si="105"/>
        <v>32</v>
      </c>
      <c r="V861" s="7">
        <v>32874</v>
      </c>
      <c r="W861" t="s">
        <v>1152</v>
      </c>
      <c r="X861" s="2">
        <v>0.30399999999999999</v>
      </c>
      <c r="Y861" s="6">
        <f t="shared" si="110"/>
        <v>8.115106377299057E-3</v>
      </c>
      <c r="AA861">
        <v>8952477</v>
      </c>
      <c r="AB861">
        <v>12250</v>
      </c>
      <c r="AC861">
        <v>10982760</v>
      </c>
      <c r="AD861" t="s">
        <v>5</v>
      </c>
      <c r="AE861">
        <v>3</v>
      </c>
      <c r="AF861">
        <v>1</v>
      </c>
      <c r="AH861" t="s">
        <v>1334</v>
      </c>
      <c r="AI861" t="s">
        <v>1333</v>
      </c>
      <c r="AJ861" t="s">
        <v>1332</v>
      </c>
      <c r="AK861" t="s">
        <v>1331</v>
      </c>
      <c r="AL861">
        <v>0</v>
      </c>
      <c r="AM861" s="5">
        <f t="shared" si="106"/>
        <v>0</v>
      </c>
      <c r="AN861" s="4">
        <f t="shared" si="111"/>
        <v>0</v>
      </c>
      <c r="AO861" s="3"/>
      <c r="AP861">
        <v>0</v>
      </c>
      <c r="AR861" t="s">
        <v>0</v>
      </c>
      <c r="AT861" s="2" t="s">
        <v>126</v>
      </c>
      <c r="AU861" s="1">
        <f t="shared" si="107"/>
        <v>0.56805744641093392</v>
      </c>
      <c r="AV861" s="1">
        <f t="shared" si="108"/>
        <v>0.40575531886495286</v>
      </c>
      <c r="AW861" s="1">
        <f t="shared" si="109"/>
        <v>0.24345319131897172</v>
      </c>
    </row>
    <row r="862" spans="1:49" x14ac:dyDescent="0.2">
      <c r="A862">
        <v>860</v>
      </c>
      <c r="B862" t="s">
        <v>1330</v>
      </c>
      <c r="F862" t="s">
        <v>1329</v>
      </c>
      <c r="G862" t="s">
        <v>14</v>
      </c>
      <c r="H862" t="s">
        <v>13</v>
      </c>
      <c r="I862" t="s">
        <v>1328</v>
      </c>
      <c r="J862">
        <v>60007902</v>
      </c>
      <c r="K862" t="s">
        <v>1327</v>
      </c>
      <c r="L862" t="s">
        <v>1326</v>
      </c>
      <c r="M862" t="s">
        <v>135</v>
      </c>
      <c r="N862">
        <v>2</v>
      </c>
      <c r="O862" t="s">
        <v>1325</v>
      </c>
      <c r="P862" t="s">
        <v>1324</v>
      </c>
      <c r="Q862" t="s">
        <v>1323</v>
      </c>
      <c r="R862" s="7">
        <v>32874</v>
      </c>
      <c r="S862" s="8">
        <f t="shared" si="104"/>
        <v>1990</v>
      </c>
      <c r="T862" s="8">
        <v>1990</v>
      </c>
      <c r="U862" s="8">
        <f t="shared" si="105"/>
        <v>32</v>
      </c>
      <c r="V862" s="7">
        <v>32874</v>
      </c>
      <c r="W862" t="s">
        <v>1322</v>
      </c>
      <c r="X862" s="2">
        <v>0.54700000000000004</v>
      </c>
      <c r="Y862" s="6">
        <f t="shared" si="110"/>
        <v>1.4601852593363766E-2</v>
      </c>
      <c r="AA862">
        <v>11096</v>
      </c>
      <c r="AB862">
        <v>31211</v>
      </c>
      <c r="AD862" t="s">
        <v>5</v>
      </c>
      <c r="AE862">
        <v>44</v>
      </c>
      <c r="AF862">
        <v>1</v>
      </c>
      <c r="AH862" s="9">
        <v>44378</v>
      </c>
      <c r="AI862" t="s">
        <v>1321</v>
      </c>
      <c r="AK862" t="s">
        <v>1320</v>
      </c>
      <c r="AL862">
        <v>0</v>
      </c>
      <c r="AM862" s="5">
        <f t="shared" si="106"/>
        <v>0</v>
      </c>
      <c r="AN862" s="4">
        <f t="shared" si="111"/>
        <v>0</v>
      </c>
      <c r="AO862" s="3"/>
      <c r="AP862">
        <v>0</v>
      </c>
      <c r="AR862" t="s">
        <v>0</v>
      </c>
      <c r="AT862" s="2" t="s">
        <v>126</v>
      </c>
      <c r="AU862" s="1">
        <f t="shared" si="107"/>
        <v>1.0221296815354637</v>
      </c>
      <c r="AV862" s="1">
        <f t="shared" si="108"/>
        <v>0.73009262966818833</v>
      </c>
      <c r="AW862" s="1">
        <f t="shared" si="109"/>
        <v>0.43805557780091298</v>
      </c>
    </row>
    <row r="863" spans="1:49" x14ac:dyDescent="0.2">
      <c r="A863">
        <v>861</v>
      </c>
      <c r="B863" t="s">
        <v>1319</v>
      </c>
      <c r="C863" t="s">
        <v>1318</v>
      </c>
      <c r="F863" t="s">
        <v>1317</v>
      </c>
      <c r="G863" t="s">
        <v>14</v>
      </c>
      <c r="H863" t="s">
        <v>13</v>
      </c>
      <c r="I863" t="s">
        <v>1316</v>
      </c>
      <c r="J863" t="s">
        <v>1315</v>
      </c>
      <c r="K863" t="s">
        <v>1314</v>
      </c>
      <c r="L863" t="s">
        <v>1313</v>
      </c>
      <c r="M863" t="s">
        <v>84</v>
      </c>
      <c r="N863">
        <v>3</v>
      </c>
      <c r="O863" t="s">
        <v>1312</v>
      </c>
      <c r="P863" t="s">
        <v>1311</v>
      </c>
      <c r="Q863" t="s">
        <v>1310</v>
      </c>
      <c r="R863" s="7">
        <v>32874</v>
      </c>
      <c r="S863" s="8">
        <f t="shared" si="104"/>
        <v>1990</v>
      </c>
      <c r="T863" s="8">
        <v>1990</v>
      </c>
      <c r="U863" s="8">
        <f t="shared" si="105"/>
        <v>32</v>
      </c>
      <c r="V863" s="7">
        <v>32874</v>
      </c>
      <c r="W863" t="s">
        <v>1309</v>
      </c>
      <c r="X863" s="2">
        <v>1.3720000000000001</v>
      </c>
      <c r="Y863" s="6">
        <f t="shared" si="110"/>
        <v>3.662475641333654E-2</v>
      </c>
      <c r="AA863">
        <v>189480</v>
      </c>
      <c r="AB863">
        <v>17366</v>
      </c>
      <c r="AC863">
        <v>15579670</v>
      </c>
      <c r="AD863" t="s">
        <v>5</v>
      </c>
      <c r="AE863">
        <v>38</v>
      </c>
      <c r="AF863">
        <v>1</v>
      </c>
      <c r="AH863" t="s">
        <v>1308</v>
      </c>
      <c r="AI863" t="s">
        <v>1307</v>
      </c>
      <c r="AK863" t="s">
        <v>1306</v>
      </c>
      <c r="AL863">
        <v>20</v>
      </c>
      <c r="AM863" s="5">
        <f t="shared" si="106"/>
        <v>0.625</v>
      </c>
      <c r="AN863" s="4">
        <f t="shared" si="111"/>
        <v>9.4661113214691405E-4</v>
      </c>
      <c r="AO863" s="3"/>
      <c r="AP863">
        <v>0</v>
      </c>
      <c r="AQ863" t="s">
        <v>545</v>
      </c>
      <c r="AR863" t="s">
        <v>1305</v>
      </c>
      <c r="AS863" t="s">
        <v>543</v>
      </c>
      <c r="AT863" s="2" t="s">
        <v>126</v>
      </c>
      <c r="AU863" s="1">
        <f t="shared" si="107"/>
        <v>2.5921312828979652</v>
      </c>
      <c r="AV863" s="1">
        <f t="shared" si="108"/>
        <v>1.8785683772741726</v>
      </c>
      <c r="AW863" s="1">
        <f t="shared" si="109"/>
        <v>1.1650054716503802</v>
      </c>
    </row>
    <row r="864" spans="1:49" x14ac:dyDescent="0.2">
      <c r="A864">
        <v>862</v>
      </c>
      <c r="B864" t="s">
        <v>1304</v>
      </c>
      <c r="C864" t="s">
        <v>1303</v>
      </c>
      <c r="F864" t="s">
        <v>1302</v>
      </c>
      <c r="G864" t="s">
        <v>14</v>
      </c>
      <c r="H864" t="s">
        <v>13</v>
      </c>
      <c r="I864" t="s">
        <v>1301</v>
      </c>
      <c r="J864">
        <v>60027161</v>
      </c>
      <c r="K864" t="s">
        <v>1300</v>
      </c>
      <c r="L864" t="s">
        <v>1299</v>
      </c>
      <c r="M864" t="s">
        <v>536</v>
      </c>
      <c r="N864">
        <v>2</v>
      </c>
      <c r="O864" t="s">
        <v>1298</v>
      </c>
      <c r="P864" t="s">
        <v>1297</v>
      </c>
      <c r="Q864" t="s">
        <v>1296</v>
      </c>
      <c r="R864" s="7">
        <v>32874</v>
      </c>
      <c r="S864" s="8">
        <f t="shared" si="104"/>
        <v>1990</v>
      </c>
      <c r="T864" s="8">
        <v>1990</v>
      </c>
      <c r="U864" s="8">
        <f t="shared" si="105"/>
        <v>32</v>
      </c>
      <c r="V864" s="7" t="s">
        <v>1212</v>
      </c>
      <c r="W864" t="s">
        <v>1295</v>
      </c>
      <c r="X864" s="2">
        <v>0.36399999999999999</v>
      </c>
      <c r="Y864" s="6">
        <f t="shared" si="110"/>
        <v>9.7167721096607148E-3</v>
      </c>
      <c r="AA864">
        <v>989886</v>
      </c>
      <c r="AB864">
        <v>17963</v>
      </c>
      <c r="AC864" t="s">
        <v>1294</v>
      </c>
      <c r="AD864" t="s">
        <v>5</v>
      </c>
      <c r="AE864">
        <v>18</v>
      </c>
      <c r="AF864">
        <v>1</v>
      </c>
      <c r="AH864" t="s">
        <v>1293</v>
      </c>
      <c r="AI864" t="s">
        <v>1292</v>
      </c>
      <c r="AK864" t="s">
        <v>1291</v>
      </c>
      <c r="AL864">
        <v>7</v>
      </c>
      <c r="AM864" s="5">
        <f t="shared" si="106"/>
        <v>0.21875</v>
      </c>
      <c r="AN864" s="4">
        <f t="shared" si="111"/>
        <v>3.3131389625141994E-4</v>
      </c>
      <c r="AO864" s="3"/>
      <c r="AP864">
        <v>0</v>
      </c>
      <c r="AR864" t="s">
        <v>0</v>
      </c>
      <c r="AT864" s="2" t="s">
        <v>126</v>
      </c>
      <c r="AU864" s="1">
        <f t="shared" si="107"/>
        <v>0.69011346456379252</v>
      </c>
      <c r="AV864" s="1">
        <f t="shared" si="108"/>
        <v>0.50240430029560679</v>
      </c>
      <c r="AW864" s="1">
        <f t="shared" si="109"/>
        <v>0.31469513602742083</v>
      </c>
    </row>
    <row r="865" spans="1:49" x14ac:dyDescent="0.2">
      <c r="A865">
        <v>863</v>
      </c>
      <c r="B865" t="s">
        <v>1290</v>
      </c>
      <c r="C865" t="s">
        <v>1289</v>
      </c>
      <c r="F865" t="s">
        <v>1288</v>
      </c>
      <c r="G865" t="s">
        <v>14</v>
      </c>
      <c r="H865" t="s">
        <v>13</v>
      </c>
      <c r="I865" t="s">
        <v>1287</v>
      </c>
      <c r="J865">
        <v>60025778</v>
      </c>
      <c r="K865" t="s">
        <v>436</v>
      </c>
      <c r="L865" t="s">
        <v>435</v>
      </c>
      <c r="M865" t="s">
        <v>197</v>
      </c>
      <c r="N865">
        <v>3</v>
      </c>
      <c r="O865" t="s">
        <v>1286</v>
      </c>
      <c r="P865" t="s">
        <v>1285</v>
      </c>
      <c r="Q865" t="s">
        <v>1284</v>
      </c>
      <c r="R865" s="7">
        <v>32874</v>
      </c>
      <c r="S865" s="8">
        <f t="shared" si="104"/>
        <v>1990</v>
      </c>
      <c r="T865" s="8">
        <v>1990</v>
      </c>
      <c r="U865" s="8">
        <f t="shared" si="105"/>
        <v>32</v>
      </c>
      <c r="V865" s="7">
        <v>32874</v>
      </c>
      <c r="W865" t="s">
        <v>1283</v>
      </c>
      <c r="X865" s="2">
        <v>2.141</v>
      </c>
      <c r="Y865" s="6">
        <f t="shared" si="110"/>
        <v>5.7152772216438434E-2</v>
      </c>
      <c r="AA865">
        <v>1962892</v>
      </c>
      <c r="AB865">
        <v>17360</v>
      </c>
      <c r="AC865">
        <v>15580644</v>
      </c>
      <c r="AD865" t="s">
        <v>5</v>
      </c>
      <c r="AE865">
        <v>28</v>
      </c>
      <c r="AF865">
        <v>1</v>
      </c>
      <c r="AH865" t="s">
        <v>1282</v>
      </c>
      <c r="AI865" t="s">
        <v>1281</v>
      </c>
      <c r="AK865" t="s">
        <v>1280</v>
      </c>
      <c r="AL865">
        <v>123</v>
      </c>
      <c r="AM865" s="5">
        <f t="shared" si="106"/>
        <v>3.84375</v>
      </c>
      <c r="AN865" s="4">
        <f t="shared" si="111"/>
        <v>5.8216584627035217E-3</v>
      </c>
      <c r="AO865" s="3"/>
      <c r="AP865">
        <v>0</v>
      </c>
      <c r="AQ865" t="s">
        <v>1279</v>
      </c>
      <c r="AR865">
        <v>957191</v>
      </c>
      <c r="AS865" t="s">
        <v>1278</v>
      </c>
      <c r="AT865" s="2" t="s">
        <v>126</v>
      </c>
      <c r="AU865" s="1">
        <f t="shared" si="107"/>
        <v>4.175343809031796</v>
      </c>
      <c r="AV865" s="1">
        <f t="shared" si="108"/>
        <v>3.1487215339570982</v>
      </c>
      <c r="AW865" s="1">
        <f t="shared" si="109"/>
        <v>2.1220992588823995</v>
      </c>
    </row>
    <row r="866" spans="1:49" x14ac:dyDescent="0.2">
      <c r="A866">
        <v>864</v>
      </c>
      <c r="B866" t="s">
        <v>1277</v>
      </c>
      <c r="C866" t="s">
        <v>1276</v>
      </c>
      <c r="E866">
        <v>2307651</v>
      </c>
      <c r="F866" t="s">
        <v>1275</v>
      </c>
      <c r="G866" t="s">
        <v>14</v>
      </c>
      <c r="H866" t="s">
        <v>13</v>
      </c>
      <c r="I866" t="s">
        <v>1274</v>
      </c>
      <c r="J866">
        <v>60011460</v>
      </c>
      <c r="K866" t="s">
        <v>1273</v>
      </c>
      <c r="L866" t="s">
        <v>1272</v>
      </c>
      <c r="M866" t="s">
        <v>197</v>
      </c>
      <c r="N866">
        <v>3</v>
      </c>
      <c r="O866" t="s">
        <v>1271</v>
      </c>
      <c r="P866" t="s">
        <v>1270</v>
      </c>
      <c r="Q866" t="s">
        <v>1269</v>
      </c>
      <c r="R866" s="7">
        <v>32874</v>
      </c>
      <c r="S866" s="8">
        <f t="shared" si="104"/>
        <v>1990</v>
      </c>
      <c r="T866" s="8">
        <v>1990</v>
      </c>
      <c r="U866" s="8">
        <f t="shared" si="105"/>
        <v>32</v>
      </c>
      <c r="V866" s="7">
        <v>1990</v>
      </c>
      <c r="W866" t="s">
        <v>989</v>
      </c>
      <c r="X866" s="2">
        <v>1.6519999999999999</v>
      </c>
      <c r="Y866" s="6">
        <f t="shared" si="110"/>
        <v>4.409919649769093E-2</v>
      </c>
      <c r="AA866">
        <v>219193</v>
      </c>
      <c r="AB866">
        <v>20220</v>
      </c>
      <c r="AD866" t="s">
        <v>5</v>
      </c>
      <c r="AE866">
        <v>172</v>
      </c>
      <c r="AF866">
        <v>3</v>
      </c>
      <c r="AH866" t="s">
        <v>1268</v>
      </c>
      <c r="AI866" t="s">
        <v>1267</v>
      </c>
      <c r="AK866" t="s">
        <v>1266</v>
      </c>
      <c r="AL866">
        <v>19</v>
      </c>
      <c r="AM866" s="5">
        <f t="shared" si="106"/>
        <v>0.59375</v>
      </c>
      <c r="AN866" s="4">
        <f t="shared" si="111"/>
        <v>8.9928057553956839E-4</v>
      </c>
      <c r="AO866" s="3"/>
      <c r="AP866">
        <v>1</v>
      </c>
      <c r="AR866" t="s">
        <v>0</v>
      </c>
      <c r="AT866" s="2">
        <v>3.49</v>
      </c>
      <c r="AU866" s="1">
        <f t="shared" si="107"/>
        <v>3.113922172104552</v>
      </c>
      <c r="AV866" s="1">
        <f t="shared" si="108"/>
        <v>2.2499238536615249</v>
      </c>
      <c r="AW866" s="1">
        <f t="shared" si="109"/>
        <v>1.3859255352184976</v>
      </c>
    </row>
    <row r="867" spans="1:49" x14ac:dyDescent="0.2">
      <c r="A867">
        <v>865</v>
      </c>
      <c r="B867" t="s">
        <v>1265</v>
      </c>
      <c r="C867" t="s">
        <v>1264</v>
      </c>
      <c r="E867">
        <v>2156962</v>
      </c>
      <c r="F867" t="s">
        <v>1263</v>
      </c>
      <c r="G867" t="s">
        <v>14</v>
      </c>
      <c r="H867" t="s">
        <v>13</v>
      </c>
      <c r="I867" t="s">
        <v>1262</v>
      </c>
      <c r="J867">
        <v>60010065</v>
      </c>
      <c r="K867" t="s">
        <v>1261</v>
      </c>
      <c r="L867" t="s">
        <v>1035</v>
      </c>
      <c r="M867" t="s">
        <v>197</v>
      </c>
      <c r="N867">
        <v>2</v>
      </c>
      <c r="O867" t="s">
        <v>1260</v>
      </c>
      <c r="P867" t="s">
        <v>1259</v>
      </c>
      <c r="Q867" t="s">
        <v>1258</v>
      </c>
      <c r="R867" s="7">
        <v>32874</v>
      </c>
      <c r="S867" s="8">
        <f t="shared" si="104"/>
        <v>1990</v>
      </c>
      <c r="T867" s="8">
        <v>1990</v>
      </c>
      <c r="U867" s="8">
        <f t="shared" si="105"/>
        <v>32</v>
      </c>
      <c r="V867" s="7">
        <v>1990</v>
      </c>
      <c r="W867" t="s">
        <v>1257</v>
      </c>
      <c r="X867" s="2">
        <v>3.4830000000000001</v>
      </c>
      <c r="Y867" s="6">
        <f t="shared" si="110"/>
        <v>9.2976695763594144E-2</v>
      </c>
      <c r="AA867">
        <v>2706474</v>
      </c>
      <c r="AB867">
        <v>16764</v>
      </c>
      <c r="AD867" t="s">
        <v>5</v>
      </c>
      <c r="AE867">
        <v>10</v>
      </c>
      <c r="AF867">
        <v>3</v>
      </c>
      <c r="AH867" t="s">
        <v>1256</v>
      </c>
      <c r="AI867" t="s">
        <v>1255</v>
      </c>
      <c r="AK867" t="s">
        <v>1254</v>
      </c>
      <c r="AL867">
        <v>78</v>
      </c>
      <c r="AM867" s="5">
        <f t="shared" si="106"/>
        <v>2.4375</v>
      </c>
      <c r="AN867" s="4">
        <f t="shared" si="111"/>
        <v>3.6917834153729649E-3</v>
      </c>
      <c r="AO867" s="3"/>
      <c r="AP867">
        <v>1</v>
      </c>
      <c r="AQ867" t="s">
        <v>1253</v>
      </c>
      <c r="AR867" t="s">
        <v>1252</v>
      </c>
      <c r="AS867" t="s">
        <v>1251</v>
      </c>
      <c r="AT867" s="2">
        <v>6.1669999999999998</v>
      </c>
      <c r="AU867" s="1">
        <f t="shared" si="107"/>
        <v>6.6191222059127783</v>
      </c>
      <c r="AV867" s="1">
        <f t="shared" si="108"/>
        <v>4.8334239589483552</v>
      </c>
      <c r="AW867" s="1">
        <f t="shared" si="109"/>
        <v>3.0477257119839321</v>
      </c>
    </row>
    <row r="868" spans="1:49" x14ac:dyDescent="0.2">
      <c r="A868">
        <v>866</v>
      </c>
      <c r="B868" t="s">
        <v>1250</v>
      </c>
      <c r="C868" t="s">
        <v>1249</v>
      </c>
      <c r="E868">
        <v>2324334</v>
      </c>
      <c r="F868" t="s">
        <v>1248</v>
      </c>
      <c r="G868" t="s">
        <v>14</v>
      </c>
      <c r="H868" t="s">
        <v>13</v>
      </c>
      <c r="I868" t="s">
        <v>1247</v>
      </c>
      <c r="J868" t="s">
        <v>1242</v>
      </c>
      <c r="K868" t="s">
        <v>1246</v>
      </c>
      <c r="L868" t="s">
        <v>1245</v>
      </c>
      <c r="M868" t="s">
        <v>70</v>
      </c>
      <c r="N868">
        <v>2</v>
      </c>
      <c r="O868" t="s">
        <v>1244</v>
      </c>
      <c r="P868" t="s">
        <v>1243</v>
      </c>
      <c r="Q868" t="s">
        <v>1242</v>
      </c>
      <c r="R868" s="7">
        <v>32874</v>
      </c>
      <c r="S868" s="8">
        <f t="shared" si="104"/>
        <v>1990</v>
      </c>
      <c r="T868" s="8">
        <v>1990</v>
      </c>
      <c r="U868" s="8">
        <f t="shared" si="105"/>
        <v>32</v>
      </c>
      <c r="V868" s="7">
        <v>32964</v>
      </c>
      <c r="W868" t="s">
        <v>1031</v>
      </c>
      <c r="X868" s="2">
        <v>1.855</v>
      </c>
      <c r="Y868" s="6">
        <f t="shared" si="110"/>
        <v>4.9518165558847867E-2</v>
      </c>
      <c r="AA868">
        <v>219967</v>
      </c>
      <c r="AB868">
        <v>16689</v>
      </c>
      <c r="AC868">
        <v>10969861</v>
      </c>
      <c r="AD868" t="s">
        <v>5</v>
      </c>
      <c r="AE868">
        <v>294</v>
      </c>
      <c r="AF868">
        <v>1</v>
      </c>
      <c r="AH868" t="s">
        <v>1241</v>
      </c>
      <c r="AI868" t="s">
        <v>1240</v>
      </c>
      <c r="AJ868" t="s">
        <v>1239</v>
      </c>
      <c r="AK868" t="s">
        <v>1238</v>
      </c>
      <c r="AL868">
        <v>50</v>
      </c>
      <c r="AM868" s="5">
        <f t="shared" si="106"/>
        <v>1.5625</v>
      </c>
      <c r="AN868" s="4">
        <f t="shared" si="111"/>
        <v>2.3665278303672851E-3</v>
      </c>
      <c r="AO868" s="3"/>
      <c r="AP868">
        <v>0</v>
      </c>
      <c r="AR868" t="s">
        <v>0</v>
      </c>
      <c r="AT868" s="2">
        <v>3.2149999999999999</v>
      </c>
      <c r="AU868" s="1">
        <f t="shared" si="107"/>
        <v>3.5372674240303694</v>
      </c>
      <c r="AV868" s="1">
        <f t="shared" si="108"/>
        <v>2.5942346694607576</v>
      </c>
      <c r="AW868" s="1">
        <f t="shared" si="109"/>
        <v>1.6512019148911459</v>
      </c>
    </row>
    <row r="869" spans="1:49" x14ac:dyDescent="0.2">
      <c r="A869">
        <v>867</v>
      </c>
      <c r="B869" t="s">
        <v>1237</v>
      </c>
      <c r="F869" t="s">
        <v>1236</v>
      </c>
      <c r="G869" t="s">
        <v>14</v>
      </c>
      <c r="H869" t="s">
        <v>13</v>
      </c>
      <c r="I869" t="s">
        <v>1235</v>
      </c>
      <c r="N869">
        <v>1</v>
      </c>
      <c r="O869" t="s">
        <v>1234</v>
      </c>
      <c r="P869">
        <v>7003706658</v>
      </c>
      <c r="R869" s="7">
        <v>32874</v>
      </c>
      <c r="S869" s="8">
        <f t="shared" si="104"/>
        <v>1990</v>
      </c>
      <c r="T869" s="8">
        <v>1990</v>
      </c>
      <c r="U869" s="8">
        <f t="shared" si="105"/>
        <v>32</v>
      </c>
      <c r="V869" s="7">
        <v>1990</v>
      </c>
      <c r="W869" t="s">
        <v>564</v>
      </c>
      <c r="X869" s="2" t="s">
        <v>126</v>
      </c>
      <c r="Y869" s="6" t="e">
        <f t="shared" si="110"/>
        <v>#VALUE!</v>
      </c>
      <c r="AA869">
        <v>87566648</v>
      </c>
      <c r="AB869">
        <v>74127</v>
      </c>
      <c r="AD869" t="s">
        <v>5</v>
      </c>
      <c r="AE869">
        <v>35</v>
      </c>
      <c r="AF869">
        <v>3</v>
      </c>
      <c r="AH869" t="s">
        <v>1233</v>
      </c>
      <c r="AI869" t="s">
        <v>1232</v>
      </c>
      <c r="AK869" t="s">
        <v>1231</v>
      </c>
      <c r="AL869">
        <v>0</v>
      </c>
      <c r="AM869" s="5">
        <f t="shared" si="106"/>
        <v>0</v>
      </c>
      <c r="AN869" s="4">
        <f t="shared" si="111"/>
        <v>0</v>
      </c>
      <c r="AO869" s="3"/>
      <c r="AP869">
        <v>0</v>
      </c>
      <c r="AR869" t="s">
        <v>0</v>
      </c>
      <c r="AT869" s="2" t="s">
        <v>126</v>
      </c>
      <c r="AU869" s="1" t="e">
        <f t="shared" si="107"/>
        <v>#VALUE!</v>
      </c>
      <c r="AV869" s="1" t="e">
        <f t="shared" si="108"/>
        <v>#VALUE!</v>
      </c>
      <c r="AW869" s="1" t="e">
        <f t="shared" si="109"/>
        <v>#VALUE!</v>
      </c>
    </row>
    <row r="870" spans="1:49" x14ac:dyDescent="0.2">
      <c r="A870">
        <v>868</v>
      </c>
      <c r="B870" t="s">
        <v>1230</v>
      </c>
      <c r="C870" t="s">
        <v>1229</v>
      </c>
      <c r="F870" t="s">
        <v>1228</v>
      </c>
      <c r="G870" t="s">
        <v>14</v>
      </c>
      <c r="H870" t="s">
        <v>13</v>
      </c>
      <c r="I870" t="s">
        <v>1227</v>
      </c>
      <c r="J870">
        <v>60026708</v>
      </c>
      <c r="K870" t="s">
        <v>1226</v>
      </c>
      <c r="L870" t="s">
        <v>1225</v>
      </c>
      <c r="M870" t="s">
        <v>1224</v>
      </c>
      <c r="N870">
        <v>1</v>
      </c>
      <c r="O870" t="s">
        <v>1223</v>
      </c>
      <c r="P870">
        <v>7003446625</v>
      </c>
      <c r="Q870">
        <v>60026708</v>
      </c>
      <c r="R870" s="7">
        <v>32874</v>
      </c>
      <c r="S870" s="8">
        <f t="shared" si="104"/>
        <v>1990</v>
      </c>
      <c r="T870" s="8">
        <v>1990</v>
      </c>
      <c r="U870" s="8">
        <f t="shared" si="105"/>
        <v>32</v>
      </c>
      <c r="V870" s="7">
        <v>32874</v>
      </c>
      <c r="W870" t="s">
        <v>1222</v>
      </c>
      <c r="X870" s="2">
        <v>1.6379999999999999</v>
      </c>
      <c r="Y870" s="6">
        <f t="shared" si="110"/>
        <v>4.3725474493473214E-2</v>
      </c>
      <c r="AA870">
        <v>963518</v>
      </c>
      <c r="AB870">
        <v>31560</v>
      </c>
      <c r="AD870" t="s">
        <v>5</v>
      </c>
      <c r="AE870">
        <v>38</v>
      </c>
      <c r="AF870">
        <v>1</v>
      </c>
      <c r="AH870" s="10">
        <v>42005</v>
      </c>
      <c r="AI870" t="s">
        <v>1221</v>
      </c>
      <c r="AK870" t="s">
        <v>1220</v>
      </c>
      <c r="AL870">
        <v>30</v>
      </c>
      <c r="AM870" s="5">
        <f t="shared" si="106"/>
        <v>0.9375</v>
      </c>
      <c r="AN870" s="4">
        <f t="shared" si="111"/>
        <v>1.4199166982203711E-3</v>
      </c>
      <c r="AO870" s="3"/>
      <c r="AP870">
        <v>0</v>
      </c>
      <c r="AQ870" t="s">
        <v>1219</v>
      </c>
      <c r="AR870" t="s">
        <v>0</v>
      </c>
      <c r="AS870" t="s">
        <v>1218</v>
      </c>
      <c r="AT870" s="2" t="s">
        <v>126</v>
      </c>
      <c r="AU870" s="1">
        <f t="shared" si="107"/>
        <v>3.1033807154897359</v>
      </c>
      <c r="AV870" s="1">
        <f t="shared" si="108"/>
        <v>2.257269559584679</v>
      </c>
      <c r="AW870" s="1">
        <f t="shared" si="109"/>
        <v>1.4111584036796223</v>
      </c>
    </row>
    <row r="871" spans="1:49" x14ac:dyDescent="0.2">
      <c r="A871">
        <v>869</v>
      </c>
      <c r="B871" t="s">
        <v>1217</v>
      </c>
      <c r="C871" t="s">
        <v>1216</v>
      </c>
      <c r="F871" t="s">
        <v>1215</v>
      </c>
      <c r="G871" t="s">
        <v>14</v>
      </c>
      <c r="H871" t="s">
        <v>13</v>
      </c>
      <c r="I871" t="s">
        <v>1214</v>
      </c>
      <c r="J871">
        <v>60022148</v>
      </c>
      <c r="K871" t="s">
        <v>663</v>
      </c>
      <c r="L871" t="s">
        <v>662</v>
      </c>
      <c r="M871" t="s">
        <v>253</v>
      </c>
      <c r="N871">
        <v>1</v>
      </c>
      <c r="O871" t="s">
        <v>1213</v>
      </c>
      <c r="P871">
        <v>35087329300</v>
      </c>
      <c r="Q871">
        <v>60022148</v>
      </c>
      <c r="R871" s="7">
        <v>32874</v>
      </c>
      <c r="S871" s="8">
        <f t="shared" si="104"/>
        <v>1990</v>
      </c>
      <c r="T871" s="8">
        <v>1990</v>
      </c>
      <c r="U871" s="8">
        <f t="shared" si="105"/>
        <v>32</v>
      </c>
      <c r="V871" s="7" t="s">
        <v>1212</v>
      </c>
      <c r="W871" t="s">
        <v>1211</v>
      </c>
      <c r="X871" s="2">
        <v>0.33800000000000002</v>
      </c>
      <c r="Y871" s="6">
        <f t="shared" si="110"/>
        <v>9.0227169589706634E-3</v>
      </c>
      <c r="AA871">
        <v>7372884</v>
      </c>
      <c r="AB871">
        <v>70506</v>
      </c>
      <c r="AC871">
        <v>10991247</v>
      </c>
      <c r="AD871" t="s">
        <v>5</v>
      </c>
      <c r="AE871">
        <v>8</v>
      </c>
      <c r="AF871">
        <v>1</v>
      </c>
      <c r="AH871" s="9">
        <v>44440</v>
      </c>
      <c r="AI871" t="s">
        <v>1210</v>
      </c>
      <c r="AJ871" t="s">
        <v>1209</v>
      </c>
      <c r="AK871" t="s">
        <v>1208</v>
      </c>
      <c r="AL871">
        <v>2</v>
      </c>
      <c r="AM871" s="5">
        <f t="shared" si="106"/>
        <v>6.25E-2</v>
      </c>
      <c r="AN871" s="4">
        <f t="shared" si="111"/>
        <v>9.46611132146914E-5</v>
      </c>
      <c r="AO871" s="3"/>
      <c r="AP871">
        <v>0</v>
      </c>
      <c r="AR871" t="s">
        <v>0</v>
      </c>
      <c r="AT871" s="2" t="s">
        <v>126</v>
      </c>
      <c r="AU871" s="1">
        <f t="shared" si="107"/>
        <v>0.63443002052438713</v>
      </c>
      <c r="AV871" s="1">
        <f t="shared" si="108"/>
        <v>0.45586890360926779</v>
      </c>
      <c r="AW871" s="1">
        <f t="shared" si="109"/>
        <v>0.27730778669414829</v>
      </c>
    </row>
    <row r="872" spans="1:49" x14ac:dyDescent="0.2">
      <c r="A872">
        <v>870</v>
      </c>
      <c r="B872" t="s">
        <v>1207</v>
      </c>
      <c r="F872" t="s">
        <v>1206</v>
      </c>
      <c r="G872" t="s">
        <v>14</v>
      </c>
      <c r="H872" t="s">
        <v>13</v>
      </c>
      <c r="I872" t="s">
        <v>1205</v>
      </c>
      <c r="N872">
        <v>1</v>
      </c>
      <c r="O872" t="s">
        <v>1204</v>
      </c>
      <c r="P872">
        <v>9432376900</v>
      </c>
      <c r="R872" s="7">
        <v>32874</v>
      </c>
      <c r="S872" s="8">
        <f t="shared" si="104"/>
        <v>1990</v>
      </c>
      <c r="T872" s="8">
        <v>1990</v>
      </c>
      <c r="U872" s="8">
        <f t="shared" si="105"/>
        <v>32</v>
      </c>
      <c r="V872" s="7">
        <v>1990</v>
      </c>
      <c r="W872" t="s">
        <v>564</v>
      </c>
      <c r="X872" s="2" t="s">
        <v>126</v>
      </c>
      <c r="Y872" s="6" t="e">
        <f t="shared" si="110"/>
        <v>#VALUE!</v>
      </c>
      <c r="AA872">
        <v>87566648</v>
      </c>
      <c r="AB872">
        <v>74127</v>
      </c>
      <c r="AD872" t="s">
        <v>5</v>
      </c>
      <c r="AE872">
        <v>35</v>
      </c>
      <c r="AF872">
        <v>3</v>
      </c>
      <c r="AH872" t="s">
        <v>1203</v>
      </c>
      <c r="AI872" t="s">
        <v>1202</v>
      </c>
      <c r="AK872" t="s">
        <v>1201</v>
      </c>
      <c r="AL872">
        <v>0</v>
      </c>
      <c r="AM872" s="5">
        <f t="shared" si="106"/>
        <v>0</v>
      </c>
      <c r="AN872" s="4">
        <f t="shared" si="111"/>
        <v>0</v>
      </c>
      <c r="AO872" s="3"/>
      <c r="AP872">
        <v>0</v>
      </c>
      <c r="AR872" t="s">
        <v>0</v>
      </c>
      <c r="AT872" s="2" t="s">
        <v>126</v>
      </c>
      <c r="AU872" s="1" t="e">
        <f t="shared" si="107"/>
        <v>#VALUE!</v>
      </c>
      <c r="AV872" s="1" t="e">
        <f t="shared" si="108"/>
        <v>#VALUE!</v>
      </c>
      <c r="AW872" s="1" t="e">
        <f t="shared" si="109"/>
        <v>#VALUE!</v>
      </c>
    </row>
    <row r="873" spans="1:49" x14ac:dyDescent="0.2">
      <c r="A873">
        <v>871</v>
      </c>
      <c r="B873" t="s">
        <v>1200</v>
      </c>
      <c r="C873" t="s">
        <v>1199</v>
      </c>
      <c r="F873" t="s">
        <v>1198</v>
      </c>
      <c r="G873" t="s">
        <v>14</v>
      </c>
      <c r="H873" t="s">
        <v>13</v>
      </c>
      <c r="I873" t="s">
        <v>1197</v>
      </c>
      <c r="J873">
        <v>60099442</v>
      </c>
      <c r="K873" t="s">
        <v>1196</v>
      </c>
      <c r="L873" t="s">
        <v>1195</v>
      </c>
      <c r="M873" t="s">
        <v>197</v>
      </c>
      <c r="N873">
        <v>2</v>
      </c>
      <c r="O873" t="s">
        <v>1194</v>
      </c>
      <c r="P873" t="s">
        <v>1193</v>
      </c>
      <c r="Q873" t="s">
        <v>1192</v>
      </c>
      <c r="R873" s="7">
        <v>32874</v>
      </c>
      <c r="S873" s="8">
        <f t="shared" si="104"/>
        <v>1990</v>
      </c>
      <c r="T873" s="8">
        <v>1990</v>
      </c>
      <c r="U873" s="8">
        <f t="shared" si="105"/>
        <v>32</v>
      </c>
      <c r="V873" s="7" t="s">
        <v>1191</v>
      </c>
      <c r="W873" t="s">
        <v>1190</v>
      </c>
      <c r="X873" s="2">
        <v>1.573</v>
      </c>
      <c r="Y873" s="6">
        <f t="shared" si="110"/>
        <v>4.1990336616748086E-2</v>
      </c>
      <c r="AA873">
        <v>7315090</v>
      </c>
      <c r="AB873">
        <v>29586</v>
      </c>
      <c r="AD873" t="s">
        <v>5</v>
      </c>
      <c r="AE873">
        <v>13</v>
      </c>
      <c r="AF873">
        <v>1</v>
      </c>
      <c r="AH873" t="s">
        <v>1189</v>
      </c>
      <c r="AI873" t="s">
        <v>1188</v>
      </c>
      <c r="AK873" t="s">
        <v>1187</v>
      </c>
      <c r="AL873">
        <v>7</v>
      </c>
      <c r="AM873" s="5">
        <f t="shared" si="106"/>
        <v>0.21875</v>
      </c>
      <c r="AN873" s="4">
        <f t="shared" si="111"/>
        <v>3.3131389625141994E-4</v>
      </c>
      <c r="AO873" s="3"/>
      <c r="AP873">
        <v>0</v>
      </c>
      <c r="AR873" t="s">
        <v>0</v>
      </c>
      <c r="AT873" s="2" t="s">
        <v>126</v>
      </c>
      <c r="AU873" s="1">
        <f t="shared" si="107"/>
        <v>2.9492629800599088</v>
      </c>
      <c r="AV873" s="1">
        <f t="shared" si="108"/>
        <v>2.1160825256499751</v>
      </c>
      <c r="AW873" s="1">
        <f t="shared" si="109"/>
        <v>1.2829020712400419</v>
      </c>
    </row>
    <row r="874" spans="1:49" x14ac:dyDescent="0.2">
      <c r="A874">
        <v>872</v>
      </c>
      <c r="B874" t="s">
        <v>1186</v>
      </c>
      <c r="F874" t="s">
        <v>1185</v>
      </c>
      <c r="G874" t="s">
        <v>14</v>
      </c>
      <c r="H874" t="s">
        <v>13</v>
      </c>
      <c r="I874" t="s">
        <v>1184</v>
      </c>
      <c r="N874">
        <v>7</v>
      </c>
      <c r="O874" t="s">
        <v>1183</v>
      </c>
      <c r="P874" t="s">
        <v>1182</v>
      </c>
      <c r="Q874" t="s">
        <v>1181</v>
      </c>
      <c r="R874" s="7">
        <v>32874</v>
      </c>
      <c r="S874" s="8">
        <f t="shared" si="104"/>
        <v>1990</v>
      </c>
      <c r="T874" s="8">
        <v>1990</v>
      </c>
      <c r="U874" s="8">
        <f t="shared" si="105"/>
        <v>32</v>
      </c>
      <c r="V874" s="7">
        <v>1990</v>
      </c>
      <c r="W874" t="s">
        <v>1180</v>
      </c>
      <c r="X874" s="2" t="s">
        <v>126</v>
      </c>
      <c r="Y874" s="6" t="e">
        <f t="shared" si="110"/>
        <v>#VALUE!</v>
      </c>
      <c r="AA874">
        <v>2421283</v>
      </c>
      <c r="AB874">
        <v>62329</v>
      </c>
      <c r="AD874" t="s">
        <v>5</v>
      </c>
      <c r="AE874">
        <v>12</v>
      </c>
      <c r="AF874">
        <v>2</v>
      </c>
      <c r="AH874" t="s">
        <v>1179</v>
      </c>
      <c r="AI874" t="s">
        <v>1178</v>
      </c>
      <c r="AK874" t="s">
        <v>1177</v>
      </c>
      <c r="AL874">
        <v>0</v>
      </c>
      <c r="AM874" s="5">
        <f t="shared" si="106"/>
        <v>0</v>
      </c>
      <c r="AN874" s="4">
        <f t="shared" si="111"/>
        <v>0</v>
      </c>
      <c r="AO874" s="3"/>
      <c r="AP874">
        <v>0</v>
      </c>
      <c r="AR874" t="s">
        <v>0</v>
      </c>
      <c r="AT874" s="2" t="s">
        <v>126</v>
      </c>
      <c r="AU874" s="1" t="e">
        <f t="shared" si="107"/>
        <v>#VALUE!</v>
      </c>
      <c r="AV874" s="1" t="e">
        <f t="shared" si="108"/>
        <v>#VALUE!</v>
      </c>
      <c r="AW874" s="1" t="e">
        <f t="shared" si="109"/>
        <v>#VALUE!</v>
      </c>
    </row>
    <row r="875" spans="1:49" x14ac:dyDescent="0.2">
      <c r="A875">
        <v>873</v>
      </c>
      <c r="B875" t="s">
        <v>1176</v>
      </c>
      <c r="C875" t="s">
        <v>1175</v>
      </c>
      <c r="F875" t="s">
        <v>1174</v>
      </c>
      <c r="G875" t="s">
        <v>14</v>
      </c>
      <c r="H875" t="s">
        <v>13</v>
      </c>
      <c r="I875" t="s">
        <v>1173</v>
      </c>
      <c r="J875" t="s">
        <v>1172</v>
      </c>
      <c r="K875" t="s">
        <v>1171</v>
      </c>
      <c r="L875" t="s">
        <v>1170</v>
      </c>
      <c r="M875" t="s">
        <v>84</v>
      </c>
      <c r="N875">
        <v>3</v>
      </c>
      <c r="O875" t="s">
        <v>1169</v>
      </c>
      <c r="P875" t="s">
        <v>1168</v>
      </c>
      <c r="Q875" t="s">
        <v>1167</v>
      </c>
      <c r="R875" s="7">
        <v>32874</v>
      </c>
      <c r="S875" s="8">
        <f t="shared" si="104"/>
        <v>1990</v>
      </c>
      <c r="T875" s="8">
        <v>1990</v>
      </c>
      <c r="U875" s="8">
        <f t="shared" si="105"/>
        <v>32</v>
      </c>
      <c r="V875" s="7">
        <v>32874</v>
      </c>
      <c r="W875" t="s">
        <v>1152</v>
      </c>
      <c r="X875" s="2">
        <v>0.30399999999999999</v>
      </c>
      <c r="Y875" s="6">
        <f t="shared" si="110"/>
        <v>8.115106377299057E-3</v>
      </c>
      <c r="AA875">
        <v>8952477</v>
      </c>
      <c r="AB875">
        <v>12250</v>
      </c>
      <c r="AC875">
        <v>10982760</v>
      </c>
      <c r="AD875" t="s">
        <v>5</v>
      </c>
      <c r="AE875">
        <v>3</v>
      </c>
      <c r="AF875">
        <v>1</v>
      </c>
      <c r="AH875" t="s">
        <v>1166</v>
      </c>
      <c r="AI875" t="s">
        <v>1165</v>
      </c>
      <c r="AJ875" t="s">
        <v>1164</v>
      </c>
      <c r="AK875" t="s">
        <v>1163</v>
      </c>
      <c r="AL875">
        <v>1</v>
      </c>
      <c r="AM875" s="5">
        <f t="shared" si="106"/>
        <v>3.125E-2</v>
      </c>
      <c r="AN875" s="4">
        <f t="shared" si="111"/>
        <v>4.73305566073457E-5</v>
      </c>
      <c r="AO875" s="3"/>
      <c r="AP875">
        <v>0</v>
      </c>
      <c r="AR875" t="s">
        <v>0</v>
      </c>
      <c r="AT875" s="2" t="s">
        <v>126</v>
      </c>
      <c r="AU875" s="1">
        <f t="shared" si="107"/>
        <v>0.56947736310915431</v>
      </c>
      <c r="AV875" s="1">
        <f t="shared" si="108"/>
        <v>0.40812184669532009</v>
      </c>
      <c r="AW875" s="1">
        <f t="shared" si="109"/>
        <v>0.24676633028148592</v>
      </c>
    </row>
    <row r="876" spans="1:49" x14ac:dyDescent="0.2">
      <c r="A876">
        <v>874</v>
      </c>
      <c r="B876" t="s">
        <v>1162</v>
      </c>
      <c r="C876" t="s">
        <v>1161</v>
      </c>
      <c r="F876" t="s">
        <v>1160</v>
      </c>
      <c r="G876" t="s">
        <v>14</v>
      </c>
      <c r="H876" t="s">
        <v>13</v>
      </c>
      <c r="I876" t="s">
        <v>1159</v>
      </c>
      <c r="J876" t="s">
        <v>1153</v>
      </c>
      <c r="K876" t="s">
        <v>1158</v>
      </c>
      <c r="L876" t="s">
        <v>1157</v>
      </c>
      <c r="M876" t="s">
        <v>1156</v>
      </c>
      <c r="N876">
        <v>2</v>
      </c>
      <c r="O876" t="s">
        <v>1155</v>
      </c>
      <c r="P876" t="s">
        <v>1154</v>
      </c>
      <c r="Q876" t="s">
        <v>1153</v>
      </c>
      <c r="R876" s="7">
        <v>32874</v>
      </c>
      <c r="S876" s="8">
        <f t="shared" si="104"/>
        <v>1990</v>
      </c>
      <c r="T876" s="8">
        <v>1990</v>
      </c>
      <c r="U876" s="8">
        <f t="shared" si="105"/>
        <v>32</v>
      </c>
      <c r="V876" s="7">
        <v>32874</v>
      </c>
      <c r="W876" t="s">
        <v>1152</v>
      </c>
      <c r="X876" s="2">
        <v>0.30399999999999999</v>
      </c>
      <c r="Y876" s="6">
        <f t="shared" si="110"/>
        <v>8.115106377299057E-3</v>
      </c>
      <c r="AA876">
        <v>8952477</v>
      </c>
      <c r="AB876">
        <v>12250</v>
      </c>
      <c r="AC876">
        <v>10982760</v>
      </c>
      <c r="AD876" t="s">
        <v>5</v>
      </c>
      <c r="AE876">
        <v>3</v>
      </c>
      <c r="AF876">
        <v>1</v>
      </c>
      <c r="AH876" t="s">
        <v>1151</v>
      </c>
      <c r="AI876" t="s">
        <v>1150</v>
      </c>
      <c r="AJ876" t="s">
        <v>1149</v>
      </c>
      <c r="AK876" t="s">
        <v>1148</v>
      </c>
      <c r="AL876">
        <v>5</v>
      </c>
      <c r="AM876" s="5">
        <f t="shared" si="106"/>
        <v>0.15625</v>
      </c>
      <c r="AN876" s="4">
        <f t="shared" si="111"/>
        <v>2.3665278303672851E-4</v>
      </c>
      <c r="AO876" s="3"/>
      <c r="AP876">
        <v>0</v>
      </c>
      <c r="AR876" t="s">
        <v>0</v>
      </c>
      <c r="AT876" s="2" t="s">
        <v>126</v>
      </c>
      <c r="AU876" s="1">
        <f t="shared" si="107"/>
        <v>0.57515702990203577</v>
      </c>
      <c r="AV876" s="1">
        <f t="shared" si="108"/>
        <v>0.41758795801678922</v>
      </c>
      <c r="AW876" s="1">
        <f t="shared" si="109"/>
        <v>0.26001888613154273</v>
      </c>
    </row>
    <row r="877" spans="1:49" x14ac:dyDescent="0.2">
      <c r="A877">
        <v>875</v>
      </c>
      <c r="B877" t="s">
        <v>1147</v>
      </c>
      <c r="C877" t="s">
        <v>1146</v>
      </c>
      <c r="F877" t="s">
        <v>1145</v>
      </c>
      <c r="G877" t="s">
        <v>14</v>
      </c>
      <c r="H877" t="s">
        <v>13</v>
      </c>
      <c r="I877" t="s">
        <v>1144</v>
      </c>
      <c r="J877">
        <v>60015331</v>
      </c>
      <c r="K877" t="s">
        <v>1143</v>
      </c>
      <c r="L877" t="s">
        <v>1142</v>
      </c>
      <c r="M877" t="s">
        <v>1141</v>
      </c>
      <c r="N877">
        <v>1</v>
      </c>
      <c r="O877" t="s">
        <v>1140</v>
      </c>
      <c r="P877">
        <v>6507560894</v>
      </c>
      <c r="Q877">
        <v>60015331</v>
      </c>
      <c r="R877" s="7">
        <v>32874</v>
      </c>
      <c r="S877" s="8">
        <f t="shared" si="104"/>
        <v>1990</v>
      </c>
      <c r="T877" s="8">
        <v>1990</v>
      </c>
      <c r="U877" s="8">
        <f t="shared" si="105"/>
        <v>32</v>
      </c>
      <c r="V877" s="7">
        <v>32964</v>
      </c>
      <c r="W877" t="s">
        <v>1139</v>
      </c>
      <c r="X877" s="2">
        <v>0.40400000000000003</v>
      </c>
      <c r="Y877" s="6">
        <f t="shared" si="110"/>
        <v>1.0784549264568486E-2</v>
      </c>
      <c r="AA877">
        <v>396265</v>
      </c>
      <c r="AB877">
        <v>17473</v>
      </c>
      <c r="AC877">
        <v>17522706</v>
      </c>
      <c r="AD877" t="s">
        <v>5</v>
      </c>
      <c r="AE877">
        <v>30</v>
      </c>
      <c r="AF877">
        <v>236</v>
      </c>
      <c r="AH877" t="s">
        <v>1138</v>
      </c>
      <c r="AI877" t="s">
        <v>1137</v>
      </c>
      <c r="AK877" t="s">
        <v>1136</v>
      </c>
      <c r="AL877">
        <v>0</v>
      </c>
      <c r="AM877" s="5">
        <f t="shared" si="106"/>
        <v>0</v>
      </c>
      <c r="AN877" s="4">
        <f t="shared" si="111"/>
        <v>0</v>
      </c>
      <c r="AO877" s="3"/>
      <c r="AP877">
        <v>0</v>
      </c>
      <c r="AR877" t="s">
        <v>0</v>
      </c>
      <c r="AT877" s="2">
        <v>1.7450000000000001</v>
      </c>
      <c r="AU877" s="1">
        <f t="shared" si="107"/>
        <v>0.75491844851979395</v>
      </c>
      <c r="AV877" s="1">
        <f t="shared" si="108"/>
        <v>0.5392274632284243</v>
      </c>
      <c r="AW877" s="1">
        <f t="shared" si="109"/>
        <v>0.32353647793705459</v>
      </c>
    </row>
    <row r="878" spans="1:49" x14ac:dyDescent="0.2">
      <c r="A878">
        <v>876</v>
      </c>
      <c r="B878" t="s">
        <v>1135</v>
      </c>
      <c r="C878" t="s">
        <v>1134</v>
      </c>
      <c r="F878" t="s">
        <v>1133</v>
      </c>
      <c r="G878" t="s">
        <v>14</v>
      </c>
      <c r="H878" t="s">
        <v>13</v>
      </c>
      <c r="I878" t="s">
        <v>1132</v>
      </c>
      <c r="J878">
        <v>60025779</v>
      </c>
      <c r="K878" t="s">
        <v>1131</v>
      </c>
      <c r="L878" t="s">
        <v>1130</v>
      </c>
      <c r="M878" t="s">
        <v>253</v>
      </c>
      <c r="N878">
        <v>1</v>
      </c>
      <c r="O878" t="s">
        <v>1129</v>
      </c>
      <c r="P878">
        <v>7102649840</v>
      </c>
      <c r="Q878">
        <v>60025779</v>
      </c>
      <c r="R878" s="7">
        <v>32874</v>
      </c>
      <c r="S878" s="8">
        <f t="shared" si="104"/>
        <v>1990</v>
      </c>
      <c r="T878" s="8">
        <v>1990</v>
      </c>
      <c r="U878" s="8">
        <f t="shared" si="105"/>
        <v>32</v>
      </c>
      <c r="V878" s="7">
        <v>32905</v>
      </c>
      <c r="W878" t="s">
        <v>1128</v>
      </c>
      <c r="X878" s="2">
        <v>0.5</v>
      </c>
      <c r="Y878" s="6">
        <f t="shared" si="110"/>
        <v>1.3347214436347135E-2</v>
      </c>
      <c r="AA878">
        <v>253154</v>
      </c>
      <c r="AB878">
        <v>12162</v>
      </c>
      <c r="AC878">
        <v>14697769</v>
      </c>
      <c r="AD878" t="s">
        <v>5</v>
      </c>
      <c r="AE878">
        <v>70</v>
      </c>
      <c r="AF878">
        <v>1</v>
      </c>
      <c r="AH878" t="s">
        <v>1127</v>
      </c>
      <c r="AI878" t="s">
        <v>1126</v>
      </c>
      <c r="AK878" t="s">
        <v>1125</v>
      </c>
      <c r="AL878">
        <v>6</v>
      </c>
      <c r="AM878" s="5">
        <f t="shared" si="106"/>
        <v>0.1875</v>
      </c>
      <c r="AN878" s="4">
        <f t="shared" si="111"/>
        <v>2.8398333964407423E-4</v>
      </c>
      <c r="AO878" s="3"/>
      <c r="AP878">
        <v>0</v>
      </c>
      <c r="AR878" t="s">
        <v>0</v>
      </c>
      <c r="AT878" s="2" t="s">
        <v>126</v>
      </c>
      <c r="AU878" s="1">
        <f t="shared" si="107"/>
        <v>0.9428245107336215</v>
      </c>
      <c r="AV878" s="1">
        <f t="shared" si="108"/>
        <v>0.68155988879956053</v>
      </c>
      <c r="AW878" s="1">
        <f t="shared" si="109"/>
        <v>0.42029526686549917</v>
      </c>
    </row>
    <row r="879" spans="1:49" x14ac:dyDescent="0.2">
      <c r="A879">
        <v>877</v>
      </c>
      <c r="B879" t="s">
        <v>1124</v>
      </c>
      <c r="E879">
        <v>2110991</v>
      </c>
      <c r="F879" t="s">
        <v>1123</v>
      </c>
      <c r="G879" t="s">
        <v>14</v>
      </c>
      <c r="H879" t="s">
        <v>13</v>
      </c>
      <c r="I879" t="s">
        <v>1122</v>
      </c>
      <c r="J879">
        <v>60024609</v>
      </c>
      <c r="K879" t="s">
        <v>1121</v>
      </c>
      <c r="L879" t="s">
        <v>1120</v>
      </c>
      <c r="M879" t="s">
        <v>197</v>
      </c>
      <c r="N879">
        <v>4</v>
      </c>
      <c r="O879" t="s">
        <v>1119</v>
      </c>
      <c r="P879" t="s">
        <v>1118</v>
      </c>
      <c r="Q879" t="s">
        <v>1117</v>
      </c>
      <c r="R879" s="7">
        <v>32874</v>
      </c>
      <c r="S879" s="8">
        <f t="shared" si="104"/>
        <v>1990</v>
      </c>
      <c r="T879" s="8">
        <v>1990</v>
      </c>
      <c r="U879" s="8">
        <f t="shared" si="105"/>
        <v>32</v>
      </c>
      <c r="V879" s="7">
        <v>1990</v>
      </c>
      <c r="W879" t="s">
        <v>1116</v>
      </c>
      <c r="X879" s="2" t="s">
        <v>126</v>
      </c>
      <c r="Y879" s="6" t="e">
        <f t="shared" si="110"/>
        <v>#VALUE!</v>
      </c>
      <c r="AA879">
        <v>2776766</v>
      </c>
      <c r="AB879">
        <v>110077</v>
      </c>
      <c r="AD879" t="s">
        <v>5</v>
      </c>
      <c r="AE879">
        <v>9</v>
      </c>
      <c r="AF879">
        <v>2</v>
      </c>
      <c r="AH879" t="s">
        <v>1115</v>
      </c>
      <c r="AI879" t="s">
        <v>1114</v>
      </c>
      <c r="AK879" t="s">
        <v>1113</v>
      </c>
      <c r="AL879">
        <v>31</v>
      </c>
      <c r="AM879" s="5">
        <f t="shared" si="106"/>
        <v>0.96875</v>
      </c>
      <c r="AN879" s="4">
        <f t="shared" si="111"/>
        <v>1.4672472548277167E-3</v>
      </c>
      <c r="AO879" s="3"/>
      <c r="AP879">
        <v>0</v>
      </c>
      <c r="AR879" t="s">
        <v>0</v>
      </c>
      <c r="AT879" s="2" t="s">
        <v>126</v>
      </c>
      <c r="AU879" s="1" t="e">
        <f t="shared" si="107"/>
        <v>#VALUE!</v>
      </c>
      <c r="AV879" s="1" t="e">
        <f t="shared" si="108"/>
        <v>#VALUE!</v>
      </c>
      <c r="AW879" s="1" t="e">
        <f t="shared" si="109"/>
        <v>#VALUE!</v>
      </c>
    </row>
    <row r="880" spans="1:49" x14ac:dyDescent="0.2">
      <c r="A880">
        <v>878</v>
      </c>
      <c r="B880" t="s">
        <v>1112</v>
      </c>
      <c r="C880" t="s">
        <v>1111</v>
      </c>
      <c r="D880">
        <v>898656890900326</v>
      </c>
      <c r="E880">
        <v>2176800</v>
      </c>
      <c r="F880" t="s">
        <v>1110</v>
      </c>
      <c r="G880" t="s">
        <v>14</v>
      </c>
      <c r="H880" t="s">
        <v>13</v>
      </c>
      <c r="I880" t="s">
        <v>1109</v>
      </c>
      <c r="J880">
        <v>60018373</v>
      </c>
      <c r="K880" t="s">
        <v>137</v>
      </c>
      <c r="L880" t="s">
        <v>136</v>
      </c>
      <c r="M880" t="s">
        <v>135</v>
      </c>
      <c r="N880">
        <v>5</v>
      </c>
      <c r="O880" t="s">
        <v>1108</v>
      </c>
      <c r="P880" t="s">
        <v>1107</v>
      </c>
      <c r="Q880" t="s">
        <v>1106</v>
      </c>
      <c r="R880" s="7">
        <v>32874</v>
      </c>
      <c r="S880" s="8">
        <f t="shared" si="104"/>
        <v>1990</v>
      </c>
      <c r="T880" s="8">
        <v>1990</v>
      </c>
      <c r="U880" s="8">
        <f t="shared" si="105"/>
        <v>32</v>
      </c>
      <c r="V880" s="7">
        <v>1990</v>
      </c>
      <c r="W880" t="s">
        <v>1105</v>
      </c>
      <c r="X880" s="2">
        <v>1.4350000000000001</v>
      </c>
      <c r="Y880" s="6">
        <f t="shared" si="110"/>
        <v>3.8306505432316278E-2</v>
      </c>
      <c r="AA880">
        <v>8986568</v>
      </c>
      <c r="AB880">
        <v>18487</v>
      </c>
      <c r="AD880" t="s">
        <v>5</v>
      </c>
      <c r="AE880">
        <v>2</v>
      </c>
      <c r="AF880">
        <v>1</v>
      </c>
      <c r="AH880" t="s">
        <v>1104</v>
      </c>
      <c r="AI880" t="s">
        <v>1103</v>
      </c>
      <c r="AJ880" t="s">
        <v>1102</v>
      </c>
      <c r="AK880" t="s">
        <v>1101</v>
      </c>
      <c r="AL880">
        <v>52</v>
      </c>
      <c r="AM880" s="5">
        <f t="shared" si="106"/>
        <v>1.625</v>
      </c>
      <c r="AN880" s="4">
        <f t="shared" si="111"/>
        <v>2.4611889435819764E-3</v>
      </c>
      <c r="AO880" s="3"/>
      <c r="AP880">
        <v>0</v>
      </c>
      <c r="AQ880" t="s">
        <v>1100</v>
      </c>
      <c r="AR880" t="s">
        <v>1099</v>
      </c>
      <c r="AS880" t="s">
        <v>1098</v>
      </c>
      <c r="AT880" s="2">
        <v>4.3150000000000004</v>
      </c>
      <c r="AU880" s="1">
        <f t="shared" si="107"/>
        <v>2.7552910485695987</v>
      </c>
      <c r="AV880" s="1">
        <f t="shared" si="108"/>
        <v>2.0383847187949127</v>
      </c>
      <c r="AW880" s="1">
        <f t="shared" si="109"/>
        <v>1.3214783890202266</v>
      </c>
    </row>
    <row r="881" spans="1:49" x14ac:dyDescent="0.2">
      <c r="A881">
        <v>879</v>
      </c>
      <c r="B881" t="s">
        <v>1097</v>
      </c>
      <c r="C881" t="s">
        <v>1096</v>
      </c>
      <c r="E881">
        <v>2286797</v>
      </c>
      <c r="F881" t="s">
        <v>1095</v>
      </c>
      <c r="G881" t="s">
        <v>14</v>
      </c>
      <c r="H881" t="s">
        <v>13</v>
      </c>
      <c r="I881" t="s">
        <v>1094</v>
      </c>
      <c r="J881" t="s">
        <v>1093</v>
      </c>
      <c r="K881" t="s">
        <v>1092</v>
      </c>
      <c r="L881" t="s">
        <v>1091</v>
      </c>
      <c r="M881" t="s">
        <v>1090</v>
      </c>
      <c r="N881">
        <v>5</v>
      </c>
      <c r="O881" t="s">
        <v>1089</v>
      </c>
      <c r="P881" t="s">
        <v>1088</v>
      </c>
      <c r="Q881" t="s">
        <v>1087</v>
      </c>
      <c r="R881" s="7">
        <v>32874</v>
      </c>
      <c r="S881" s="8">
        <f t="shared" si="104"/>
        <v>1990</v>
      </c>
      <c r="T881" s="8">
        <v>1990</v>
      </c>
      <c r="U881" s="8">
        <f t="shared" si="105"/>
        <v>32</v>
      </c>
      <c r="V881" s="7">
        <v>1990</v>
      </c>
      <c r="W881" t="s">
        <v>576</v>
      </c>
      <c r="X881" s="2">
        <v>0.89600000000000002</v>
      </c>
      <c r="Y881" s="6">
        <f t="shared" si="110"/>
        <v>2.3918208269934065E-2</v>
      </c>
      <c r="AA881">
        <v>2656736</v>
      </c>
      <c r="AB881">
        <v>29901</v>
      </c>
      <c r="AD881" t="s">
        <v>5</v>
      </c>
      <c r="AE881">
        <v>6</v>
      </c>
      <c r="AF881">
        <v>6</v>
      </c>
      <c r="AH881" t="s">
        <v>1086</v>
      </c>
      <c r="AI881" t="s">
        <v>1085</v>
      </c>
      <c r="AJ881" t="s">
        <v>1084</v>
      </c>
      <c r="AK881" t="s">
        <v>1083</v>
      </c>
      <c r="AL881">
        <v>4</v>
      </c>
      <c r="AM881" s="5">
        <f t="shared" si="106"/>
        <v>0.125</v>
      </c>
      <c r="AN881" s="4">
        <f t="shared" si="111"/>
        <v>1.893222264293828E-4</v>
      </c>
      <c r="AO881" s="3"/>
      <c r="AP881">
        <v>0</v>
      </c>
      <c r="AQ881" t="s">
        <v>545</v>
      </c>
      <c r="AR881" t="s">
        <v>1082</v>
      </c>
      <c r="AS881" t="s">
        <v>543</v>
      </c>
      <c r="AT881" s="2">
        <v>3.9140000000000001</v>
      </c>
      <c r="AU881" s="1">
        <f t="shared" si="107"/>
        <v>1.6799542456882657</v>
      </c>
      <c r="AV881" s="1">
        <f t="shared" si="108"/>
        <v>1.2053765248181725</v>
      </c>
      <c r="AW881" s="1">
        <f t="shared" si="109"/>
        <v>0.73079880394807872</v>
      </c>
    </row>
    <row r="882" spans="1:49" x14ac:dyDescent="0.2">
      <c r="A882">
        <v>880</v>
      </c>
      <c r="B882" t="s">
        <v>1081</v>
      </c>
      <c r="C882" t="s">
        <v>1080</v>
      </c>
      <c r="E882">
        <v>2298934</v>
      </c>
      <c r="F882" t="s">
        <v>1079</v>
      </c>
      <c r="G882" t="s">
        <v>14</v>
      </c>
      <c r="H882" t="s">
        <v>13</v>
      </c>
      <c r="I882" t="s">
        <v>1078</v>
      </c>
      <c r="J882">
        <v>60019722</v>
      </c>
      <c r="K882" t="s">
        <v>1077</v>
      </c>
      <c r="L882" t="s">
        <v>594</v>
      </c>
      <c r="M882" t="s">
        <v>135</v>
      </c>
      <c r="N882">
        <v>4</v>
      </c>
      <c r="O882" t="s">
        <v>1076</v>
      </c>
      <c r="P882" t="s">
        <v>1075</v>
      </c>
      <c r="Q882" t="s">
        <v>1074</v>
      </c>
      <c r="R882" s="7">
        <v>32874</v>
      </c>
      <c r="S882" s="8">
        <f t="shared" si="104"/>
        <v>1990</v>
      </c>
      <c r="T882" s="8">
        <v>1990</v>
      </c>
      <c r="U882" s="8">
        <f t="shared" si="105"/>
        <v>32</v>
      </c>
      <c r="V882" s="7">
        <v>32881</v>
      </c>
      <c r="W882" t="s">
        <v>1031</v>
      </c>
      <c r="X882" s="2">
        <v>1.855</v>
      </c>
      <c r="Y882" s="6">
        <f t="shared" si="110"/>
        <v>4.9518165558847867E-2</v>
      </c>
      <c r="AA882">
        <v>219967</v>
      </c>
      <c r="AB882">
        <v>16689</v>
      </c>
      <c r="AC882">
        <v>10969861</v>
      </c>
      <c r="AD882" t="s">
        <v>5</v>
      </c>
      <c r="AE882">
        <v>291</v>
      </c>
      <c r="AF882">
        <v>2</v>
      </c>
      <c r="AH882" t="s">
        <v>1073</v>
      </c>
      <c r="AI882" t="s">
        <v>1072</v>
      </c>
      <c r="AJ882" t="s">
        <v>1071</v>
      </c>
      <c r="AK882" t="s">
        <v>1070</v>
      </c>
      <c r="AL882">
        <v>30</v>
      </c>
      <c r="AM882" s="5">
        <f t="shared" si="106"/>
        <v>0.9375</v>
      </c>
      <c r="AN882" s="4">
        <f t="shared" si="111"/>
        <v>1.4199166982203711E-3</v>
      </c>
      <c r="AO882" s="3"/>
      <c r="AP882">
        <v>0</v>
      </c>
      <c r="AR882" t="s">
        <v>0</v>
      </c>
      <c r="AT882" s="2">
        <v>3.2149999999999999</v>
      </c>
      <c r="AU882" s="1">
        <f t="shared" si="107"/>
        <v>3.5088690900659616</v>
      </c>
      <c r="AV882" s="1">
        <f t="shared" si="108"/>
        <v>2.546904112853412</v>
      </c>
      <c r="AW882" s="1">
        <f t="shared" si="109"/>
        <v>1.584939135640862</v>
      </c>
    </row>
    <row r="883" spans="1:49" x14ac:dyDescent="0.2">
      <c r="A883">
        <v>881</v>
      </c>
      <c r="B883" t="s">
        <v>1069</v>
      </c>
      <c r="F883" t="s">
        <v>1068</v>
      </c>
      <c r="G883" t="s">
        <v>14</v>
      </c>
      <c r="H883" t="s">
        <v>13</v>
      </c>
      <c r="I883" t="s">
        <v>1067</v>
      </c>
      <c r="J883">
        <v>60020818</v>
      </c>
      <c r="K883" t="s">
        <v>1066</v>
      </c>
      <c r="L883" t="s">
        <v>1065</v>
      </c>
      <c r="M883" t="s">
        <v>197</v>
      </c>
      <c r="N883">
        <v>4</v>
      </c>
      <c r="O883" t="s">
        <v>1064</v>
      </c>
      <c r="P883" t="s">
        <v>1063</v>
      </c>
      <c r="Q883" t="s">
        <v>1062</v>
      </c>
      <c r="R883" s="7">
        <v>32874</v>
      </c>
      <c r="S883" s="8">
        <f t="shared" si="104"/>
        <v>1990</v>
      </c>
      <c r="T883" s="8">
        <v>1990</v>
      </c>
      <c r="U883" s="8">
        <f t="shared" si="105"/>
        <v>32</v>
      </c>
      <c r="V883" s="7">
        <v>1990</v>
      </c>
      <c r="W883" t="s">
        <v>422</v>
      </c>
      <c r="X883" s="2">
        <v>0.49199999999999999</v>
      </c>
      <c r="Y883" s="6">
        <f t="shared" si="110"/>
        <v>1.313365900536558E-2</v>
      </c>
      <c r="AA883" t="s">
        <v>421</v>
      </c>
      <c r="AB883">
        <v>17280</v>
      </c>
      <c r="AD883" t="s">
        <v>5</v>
      </c>
      <c r="AE883">
        <v>3</v>
      </c>
      <c r="AH883" t="s">
        <v>1061</v>
      </c>
      <c r="AI883" t="s">
        <v>1060</v>
      </c>
      <c r="AK883" t="s">
        <v>1059</v>
      </c>
      <c r="AL883">
        <v>3</v>
      </c>
      <c r="AM883" s="5">
        <f t="shared" si="106"/>
        <v>9.375E-2</v>
      </c>
      <c r="AN883" s="4">
        <f t="shared" si="111"/>
        <v>1.4199166982203711E-4</v>
      </c>
      <c r="AO883" s="3"/>
      <c r="AP883">
        <v>0</v>
      </c>
      <c r="AR883" t="s">
        <v>0</v>
      </c>
      <c r="AT883" s="2" t="s">
        <v>126</v>
      </c>
      <c r="AU883" s="1">
        <f t="shared" si="107"/>
        <v>0.92361588047025156</v>
      </c>
      <c r="AV883" s="1">
        <f t="shared" si="108"/>
        <v>0.6637825337593809</v>
      </c>
      <c r="AW883" s="1">
        <f t="shared" si="109"/>
        <v>0.40394918704851002</v>
      </c>
    </row>
    <row r="884" spans="1:49" x14ac:dyDescent="0.2">
      <c r="A884">
        <v>882</v>
      </c>
      <c r="B884" t="s">
        <v>1058</v>
      </c>
      <c r="F884" t="s">
        <v>1057</v>
      </c>
      <c r="G884" t="s">
        <v>14</v>
      </c>
      <c r="H884" t="s">
        <v>13</v>
      </c>
      <c r="I884" t="s">
        <v>1056</v>
      </c>
      <c r="J884">
        <v>60103680</v>
      </c>
      <c r="K884" t="s">
        <v>1055</v>
      </c>
      <c r="L884" t="s">
        <v>1054</v>
      </c>
      <c r="M884" t="s">
        <v>267</v>
      </c>
      <c r="N884">
        <v>5</v>
      </c>
      <c r="O884" t="s">
        <v>1053</v>
      </c>
      <c r="P884" t="s">
        <v>1052</v>
      </c>
      <c r="Q884" t="s">
        <v>1051</v>
      </c>
      <c r="R884" s="7">
        <v>32874</v>
      </c>
      <c r="S884" s="8">
        <f t="shared" si="104"/>
        <v>1990</v>
      </c>
      <c r="T884" s="8">
        <v>1990</v>
      </c>
      <c r="U884" s="8">
        <f t="shared" si="105"/>
        <v>32</v>
      </c>
      <c r="V884" s="7">
        <v>1990</v>
      </c>
      <c r="W884" t="s">
        <v>422</v>
      </c>
      <c r="X884" s="2">
        <v>0.49199999999999999</v>
      </c>
      <c r="Y884" s="6">
        <f t="shared" si="110"/>
        <v>1.313365900536558E-2</v>
      </c>
      <c r="AA884" t="s">
        <v>421</v>
      </c>
      <c r="AB884">
        <v>17280</v>
      </c>
      <c r="AD884" t="s">
        <v>5</v>
      </c>
      <c r="AE884">
        <v>1</v>
      </c>
      <c r="AH884" t="s">
        <v>1050</v>
      </c>
      <c r="AI884" t="s">
        <v>1049</v>
      </c>
      <c r="AK884" t="s">
        <v>1048</v>
      </c>
      <c r="AL884">
        <v>1</v>
      </c>
      <c r="AM884" s="5">
        <f t="shared" si="106"/>
        <v>3.125E-2</v>
      </c>
      <c r="AN884" s="4">
        <f t="shared" si="111"/>
        <v>4.73305566073457E-5</v>
      </c>
      <c r="AO884" s="3"/>
      <c r="AP884">
        <v>0</v>
      </c>
      <c r="AR884" t="s">
        <v>0</v>
      </c>
      <c r="AT884" s="2" t="s">
        <v>126</v>
      </c>
      <c r="AU884" s="1">
        <f t="shared" si="107"/>
        <v>0.92077604707381089</v>
      </c>
      <c r="AV884" s="1">
        <f t="shared" si="108"/>
        <v>0.65904947809864622</v>
      </c>
      <c r="AW884" s="1">
        <f t="shared" si="109"/>
        <v>0.39732290912348156</v>
      </c>
    </row>
    <row r="885" spans="1:49" x14ac:dyDescent="0.2">
      <c r="A885">
        <v>883</v>
      </c>
      <c r="B885" t="s">
        <v>1047</v>
      </c>
      <c r="F885" t="s">
        <v>1046</v>
      </c>
      <c r="G885" t="s">
        <v>14</v>
      </c>
      <c r="H885" t="s">
        <v>13</v>
      </c>
      <c r="I885" t="s">
        <v>1045</v>
      </c>
      <c r="N885">
        <v>1</v>
      </c>
      <c r="O885" t="s">
        <v>1044</v>
      </c>
      <c r="P885">
        <v>7003764513</v>
      </c>
      <c r="R885" s="7">
        <v>32874</v>
      </c>
      <c r="S885" s="8">
        <f t="shared" si="104"/>
        <v>1990</v>
      </c>
      <c r="T885" s="8">
        <v>1990</v>
      </c>
      <c r="U885" s="8">
        <f t="shared" si="105"/>
        <v>32</v>
      </c>
      <c r="V885" s="7">
        <v>1990</v>
      </c>
      <c r="W885" t="s">
        <v>564</v>
      </c>
      <c r="X885" s="2" t="s">
        <v>126</v>
      </c>
      <c r="Y885" s="6" t="e">
        <f t="shared" si="110"/>
        <v>#VALUE!</v>
      </c>
      <c r="AA885">
        <v>87566648</v>
      </c>
      <c r="AB885">
        <v>74127</v>
      </c>
      <c r="AD885" t="s">
        <v>5</v>
      </c>
      <c r="AE885">
        <v>35</v>
      </c>
      <c r="AF885">
        <v>2</v>
      </c>
      <c r="AH885" t="s">
        <v>1043</v>
      </c>
      <c r="AI885" t="s">
        <v>1042</v>
      </c>
      <c r="AK885" t="s">
        <v>1041</v>
      </c>
      <c r="AL885">
        <v>0</v>
      </c>
      <c r="AM885" s="5">
        <f t="shared" si="106"/>
        <v>0</v>
      </c>
      <c r="AN885" s="4">
        <f t="shared" si="111"/>
        <v>0</v>
      </c>
      <c r="AO885" s="3"/>
      <c r="AP885">
        <v>0</v>
      </c>
      <c r="AR885" t="s">
        <v>0</v>
      </c>
      <c r="AT885" s="2" t="s">
        <v>126</v>
      </c>
      <c r="AU885" s="1" t="e">
        <f t="shared" si="107"/>
        <v>#VALUE!</v>
      </c>
      <c r="AV885" s="1" t="e">
        <f t="shared" si="108"/>
        <v>#VALUE!</v>
      </c>
      <c r="AW885" s="1" t="e">
        <f t="shared" si="109"/>
        <v>#VALUE!</v>
      </c>
    </row>
    <row r="886" spans="1:49" x14ac:dyDescent="0.2">
      <c r="A886">
        <v>884</v>
      </c>
      <c r="B886" t="s">
        <v>1040</v>
      </c>
      <c r="C886" t="s">
        <v>1039</v>
      </c>
      <c r="E886">
        <v>2212098</v>
      </c>
      <c r="F886" t="s">
        <v>1038</v>
      </c>
      <c r="G886" t="s">
        <v>14</v>
      </c>
      <c r="H886" t="s">
        <v>13</v>
      </c>
      <c r="I886" t="s">
        <v>1037</v>
      </c>
      <c r="J886">
        <v>60023324</v>
      </c>
      <c r="K886" t="s">
        <v>1036</v>
      </c>
      <c r="L886" t="s">
        <v>1035</v>
      </c>
      <c r="M886" t="s">
        <v>197</v>
      </c>
      <c r="N886">
        <v>2</v>
      </c>
      <c r="O886" t="s">
        <v>1034</v>
      </c>
      <c r="P886" t="s">
        <v>1033</v>
      </c>
      <c r="Q886" t="s">
        <v>1032</v>
      </c>
      <c r="R886" s="7">
        <v>32874</v>
      </c>
      <c r="S886" s="8">
        <f t="shared" si="104"/>
        <v>1990</v>
      </c>
      <c r="T886" s="8">
        <v>1990</v>
      </c>
      <c r="U886" s="8">
        <f t="shared" si="105"/>
        <v>32</v>
      </c>
      <c r="V886" s="7">
        <v>33086</v>
      </c>
      <c r="W886" t="s">
        <v>1031</v>
      </c>
      <c r="X886" s="2">
        <v>1.855</v>
      </c>
      <c r="Y886" s="6">
        <f t="shared" si="110"/>
        <v>4.9518165558847867E-2</v>
      </c>
      <c r="AA886">
        <v>219967</v>
      </c>
      <c r="AB886">
        <v>16689</v>
      </c>
      <c r="AC886">
        <v>10969861</v>
      </c>
      <c r="AD886" t="s">
        <v>5</v>
      </c>
      <c r="AE886">
        <v>298</v>
      </c>
      <c r="AF886">
        <v>1</v>
      </c>
      <c r="AH886" t="s">
        <v>1030</v>
      </c>
      <c r="AI886" t="s">
        <v>1029</v>
      </c>
      <c r="AJ886" t="s">
        <v>1028</v>
      </c>
      <c r="AK886" t="s">
        <v>1027</v>
      </c>
      <c r="AL886">
        <v>53</v>
      </c>
      <c r="AM886" s="5">
        <f t="shared" si="106"/>
        <v>1.65625</v>
      </c>
      <c r="AN886" s="4">
        <f t="shared" si="111"/>
        <v>2.5085195001893221E-3</v>
      </c>
      <c r="AO886" s="3"/>
      <c r="AP886">
        <v>0</v>
      </c>
      <c r="AQ886" t="s">
        <v>1026</v>
      </c>
      <c r="AR886" t="s">
        <v>1025</v>
      </c>
      <c r="AS886" t="s">
        <v>1024</v>
      </c>
      <c r="AT886" s="2">
        <v>3.2149999999999999</v>
      </c>
      <c r="AU886" s="1">
        <f t="shared" si="107"/>
        <v>3.5415271741250303</v>
      </c>
      <c r="AV886" s="1">
        <f t="shared" si="108"/>
        <v>2.6013342529518595</v>
      </c>
      <c r="AW886" s="1">
        <f t="shared" si="109"/>
        <v>1.6611413317786885</v>
      </c>
    </row>
    <row r="887" spans="1:49" x14ac:dyDescent="0.2">
      <c r="A887">
        <v>885</v>
      </c>
      <c r="B887" t="s">
        <v>1023</v>
      </c>
      <c r="F887" t="s">
        <v>1022</v>
      </c>
      <c r="G887" t="s">
        <v>14</v>
      </c>
      <c r="H887" t="s">
        <v>13</v>
      </c>
      <c r="I887" t="s">
        <v>1021</v>
      </c>
      <c r="N887">
        <v>1</v>
      </c>
      <c r="O887" t="s">
        <v>1020</v>
      </c>
      <c r="P887">
        <v>6506328484</v>
      </c>
      <c r="R887" s="7">
        <v>32874</v>
      </c>
      <c r="S887" s="8">
        <f t="shared" si="104"/>
        <v>1990</v>
      </c>
      <c r="T887" s="8">
        <v>1990</v>
      </c>
      <c r="U887" s="8">
        <f t="shared" si="105"/>
        <v>32</v>
      </c>
      <c r="V887" s="7">
        <v>1990</v>
      </c>
      <c r="W887" t="s">
        <v>564</v>
      </c>
      <c r="X887" s="2" t="s">
        <v>126</v>
      </c>
      <c r="Y887" s="6" t="e">
        <f t="shared" si="110"/>
        <v>#VALUE!</v>
      </c>
      <c r="AA887">
        <v>87566648</v>
      </c>
      <c r="AB887">
        <v>74127</v>
      </c>
      <c r="AD887" t="s">
        <v>5</v>
      </c>
      <c r="AE887">
        <v>35</v>
      </c>
      <c r="AF887">
        <v>4</v>
      </c>
      <c r="AH887" t="s">
        <v>1019</v>
      </c>
      <c r="AI887" t="s">
        <v>1018</v>
      </c>
      <c r="AK887" t="s">
        <v>1017</v>
      </c>
      <c r="AL887">
        <v>0</v>
      </c>
      <c r="AM887" s="5">
        <f t="shared" si="106"/>
        <v>0</v>
      </c>
      <c r="AN887" s="4">
        <f t="shared" si="111"/>
        <v>0</v>
      </c>
      <c r="AO887" s="3"/>
      <c r="AP887">
        <v>0</v>
      </c>
      <c r="AR887" t="s">
        <v>0</v>
      </c>
      <c r="AT887" s="2" t="s">
        <v>126</v>
      </c>
      <c r="AU887" s="1" t="e">
        <f t="shared" si="107"/>
        <v>#VALUE!</v>
      </c>
      <c r="AV887" s="1" t="e">
        <f t="shared" si="108"/>
        <v>#VALUE!</v>
      </c>
      <c r="AW887" s="1" t="e">
        <f t="shared" si="109"/>
        <v>#VALUE!</v>
      </c>
    </row>
    <row r="888" spans="1:49" x14ac:dyDescent="0.2">
      <c r="A888">
        <v>886</v>
      </c>
      <c r="B888" t="s">
        <v>1016</v>
      </c>
      <c r="F888" t="s">
        <v>1015</v>
      </c>
      <c r="G888" t="s">
        <v>14</v>
      </c>
      <c r="H888" t="s">
        <v>13</v>
      </c>
      <c r="I888" t="s">
        <v>1014</v>
      </c>
      <c r="J888">
        <v>60032350</v>
      </c>
      <c r="K888" t="s">
        <v>1013</v>
      </c>
      <c r="L888" t="s">
        <v>185</v>
      </c>
      <c r="M888" t="s">
        <v>184</v>
      </c>
      <c r="N888">
        <v>3</v>
      </c>
      <c r="O888" t="s">
        <v>1012</v>
      </c>
      <c r="P888" t="s">
        <v>1011</v>
      </c>
      <c r="Q888" t="s">
        <v>1010</v>
      </c>
      <c r="R888" s="7">
        <v>32874</v>
      </c>
      <c r="S888" s="8">
        <f t="shared" si="104"/>
        <v>1990</v>
      </c>
      <c r="T888" s="8">
        <v>1990</v>
      </c>
      <c r="U888" s="8">
        <f t="shared" si="105"/>
        <v>32</v>
      </c>
      <c r="V888" s="7">
        <v>1990</v>
      </c>
      <c r="W888" t="s">
        <v>422</v>
      </c>
      <c r="X888" s="2">
        <v>0.49199999999999999</v>
      </c>
      <c r="Y888" s="6">
        <f t="shared" si="110"/>
        <v>1.313365900536558E-2</v>
      </c>
      <c r="AA888" t="s">
        <v>421</v>
      </c>
      <c r="AB888">
        <v>17280</v>
      </c>
      <c r="AD888" t="s">
        <v>5</v>
      </c>
      <c r="AE888">
        <v>3</v>
      </c>
      <c r="AH888" t="s">
        <v>1009</v>
      </c>
      <c r="AI888" t="s">
        <v>1008</v>
      </c>
      <c r="AK888" t="s">
        <v>1007</v>
      </c>
      <c r="AL888">
        <v>3</v>
      </c>
      <c r="AM888" s="5">
        <f t="shared" si="106"/>
        <v>9.375E-2</v>
      </c>
      <c r="AN888" s="4">
        <f t="shared" si="111"/>
        <v>1.4199166982203711E-4</v>
      </c>
      <c r="AO888" s="3"/>
      <c r="AP888">
        <v>0</v>
      </c>
      <c r="AR888" t="s">
        <v>0</v>
      </c>
      <c r="AT888" s="2" t="s">
        <v>126</v>
      </c>
      <c r="AU888" s="1">
        <f t="shared" si="107"/>
        <v>0.92361588047025156</v>
      </c>
      <c r="AV888" s="1">
        <f t="shared" si="108"/>
        <v>0.6637825337593809</v>
      </c>
      <c r="AW888" s="1">
        <f t="shared" si="109"/>
        <v>0.40394918704851002</v>
      </c>
    </row>
    <row r="889" spans="1:49" x14ac:dyDescent="0.2">
      <c r="A889">
        <v>887</v>
      </c>
      <c r="B889" t="s">
        <v>1006</v>
      </c>
      <c r="F889" t="s">
        <v>1005</v>
      </c>
      <c r="G889" t="s">
        <v>14</v>
      </c>
      <c r="H889" t="s">
        <v>13</v>
      </c>
      <c r="I889" t="s">
        <v>1004</v>
      </c>
      <c r="J889">
        <v>60030480</v>
      </c>
      <c r="K889" t="s">
        <v>973</v>
      </c>
      <c r="L889" t="s">
        <v>972</v>
      </c>
      <c r="M889" t="s">
        <v>253</v>
      </c>
      <c r="N889">
        <v>2</v>
      </c>
      <c r="O889" t="s">
        <v>1003</v>
      </c>
      <c r="P889" t="s">
        <v>1002</v>
      </c>
      <c r="Q889" t="s">
        <v>969</v>
      </c>
      <c r="R889" s="7">
        <v>32874</v>
      </c>
      <c r="S889" s="8">
        <f t="shared" si="104"/>
        <v>1990</v>
      </c>
      <c r="T889" s="8">
        <v>1990</v>
      </c>
      <c r="U889" s="8">
        <f t="shared" si="105"/>
        <v>32</v>
      </c>
      <c r="V889" s="7">
        <v>1990</v>
      </c>
      <c r="W889" t="s">
        <v>422</v>
      </c>
      <c r="X889" s="2">
        <v>0.49199999999999999</v>
      </c>
      <c r="Y889" s="6">
        <f t="shared" si="110"/>
        <v>1.313365900536558E-2</v>
      </c>
      <c r="AA889" t="s">
        <v>421</v>
      </c>
      <c r="AB889">
        <v>17280</v>
      </c>
      <c r="AD889" t="s">
        <v>5</v>
      </c>
      <c r="AE889">
        <v>3</v>
      </c>
      <c r="AH889" t="s">
        <v>1001</v>
      </c>
      <c r="AI889" t="s">
        <v>1000</v>
      </c>
      <c r="AK889" t="s">
        <v>999</v>
      </c>
      <c r="AL889">
        <v>9</v>
      </c>
      <c r="AM889" s="5">
        <f t="shared" si="106"/>
        <v>0.28125</v>
      </c>
      <c r="AN889" s="4">
        <f t="shared" si="111"/>
        <v>4.2597500946611131E-4</v>
      </c>
      <c r="AO889" s="3"/>
      <c r="AP889">
        <v>0</v>
      </c>
      <c r="AR889" t="s">
        <v>0</v>
      </c>
      <c r="AT889" s="2" t="s">
        <v>126</v>
      </c>
      <c r="AU889" s="1">
        <f t="shared" si="107"/>
        <v>0.93213538065957391</v>
      </c>
      <c r="AV889" s="1">
        <f t="shared" si="108"/>
        <v>0.67798170074158448</v>
      </c>
      <c r="AW889" s="1">
        <f t="shared" si="109"/>
        <v>0.42382802082359516</v>
      </c>
    </row>
    <row r="890" spans="1:49" x14ac:dyDescent="0.2">
      <c r="A890">
        <v>888</v>
      </c>
      <c r="B890" t="s">
        <v>998</v>
      </c>
      <c r="C890" t="s">
        <v>997</v>
      </c>
      <c r="E890">
        <v>2404961</v>
      </c>
      <c r="F890" t="s">
        <v>996</v>
      </c>
      <c r="G890" t="s">
        <v>14</v>
      </c>
      <c r="H890" t="s">
        <v>13</v>
      </c>
      <c r="I890" t="s">
        <v>995</v>
      </c>
      <c r="J890">
        <v>60006070</v>
      </c>
      <c r="K890" t="s">
        <v>994</v>
      </c>
      <c r="L890" t="s">
        <v>993</v>
      </c>
      <c r="M890" t="s">
        <v>135</v>
      </c>
      <c r="N890">
        <v>3</v>
      </c>
      <c r="O890" t="s">
        <v>992</v>
      </c>
      <c r="P890" t="s">
        <v>991</v>
      </c>
      <c r="Q890" t="s">
        <v>990</v>
      </c>
      <c r="R890" s="7">
        <v>32874</v>
      </c>
      <c r="S890" s="8">
        <f t="shared" si="104"/>
        <v>1990</v>
      </c>
      <c r="T890" s="8">
        <v>1990</v>
      </c>
      <c r="U890" s="8">
        <f t="shared" si="105"/>
        <v>32</v>
      </c>
      <c r="V890" s="7">
        <v>1990</v>
      </c>
      <c r="W890" t="s">
        <v>989</v>
      </c>
      <c r="X890" s="2">
        <v>1.6519999999999999</v>
      </c>
      <c r="Y890" s="6">
        <f t="shared" si="110"/>
        <v>4.409919649769093E-2</v>
      </c>
      <c r="AA890">
        <v>219193</v>
      </c>
      <c r="AB890">
        <v>20220</v>
      </c>
      <c r="AD890" t="s">
        <v>5</v>
      </c>
      <c r="AE890">
        <v>172</v>
      </c>
      <c r="AF890">
        <v>2</v>
      </c>
      <c r="AH890" t="s">
        <v>988</v>
      </c>
      <c r="AI890" t="s">
        <v>987</v>
      </c>
      <c r="AK890" t="s">
        <v>986</v>
      </c>
      <c r="AL890">
        <v>54</v>
      </c>
      <c r="AM890" s="5">
        <f t="shared" si="106"/>
        <v>1.6875</v>
      </c>
      <c r="AN890" s="4">
        <f t="shared" si="111"/>
        <v>2.5558500567966678E-3</v>
      </c>
      <c r="AO890" s="3"/>
      <c r="AP890">
        <v>1</v>
      </c>
      <c r="AR890" t="s">
        <v>0</v>
      </c>
      <c r="AT890" s="2">
        <v>3.49</v>
      </c>
      <c r="AU890" s="1">
        <f t="shared" si="107"/>
        <v>3.1636192565422654</v>
      </c>
      <c r="AV890" s="1">
        <f t="shared" si="108"/>
        <v>2.3327523277243802</v>
      </c>
      <c r="AW890" s="1">
        <f t="shared" si="109"/>
        <v>1.5018853989064944</v>
      </c>
    </row>
    <row r="891" spans="1:49" x14ac:dyDescent="0.2">
      <c r="A891">
        <v>889</v>
      </c>
      <c r="B891" t="s">
        <v>985</v>
      </c>
      <c r="F891" t="s">
        <v>984</v>
      </c>
      <c r="G891" t="s">
        <v>14</v>
      </c>
      <c r="H891" t="s">
        <v>13</v>
      </c>
      <c r="I891" t="s">
        <v>983</v>
      </c>
      <c r="J891">
        <v>60018829</v>
      </c>
      <c r="K891" t="s">
        <v>982</v>
      </c>
      <c r="L891" t="s">
        <v>981</v>
      </c>
      <c r="M891" t="s">
        <v>253</v>
      </c>
      <c r="N891">
        <v>1</v>
      </c>
      <c r="O891" t="s">
        <v>980</v>
      </c>
      <c r="P891">
        <v>7801309247</v>
      </c>
      <c r="Q891">
        <v>60018829</v>
      </c>
      <c r="R891" s="7">
        <v>32874</v>
      </c>
      <c r="S891" s="8">
        <f t="shared" si="104"/>
        <v>1990</v>
      </c>
      <c r="T891" s="8">
        <v>1990</v>
      </c>
      <c r="U891" s="8">
        <f t="shared" si="105"/>
        <v>32</v>
      </c>
      <c r="V891" s="7">
        <v>1990</v>
      </c>
      <c r="W891" t="s">
        <v>422</v>
      </c>
      <c r="X891" s="2">
        <v>0.49199999999999999</v>
      </c>
      <c r="Y891" s="6">
        <f t="shared" si="110"/>
        <v>1.313365900536558E-2</v>
      </c>
      <c r="AA891" t="s">
        <v>421</v>
      </c>
      <c r="AB891">
        <v>17280</v>
      </c>
      <c r="AD891" t="s">
        <v>5</v>
      </c>
      <c r="AE891">
        <v>2</v>
      </c>
      <c r="AH891" t="s">
        <v>979</v>
      </c>
      <c r="AI891" t="s">
        <v>978</v>
      </c>
      <c r="AK891" t="s">
        <v>977</v>
      </c>
      <c r="AL891">
        <v>1</v>
      </c>
      <c r="AM891" s="5">
        <f t="shared" si="106"/>
        <v>3.125E-2</v>
      </c>
      <c r="AN891" s="4">
        <f t="shared" si="111"/>
        <v>4.73305566073457E-5</v>
      </c>
      <c r="AO891" s="3"/>
      <c r="AP891">
        <v>0</v>
      </c>
      <c r="AR891" t="s">
        <v>0</v>
      </c>
      <c r="AT891" s="2" t="s">
        <v>126</v>
      </c>
      <c r="AU891" s="1">
        <f t="shared" si="107"/>
        <v>0.92077604707381089</v>
      </c>
      <c r="AV891" s="1">
        <f t="shared" si="108"/>
        <v>0.65904947809864622</v>
      </c>
      <c r="AW891" s="1">
        <f t="shared" si="109"/>
        <v>0.39732290912348156</v>
      </c>
    </row>
    <row r="892" spans="1:49" x14ac:dyDescent="0.2">
      <c r="A892">
        <v>890</v>
      </c>
      <c r="B892" t="s">
        <v>976</v>
      </c>
      <c r="F892" t="s">
        <v>975</v>
      </c>
      <c r="G892" t="s">
        <v>14</v>
      </c>
      <c r="H892" t="s">
        <v>13</v>
      </c>
      <c r="I892" t="s">
        <v>974</v>
      </c>
      <c r="J892">
        <v>60030480</v>
      </c>
      <c r="K892" t="s">
        <v>973</v>
      </c>
      <c r="L892" t="s">
        <v>972</v>
      </c>
      <c r="M892" t="s">
        <v>253</v>
      </c>
      <c r="N892">
        <v>2</v>
      </c>
      <c r="O892" t="s">
        <v>971</v>
      </c>
      <c r="P892" t="s">
        <v>970</v>
      </c>
      <c r="Q892" t="s">
        <v>969</v>
      </c>
      <c r="R892" s="7">
        <v>32874</v>
      </c>
      <c r="S892" s="8">
        <f t="shared" si="104"/>
        <v>1990</v>
      </c>
      <c r="T892" s="8">
        <v>1990</v>
      </c>
      <c r="U892" s="8">
        <f t="shared" si="105"/>
        <v>32</v>
      </c>
      <c r="V892" s="7">
        <v>1990</v>
      </c>
      <c r="W892" t="s">
        <v>422</v>
      </c>
      <c r="X892" s="2">
        <v>0.49199999999999999</v>
      </c>
      <c r="Y892" s="6">
        <f t="shared" si="110"/>
        <v>1.313365900536558E-2</v>
      </c>
      <c r="AA892" t="s">
        <v>421</v>
      </c>
      <c r="AB892">
        <v>17280</v>
      </c>
      <c r="AD892" t="s">
        <v>5</v>
      </c>
      <c r="AE892">
        <v>3</v>
      </c>
      <c r="AH892" t="s">
        <v>968</v>
      </c>
      <c r="AI892" t="s">
        <v>967</v>
      </c>
      <c r="AK892" t="s">
        <v>966</v>
      </c>
      <c r="AL892">
        <v>1</v>
      </c>
      <c r="AM892" s="5">
        <f t="shared" si="106"/>
        <v>3.125E-2</v>
      </c>
      <c r="AN892" s="4">
        <f t="shared" si="111"/>
        <v>4.73305566073457E-5</v>
      </c>
      <c r="AO892" s="3"/>
      <c r="AP892">
        <v>0</v>
      </c>
      <c r="AR892" t="s">
        <v>0</v>
      </c>
      <c r="AT892" s="2" t="s">
        <v>126</v>
      </c>
      <c r="AU892" s="1">
        <f t="shared" si="107"/>
        <v>0.92077604707381089</v>
      </c>
      <c r="AV892" s="1">
        <f t="shared" si="108"/>
        <v>0.65904947809864622</v>
      </c>
      <c r="AW892" s="1">
        <f t="shared" si="109"/>
        <v>0.39732290912348156</v>
      </c>
    </row>
    <row r="893" spans="1:49" x14ac:dyDescent="0.2">
      <c r="A893">
        <v>891</v>
      </c>
      <c r="B893" t="s">
        <v>965</v>
      </c>
      <c r="F893" t="s">
        <v>964</v>
      </c>
      <c r="G893" t="s">
        <v>14</v>
      </c>
      <c r="H893" t="s">
        <v>13</v>
      </c>
      <c r="I893" t="s">
        <v>963</v>
      </c>
      <c r="J893">
        <v>60007742</v>
      </c>
      <c r="K893" t="s">
        <v>478</v>
      </c>
      <c r="L893" t="s">
        <v>477</v>
      </c>
      <c r="M893" t="s">
        <v>197</v>
      </c>
      <c r="N893">
        <v>2</v>
      </c>
      <c r="O893" t="s">
        <v>962</v>
      </c>
      <c r="P893" t="s">
        <v>961</v>
      </c>
      <c r="Q893" t="s">
        <v>960</v>
      </c>
      <c r="R893" s="7">
        <v>32874</v>
      </c>
      <c r="S893" s="8">
        <f t="shared" ref="S893:S956" si="112">YEAR(R893)</f>
        <v>1990</v>
      </c>
      <c r="T893" s="8">
        <v>1990</v>
      </c>
      <c r="U893" s="8">
        <f t="shared" ref="U893:U956" si="113">2022-T893</f>
        <v>32</v>
      </c>
      <c r="V893" s="7">
        <v>1990</v>
      </c>
      <c r="W893" t="s">
        <v>422</v>
      </c>
      <c r="X893" s="2">
        <v>0.49199999999999999</v>
      </c>
      <c r="Y893" s="6">
        <f t="shared" si="110"/>
        <v>1.313365900536558E-2</v>
      </c>
      <c r="AA893" t="s">
        <v>421</v>
      </c>
      <c r="AB893">
        <v>17280</v>
      </c>
      <c r="AD893" t="s">
        <v>5</v>
      </c>
      <c r="AE893">
        <v>1</v>
      </c>
      <c r="AH893" t="s">
        <v>959</v>
      </c>
      <c r="AI893" t="s">
        <v>958</v>
      </c>
      <c r="AK893" t="s">
        <v>957</v>
      </c>
      <c r="AL893">
        <v>28</v>
      </c>
      <c r="AM893" s="5">
        <f t="shared" ref="AM893:AM956" si="114">AL893/U893</f>
        <v>0.875</v>
      </c>
      <c r="AN893" s="4">
        <f t="shared" si="111"/>
        <v>1.3252555850056798E-3</v>
      </c>
      <c r="AO893" s="3"/>
      <c r="AP893">
        <v>0</v>
      </c>
      <c r="AR893" t="s">
        <v>0</v>
      </c>
      <c r="AT893" s="2" t="s">
        <v>126</v>
      </c>
      <c r="AU893" s="1">
        <f t="shared" ref="AU893:AU956" si="115">(Y893*0.7+AN893*0.3)*100</f>
        <v>0.9591137979257609</v>
      </c>
      <c r="AV893" s="1">
        <f t="shared" ref="AV893:AV956" si="116">(Y893*0.5+AN893*0.5)*100</f>
        <v>0.72294572951856306</v>
      </c>
      <c r="AW893" s="1">
        <f t="shared" ref="AW893:AW956" si="117">(Y893*0.3+AN893*0.7)*100</f>
        <v>0.486777661111365</v>
      </c>
    </row>
    <row r="894" spans="1:49" x14ac:dyDescent="0.2">
      <c r="A894">
        <v>892</v>
      </c>
      <c r="B894" t="s">
        <v>956</v>
      </c>
      <c r="F894" t="s">
        <v>955</v>
      </c>
      <c r="G894" t="s">
        <v>14</v>
      </c>
      <c r="H894" t="s">
        <v>13</v>
      </c>
      <c r="I894" t="s">
        <v>954</v>
      </c>
      <c r="J894">
        <v>60016561</v>
      </c>
      <c r="K894" t="s">
        <v>953</v>
      </c>
      <c r="L894" t="s">
        <v>952</v>
      </c>
      <c r="M894" t="s">
        <v>223</v>
      </c>
      <c r="N894">
        <v>2</v>
      </c>
      <c r="O894" t="s">
        <v>951</v>
      </c>
      <c r="P894" t="s">
        <v>950</v>
      </c>
      <c r="Q894" t="s">
        <v>949</v>
      </c>
      <c r="R894" s="7">
        <v>32874</v>
      </c>
      <c r="S894" s="8">
        <f t="shared" si="112"/>
        <v>1990</v>
      </c>
      <c r="T894" s="8">
        <v>1990</v>
      </c>
      <c r="U894" s="8">
        <f t="shared" si="113"/>
        <v>32</v>
      </c>
      <c r="V894" s="7">
        <v>1990</v>
      </c>
      <c r="W894" t="s">
        <v>422</v>
      </c>
      <c r="X894" s="2">
        <v>0.49199999999999999</v>
      </c>
      <c r="Y894" s="6">
        <f t="shared" si="110"/>
        <v>1.313365900536558E-2</v>
      </c>
      <c r="AA894" t="s">
        <v>421</v>
      </c>
      <c r="AB894">
        <v>17280</v>
      </c>
      <c r="AD894" t="s">
        <v>5</v>
      </c>
      <c r="AE894">
        <v>1</v>
      </c>
      <c r="AH894" t="s">
        <v>948</v>
      </c>
      <c r="AI894" t="s">
        <v>947</v>
      </c>
      <c r="AK894" t="s">
        <v>946</v>
      </c>
      <c r="AL894">
        <v>9</v>
      </c>
      <c r="AM894" s="5">
        <f t="shared" si="114"/>
        <v>0.28125</v>
      </c>
      <c r="AN894" s="4">
        <f t="shared" si="111"/>
        <v>4.2597500946611131E-4</v>
      </c>
      <c r="AO894" s="3"/>
      <c r="AP894">
        <v>0</v>
      </c>
      <c r="AR894" t="s">
        <v>0</v>
      </c>
      <c r="AT894" s="2" t="s">
        <v>126</v>
      </c>
      <c r="AU894" s="1">
        <f t="shared" si="115"/>
        <v>0.93213538065957391</v>
      </c>
      <c r="AV894" s="1">
        <f t="shared" si="116"/>
        <v>0.67798170074158448</v>
      </c>
      <c r="AW894" s="1">
        <f t="shared" si="117"/>
        <v>0.42382802082359516</v>
      </c>
    </row>
    <row r="895" spans="1:49" x14ac:dyDescent="0.2">
      <c r="A895">
        <v>893</v>
      </c>
      <c r="B895" t="s">
        <v>945</v>
      </c>
      <c r="F895" t="s">
        <v>944</v>
      </c>
      <c r="G895" t="s">
        <v>14</v>
      </c>
      <c r="H895" t="s">
        <v>13</v>
      </c>
      <c r="I895" t="s">
        <v>943</v>
      </c>
      <c r="J895">
        <v>60085710</v>
      </c>
      <c r="K895" t="s">
        <v>942</v>
      </c>
      <c r="L895" t="s">
        <v>941</v>
      </c>
      <c r="M895" t="s">
        <v>197</v>
      </c>
      <c r="N895">
        <v>6</v>
      </c>
      <c r="O895" t="s">
        <v>940</v>
      </c>
      <c r="P895" t="s">
        <v>939</v>
      </c>
      <c r="Q895" t="s">
        <v>938</v>
      </c>
      <c r="R895" s="7">
        <v>32874</v>
      </c>
      <c r="S895" s="8">
        <f t="shared" si="112"/>
        <v>1990</v>
      </c>
      <c r="T895" s="8">
        <v>1990</v>
      </c>
      <c r="U895" s="8">
        <f t="shared" si="113"/>
        <v>32</v>
      </c>
      <c r="V895" s="7">
        <v>1990</v>
      </c>
      <c r="W895" t="s">
        <v>422</v>
      </c>
      <c r="X895" s="2">
        <v>0.49199999999999999</v>
      </c>
      <c r="Y895" s="6">
        <f t="shared" si="110"/>
        <v>1.313365900536558E-2</v>
      </c>
      <c r="AA895" t="s">
        <v>421</v>
      </c>
      <c r="AB895">
        <v>17280</v>
      </c>
      <c r="AD895" t="s">
        <v>5</v>
      </c>
      <c r="AE895">
        <v>1</v>
      </c>
      <c r="AH895" t="s">
        <v>937</v>
      </c>
      <c r="AI895" t="s">
        <v>936</v>
      </c>
      <c r="AK895" t="s">
        <v>935</v>
      </c>
      <c r="AL895">
        <v>2</v>
      </c>
      <c r="AM895" s="5">
        <f t="shared" si="114"/>
        <v>6.25E-2</v>
      </c>
      <c r="AN895" s="4">
        <f t="shared" si="111"/>
        <v>9.46611132146914E-5</v>
      </c>
      <c r="AO895" s="3"/>
      <c r="AP895">
        <v>0</v>
      </c>
      <c r="AR895" t="s">
        <v>0</v>
      </c>
      <c r="AT895" s="2" t="s">
        <v>126</v>
      </c>
      <c r="AU895" s="1">
        <f t="shared" si="115"/>
        <v>0.92219596377203128</v>
      </c>
      <c r="AV895" s="1">
        <f t="shared" si="116"/>
        <v>0.66141600592901362</v>
      </c>
      <c r="AW895" s="1">
        <f t="shared" si="117"/>
        <v>0.40063604808599584</v>
      </c>
    </row>
    <row r="896" spans="1:49" x14ac:dyDescent="0.2">
      <c r="A896">
        <v>894</v>
      </c>
      <c r="B896" t="s">
        <v>934</v>
      </c>
      <c r="C896" t="s">
        <v>933</v>
      </c>
      <c r="E896">
        <v>2233571</v>
      </c>
      <c r="F896" t="s">
        <v>932</v>
      </c>
      <c r="G896" t="s">
        <v>14</v>
      </c>
      <c r="H896" t="s">
        <v>13</v>
      </c>
      <c r="I896" t="s">
        <v>931</v>
      </c>
      <c r="J896">
        <v>60028628</v>
      </c>
      <c r="K896" t="s">
        <v>930</v>
      </c>
      <c r="L896" t="s">
        <v>684</v>
      </c>
      <c r="M896" t="s">
        <v>197</v>
      </c>
      <c r="N896">
        <v>2</v>
      </c>
      <c r="O896" t="s">
        <v>929</v>
      </c>
      <c r="P896" t="s">
        <v>928</v>
      </c>
      <c r="Q896" t="s">
        <v>927</v>
      </c>
      <c r="R896" s="7">
        <v>32874</v>
      </c>
      <c r="S896" s="8">
        <f t="shared" si="112"/>
        <v>1990</v>
      </c>
      <c r="T896" s="8">
        <v>1990</v>
      </c>
      <c r="U896" s="8">
        <f t="shared" si="113"/>
        <v>32</v>
      </c>
      <c r="V896" s="7">
        <v>33117</v>
      </c>
      <c r="W896" t="s">
        <v>926</v>
      </c>
      <c r="X896" s="2">
        <v>1.4730000000000001</v>
      </c>
      <c r="Y896" s="6">
        <f t="shared" si="110"/>
        <v>3.9320893729478661E-2</v>
      </c>
      <c r="AA896">
        <v>942405</v>
      </c>
      <c r="AB896">
        <v>17871</v>
      </c>
      <c r="AC896" t="s">
        <v>925</v>
      </c>
      <c r="AD896" t="s">
        <v>5</v>
      </c>
      <c r="AE896">
        <v>17</v>
      </c>
      <c r="AF896">
        <v>5</v>
      </c>
      <c r="AH896" t="s">
        <v>924</v>
      </c>
      <c r="AI896" t="s">
        <v>923</v>
      </c>
      <c r="AK896" t="s">
        <v>922</v>
      </c>
      <c r="AL896">
        <v>5</v>
      </c>
      <c r="AM896" s="5">
        <f t="shared" si="114"/>
        <v>0.15625</v>
      </c>
      <c r="AN896" s="4">
        <f t="shared" si="111"/>
        <v>2.3665278303672851E-4</v>
      </c>
      <c r="AO896" s="3"/>
      <c r="AP896">
        <v>0</v>
      </c>
      <c r="AR896" t="s">
        <v>0</v>
      </c>
      <c r="AT896" s="2">
        <v>4.0709999999999997</v>
      </c>
      <c r="AU896" s="1">
        <f t="shared" si="115"/>
        <v>2.7595621445546081</v>
      </c>
      <c r="AV896" s="1">
        <f t="shared" si="116"/>
        <v>1.9778773256257696</v>
      </c>
      <c r="AW896" s="1">
        <f t="shared" si="117"/>
        <v>1.1961925066969308</v>
      </c>
    </row>
    <row r="897" spans="1:49" x14ac:dyDescent="0.2">
      <c r="A897">
        <v>895</v>
      </c>
      <c r="B897" t="s">
        <v>921</v>
      </c>
      <c r="C897" t="s">
        <v>920</v>
      </c>
      <c r="E897">
        <v>2174365</v>
      </c>
      <c r="F897" t="s">
        <v>919</v>
      </c>
      <c r="G897" t="s">
        <v>14</v>
      </c>
      <c r="H897" t="s">
        <v>13</v>
      </c>
      <c r="I897" t="s">
        <v>918</v>
      </c>
      <c r="J897">
        <v>60009731</v>
      </c>
      <c r="K897" t="s">
        <v>917</v>
      </c>
      <c r="L897" t="s">
        <v>916</v>
      </c>
      <c r="M897" t="s">
        <v>135</v>
      </c>
      <c r="N897">
        <v>2</v>
      </c>
      <c r="O897" t="s">
        <v>915</v>
      </c>
      <c r="P897" t="s">
        <v>914</v>
      </c>
      <c r="Q897" t="s">
        <v>913</v>
      </c>
      <c r="R897" s="7">
        <v>32874</v>
      </c>
      <c r="S897" s="8">
        <f t="shared" si="112"/>
        <v>1990</v>
      </c>
      <c r="T897" s="8">
        <v>1990</v>
      </c>
      <c r="U897" s="8">
        <f t="shared" si="113"/>
        <v>32</v>
      </c>
      <c r="V897" s="7">
        <v>33178</v>
      </c>
      <c r="W897" t="s">
        <v>912</v>
      </c>
      <c r="X897" s="2">
        <v>1.9810000000000001</v>
      </c>
      <c r="Y897" s="6">
        <f t="shared" si="110"/>
        <v>5.2881663596807349E-2</v>
      </c>
      <c r="AA897">
        <v>142956</v>
      </c>
      <c r="AB897">
        <v>39034</v>
      </c>
      <c r="AC897">
        <v>14321033</v>
      </c>
      <c r="AD897" t="s">
        <v>5</v>
      </c>
      <c r="AE897">
        <v>193</v>
      </c>
      <c r="AF897">
        <v>3</v>
      </c>
      <c r="AH897" t="s">
        <v>911</v>
      </c>
      <c r="AI897" t="s">
        <v>910</v>
      </c>
      <c r="AK897" t="s">
        <v>909</v>
      </c>
      <c r="AL897">
        <v>45</v>
      </c>
      <c r="AM897" s="5">
        <f t="shared" si="114"/>
        <v>1.40625</v>
      </c>
      <c r="AN897" s="4">
        <f t="shared" si="111"/>
        <v>2.1298750473305564E-3</v>
      </c>
      <c r="AO897" s="3"/>
      <c r="AP897">
        <v>1</v>
      </c>
      <c r="AR897" t="s">
        <v>0</v>
      </c>
      <c r="AT897" s="2" t="s">
        <v>126</v>
      </c>
      <c r="AU897" s="1">
        <f t="shared" si="115"/>
        <v>3.7656127031964313</v>
      </c>
      <c r="AV897" s="1">
        <f t="shared" si="116"/>
        <v>2.7505769322068954</v>
      </c>
      <c r="AW897" s="1">
        <f t="shared" si="117"/>
        <v>1.7355411612173595</v>
      </c>
    </row>
    <row r="898" spans="1:49" x14ac:dyDescent="0.2">
      <c r="A898">
        <v>896</v>
      </c>
      <c r="B898" t="s">
        <v>908</v>
      </c>
      <c r="C898" t="s">
        <v>907</v>
      </c>
      <c r="E898">
        <v>2173419</v>
      </c>
      <c r="F898" t="s">
        <v>906</v>
      </c>
      <c r="G898" t="s">
        <v>14</v>
      </c>
      <c r="H898" t="s">
        <v>13</v>
      </c>
      <c r="I898" t="s">
        <v>905</v>
      </c>
      <c r="J898">
        <v>60013791</v>
      </c>
      <c r="K898" t="s">
        <v>904</v>
      </c>
      <c r="L898" t="s">
        <v>903</v>
      </c>
      <c r="M898" t="s">
        <v>197</v>
      </c>
      <c r="N898">
        <v>2</v>
      </c>
      <c r="O898" t="s">
        <v>902</v>
      </c>
      <c r="P898" t="s">
        <v>901</v>
      </c>
      <c r="Q898" t="s">
        <v>900</v>
      </c>
      <c r="R898" s="7">
        <v>32874</v>
      </c>
      <c r="S898" s="8">
        <f t="shared" si="112"/>
        <v>1990</v>
      </c>
      <c r="T898" s="8">
        <v>1990</v>
      </c>
      <c r="U898" s="8">
        <f t="shared" si="113"/>
        <v>32</v>
      </c>
      <c r="V898" s="7">
        <v>1990</v>
      </c>
      <c r="W898" t="s">
        <v>899</v>
      </c>
      <c r="X898" s="2" t="s">
        <v>126</v>
      </c>
      <c r="Y898" s="6" t="e">
        <f t="shared" ref="Y898:Y961" si="118">(X898-$Z$4)/($Z$3-$Z$4)</f>
        <v>#VALUE!</v>
      </c>
      <c r="AA898">
        <v>29513</v>
      </c>
      <c r="AB898">
        <v>23328</v>
      </c>
      <c r="AD898" t="s">
        <v>5</v>
      </c>
      <c r="AE898">
        <v>259</v>
      </c>
      <c r="AF898" t="s">
        <v>898</v>
      </c>
      <c r="AI898" t="s">
        <v>897</v>
      </c>
      <c r="AJ898" t="s">
        <v>896</v>
      </c>
      <c r="AK898" t="s">
        <v>895</v>
      </c>
      <c r="AL898">
        <v>42</v>
      </c>
      <c r="AM898" s="5">
        <f t="shared" si="114"/>
        <v>1.3125</v>
      </c>
      <c r="AN898" s="4">
        <f t="shared" ref="AN898:AN961" si="119">(AM898-$AO$4)/($AO$3-$AO$4)</f>
        <v>1.9878833775085194E-3</v>
      </c>
      <c r="AO898" s="3"/>
      <c r="AP898">
        <v>0</v>
      </c>
      <c r="AR898" t="s">
        <v>0</v>
      </c>
      <c r="AT898" s="2" t="s">
        <v>126</v>
      </c>
      <c r="AU898" s="1" t="e">
        <f t="shared" si="115"/>
        <v>#VALUE!</v>
      </c>
      <c r="AV898" s="1" t="e">
        <f t="shared" si="116"/>
        <v>#VALUE!</v>
      </c>
      <c r="AW898" s="1" t="e">
        <f t="shared" si="117"/>
        <v>#VALUE!</v>
      </c>
    </row>
    <row r="899" spans="1:49" x14ac:dyDescent="0.2">
      <c r="A899">
        <v>897</v>
      </c>
      <c r="B899" t="s">
        <v>894</v>
      </c>
      <c r="C899" t="s">
        <v>893</v>
      </c>
      <c r="D899" t="s">
        <v>892</v>
      </c>
      <c r="E899">
        <v>2211215</v>
      </c>
      <c r="F899" t="s">
        <v>891</v>
      </c>
      <c r="G899" t="s">
        <v>14</v>
      </c>
      <c r="H899" t="s">
        <v>13</v>
      </c>
      <c r="I899" t="s">
        <v>890</v>
      </c>
      <c r="J899">
        <v>60122663</v>
      </c>
      <c r="K899" t="s">
        <v>889</v>
      </c>
      <c r="L899" t="s">
        <v>888</v>
      </c>
      <c r="M899" t="s">
        <v>197</v>
      </c>
      <c r="N899">
        <v>11</v>
      </c>
      <c r="O899" t="s">
        <v>887</v>
      </c>
      <c r="P899" t="s">
        <v>886</v>
      </c>
      <c r="Q899" t="s">
        <v>885</v>
      </c>
      <c r="R899" s="7">
        <v>32874</v>
      </c>
      <c r="S899" s="8">
        <f t="shared" si="112"/>
        <v>1990</v>
      </c>
      <c r="T899" s="8">
        <v>1990</v>
      </c>
      <c r="U899" s="8">
        <f t="shared" si="113"/>
        <v>32</v>
      </c>
      <c r="V899" s="7">
        <v>33117</v>
      </c>
      <c r="W899" t="s">
        <v>486</v>
      </c>
      <c r="X899" s="2" t="s">
        <v>126</v>
      </c>
      <c r="Y899" s="6" t="e">
        <f t="shared" si="118"/>
        <v>#VALUE!</v>
      </c>
      <c r="AA899">
        <v>3603016</v>
      </c>
      <c r="AB899">
        <v>17191</v>
      </c>
      <c r="AD899" t="s">
        <v>5</v>
      </c>
      <c r="AE899">
        <v>19</v>
      </c>
      <c r="AF899">
        <v>3</v>
      </c>
      <c r="AH899" t="s">
        <v>884</v>
      </c>
      <c r="AI899" t="s">
        <v>883</v>
      </c>
      <c r="AJ899" t="s">
        <v>882</v>
      </c>
      <c r="AK899" t="s">
        <v>881</v>
      </c>
      <c r="AL899">
        <v>1</v>
      </c>
      <c r="AM899" s="5">
        <f t="shared" si="114"/>
        <v>3.125E-2</v>
      </c>
      <c r="AN899" s="4">
        <f t="shared" si="119"/>
        <v>4.73305566073457E-5</v>
      </c>
      <c r="AO899" s="3"/>
      <c r="AP899">
        <v>0</v>
      </c>
      <c r="AQ899" t="s">
        <v>880</v>
      </c>
      <c r="AR899" t="s">
        <v>879</v>
      </c>
      <c r="AS899" t="s">
        <v>878</v>
      </c>
      <c r="AT899" s="2" t="s">
        <v>126</v>
      </c>
      <c r="AU899" s="1" t="e">
        <f t="shared" si="115"/>
        <v>#VALUE!</v>
      </c>
      <c r="AV899" s="1" t="e">
        <f t="shared" si="116"/>
        <v>#VALUE!</v>
      </c>
      <c r="AW899" s="1" t="e">
        <f t="shared" si="117"/>
        <v>#VALUE!</v>
      </c>
    </row>
    <row r="900" spans="1:49" x14ac:dyDescent="0.2">
      <c r="A900">
        <v>898</v>
      </c>
      <c r="B900" t="s">
        <v>877</v>
      </c>
      <c r="F900" t="s">
        <v>876</v>
      </c>
      <c r="G900" t="s">
        <v>14</v>
      </c>
      <c r="H900" t="s">
        <v>13</v>
      </c>
      <c r="I900" t="s">
        <v>875</v>
      </c>
      <c r="J900">
        <v>60021366</v>
      </c>
      <c r="K900" t="s">
        <v>445</v>
      </c>
      <c r="L900" t="s">
        <v>444</v>
      </c>
      <c r="M900" t="s">
        <v>197</v>
      </c>
      <c r="N900">
        <v>1</v>
      </c>
      <c r="O900" t="s">
        <v>874</v>
      </c>
      <c r="P900">
        <v>57213000622</v>
      </c>
      <c r="Q900">
        <v>60021366</v>
      </c>
      <c r="R900" s="7">
        <v>32874</v>
      </c>
      <c r="S900" s="8">
        <f t="shared" si="112"/>
        <v>1990</v>
      </c>
      <c r="T900" s="8">
        <v>1990</v>
      </c>
      <c r="U900" s="8">
        <f t="shared" si="113"/>
        <v>32</v>
      </c>
      <c r="V900" s="7">
        <v>1990</v>
      </c>
      <c r="W900" t="s">
        <v>422</v>
      </c>
      <c r="X900" s="2">
        <v>0.49199999999999999</v>
      </c>
      <c r="Y900" s="6">
        <f t="shared" si="118"/>
        <v>1.313365900536558E-2</v>
      </c>
      <c r="AA900" t="s">
        <v>421</v>
      </c>
      <c r="AB900">
        <v>17280</v>
      </c>
      <c r="AD900" t="s">
        <v>5</v>
      </c>
      <c r="AE900">
        <v>2</v>
      </c>
      <c r="AH900" t="s">
        <v>873</v>
      </c>
      <c r="AI900" t="s">
        <v>872</v>
      </c>
      <c r="AK900" t="s">
        <v>871</v>
      </c>
      <c r="AL900">
        <v>1</v>
      </c>
      <c r="AM900" s="5">
        <f t="shared" si="114"/>
        <v>3.125E-2</v>
      </c>
      <c r="AN900" s="4">
        <f t="shared" si="119"/>
        <v>4.73305566073457E-5</v>
      </c>
      <c r="AO900" s="3"/>
      <c r="AP900">
        <v>0</v>
      </c>
      <c r="AR900" t="s">
        <v>0</v>
      </c>
      <c r="AT900" s="2" t="s">
        <v>126</v>
      </c>
      <c r="AU900" s="1">
        <f t="shared" si="115"/>
        <v>0.92077604707381089</v>
      </c>
      <c r="AV900" s="1">
        <f t="shared" si="116"/>
        <v>0.65904947809864622</v>
      </c>
      <c r="AW900" s="1">
        <f t="shared" si="117"/>
        <v>0.39732290912348156</v>
      </c>
    </row>
    <row r="901" spans="1:49" x14ac:dyDescent="0.2">
      <c r="A901">
        <v>899</v>
      </c>
      <c r="B901" t="s">
        <v>870</v>
      </c>
      <c r="F901" t="s">
        <v>869</v>
      </c>
      <c r="G901" t="s">
        <v>14</v>
      </c>
      <c r="H901" t="s">
        <v>13</v>
      </c>
      <c r="I901" t="s">
        <v>868</v>
      </c>
      <c r="J901">
        <v>60010338</v>
      </c>
      <c r="K901" t="s">
        <v>867</v>
      </c>
      <c r="L901" t="s">
        <v>866</v>
      </c>
      <c r="M901" t="s">
        <v>135</v>
      </c>
      <c r="N901">
        <v>2</v>
      </c>
      <c r="O901" t="s">
        <v>865</v>
      </c>
      <c r="P901" t="s">
        <v>864</v>
      </c>
      <c r="Q901" t="s">
        <v>863</v>
      </c>
      <c r="R901" s="7">
        <v>32874</v>
      </c>
      <c r="S901" s="8">
        <f t="shared" si="112"/>
        <v>1990</v>
      </c>
      <c r="T901" s="8">
        <v>1990</v>
      </c>
      <c r="U901" s="8">
        <f t="shared" si="113"/>
        <v>32</v>
      </c>
      <c r="V901" s="7">
        <v>1990</v>
      </c>
      <c r="W901" t="s">
        <v>422</v>
      </c>
      <c r="X901" s="2">
        <v>0.49199999999999999</v>
      </c>
      <c r="Y901" s="6">
        <f t="shared" si="118"/>
        <v>1.313365900536558E-2</v>
      </c>
      <c r="AA901" t="s">
        <v>421</v>
      </c>
      <c r="AB901">
        <v>17280</v>
      </c>
      <c r="AD901" t="s">
        <v>5</v>
      </c>
      <c r="AE901">
        <v>1</v>
      </c>
      <c r="AH901" t="s">
        <v>862</v>
      </c>
      <c r="AI901" t="s">
        <v>861</v>
      </c>
      <c r="AK901" t="s">
        <v>860</v>
      </c>
      <c r="AL901">
        <v>18</v>
      </c>
      <c r="AM901" s="5">
        <f t="shared" si="114"/>
        <v>0.5625</v>
      </c>
      <c r="AN901" s="4">
        <f t="shared" si="119"/>
        <v>8.5195001893222262E-4</v>
      </c>
      <c r="AO901" s="3"/>
      <c r="AP901">
        <v>0</v>
      </c>
      <c r="AR901" t="s">
        <v>0</v>
      </c>
      <c r="AT901" s="2" t="s">
        <v>126</v>
      </c>
      <c r="AU901" s="1">
        <f t="shared" si="115"/>
        <v>0.9449146309435571</v>
      </c>
      <c r="AV901" s="1">
        <f t="shared" si="116"/>
        <v>0.69928045121489013</v>
      </c>
      <c r="AW901" s="1">
        <f t="shared" si="117"/>
        <v>0.453646271486223</v>
      </c>
    </row>
    <row r="902" spans="1:49" x14ac:dyDescent="0.2">
      <c r="A902">
        <v>900</v>
      </c>
      <c r="B902" t="s">
        <v>859</v>
      </c>
      <c r="F902" t="s">
        <v>858</v>
      </c>
      <c r="G902" t="s">
        <v>14</v>
      </c>
      <c r="H902" t="s">
        <v>13</v>
      </c>
      <c r="I902" t="s">
        <v>857</v>
      </c>
      <c r="J902">
        <v>60025278</v>
      </c>
      <c r="K902" t="s">
        <v>856</v>
      </c>
      <c r="L902" t="s">
        <v>855</v>
      </c>
      <c r="M902" t="s">
        <v>854</v>
      </c>
      <c r="N902">
        <v>3</v>
      </c>
      <c r="O902" t="s">
        <v>853</v>
      </c>
      <c r="P902" t="s">
        <v>852</v>
      </c>
      <c r="Q902" t="s">
        <v>851</v>
      </c>
      <c r="R902" s="7">
        <v>32874</v>
      </c>
      <c r="S902" s="8">
        <f t="shared" si="112"/>
        <v>1990</v>
      </c>
      <c r="T902" s="8">
        <v>1990</v>
      </c>
      <c r="U902" s="8">
        <f t="shared" si="113"/>
        <v>32</v>
      </c>
      <c r="V902" s="7">
        <v>1990</v>
      </c>
      <c r="W902" t="s">
        <v>422</v>
      </c>
      <c r="X902" s="2">
        <v>0.49199999999999999</v>
      </c>
      <c r="Y902" s="6">
        <f t="shared" si="118"/>
        <v>1.313365900536558E-2</v>
      </c>
      <c r="AA902" t="s">
        <v>421</v>
      </c>
      <c r="AB902">
        <v>17280</v>
      </c>
      <c r="AD902" t="s">
        <v>5</v>
      </c>
      <c r="AE902">
        <v>1</v>
      </c>
      <c r="AH902" t="s">
        <v>850</v>
      </c>
      <c r="AI902" t="s">
        <v>849</v>
      </c>
      <c r="AK902" t="s">
        <v>848</v>
      </c>
      <c r="AL902">
        <v>0</v>
      </c>
      <c r="AM902" s="5">
        <f t="shared" si="114"/>
        <v>0</v>
      </c>
      <c r="AN902" s="4">
        <f t="shared" si="119"/>
        <v>0</v>
      </c>
      <c r="AO902" s="3"/>
      <c r="AP902">
        <v>0</v>
      </c>
      <c r="AR902" t="s">
        <v>0</v>
      </c>
      <c r="AT902" s="2" t="s">
        <v>126</v>
      </c>
      <c r="AU902" s="1">
        <f t="shared" si="115"/>
        <v>0.9193561303755905</v>
      </c>
      <c r="AV902" s="1">
        <f t="shared" si="116"/>
        <v>0.65668295026827905</v>
      </c>
      <c r="AW902" s="1">
        <f t="shared" si="117"/>
        <v>0.39400977016096739</v>
      </c>
    </row>
    <row r="903" spans="1:49" x14ac:dyDescent="0.2">
      <c r="A903">
        <v>901</v>
      </c>
      <c r="B903" t="s">
        <v>847</v>
      </c>
      <c r="F903" t="s">
        <v>846</v>
      </c>
      <c r="G903" t="s">
        <v>14</v>
      </c>
      <c r="H903" t="s">
        <v>13</v>
      </c>
      <c r="I903" t="s">
        <v>845</v>
      </c>
      <c r="J903">
        <v>60007742</v>
      </c>
      <c r="K903" t="s">
        <v>478</v>
      </c>
      <c r="L903" t="s">
        <v>477</v>
      </c>
      <c r="M903" t="s">
        <v>197</v>
      </c>
      <c r="N903">
        <v>6</v>
      </c>
      <c r="O903" t="s">
        <v>844</v>
      </c>
      <c r="P903" t="s">
        <v>843</v>
      </c>
      <c r="Q903" t="s">
        <v>474</v>
      </c>
      <c r="R903" s="7">
        <v>32874</v>
      </c>
      <c r="S903" s="8">
        <f t="shared" si="112"/>
        <v>1990</v>
      </c>
      <c r="T903" s="8">
        <v>1990</v>
      </c>
      <c r="U903" s="8">
        <f t="shared" si="113"/>
        <v>32</v>
      </c>
      <c r="V903" s="7">
        <v>1990</v>
      </c>
      <c r="W903" t="s">
        <v>422</v>
      </c>
      <c r="X903" s="2">
        <v>0.49199999999999999</v>
      </c>
      <c r="Y903" s="6">
        <f t="shared" si="118"/>
        <v>1.313365900536558E-2</v>
      </c>
      <c r="AA903" t="s">
        <v>421</v>
      </c>
      <c r="AB903">
        <v>17280</v>
      </c>
      <c r="AD903" t="s">
        <v>5</v>
      </c>
      <c r="AE903">
        <v>1</v>
      </c>
      <c r="AH903" t="s">
        <v>842</v>
      </c>
      <c r="AI903" t="s">
        <v>841</v>
      </c>
      <c r="AK903" t="s">
        <v>840</v>
      </c>
      <c r="AL903">
        <v>5</v>
      </c>
      <c r="AM903" s="5">
        <f t="shared" si="114"/>
        <v>0.15625</v>
      </c>
      <c r="AN903" s="4">
        <f t="shared" si="119"/>
        <v>2.3665278303672851E-4</v>
      </c>
      <c r="AO903" s="3"/>
      <c r="AP903">
        <v>0</v>
      </c>
      <c r="AR903" t="s">
        <v>0</v>
      </c>
      <c r="AT903" s="2" t="s">
        <v>126</v>
      </c>
      <c r="AU903" s="1">
        <f t="shared" si="115"/>
        <v>0.92645571386669234</v>
      </c>
      <c r="AV903" s="1">
        <f t="shared" si="116"/>
        <v>0.66851558942011535</v>
      </c>
      <c r="AW903" s="1">
        <f t="shared" si="117"/>
        <v>0.41057546497353842</v>
      </c>
    </row>
    <row r="904" spans="1:49" x14ac:dyDescent="0.2">
      <c r="A904">
        <v>902</v>
      </c>
      <c r="B904" t="s">
        <v>839</v>
      </c>
      <c r="F904" t="s">
        <v>838</v>
      </c>
      <c r="G904" t="s">
        <v>14</v>
      </c>
      <c r="H904" t="s">
        <v>13</v>
      </c>
      <c r="I904" t="s">
        <v>837</v>
      </c>
      <c r="J904">
        <v>60024185</v>
      </c>
      <c r="K904" t="s">
        <v>836</v>
      </c>
      <c r="L904" t="s">
        <v>835</v>
      </c>
      <c r="M904" t="s">
        <v>197</v>
      </c>
      <c r="N904">
        <v>5</v>
      </c>
      <c r="O904" t="s">
        <v>834</v>
      </c>
      <c r="P904" t="s">
        <v>833</v>
      </c>
      <c r="Q904" t="s">
        <v>832</v>
      </c>
      <c r="R904" s="7">
        <v>32874</v>
      </c>
      <c r="S904" s="8">
        <f t="shared" si="112"/>
        <v>1990</v>
      </c>
      <c r="T904" s="8">
        <v>1990</v>
      </c>
      <c r="U904" s="8">
        <f t="shared" si="113"/>
        <v>32</v>
      </c>
      <c r="V904" s="7">
        <v>1990</v>
      </c>
      <c r="W904" t="s">
        <v>422</v>
      </c>
      <c r="X904" s="2">
        <v>0.49199999999999999</v>
      </c>
      <c r="Y904" s="6">
        <f t="shared" si="118"/>
        <v>1.313365900536558E-2</v>
      </c>
      <c r="AA904" t="s">
        <v>421</v>
      </c>
      <c r="AB904">
        <v>17280</v>
      </c>
      <c r="AD904" t="s">
        <v>5</v>
      </c>
      <c r="AE904">
        <v>2</v>
      </c>
      <c r="AH904" t="s">
        <v>831</v>
      </c>
      <c r="AI904" t="s">
        <v>830</v>
      </c>
      <c r="AK904" t="s">
        <v>829</v>
      </c>
      <c r="AL904">
        <v>13</v>
      </c>
      <c r="AM904" s="5">
        <f t="shared" si="114"/>
        <v>0.40625</v>
      </c>
      <c r="AN904" s="4">
        <f t="shared" si="119"/>
        <v>6.1529723589549411E-4</v>
      </c>
      <c r="AO904" s="3"/>
      <c r="AP904">
        <v>0</v>
      </c>
      <c r="AR904" t="s">
        <v>0</v>
      </c>
      <c r="AT904" s="2" t="s">
        <v>126</v>
      </c>
      <c r="AU904" s="1">
        <f t="shared" si="115"/>
        <v>0.93781504745245536</v>
      </c>
      <c r="AV904" s="1">
        <f t="shared" si="116"/>
        <v>0.68744781206305372</v>
      </c>
      <c r="AW904" s="1">
        <f t="shared" si="117"/>
        <v>0.43708057667365197</v>
      </c>
    </row>
    <row r="905" spans="1:49" x14ac:dyDescent="0.2">
      <c r="A905">
        <v>903</v>
      </c>
      <c r="B905" t="s">
        <v>828</v>
      </c>
      <c r="F905" t="s">
        <v>827</v>
      </c>
      <c r="G905" t="s">
        <v>14</v>
      </c>
      <c r="H905" t="s">
        <v>13</v>
      </c>
      <c r="I905" t="s">
        <v>826</v>
      </c>
      <c r="N905">
        <v>3</v>
      </c>
      <c r="O905" t="s">
        <v>825</v>
      </c>
      <c r="P905" t="s">
        <v>824</v>
      </c>
      <c r="Q905" t="s">
        <v>391</v>
      </c>
      <c r="R905" s="7">
        <v>32874</v>
      </c>
      <c r="S905" s="8">
        <f t="shared" si="112"/>
        <v>1990</v>
      </c>
      <c r="T905" s="8">
        <v>1990</v>
      </c>
      <c r="U905" s="8">
        <f t="shared" si="113"/>
        <v>32</v>
      </c>
      <c r="V905" s="7">
        <v>1990</v>
      </c>
      <c r="W905" t="s">
        <v>564</v>
      </c>
      <c r="X905" s="2" t="s">
        <v>126</v>
      </c>
      <c r="Y905" s="6" t="e">
        <f t="shared" si="118"/>
        <v>#VALUE!</v>
      </c>
      <c r="AA905">
        <v>87566648</v>
      </c>
      <c r="AB905">
        <v>74127</v>
      </c>
      <c r="AD905" t="s">
        <v>5</v>
      </c>
      <c r="AE905">
        <v>35</v>
      </c>
      <c r="AF905">
        <v>4</v>
      </c>
      <c r="AH905" t="s">
        <v>823</v>
      </c>
      <c r="AI905" t="s">
        <v>822</v>
      </c>
      <c r="AK905" t="s">
        <v>821</v>
      </c>
      <c r="AL905">
        <v>0</v>
      </c>
      <c r="AM905" s="5">
        <f t="shared" si="114"/>
        <v>0</v>
      </c>
      <c r="AN905" s="4">
        <f t="shared" si="119"/>
        <v>0</v>
      </c>
      <c r="AO905" s="3"/>
      <c r="AP905">
        <v>0</v>
      </c>
      <c r="AR905" t="s">
        <v>0</v>
      </c>
      <c r="AT905" s="2" t="s">
        <v>126</v>
      </c>
      <c r="AU905" s="1" t="e">
        <f t="shared" si="115"/>
        <v>#VALUE!</v>
      </c>
      <c r="AV905" s="1" t="e">
        <f t="shared" si="116"/>
        <v>#VALUE!</v>
      </c>
      <c r="AW905" s="1" t="e">
        <f t="shared" si="117"/>
        <v>#VALUE!</v>
      </c>
    </row>
    <row r="906" spans="1:49" x14ac:dyDescent="0.2">
      <c r="A906">
        <v>904</v>
      </c>
      <c r="B906" t="s">
        <v>820</v>
      </c>
      <c r="F906" t="s">
        <v>819</v>
      </c>
      <c r="G906" t="s">
        <v>14</v>
      </c>
      <c r="H906" t="s">
        <v>13</v>
      </c>
      <c r="I906" t="s">
        <v>818</v>
      </c>
      <c r="N906">
        <v>3</v>
      </c>
      <c r="O906" t="s">
        <v>817</v>
      </c>
      <c r="P906" t="s">
        <v>816</v>
      </c>
      <c r="Q906" t="s">
        <v>391</v>
      </c>
      <c r="R906" s="7">
        <v>32874</v>
      </c>
      <c r="S906" s="8">
        <f t="shared" si="112"/>
        <v>1990</v>
      </c>
      <c r="T906" s="8">
        <v>1990</v>
      </c>
      <c r="U906" s="8">
        <f t="shared" si="113"/>
        <v>32</v>
      </c>
      <c r="V906" s="7">
        <v>1990</v>
      </c>
      <c r="W906" t="s">
        <v>564</v>
      </c>
      <c r="X906" s="2" t="s">
        <v>126</v>
      </c>
      <c r="Y906" s="6" t="e">
        <f t="shared" si="118"/>
        <v>#VALUE!</v>
      </c>
      <c r="AA906">
        <v>87566648</v>
      </c>
      <c r="AB906">
        <v>74127</v>
      </c>
      <c r="AD906" t="s">
        <v>5</v>
      </c>
      <c r="AE906">
        <v>35</v>
      </c>
      <c r="AF906">
        <v>4</v>
      </c>
      <c r="AH906" s="9">
        <v>44413</v>
      </c>
      <c r="AI906" t="s">
        <v>815</v>
      </c>
      <c r="AK906" t="s">
        <v>814</v>
      </c>
      <c r="AL906">
        <v>2</v>
      </c>
      <c r="AM906" s="5">
        <f t="shared" si="114"/>
        <v>6.25E-2</v>
      </c>
      <c r="AN906" s="4">
        <f t="shared" si="119"/>
        <v>9.46611132146914E-5</v>
      </c>
      <c r="AO906" s="3"/>
      <c r="AP906">
        <v>0</v>
      </c>
      <c r="AR906" t="s">
        <v>0</v>
      </c>
      <c r="AT906" s="2" t="s">
        <v>126</v>
      </c>
      <c r="AU906" s="1" t="e">
        <f t="shared" si="115"/>
        <v>#VALUE!</v>
      </c>
      <c r="AV906" s="1" t="e">
        <f t="shared" si="116"/>
        <v>#VALUE!</v>
      </c>
      <c r="AW906" s="1" t="e">
        <f t="shared" si="117"/>
        <v>#VALUE!</v>
      </c>
    </row>
    <row r="907" spans="1:49" x14ac:dyDescent="0.2">
      <c r="A907">
        <v>905</v>
      </c>
      <c r="B907" t="s">
        <v>813</v>
      </c>
      <c r="C907" t="s">
        <v>812</v>
      </c>
      <c r="D907" t="s">
        <v>811</v>
      </c>
      <c r="F907" t="s">
        <v>810</v>
      </c>
      <c r="G907" t="s">
        <v>14</v>
      </c>
      <c r="H907" t="s">
        <v>13</v>
      </c>
      <c r="I907" t="s">
        <v>809</v>
      </c>
      <c r="J907">
        <v>60005460</v>
      </c>
      <c r="K907" t="s">
        <v>295</v>
      </c>
      <c r="L907" t="s">
        <v>294</v>
      </c>
      <c r="M907" t="s">
        <v>135</v>
      </c>
      <c r="N907">
        <v>2</v>
      </c>
      <c r="O907" t="s">
        <v>808</v>
      </c>
      <c r="P907" t="s">
        <v>807</v>
      </c>
      <c r="Q907" t="s">
        <v>806</v>
      </c>
      <c r="R907" s="7">
        <v>32874</v>
      </c>
      <c r="S907" s="8">
        <f t="shared" si="112"/>
        <v>1990</v>
      </c>
      <c r="T907" s="8">
        <v>1990</v>
      </c>
      <c r="U907" s="8">
        <f t="shared" si="113"/>
        <v>32</v>
      </c>
      <c r="V907" s="7">
        <v>1990</v>
      </c>
      <c r="W907" t="s">
        <v>805</v>
      </c>
      <c r="X907" s="2">
        <v>0.58399999999999996</v>
      </c>
      <c r="Y907" s="6">
        <f t="shared" si="118"/>
        <v>1.5589546461653453E-2</v>
      </c>
      <c r="AA907">
        <v>408166</v>
      </c>
      <c r="AB907">
        <v>19057</v>
      </c>
      <c r="AD907" t="s">
        <v>5</v>
      </c>
      <c r="AE907">
        <v>22</v>
      </c>
      <c r="AF907">
        <v>5</v>
      </c>
      <c r="AH907" t="s">
        <v>804</v>
      </c>
      <c r="AI907" t="s">
        <v>803</v>
      </c>
      <c r="AJ907" t="s">
        <v>802</v>
      </c>
      <c r="AK907" t="s">
        <v>801</v>
      </c>
      <c r="AL907">
        <v>30</v>
      </c>
      <c r="AM907" s="5">
        <f t="shared" si="114"/>
        <v>0.9375</v>
      </c>
      <c r="AN907" s="4">
        <f t="shared" si="119"/>
        <v>1.4199166982203711E-3</v>
      </c>
      <c r="AO907" s="3"/>
      <c r="AP907">
        <v>0</v>
      </c>
      <c r="AR907" t="s">
        <v>0</v>
      </c>
      <c r="AT907" s="2" t="s">
        <v>126</v>
      </c>
      <c r="AU907" s="1">
        <f t="shared" si="115"/>
        <v>1.1338657532623526</v>
      </c>
      <c r="AV907" s="1">
        <f t="shared" si="116"/>
        <v>0.85047315799369128</v>
      </c>
      <c r="AW907" s="1">
        <f t="shared" si="117"/>
        <v>0.5670805627250296</v>
      </c>
    </row>
    <row r="908" spans="1:49" x14ac:dyDescent="0.2">
      <c r="A908">
        <v>906</v>
      </c>
      <c r="B908" t="s">
        <v>800</v>
      </c>
      <c r="F908" t="s">
        <v>799</v>
      </c>
      <c r="G908" t="s">
        <v>14</v>
      </c>
      <c r="H908" t="s">
        <v>13</v>
      </c>
      <c r="I908" t="s">
        <v>798</v>
      </c>
      <c r="J908">
        <v>60014662</v>
      </c>
      <c r="K908" t="s">
        <v>797</v>
      </c>
      <c r="L908" t="s">
        <v>618</v>
      </c>
      <c r="M908" t="s">
        <v>197</v>
      </c>
      <c r="N908">
        <v>5</v>
      </c>
      <c r="O908" t="s">
        <v>796</v>
      </c>
      <c r="P908" t="s">
        <v>795</v>
      </c>
      <c r="Q908" t="s">
        <v>794</v>
      </c>
      <c r="R908" s="7">
        <v>32874</v>
      </c>
      <c r="S908" s="8">
        <f t="shared" si="112"/>
        <v>1990</v>
      </c>
      <c r="T908" s="8">
        <v>1990</v>
      </c>
      <c r="U908" s="8">
        <f t="shared" si="113"/>
        <v>32</v>
      </c>
      <c r="V908" s="7">
        <v>1990</v>
      </c>
      <c r="W908" t="s">
        <v>422</v>
      </c>
      <c r="X908" s="2">
        <v>0.49199999999999999</v>
      </c>
      <c r="Y908" s="6">
        <f t="shared" si="118"/>
        <v>1.313365900536558E-2</v>
      </c>
      <c r="AA908" t="s">
        <v>421</v>
      </c>
      <c r="AB908">
        <v>17280</v>
      </c>
      <c r="AD908" t="s">
        <v>5</v>
      </c>
      <c r="AE908">
        <v>3</v>
      </c>
      <c r="AH908" t="s">
        <v>793</v>
      </c>
      <c r="AI908" t="s">
        <v>792</v>
      </c>
      <c r="AK908" t="s">
        <v>791</v>
      </c>
      <c r="AL908">
        <v>19</v>
      </c>
      <c r="AM908" s="5">
        <f t="shared" si="114"/>
        <v>0.59375</v>
      </c>
      <c r="AN908" s="4">
        <f t="shared" si="119"/>
        <v>8.9928057553956839E-4</v>
      </c>
      <c r="AO908" s="3"/>
      <c r="AP908">
        <v>0</v>
      </c>
      <c r="AR908" t="s">
        <v>0</v>
      </c>
      <c r="AT908" s="2" t="s">
        <v>126</v>
      </c>
      <c r="AU908" s="1">
        <f t="shared" si="115"/>
        <v>0.9463345476417776</v>
      </c>
      <c r="AV908" s="1">
        <f t="shared" si="116"/>
        <v>0.70164697904525741</v>
      </c>
      <c r="AW908" s="1">
        <f t="shared" si="117"/>
        <v>0.45695941044873717</v>
      </c>
    </row>
    <row r="909" spans="1:49" x14ac:dyDescent="0.2">
      <c r="A909">
        <v>907</v>
      </c>
      <c r="B909" t="s">
        <v>790</v>
      </c>
      <c r="F909" t="s">
        <v>789</v>
      </c>
      <c r="G909" t="s">
        <v>14</v>
      </c>
      <c r="H909" t="s">
        <v>13</v>
      </c>
      <c r="I909" t="s">
        <v>788</v>
      </c>
      <c r="J909">
        <v>60013372</v>
      </c>
      <c r="K909" t="s">
        <v>787</v>
      </c>
      <c r="L909" t="s">
        <v>786</v>
      </c>
      <c r="M909" t="s">
        <v>197</v>
      </c>
      <c r="N909">
        <v>2</v>
      </c>
      <c r="O909" t="s">
        <v>785</v>
      </c>
      <c r="P909" t="s">
        <v>784</v>
      </c>
      <c r="Q909" t="s">
        <v>783</v>
      </c>
      <c r="R909" s="7">
        <v>32874</v>
      </c>
      <c r="S909" s="8">
        <f t="shared" si="112"/>
        <v>1990</v>
      </c>
      <c r="T909" s="8">
        <v>1990</v>
      </c>
      <c r="U909" s="8">
        <f t="shared" si="113"/>
        <v>32</v>
      </c>
      <c r="V909" s="7">
        <v>1990</v>
      </c>
      <c r="W909" t="s">
        <v>422</v>
      </c>
      <c r="X909" s="2">
        <v>0.49199999999999999</v>
      </c>
      <c r="Y909" s="6">
        <f t="shared" si="118"/>
        <v>1.313365900536558E-2</v>
      </c>
      <c r="AA909" t="s">
        <v>421</v>
      </c>
      <c r="AB909">
        <v>17280</v>
      </c>
      <c r="AD909" t="s">
        <v>5</v>
      </c>
      <c r="AE909">
        <v>3</v>
      </c>
      <c r="AH909" t="s">
        <v>782</v>
      </c>
      <c r="AI909" t="s">
        <v>781</v>
      </c>
      <c r="AK909" t="s">
        <v>780</v>
      </c>
      <c r="AL909">
        <v>6</v>
      </c>
      <c r="AM909" s="5">
        <f t="shared" si="114"/>
        <v>0.1875</v>
      </c>
      <c r="AN909" s="4">
        <f t="shared" si="119"/>
        <v>2.8398333964407423E-4</v>
      </c>
      <c r="AO909" s="3"/>
      <c r="AP909">
        <v>0</v>
      </c>
      <c r="AR909" t="s">
        <v>0</v>
      </c>
      <c r="AT909" s="2" t="s">
        <v>126</v>
      </c>
      <c r="AU909" s="1">
        <f t="shared" si="115"/>
        <v>0.92787563056491262</v>
      </c>
      <c r="AV909" s="1">
        <f t="shared" si="116"/>
        <v>0.67088211725048275</v>
      </c>
      <c r="AW909" s="1">
        <f t="shared" si="117"/>
        <v>0.41388860393605259</v>
      </c>
    </row>
    <row r="910" spans="1:49" x14ac:dyDescent="0.2">
      <c r="A910">
        <v>908</v>
      </c>
      <c r="B910" t="s">
        <v>779</v>
      </c>
      <c r="F910" t="s">
        <v>778</v>
      </c>
      <c r="G910" t="s">
        <v>14</v>
      </c>
      <c r="H910" t="s">
        <v>13</v>
      </c>
      <c r="I910" t="s">
        <v>777</v>
      </c>
      <c r="J910">
        <v>101057445</v>
      </c>
      <c r="K910" t="s">
        <v>776</v>
      </c>
      <c r="M910" t="s">
        <v>197</v>
      </c>
      <c r="N910">
        <v>1</v>
      </c>
      <c r="O910" t="s">
        <v>775</v>
      </c>
      <c r="P910">
        <v>7003545137</v>
      </c>
      <c r="Q910">
        <v>101057445</v>
      </c>
      <c r="R910" s="7">
        <v>32874</v>
      </c>
      <c r="S910" s="8">
        <f t="shared" si="112"/>
        <v>1990</v>
      </c>
      <c r="T910" s="8">
        <v>1990</v>
      </c>
      <c r="U910" s="8">
        <f t="shared" si="113"/>
        <v>32</v>
      </c>
      <c r="V910" s="7">
        <v>1990</v>
      </c>
      <c r="W910" t="s">
        <v>422</v>
      </c>
      <c r="X910" s="2">
        <v>0.49199999999999999</v>
      </c>
      <c r="Y910" s="6">
        <f t="shared" si="118"/>
        <v>1.313365900536558E-2</v>
      </c>
      <c r="AA910" t="s">
        <v>421</v>
      </c>
      <c r="AB910">
        <v>17280</v>
      </c>
      <c r="AD910" t="s">
        <v>5</v>
      </c>
      <c r="AE910">
        <v>1</v>
      </c>
      <c r="AH910" t="s">
        <v>774</v>
      </c>
      <c r="AI910" t="s">
        <v>773</v>
      </c>
      <c r="AK910" t="s">
        <v>772</v>
      </c>
      <c r="AL910">
        <v>18</v>
      </c>
      <c r="AM910" s="5">
        <f t="shared" si="114"/>
        <v>0.5625</v>
      </c>
      <c r="AN910" s="4">
        <f t="shared" si="119"/>
        <v>8.5195001893222262E-4</v>
      </c>
      <c r="AO910" s="3"/>
      <c r="AP910">
        <v>0</v>
      </c>
      <c r="AR910" t="s">
        <v>0</v>
      </c>
      <c r="AT910" s="2" t="s">
        <v>126</v>
      </c>
      <c r="AU910" s="1">
        <f t="shared" si="115"/>
        <v>0.9449146309435571</v>
      </c>
      <c r="AV910" s="1">
        <f t="shared" si="116"/>
        <v>0.69928045121489013</v>
      </c>
      <c r="AW910" s="1">
        <f t="shared" si="117"/>
        <v>0.453646271486223</v>
      </c>
    </row>
    <row r="911" spans="1:49" x14ac:dyDescent="0.2">
      <c r="A911">
        <v>909</v>
      </c>
      <c r="B911" t="s">
        <v>771</v>
      </c>
      <c r="C911" t="s">
        <v>770</v>
      </c>
      <c r="F911" t="s">
        <v>769</v>
      </c>
      <c r="G911" t="s">
        <v>14</v>
      </c>
      <c r="H911" t="s">
        <v>13</v>
      </c>
      <c r="I911" t="s">
        <v>768</v>
      </c>
      <c r="J911">
        <v>60002959</v>
      </c>
      <c r="K911" t="s">
        <v>767</v>
      </c>
      <c r="L911" t="s">
        <v>766</v>
      </c>
      <c r="M911" t="s">
        <v>197</v>
      </c>
      <c r="N911">
        <v>1</v>
      </c>
      <c r="O911" t="s">
        <v>765</v>
      </c>
      <c r="P911">
        <v>6507106907</v>
      </c>
      <c r="Q911">
        <v>60002959</v>
      </c>
      <c r="R911" s="7">
        <v>32874</v>
      </c>
      <c r="S911" s="8">
        <f t="shared" si="112"/>
        <v>1990</v>
      </c>
      <c r="T911" s="8">
        <v>1990</v>
      </c>
      <c r="U911" s="8">
        <f t="shared" si="113"/>
        <v>32</v>
      </c>
      <c r="V911" s="7">
        <v>32874</v>
      </c>
      <c r="W911" t="s">
        <v>720</v>
      </c>
      <c r="X911" s="2">
        <v>1.137</v>
      </c>
      <c r="Y911" s="6">
        <f t="shared" si="118"/>
        <v>3.0351565628253384E-2</v>
      </c>
      <c r="AA911">
        <v>189251</v>
      </c>
      <c r="AB911">
        <v>17336</v>
      </c>
      <c r="AD911" t="s">
        <v>5</v>
      </c>
      <c r="AE911">
        <v>26</v>
      </c>
      <c r="AF911">
        <v>1</v>
      </c>
      <c r="AH911" t="s">
        <v>764</v>
      </c>
      <c r="AI911" t="s">
        <v>763</v>
      </c>
      <c r="AK911" t="s">
        <v>762</v>
      </c>
      <c r="AL911">
        <v>10</v>
      </c>
      <c r="AM911" s="5">
        <f t="shared" si="114"/>
        <v>0.3125</v>
      </c>
      <c r="AN911" s="4">
        <f t="shared" si="119"/>
        <v>4.7330556607345703E-4</v>
      </c>
      <c r="AO911" s="3"/>
      <c r="AP911">
        <v>0</v>
      </c>
      <c r="AR911" t="s">
        <v>0</v>
      </c>
      <c r="AT911" s="2" t="s">
        <v>126</v>
      </c>
      <c r="AU911" s="1">
        <f t="shared" si="115"/>
        <v>2.1388087609599404</v>
      </c>
      <c r="AV911" s="1">
        <f t="shared" si="116"/>
        <v>1.5412435597163421</v>
      </c>
      <c r="AW911" s="1">
        <f t="shared" si="117"/>
        <v>0.94367835847274351</v>
      </c>
    </row>
    <row r="912" spans="1:49" x14ac:dyDescent="0.2">
      <c r="A912">
        <v>910</v>
      </c>
      <c r="B912" t="s">
        <v>761</v>
      </c>
      <c r="F912" t="s">
        <v>760</v>
      </c>
      <c r="G912" t="s">
        <v>14</v>
      </c>
      <c r="H912" t="s">
        <v>13</v>
      </c>
      <c r="I912" t="s">
        <v>759</v>
      </c>
      <c r="J912">
        <v>60017016</v>
      </c>
      <c r="K912" t="s">
        <v>758</v>
      </c>
      <c r="L912" t="s">
        <v>757</v>
      </c>
      <c r="M912" t="s">
        <v>197</v>
      </c>
      <c r="N912">
        <v>5</v>
      </c>
      <c r="O912" t="s">
        <v>756</v>
      </c>
      <c r="P912" t="s">
        <v>755</v>
      </c>
      <c r="Q912" t="s">
        <v>754</v>
      </c>
      <c r="R912" s="7">
        <v>32874</v>
      </c>
      <c r="S912" s="8">
        <f t="shared" si="112"/>
        <v>1990</v>
      </c>
      <c r="T912" s="8">
        <v>1990</v>
      </c>
      <c r="U912" s="8">
        <f t="shared" si="113"/>
        <v>32</v>
      </c>
      <c r="V912" s="7">
        <v>1990</v>
      </c>
      <c r="W912" t="s">
        <v>422</v>
      </c>
      <c r="X912" s="2">
        <v>0.49199999999999999</v>
      </c>
      <c r="Y912" s="6">
        <f t="shared" si="118"/>
        <v>1.313365900536558E-2</v>
      </c>
      <c r="AA912" t="s">
        <v>421</v>
      </c>
      <c r="AB912">
        <v>17280</v>
      </c>
      <c r="AD912" t="s">
        <v>5</v>
      </c>
      <c r="AE912">
        <v>3</v>
      </c>
      <c r="AH912" t="s">
        <v>753</v>
      </c>
      <c r="AI912" t="s">
        <v>752</v>
      </c>
      <c r="AK912" t="s">
        <v>751</v>
      </c>
      <c r="AL912">
        <v>6</v>
      </c>
      <c r="AM912" s="5">
        <f t="shared" si="114"/>
        <v>0.1875</v>
      </c>
      <c r="AN912" s="4">
        <f t="shared" si="119"/>
        <v>2.8398333964407423E-4</v>
      </c>
      <c r="AO912" s="3"/>
      <c r="AP912">
        <v>0</v>
      </c>
      <c r="AR912" t="s">
        <v>0</v>
      </c>
      <c r="AT912" s="2" t="s">
        <v>126</v>
      </c>
      <c r="AU912" s="1">
        <f t="shared" si="115"/>
        <v>0.92787563056491262</v>
      </c>
      <c r="AV912" s="1">
        <f t="shared" si="116"/>
        <v>0.67088211725048275</v>
      </c>
      <c r="AW912" s="1">
        <f t="shared" si="117"/>
        <v>0.41388860393605259</v>
      </c>
    </row>
    <row r="913" spans="1:49" x14ac:dyDescent="0.2">
      <c r="A913">
        <v>911</v>
      </c>
      <c r="B913" t="s">
        <v>750</v>
      </c>
      <c r="F913" t="s">
        <v>749</v>
      </c>
      <c r="G913" t="s">
        <v>14</v>
      </c>
      <c r="H913" t="s">
        <v>13</v>
      </c>
      <c r="I913" t="s">
        <v>748</v>
      </c>
      <c r="J913">
        <v>60005304</v>
      </c>
      <c r="K913" t="s">
        <v>747</v>
      </c>
      <c r="L913" t="s">
        <v>746</v>
      </c>
      <c r="M913" t="s">
        <v>197</v>
      </c>
      <c r="N913">
        <v>5</v>
      </c>
      <c r="O913" t="s">
        <v>745</v>
      </c>
      <c r="P913" t="s">
        <v>744</v>
      </c>
      <c r="Q913" t="s">
        <v>743</v>
      </c>
      <c r="R913" s="7">
        <v>32874</v>
      </c>
      <c r="S913" s="8">
        <f t="shared" si="112"/>
        <v>1990</v>
      </c>
      <c r="T913" s="8">
        <v>1990</v>
      </c>
      <c r="U913" s="8">
        <f t="shared" si="113"/>
        <v>32</v>
      </c>
      <c r="V913" s="7">
        <v>1990</v>
      </c>
      <c r="W913" t="s">
        <v>422</v>
      </c>
      <c r="X913" s="2">
        <v>0.49199999999999999</v>
      </c>
      <c r="Y913" s="6">
        <f t="shared" si="118"/>
        <v>1.313365900536558E-2</v>
      </c>
      <c r="AA913" t="s">
        <v>421</v>
      </c>
      <c r="AB913">
        <v>17280</v>
      </c>
      <c r="AD913" t="s">
        <v>5</v>
      </c>
      <c r="AE913">
        <v>2</v>
      </c>
      <c r="AH913" t="s">
        <v>742</v>
      </c>
      <c r="AI913" t="s">
        <v>741</v>
      </c>
      <c r="AK913" t="s">
        <v>740</v>
      </c>
      <c r="AL913">
        <v>3</v>
      </c>
      <c r="AM913" s="5">
        <f t="shared" si="114"/>
        <v>9.375E-2</v>
      </c>
      <c r="AN913" s="4">
        <f t="shared" si="119"/>
        <v>1.4199166982203711E-4</v>
      </c>
      <c r="AO913" s="3"/>
      <c r="AP913">
        <v>0</v>
      </c>
      <c r="AR913" t="s">
        <v>0</v>
      </c>
      <c r="AT913" s="2" t="s">
        <v>126</v>
      </c>
      <c r="AU913" s="1">
        <f t="shared" si="115"/>
        <v>0.92361588047025156</v>
      </c>
      <c r="AV913" s="1">
        <f t="shared" si="116"/>
        <v>0.6637825337593809</v>
      </c>
      <c r="AW913" s="1">
        <f t="shared" si="117"/>
        <v>0.40394918704851002</v>
      </c>
    </row>
    <row r="914" spans="1:49" x14ac:dyDescent="0.2">
      <c r="A914">
        <v>912</v>
      </c>
      <c r="B914" t="s">
        <v>739</v>
      </c>
      <c r="F914" t="s">
        <v>738</v>
      </c>
      <c r="G914" t="s">
        <v>14</v>
      </c>
      <c r="H914" t="s">
        <v>13</v>
      </c>
      <c r="I914" t="s">
        <v>737</v>
      </c>
      <c r="J914">
        <v>60020547</v>
      </c>
      <c r="K914" t="s">
        <v>456</v>
      </c>
      <c r="L914" t="s">
        <v>455</v>
      </c>
      <c r="M914" t="s">
        <v>197</v>
      </c>
      <c r="N914">
        <v>2</v>
      </c>
      <c r="O914" t="s">
        <v>736</v>
      </c>
      <c r="P914" t="s">
        <v>735</v>
      </c>
      <c r="Q914" t="s">
        <v>734</v>
      </c>
      <c r="R914" s="7">
        <v>32874</v>
      </c>
      <c r="S914" s="8">
        <f t="shared" si="112"/>
        <v>1990</v>
      </c>
      <c r="T914" s="8">
        <v>1990</v>
      </c>
      <c r="U914" s="8">
        <f t="shared" si="113"/>
        <v>32</v>
      </c>
      <c r="V914" s="7">
        <v>1990</v>
      </c>
      <c r="W914" t="s">
        <v>422</v>
      </c>
      <c r="X914" s="2">
        <v>0.49199999999999999</v>
      </c>
      <c r="Y914" s="6">
        <f t="shared" si="118"/>
        <v>1.313365900536558E-2</v>
      </c>
      <c r="AA914" t="s">
        <v>421</v>
      </c>
      <c r="AB914">
        <v>17280</v>
      </c>
      <c r="AD914" t="s">
        <v>5</v>
      </c>
      <c r="AE914">
        <v>1</v>
      </c>
      <c r="AH914" t="s">
        <v>733</v>
      </c>
      <c r="AI914" t="s">
        <v>732</v>
      </c>
      <c r="AK914" t="s">
        <v>731</v>
      </c>
      <c r="AL914">
        <v>5</v>
      </c>
      <c r="AM914" s="5">
        <f t="shared" si="114"/>
        <v>0.15625</v>
      </c>
      <c r="AN914" s="4">
        <f t="shared" si="119"/>
        <v>2.3665278303672851E-4</v>
      </c>
      <c r="AO914" s="3"/>
      <c r="AP914">
        <v>0</v>
      </c>
      <c r="AR914" t="s">
        <v>0</v>
      </c>
      <c r="AT914" s="2" t="s">
        <v>126</v>
      </c>
      <c r="AU914" s="1">
        <f t="shared" si="115"/>
        <v>0.92645571386669234</v>
      </c>
      <c r="AV914" s="1">
        <f t="shared" si="116"/>
        <v>0.66851558942011535</v>
      </c>
      <c r="AW914" s="1">
        <f t="shared" si="117"/>
        <v>0.41057546497353842</v>
      </c>
    </row>
    <row r="915" spans="1:49" x14ac:dyDescent="0.2">
      <c r="A915">
        <v>913</v>
      </c>
      <c r="B915" t="s">
        <v>730</v>
      </c>
      <c r="C915" t="s">
        <v>729</v>
      </c>
      <c r="F915" t="s">
        <v>728</v>
      </c>
      <c r="G915" t="s">
        <v>14</v>
      </c>
      <c r="H915" t="s">
        <v>13</v>
      </c>
      <c r="I915" t="s">
        <v>727</v>
      </c>
      <c r="J915" t="s">
        <v>726</v>
      </c>
      <c r="K915" t="s">
        <v>725</v>
      </c>
      <c r="L915" t="s">
        <v>724</v>
      </c>
      <c r="M915" t="s">
        <v>84</v>
      </c>
      <c r="N915">
        <v>2</v>
      </c>
      <c r="O915" t="s">
        <v>723</v>
      </c>
      <c r="P915" t="s">
        <v>722</v>
      </c>
      <c r="Q915" t="s">
        <v>721</v>
      </c>
      <c r="R915" s="7">
        <v>32874</v>
      </c>
      <c r="S915" s="8">
        <f t="shared" si="112"/>
        <v>1990</v>
      </c>
      <c r="T915" s="8">
        <v>1990</v>
      </c>
      <c r="U915" s="8">
        <f t="shared" si="113"/>
        <v>32</v>
      </c>
      <c r="V915" s="7">
        <v>32874</v>
      </c>
      <c r="W915" t="s">
        <v>720</v>
      </c>
      <c r="X915" s="2">
        <v>1.137</v>
      </c>
      <c r="Y915" s="6">
        <f t="shared" si="118"/>
        <v>3.0351565628253384E-2</v>
      </c>
      <c r="AA915">
        <v>189251</v>
      </c>
      <c r="AB915">
        <v>17336</v>
      </c>
      <c r="AD915" t="s">
        <v>5</v>
      </c>
      <c r="AE915">
        <v>26</v>
      </c>
      <c r="AF915">
        <v>1</v>
      </c>
      <c r="AH915" s="10">
        <v>44531</v>
      </c>
      <c r="AI915" t="s">
        <v>719</v>
      </c>
      <c r="AK915" t="s">
        <v>718</v>
      </c>
      <c r="AL915">
        <v>6</v>
      </c>
      <c r="AM915" s="5">
        <f t="shared" si="114"/>
        <v>0.1875</v>
      </c>
      <c r="AN915" s="4">
        <f t="shared" si="119"/>
        <v>2.8398333964407423E-4</v>
      </c>
      <c r="AO915" s="3"/>
      <c r="AP915">
        <v>0</v>
      </c>
      <c r="AR915" t="s">
        <v>0</v>
      </c>
      <c r="AT915" s="2" t="s">
        <v>126</v>
      </c>
      <c r="AU915" s="1">
        <f t="shared" si="115"/>
        <v>2.1331290941670589</v>
      </c>
      <c r="AV915" s="1">
        <f t="shared" si="116"/>
        <v>1.531777448394873</v>
      </c>
      <c r="AW915" s="1">
        <f t="shared" si="117"/>
        <v>0.9304258026226867</v>
      </c>
    </row>
    <row r="916" spans="1:49" x14ac:dyDescent="0.2">
      <c r="A916">
        <v>914</v>
      </c>
      <c r="B916" t="s">
        <v>717</v>
      </c>
      <c r="C916" t="s">
        <v>716</v>
      </c>
      <c r="D916" t="s">
        <v>715</v>
      </c>
      <c r="E916">
        <v>2394617</v>
      </c>
      <c r="F916" t="s">
        <v>714</v>
      </c>
      <c r="G916" t="s">
        <v>14</v>
      </c>
      <c r="H916" t="s">
        <v>13</v>
      </c>
      <c r="I916" t="s">
        <v>713</v>
      </c>
      <c r="J916">
        <v>60001844</v>
      </c>
      <c r="K916" t="s">
        <v>712</v>
      </c>
      <c r="L916" t="s">
        <v>711</v>
      </c>
      <c r="M916" t="s">
        <v>197</v>
      </c>
      <c r="N916">
        <v>3</v>
      </c>
      <c r="O916" t="s">
        <v>710</v>
      </c>
      <c r="P916" t="s">
        <v>709</v>
      </c>
      <c r="Q916" t="s">
        <v>708</v>
      </c>
      <c r="R916" s="7">
        <v>32874</v>
      </c>
      <c r="S916" s="8">
        <f t="shared" si="112"/>
        <v>1990</v>
      </c>
      <c r="T916" s="8">
        <v>1990</v>
      </c>
      <c r="U916" s="8">
        <f t="shared" si="113"/>
        <v>32</v>
      </c>
      <c r="V916" s="7">
        <v>33086</v>
      </c>
      <c r="W916" t="s">
        <v>486</v>
      </c>
      <c r="X916" s="2" t="s">
        <v>126</v>
      </c>
      <c r="Y916" s="6" t="e">
        <f t="shared" si="118"/>
        <v>#VALUE!</v>
      </c>
      <c r="AA916">
        <v>3603016</v>
      </c>
      <c r="AB916">
        <v>17191</v>
      </c>
      <c r="AD916" t="s">
        <v>5</v>
      </c>
      <c r="AE916">
        <v>19</v>
      </c>
      <c r="AF916">
        <v>2</v>
      </c>
      <c r="AH916" t="s">
        <v>707</v>
      </c>
      <c r="AI916" t="s">
        <v>706</v>
      </c>
      <c r="AJ916" t="s">
        <v>705</v>
      </c>
      <c r="AK916" t="s">
        <v>704</v>
      </c>
      <c r="AL916">
        <v>28</v>
      </c>
      <c r="AM916" s="5">
        <f t="shared" si="114"/>
        <v>0.875</v>
      </c>
      <c r="AN916" s="4">
        <f t="shared" si="119"/>
        <v>1.3252555850056798E-3</v>
      </c>
      <c r="AO916" s="3"/>
      <c r="AP916">
        <v>0</v>
      </c>
      <c r="AQ916" t="s">
        <v>545</v>
      </c>
      <c r="AR916" t="s">
        <v>703</v>
      </c>
      <c r="AS916" t="s">
        <v>543</v>
      </c>
      <c r="AT916" s="2" t="s">
        <v>126</v>
      </c>
      <c r="AU916" s="1" t="e">
        <f t="shared" si="115"/>
        <v>#VALUE!</v>
      </c>
      <c r="AV916" s="1" t="e">
        <f t="shared" si="116"/>
        <v>#VALUE!</v>
      </c>
      <c r="AW916" s="1" t="e">
        <f t="shared" si="117"/>
        <v>#VALUE!</v>
      </c>
    </row>
    <row r="917" spans="1:49" x14ac:dyDescent="0.2">
      <c r="A917">
        <v>915</v>
      </c>
      <c r="B917" t="s">
        <v>702</v>
      </c>
      <c r="C917" t="s">
        <v>701</v>
      </c>
      <c r="E917">
        <v>2388907</v>
      </c>
      <c r="F917" t="s">
        <v>700</v>
      </c>
      <c r="G917" t="s">
        <v>14</v>
      </c>
      <c r="H917" t="s">
        <v>13</v>
      </c>
      <c r="I917" t="s">
        <v>699</v>
      </c>
      <c r="J917" t="s">
        <v>698</v>
      </c>
      <c r="K917" t="s">
        <v>697</v>
      </c>
      <c r="L917" t="s">
        <v>696</v>
      </c>
      <c r="M917" t="s">
        <v>84</v>
      </c>
      <c r="N917">
        <v>3</v>
      </c>
      <c r="O917" t="s">
        <v>695</v>
      </c>
      <c r="P917" t="s">
        <v>694</v>
      </c>
      <c r="Q917" t="s">
        <v>693</v>
      </c>
      <c r="R917" s="7">
        <v>32874</v>
      </c>
      <c r="S917" s="8">
        <f t="shared" si="112"/>
        <v>1990</v>
      </c>
      <c r="T917" s="8">
        <v>1990</v>
      </c>
      <c r="U917" s="8">
        <f t="shared" si="113"/>
        <v>32</v>
      </c>
      <c r="V917" s="7">
        <v>33117</v>
      </c>
      <c r="W917" t="s">
        <v>692</v>
      </c>
      <c r="X917" s="2" t="s">
        <v>126</v>
      </c>
      <c r="Y917" s="6" t="e">
        <f t="shared" si="118"/>
        <v>#VALUE!</v>
      </c>
      <c r="AA917">
        <v>379727</v>
      </c>
      <c r="AB917">
        <v>36595</v>
      </c>
      <c r="AC917">
        <v>15353699</v>
      </c>
      <c r="AD917" t="s">
        <v>5</v>
      </c>
      <c r="AE917">
        <v>194</v>
      </c>
      <c r="AF917">
        <v>4</v>
      </c>
      <c r="AH917" t="s">
        <v>691</v>
      </c>
      <c r="AI917" t="s">
        <v>690</v>
      </c>
      <c r="AK917" t="s">
        <v>689</v>
      </c>
      <c r="AL917">
        <v>10</v>
      </c>
      <c r="AM917" s="5">
        <f t="shared" si="114"/>
        <v>0.3125</v>
      </c>
      <c r="AN917" s="4">
        <f t="shared" si="119"/>
        <v>4.7330556607345703E-4</v>
      </c>
      <c r="AO917" s="3"/>
      <c r="AP917">
        <v>0</v>
      </c>
      <c r="AR917" t="s">
        <v>0</v>
      </c>
      <c r="AT917" s="2" t="s">
        <v>126</v>
      </c>
      <c r="AU917" s="1" t="e">
        <f t="shared" si="115"/>
        <v>#VALUE!</v>
      </c>
      <c r="AV917" s="1" t="e">
        <f t="shared" si="116"/>
        <v>#VALUE!</v>
      </c>
      <c r="AW917" s="1" t="e">
        <f t="shared" si="117"/>
        <v>#VALUE!</v>
      </c>
    </row>
    <row r="918" spans="1:49" x14ac:dyDescent="0.2">
      <c r="A918">
        <v>916</v>
      </c>
      <c r="B918" t="s">
        <v>688</v>
      </c>
      <c r="F918" t="s">
        <v>687</v>
      </c>
      <c r="G918" t="s">
        <v>14</v>
      </c>
      <c r="H918" t="s">
        <v>13</v>
      </c>
      <c r="I918" t="s">
        <v>686</v>
      </c>
      <c r="J918">
        <v>60015623</v>
      </c>
      <c r="K918" t="s">
        <v>685</v>
      </c>
      <c r="L918" t="s">
        <v>684</v>
      </c>
      <c r="M918" t="s">
        <v>197</v>
      </c>
      <c r="N918">
        <v>5</v>
      </c>
      <c r="O918" t="s">
        <v>683</v>
      </c>
      <c r="P918" t="s">
        <v>682</v>
      </c>
      <c r="Q918" t="s">
        <v>681</v>
      </c>
      <c r="R918" s="7">
        <v>32874</v>
      </c>
      <c r="S918" s="8">
        <f t="shared" si="112"/>
        <v>1990</v>
      </c>
      <c r="T918" s="8">
        <v>1990</v>
      </c>
      <c r="U918" s="8">
        <f t="shared" si="113"/>
        <v>32</v>
      </c>
      <c r="V918" s="7">
        <v>1990</v>
      </c>
      <c r="W918" t="s">
        <v>422</v>
      </c>
      <c r="X918" s="2">
        <v>0.49199999999999999</v>
      </c>
      <c r="Y918" s="6">
        <f t="shared" si="118"/>
        <v>1.313365900536558E-2</v>
      </c>
      <c r="AA918" t="s">
        <v>421</v>
      </c>
      <c r="AB918">
        <v>17280</v>
      </c>
      <c r="AD918" t="s">
        <v>5</v>
      </c>
      <c r="AE918">
        <v>1</v>
      </c>
      <c r="AH918" t="s">
        <v>680</v>
      </c>
      <c r="AI918" t="s">
        <v>679</v>
      </c>
      <c r="AK918" t="s">
        <v>678</v>
      </c>
      <c r="AL918">
        <v>24</v>
      </c>
      <c r="AM918" s="5">
        <f t="shared" si="114"/>
        <v>0.75</v>
      </c>
      <c r="AN918" s="4">
        <f t="shared" si="119"/>
        <v>1.1359333585762969E-3</v>
      </c>
      <c r="AO918" s="3"/>
      <c r="AP918">
        <v>0</v>
      </c>
      <c r="AR918" t="s">
        <v>0</v>
      </c>
      <c r="AT918" s="2" t="s">
        <v>126</v>
      </c>
      <c r="AU918" s="1">
        <f t="shared" si="115"/>
        <v>0.95343413113287945</v>
      </c>
      <c r="AV918" s="1">
        <f t="shared" si="116"/>
        <v>0.71347961819709393</v>
      </c>
      <c r="AW918" s="1">
        <f t="shared" si="117"/>
        <v>0.47352510526130814</v>
      </c>
    </row>
    <row r="919" spans="1:49" x14ac:dyDescent="0.2">
      <c r="A919">
        <v>917</v>
      </c>
      <c r="B919" t="s">
        <v>677</v>
      </c>
      <c r="F919" t="s">
        <v>676</v>
      </c>
      <c r="G919" t="s">
        <v>14</v>
      </c>
      <c r="H919" t="s">
        <v>13</v>
      </c>
      <c r="I919" t="s">
        <v>675</v>
      </c>
      <c r="J919">
        <v>60001612</v>
      </c>
      <c r="K919" t="s">
        <v>674</v>
      </c>
      <c r="L919" t="s">
        <v>673</v>
      </c>
      <c r="M919" t="s">
        <v>197</v>
      </c>
      <c r="N919">
        <v>8</v>
      </c>
      <c r="O919" t="s">
        <v>672</v>
      </c>
      <c r="P919" t="s">
        <v>671</v>
      </c>
      <c r="Q919" t="s">
        <v>670</v>
      </c>
      <c r="R919" s="7">
        <v>32874</v>
      </c>
      <c r="S919" s="8">
        <f t="shared" si="112"/>
        <v>1990</v>
      </c>
      <c r="T919" s="8">
        <v>1990</v>
      </c>
      <c r="U919" s="8">
        <f t="shared" si="113"/>
        <v>32</v>
      </c>
      <c r="V919" s="7">
        <v>1990</v>
      </c>
      <c r="W919" t="s">
        <v>422</v>
      </c>
      <c r="X919" s="2">
        <v>0.49199999999999999</v>
      </c>
      <c r="Y919" s="6">
        <f t="shared" si="118"/>
        <v>1.313365900536558E-2</v>
      </c>
      <c r="AA919" t="s">
        <v>421</v>
      </c>
      <c r="AB919">
        <v>17280</v>
      </c>
      <c r="AD919" t="s">
        <v>5</v>
      </c>
      <c r="AE919">
        <v>1</v>
      </c>
      <c r="AH919" t="s">
        <v>669</v>
      </c>
      <c r="AI919" t="s">
        <v>668</v>
      </c>
      <c r="AK919" t="s">
        <v>667</v>
      </c>
      <c r="AL919">
        <v>0</v>
      </c>
      <c r="AM919" s="5">
        <f t="shared" si="114"/>
        <v>0</v>
      </c>
      <c r="AN919" s="4">
        <f t="shared" si="119"/>
        <v>0</v>
      </c>
      <c r="AO919" s="3"/>
      <c r="AP919">
        <v>0</v>
      </c>
      <c r="AR919" t="s">
        <v>0</v>
      </c>
      <c r="AT919" s="2" t="s">
        <v>126</v>
      </c>
      <c r="AU919" s="1">
        <f t="shared" si="115"/>
        <v>0.9193561303755905</v>
      </c>
      <c r="AV919" s="1">
        <f t="shared" si="116"/>
        <v>0.65668295026827905</v>
      </c>
      <c r="AW919" s="1">
        <f t="shared" si="117"/>
        <v>0.39400977016096739</v>
      </c>
    </row>
    <row r="920" spans="1:49" x14ac:dyDescent="0.2">
      <c r="A920">
        <v>918</v>
      </c>
      <c r="B920" t="s">
        <v>666</v>
      </c>
      <c r="F920" t="s">
        <v>665</v>
      </c>
      <c r="G920" t="s">
        <v>14</v>
      </c>
      <c r="H920" t="s">
        <v>13</v>
      </c>
      <c r="I920" t="s">
        <v>664</v>
      </c>
      <c r="J920">
        <v>60022148</v>
      </c>
      <c r="K920" t="s">
        <v>663</v>
      </c>
      <c r="L920" t="s">
        <v>662</v>
      </c>
      <c r="M920" t="s">
        <v>253</v>
      </c>
      <c r="N920">
        <v>5</v>
      </c>
      <c r="O920" t="s">
        <v>661</v>
      </c>
      <c r="P920" t="s">
        <v>660</v>
      </c>
      <c r="Q920" t="s">
        <v>659</v>
      </c>
      <c r="R920" s="7">
        <v>32874</v>
      </c>
      <c r="S920" s="8">
        <f t="shared" si="112"/>
        <v>1990</v>
      </c>
      <c r="T920" s="8">
        <v>1990</v>
      </c>
      <c r="U920" s="8">
        <f t="shared" si="113"/>
        <v>32</v>
      </c>
      <c r="V920" s="7">
        <v>1990</v>
      </c>
      <c r="W920" t="s">
        <v>422</v>
      </c>
      <c r="X920" s="2">
        <v>0.49199999999999999</v>
      </c>
      <c r="Y920" s="6">
        <f t="shared" si="118"/>
        <v>1.313365900536558E-2</v>
      </c>
      <c r="AA920" t="s">
        <v>421</v>
      </c>
      <c r="AB920">
        <v>17280</v>
      </c>
      <c r="AD920" t="s">
        <v>5</v>
      </c>
      <c r="AE920">
        <v>3</v>
      </c>
      <c r="AH920" t="s">
        <v>658</v>
      </c>
      <c r="AI920" t="s">
        <v>657</v>
      </c>
      <c r="AK920" t="s">
        <v>656</v>
      </c>
      <c r="AL920">
        <v>8</v>
      </c>
      <c r="AM920" s="5">
        <f t="shared" si="114"/>
        <v>0.25</v>
      </c>
      <c r="AN920" s="4">
        <f t="shared" si="119"/>
        <v>3.786444528587656E-4</v>
      </c>
      <c r="AO920" s="3"/>
      <c r="AP920">
        <v>0</v>
      </c>
      <c r="AR920" t="s">
        <v>0</v>
      </c>
      <c r="AT920" s="2" t="s">
        <v>126</v>
      </c>
      <c r="AU920" s="1">
        <f t="shared" si="115"/>
        <v>0.93071546396135352</v>
      </c>
      <c r="AV920" s="1">
        <f t="shared" si="116"/>
        <v>0.67561517291121731</v>
      </c>
      <c r="AW920" s="1">
        <f t="shared" si="117"/>
        <v>0.42051488186108099</v>
      </c>
    </row>
    <row r="921" spans="1:49" x14ac:dyDescent="0.2">
      <c r="A921">
        <v>919</v>
      </c>
      <c r="B921" t="s">
        <v>655</v>
      </c>
      <c r="F921" t="s">
        <v>654</v>
      </c>
      <c r="G921" t="s">
        <v>14</v>
      </c>
      <c r="H921" t="s">
        <v>13</v>
      </c>
      <c r="I921" t="s">
        <v>653</v>
      </c>
      <c r="J921">
        <v>60009037</v>
      </c>
      <c r="K921" t="s">
        <v>652</v>
      </c>
      <c r="L921" t="s">
        <v>651</v>
      </c>
      <c r="M921" t="s">
        <v>197</v>
      </c>
      <c r="N921">
        <v>10</v>
      </c>
      <c r="O921" t="s">
        <v>650</v>
      </c>
      <c r="P921" t="s">
        <v>649</v>
      </c>
      <c r="Q921" t="s">
        <v>648</v>
      </c>
      <c r="R921" s="7">
        <v>32874</v>
      </c>
      <c r="S921" s="8">
        <f t="shared" si="112"/>
        <v>1990</v>
      </c>
      <c r="T921" s="8">
        <v>1990</v>
      </c>
      <c r="U921" s="8">
        <f t="shared" si="113"/>
        <v>32</v>
      </c>
      <c r="V921" s="7">
        <v>1990</v>
      </c>
      <c r="W921" t="s">
        <v>422</v>
      </c>
      <c r="X921" s="2">
        <v>0.49199999999999999</v>
      </c>
      <c r="Y921" s="6">
        <f t="shared" si="118"/>
        <v>1.313365900536558E-2</v>
      </c>
      <c r="AA921" t="s">
        <v>421</v>
      </c>
      <c r="AB921">
        <v>17280</v>
      </c>
      <c r="AD921" t="s">
        <v>5</v>
      </c>
      <c r="AE921">
        <v>2</v>
      </c>
      <c r="AH921" t="s">
        <v>647</v>
      </c>
      <c r="AI921" t="s">
        <v>646</v>
      </c>
      <c r="AK921" t="s">
        <v>645</v>
      </c>
      <c r="AL921">
        <v>3</v>
      </c>
      <c r="AM921" s="5">
        <f t="shared" si="114"/>
        <v>9.375E-2</v>
      </c>
      <c r="AN921" s="4">
        <f t="shared" si="119"/>
        <v>1.4199166982203711E-4</v>
      </c>
      <c r="AO921" s="3"/>
      <c r="AP921">
        <v>0</v>
      </c>
      <c r="AR921" t="s">
        <v>0</v>
      </c>
      <c r="AT921" s="2" t="s">
        <v>126</v>
      </c>
      <c r="AU921" s="1">
        <f t="shared" si="115"/>
        <v>0.92361588047025156</v>
      </c>
      <c r="AV921" s="1">
        <f t="shared" si="116"/>
        <v>0.6637825337593809</v>
      </c>
      <c r="AW921" s="1">
        <f t="shared" si="117"/>
        <v>0.40394918704851002</v>
      </c>
    </row>
    <row r="922" spans="1:49" x14ac:dyDescent="0.2">
      <c r="A922">
        <v>920</v>
      </c>
      <c r="B922" t="s">
        <v>644</v>
      </c>
      <c r="F922" t="s">
        <v>643</v>
      </c>
      <c r="G922" t="s">
        <v>14</v>
      </c>
      <c r="H922" t="s">
        <v>13</v>
      </c>
      <c r="I922" t="s">
        <v>642</v>
      </c>
      <c r="J922">
        <v>100496906</v>
      </c>
      <c r="K922" t="s">
        <v>641</v>
      </c>
      <c r="L922" t="s">
        <v>640</v>
      </c>
      <c r="M922" t="s">
        <v>197</v>
      </c>
      <c r="N922">
        <v>4</v>
      </c>
      <c r="O922" t="s">
        <v>639</v>
      </c>
      <c r="P922" t="s">
        <v>638</v>
      </c>
      <c r="Q922" t="s">
        <v>637</v>
      </c>
      <c r="R922" s="7">
        <v>32874</v>
      </c>
      <c r="S922" s="8">
        <f t="shared" si="112"/>
        <v>1990</v>
      </c>
      <c r="T922" s="8">
        <v>1990</v>
      </c>
      <c r="U922" s="8">
        <f t="shared" si="113"/>
        <v>32</v>
      </c>
      <c r="V922" s="7">
        <v>1990</v>
      </c>
      <c r="W922" t="s">
        <v>422</v>
      </c>
      <c r="X922" s="2">
        <v>0.49199999999999999</v>
      </c>
      <c r="Y922" s="6">
        <f t="shared" si="118"/>
        <v>1.313365900536558E-2</v>
      </c>
      <c r="AA922" t="s">
        <v>421</v>
      </c>
      <c r="AB922">
        <v>17280</v>
      </c>
      <c r="AD922" t="s">
        <v>5</v>
      </c>
      <c r="AE922">
        <v>2</v>
      </c>
      <c r="AH922" t="s">
        <v>636</v>
      </c>
      <c r="AI922" t="s">
        <v>635</v>
      </c>
      <c r="AK922" t="s">
        <v>634</v>
      </c>
      <c r="AL922">
        <v>0</v>
      </c>
      <c r="AM922" s="5">
        <f t="shared" si="114"/>
        <v>0</v>
      </c>
      <c r="AN922" s="4">
        <f t="shared" si="119"/>
        <v>0</v>
      </c>
      <c r="AO922" s="3"/>
      <c r="AP922">
        <v>0</v>
      </c>
      <c r="AR922" t="s">
        <v>0</v>
      </c>
      <c r="AT922" s="2" t="s">
        <v>126</v>
      </c>
      <c r="AU922" s="1">
        <f t="shared" si="115"/>
        <v>0.9193561303755905</v>
      </c>
      <c r="AV922" s="1">
        <f t="shared" si="116"/>
        <v>0.65668295026827905</v>
      </c>
      <c r="AW922" s="1">
        <f t="shared" si="117"/>
        <v>0.39400977016096739</v>
      </c>
    </row>
    <row r="923" spans="1:49" x14ac:dyDescent="0.2">
      <c r="A923">
        <v>921</v>
      </c>
      <c r="B923" t="s">
        <v>633</v>
      </c>
      <c r="F923" t="s">
        <v>632</v>
      </c>
      <c r="G923" t="s">
        <v>14</v>
      </c>
      <c r="H923" t="s">
        <v>13</v>
      </c>
      <c r="I923" t="s">
        <v>631</v>
      </c>
      <c r="J923">
        <v>60015099</v>
      </c>
      <c r="K923" t="s">
        <v>630</v>
      </c>
      <c r="L923" t="s">
        <v>629</v>
      </c>
      <c r="M923" t="s">
        <v>197</v>
      </c>
      <c r="N923">
        <v>2</v>
      </c>
      <c r="O923" t="s">
        <v>628</v>
      </c>
      <c r="P923" t="s">
        <v>627</v>
      </c>
      <c r="Q923" t="s">
        <v>626</v>
      </c>
      <c r="R923" s="7">
        <v>32874</v>
      </c>
      <c r="S923" s="8">
        <f t="shared" si="112"/>
        <v>1990</v>
      </c>
      <c r="T923" s="8">
        <v>1990</v>
      </c>
      <c r="U923" s="8">
        <f t="shared" si="113"/>
        <v>32</v>
      </c>
      <c r="V923" s="7">
        <v>1990</v>
      </c>
      <c r="W923" t="s">
        <v>422</v>
      </c>
      <c r="X923" s="2">
        <v>0.49199999999999999</v>
      </c>
      <c r="Y923" s="6">
        <f t="shared" si="118"/>
        <v>1.313365900536558E-2</v>
      </c>
      <c r="AA923" t="s">
        <v>421</v>
      </c>
      <c r="AB923">
        <v>17280</v>
      </c>
      <c r="AD923" t="s">
        <v>5</v>
      </c>
      <c r="AE923">
        <v>2</v>
      </c>
      <c r="AH923" t="s">
        <v>625</v>
      </c>
      <c r="AI923" t="s">
        <v>624</v>
      </c>
      <c r="AK923" t="s">
        <v>623</v>
      </c>
      <c r="AL923">
        <v>1</v>
      </c>
      <c r="AM923" s="5">
        <f t="shared" si="114"/>
        <v>3.125E-2</v>
      </c>
      <c r="AN923" s="4">
        <f t="shared" si="119"/>
        <v>4.73305566073457E-5</v>
      </c>
      <c r="AO923" s="3"/>
      <c r="AP923">
        <v>0</v>
      </c>
      <c r="AR923" t="s">
        <v>0</v>
      </c>
      <c r="AT923" s="2" t="s">
        <v>126</v>
      </c>
      <c r="AU923" s="1">
        <f t="shared" si="115"/>
        <v>0.92077604707381089</v>
      </c>
      <c r="AV923" s="1">
        <f t="shared" si="116"/>
        <v>0.65904947809864622</v>
      </c>
      <c r="AW923" s="1">
        <f t="shared" si="117"/>
        <v>0.39732290912348156</v>
      </c>
    </row>
    <row r="924" spans="1:49" x14ac:dyDescent="0.2">
      <c r="A924">
        <v>922</v>
      </c>
      <c r="B924" t="s">
        <v>622</v>
      </c>
      <c r="F924" t="s">
        <v>621</v>
      </c>
      <c r="G924" t="s">
        <v>14</v>
      </c>
      <c r="H924" t="s">
        <v>13</v>
      </c>
      <c r="I924" t="s">
        <v>620</v>
      </c>
      <c r="J924">
        <v>60015277</v>
      </c>
      <c r="K924" t="s">
        <v>619</v>
      </c>
      <c r="L924" t="s">
        <v>618</v>
      </c>
      <c r="M924" t="s">
        <v>197</v>
      </c>
      <c r="N924">
        <v>10</v>
      </c>
      <c r="O924" t="s">
        <v>617</v>
      </c>
      <c r="P924" t="s">
        <v>616</v>
      </c>
      <c r="Q924" t="s">
        <v>615</v>
      </c>
      <c r="R924" s="7">
        <v>32874</v>
      </c>
      <c r="S924" s="8">
        <f t="shared" si="112"/>
        <v>1990</v>
      </c>
      <c r="T924" s="8">
        <v>1990</v>
      </c>
      <c r="U924" s="8">
        <f t="shared" si="113"/>
        <v>32</v>
      </c>
      <c r="V924" s="7">
        <v>1990</v>
      </c>
      <c r="W924" t="s">
        <v>422</v>
      </c>
      <c r="X924" s="2">
        <v>0.49199999999999999</v>
      </c>
      <c r="Y924" s="6">
        <f t="shared" si="118"/>
        <v>1.313365900536558E-2</v>
      </c>
      <c r="AA924" t="s">
        <v>421</v>
      </c>
      <c r="AB924">
        <v>17280</v>
      </c>
      <c r="AD924" t="s">
        <v>5</v>
      </c>
      <c r="AE924">
        <v>1</v>
      </c>
      <c r="AH924" t="s">
        <v>614</v>
      </c>
      <c r="AI924" t="s">
        <v>613</v>
      </c>
      <c r="AK924" t="s">
        <v>612</v>
      </c>
      <c r="AL924">
        <v>4</v>
      </c>
      <c r="AM924" s="5">
        <f t="shared" si="114"/>
        <v>0.125</v>
      </c>
      <c r="AN924" s="4">
        <f t="shared" si="119"/>
        <v>1.893222264293828E-4</v>
      </c>
      <c r="AO924" s="3"/>
      <c r="AP924">
        <v>0</v>
      </c>
      <c r="AR924" t="s">
        <v>0</v>
      </c>
      <c r="AT924" s="2" t="s">
        <v>126</v>
      </c>
      <c r="AU924" s="1">
        <f t="shared" si="115"/>
        <v>0.92503579716847195</v>
      </c>
      <c r="AV924" s="1">
        <f t="shared" si="116"/>
        <v>0.66614906158974818</v>
      </c>
      <c r="AW924" s="1">
        <f t="shared" si="117"/>
        <v>0.40726232601102424</v>
      </c>
    </row>
    <row r="925" spans="1:49" x14ac:dyDescent="0.2">
      <c r="A925">
        <v>923</v>
      </c>
      <c r="B925" t="s">
        <v>611</v>
      </c>
      <c r="C925" t="s">
        <v>610</v>
      </c>
      <c r="E925">
        <v>2299653</v>
      </c>
      <c r="F925" t="s">
        <v>609</v>
      </c>
      <c r="G925" t="s">
        <v>14</v>
      </c>
      <c r="H925" t="s">
        <v>13</v>
      </c>
      <c r="I925" t="s">
        <v>608</v>
      </c>
      <c r="J925">
        <v>60014313</v>
      </c>
      <c r="K925" t="s">
        <v>607</v>
      </c>
      <c r="L925" t="s">
        <v>606</v>
      </c>
      <c r="M925" t="s">
        <v>197</v>
      </c>
      <c r="N925">
        <v>5</v>
      </c>
      <c r="O925" t="s">
        <v>605</v>
      </c>
      <c r="P925" t="s">
        <v>604</v>
      </c>
      <c r="Q925" t="s">
        <v>603</v>
      </c>
      <c r="R925" s="7">
        <v>32874</v>
      </c>
      <c r="S925" s="8">
        <f t="shared" si="112"/>
        <v>1990</v>
      </c>
      <c r="T925" s="8">
        <v>1990</v>
      </c>
      <c r="U925" s="8">
        <f t="shared" si="113"/>
        <v>32</v>
      </c>
      <c r="V925" s="7">
        <v>32874</v>
      </c>
      <c r="W925" t="s">
        <v>602</v>
      </c>
      <c r="X925" s="2" t="s">
        <v>126</v>
      </c>
      <c r="Y925" s="6" t="e">
        <f t="shared" si="118"/>
        <v>#VALUE!</v>
      </c>
      <c r="AA925">
        <v>222585</v>
      </c>
      <c r="AB925">
        <v>20491</v>
      </c>
      <c r="AD925" t="s">
        <v>5</v>
      </c>
      <c r="AE925">
        <v>27</v>
      </c>
      <c r="AF925">
        <v>1</v>
      </c>
      <c r="AH925" t="s">
        <v>601</v>
      </c>
      <c r="AI925" t="s">
        <v>600</v>
      </c>
      <c r="AK925" t="s">
        <v>599</v>
      </c>
      <c r="AL925">
        <v>4</v>
      </c>
      <c r="AM925" s="5">
        <f t="shared" si="114"/>
        <v>0.125</v>
      </c>
      <c r="AN925" s="4">
        <f t="shared" si="119"/>
        <v>1.893222264293828E-4</v>
      </c>
      <c r="AO925" s="3"/>
      <c r="AP925">
        <v>0</v>
      </c>
      <c r="AR925" t="s">
        <v>0</v>
      </c>
      <c r="AT925" s="2">
        <v>2.278</v>
      </c>
      <c r="AU925" s="1" t="e">
        <f t="shared" si="115"/>
        <v>#VALUE!</v>
      </c>
      <c r="AV925" s="1" t="e">
        <f t="shared" si="116"/>
        <v>#VALUE!</v>
      </c>
      <c r="AW925" s="1" t="e">
        <f t="shared" si="117"/>
        <v>#VALUE!</v>
      </c>
    </row>
    <row r="926" spans="1:49" x14ac:dyDescent="0.2">
      <c r="A926">
        <v>924</v>
      </c>
      <c r="B926" t="s">
        <v>598</v>
      </c>
      <c r="F926" t="s">
        <v>597</v>
      </c>
      <c r="G926" t="s">
        <v>14</v>
      </c>
      <c r="H926" t="s">
        <v>13</v>
      </c>
      <c r="I926" t="s">
        <v>596</v>
      </c>
      <c r="J926">
        <v>60028673</v>
      </c>
      <c r="K926" t="s">
        <v>595</v>
      </c>
      <c r="L926" t="s">
        <v>594</v>
      </c>
      <c r="M926" t="s">
        <v>135</v>
      </c>
      <c r="N926">
        <v>5</v>
      </c>
      <c r="O926" t="s">
        <v>593</v>
      </c>
      <c r="P926" t="s">
        <v>592</v>
      </c>
      <c r="Q926" t="s">
        <v>591</v>
      </c>
      <c r="R926" s="7">
        <v>32874</v>
      </c>
      <c r="S926" s="8">
        <f t="shared" si="112"/>
        <v>1990</v>
      </c>
      <c r="T926" s="8">
        <v>1990</v>
      </c>
      <c r="U926" s="8">
        <f t="shared" si="113"/>
        <v>32</v>
      </c>
      <c r="V926" s="7">
        <v>1990</v>
      </c>
      <c r="W926" t="s">
        <v>422</v>
      </c>
      <c r="X926" s="2">
        <v>0.49199999999999999</v>
      </c>
      <c r="Y926" s="6">
        <f t="shared" si="118"/>
        <v>1.313365900536558E-2</v>
      </c>
      <c r="AA926" t="s">
        <v>421</v>
      </c>
      <c r="AB926">
        <v>17280</v>
      </c>
      <c r="AD926" t="s">
        <v>5</v>
      </c>
      <c r="AE926">
        <v>2</v>
      </c>
      <c r="AH926" t="s">
        <v>590</v>
      </c>
      <c r="AI926" t="s">
        <v>589</v>
      </c>
      <c r="AK926" t="s">
        <v>588</v>
      </c>
      <c r="AL926">
        <v>3</v>
      </c>
      <c r="AM926" s="5">
        <f t="shared" si="114"/>
        <v>9.375E-2</v>
      </c>
      <c r="AN926" s="4">
        <f t="shared" si="119"/>
        <v>1.4199166982203711E-4</v>
      </c>
      <c r="AO926" s="3"/>
      <c r="AP926">
        <v>0</v>
      </c>
      <c r="AR926" t="s">
        <v>0</v>
      </c>
      <c r="AT926" s="2" t="s">
        <v>126</v>
      </c>
      <c r="AU926" s="1">
        <f t="shared" si="115"/>
        <v>0.92361588047025156</v>
      </c>
      <c r="AV926" s="1">
        <f t="shared" si="116"/>
        <v>0.6637825337593809</v>
      </c>
      <c r="AW926" s="1">
        <f t="shared" si="117"/>
        <v>0.40394918704851002</v>
      </c>
    </row>
    <row r="927" spans="1:49" x14ac:dyDescent="0.2">
      <c r="A927">
        <v>925</v>
      </c>
      <c r="B927" t="s">
        <v>587</v>
      </c>
      <c r="C927" t="s">
        <v>586</v>
      </c>
      <c r="E927">
        <v>2299232</v>
      </c>
      <c r="F927" t="s">
        <v>585</v>
      </c>
      <c r="G927" t="s">
        <v>14</v>
      </c>
      <c r="H927" t="s">
        <v>13</v>
      </c>
      <c r="I927" t="s">
        <v>584</v>
      </c>
      <c r="J927" t="s">
        <v>583</v>
      </c>
      <c r="K927" t="s">
        <v>582</v>
      </c>
      <c r="L927" t="s">
        <v>581</v>
      </c>
      <c r="M927" t="s">
        <v>580</v>
      </c>
      <c r="N927">
        <v>3</v>
      </c>
      <c r="O927" t="s">
        <v>579</v>
      </c>
      <c r="P927" t="s">
        <v>578</v>
      </c>
      <c r="Q927" t="s">
        <v>577</v>
      </c>
      <c r="R927" s="7">
        <v>32874</v>
      </c>
      <c r="S927" s="8">
        <f t="shared" si="112"/>
        <v>1990</v>
      </c>
      <c r="T927" s="8">
        <v>1990</v>
      </c>
      <c r="U927" s="8">
        <f t="shared" si="113"/>
        <v>32</v>
      </c>
      <c r="V927" s="7">
        <v>1990</v>
      </c>
      <c r="W927" t="s">
        <v>576</v>
      </c>
      <c r="X927" s="2">
        <v>0.89600000000000002</v>
      </c>
      <c r="Y927" s="6">
        <f t="shared" si="118"/>
        <v>2.3918208269934065E-2</v>
      </c>
      <c r="AA927">
        <v>2656736</v>
      </c>
      <c r="AB927">
        <v>29901</v>
      </c>
      <c r="AD927" t="s">
        <v>5</v>
      </c>
      <c r="AE927">
        <v>6</v>
      </c>
      <c r="AF927">
        <v>1</v>
      </c>
      <c r="AH927" t="s">
        <v>575</v>
      </c>
      <c r="AI927" t="s">
        <v>574</v>
      </c>
      <c r="AJ927" t="s">
        <v>573</v>
      </c>
      <c r="AK927" t="s">
        <v>572</v>
      </c>
      <c r="AL927">
        <v>9</v>
      </c>
      <c r="AM927" s="5">
        <f t="shared" si="114"/>
        <v>0.28125</v>
      </c>
      <c r="AN927" s="4">
        <f t="shared" si="119"/>
        <v>4.2597500946611131E-4</v>
      </c>
      <c r="AO927" s="3"/>
      <c r="AP927">
        <v>0</v>
      </c>
      <c r="AQ927" t="s">
        <v>571</v>
      </c>
      <c r="AR927">
        <v>92</v>
      </c>
      <c r="AS927" t="s">
        <v>570</v>
      </c>
      <c r="AT927" s="2">
        <v>3.9140000000000001</v>
      </c>
      <c r="AU927" s="1">
        <f t="shared" si="115"/>
        <v>1.6870538291793677</v>
      </c>
      <c r="AV927" s="1">
        <f t="shared" si="116"/>
        <v>1.2172091639700087</v>
      </c>
      <c r="AW927" s="1">
        <f t="shared" si="117"/>
        <v>0.74736449876064959</v>
      </c>
    </row>
    <row r="928" spans="1:49" x14ac:dyDescent="0.2">
      <c r="A928">
        <v>926</v>
      </c>
      <c r="B928" t="s">
        <v>569</v>
      </c>
      <c r="F928" t="s">
        <v>568</v>
      </c>
      <c r="G928" t="s">
        <v>14</v>
      </c>
      <c r="H928" t="s">
        <v>13</v>
      </c>
      <c r="I928" t="s">
        <v>567</v>
      </c>
      <c r="N928">
        <v>3</v>
      </c>
      <c r="O928" t="s">
        <v>566</v>
      </c>
      <c r="P928" t="s">
        <v>565</v>
      </c>
      <c r="Q928" t="s">
        <v>391</v>
      </c>
      <c r="R928" s="7">
        <v>32874</v>
      </c>
      <c r="S928" s="8">
        <f t="shared" si="112"/>
        <v>1990</v>
      </c>
      <c r="T928" s="8">
        <v>1990</v>
      </c>
      <c r="U928" s="8">
        <f t="shared" si="113"/>
        <v>32</v>
      </c>
      <c r="V928" s="7">
        <v>1990</v>
      </c>
      <c r="W928" t="s">
        <v>564</v>
      </c>
      <c r="X928" s="2" t="s">
        <v>126</v>
      </c>
      <c r="Y928" s="6" t="e">
        <f t="shared" si="118"/>
        <v>#VALUE!</v>
      </c>
      <c r="AA928">
        <v>87566648</v>
      </c>
      <c r="AB928">
        <v>74127</v>
      </c>
      <c r="AD928" t="s">
        <v>5</v>
      </c>
      <c r="AE928">
        <v>35</v>
      </c>
      <c r="AF928">
        <v>4</v>
      </c>
      <c r="AH928" t="s">
        <v>563</v>
      </c>
      <c r="AI928" t="s">
        <v>562</v>
      </c>
      <c r="AK928" t="s">
        <v>561</v>
      </c>
      <c r="AL928">
        <v>0</v>
      </c>
      <c r="AM928" s="5">
        <f t="shared" si="114"/>
        <v>0</v>
      </c>
      <c r="AN928" s="4">
        <f t="shared" si="119"/>
        <v>0</v>
      </c>
      <c r="AO928" s="3"/>
      <c r="AP928">
        <v>0</v>
      </c>
      <c r="AR928" t="s">
        <v>0</v>
      </c>
      <c r="AT928" s="2" t="s">
        <v>126</v>
      </c>
      <c r="AU928" s="1" t="e">
        <f t="shared" si="115"/>
        <v>#VALUE!</v>
      </c>
      <c r="AV928" s="1" t="e">
        <f t="shared" si="116"/>
        <v>#VALUE!</v>
      </c>
      <c r="AW928" s="1" t="e">
        <f t="shared" si="117"/>
        <v>#VALUE!</v>
      </c>
    </row>
    <row r="929" spans="1:49" x14ac:dyDescent="0.2">
      <c r="A929">
        <v>927</v>
      </c>
      <c r="B929" t="s">
        <v>560</v>
      </c>
      <c r="C929" t="s">
        <v>559</v>
      </c>
      <c r="D929" t="s">
        <v>558</v>
      </c>
      <c r="E929">
        <v>2298626</v>
      </c>
      <c r="F929" t="s">
        <v>557</v>
      </c>
      <c r="G929" t="s">
        <v>14</v>
      </c>
      <c r="H929" t="s">
        <v>13</v>
      </c>
      <c r="I929" t="s">
        <v>556</v>
      </c>
      <c r="J929" t="s">
        <v>555</v>
      </c>
      <c r="K929" t="s">
        <v>554</v>
      </c>
      <c r="L929" t="s">
        <v>553</v>
      </c>
      <c r="M929" t="s">
        <v>84</v>
      </c>
      <c r="N929">
        <v>6</v>
      </c>
      <c r="O929" t="s">
        <v>552</v>
      </c>
      <c r="P929" t="s">
        <v>551</v>
      </c>
      <c r="Q929" t="s">
        <v>550</v>
      </c>
      <c r="R929" s="7">
        <v>32874</v>
      </c>
      <c r="S929" s="8">
        <f t="shared" si="112"/>
        <v>1990</v>
      </c>
      <c r="T929" s="8">
        <v>1990</v>
      </c>
      <c r="U929" s="8">
        <f t="shared" si="113"/>
        <v>32</v>
      </c>
      <c r="V929" s="7">
        <v>32874</v>
      </c>
      <c r="W929" t="s">
        <v>486</v>
      </c>
      <c r="X929" s="2" t="s">
        <v>126</v>
      </c>
      <c r="Y929" s="6" t="e">
        <f t="shared" si="118"/>
        <v>#VALUE!</v>
      </c>
      <c r="AA929">
        <v>3603016</v>
      </c>
      <c r="AB929">
        <v>17191</v>
      </c>
      <c r="AD929" t="s">
        <v>5</v>
      </c>
      <c r="AE929">
        <v>18</v>
      </c>
      <c r="AF929">
        <v>1</v>
      </c>
      <c r="AH929" t="s">
        <v>549</v>
      </c>
      <c r="AI929" t="s">
        <v>548</v>
      </c>
      <c r="AJ929" t="s">
        <v>547</v>
      </c>
      <c r="AK929" t="s">
        <v>546</v>
      </c>
      <c r="AL929">
        <v>58</v>
      </c>
      <c r="AM929" s="5">
        <f t="shared" si="114"/>
        <v>1.8125</v>
      </c>
      <c r="AN929" s="4">
        <f t="shared" si="119"/>
        <v>2.7451722832260508E-3</v>
      </c>
      <c r="AO929" s="3"/>
      <c r="AP929">
        <v>0</v>
      </c>
      <c r="AQ929" t="s">
        <v>545</v>
      </c>
      <c r="AR929" t="s">
        <v>544</v>
      </c>
      <c r="AS929" t="s">
        <v>543</v>
      </c>
      <c r="AT929" s="2" t="s">
        <v>126</v>
      </c>
      <c r="AU929" s="1" t="e">
        <f t="shared" si="115"/>
        <v>#VALUE!</v>
      </c>
      <c r="AV929" s="1" t="e">
        <f t="shared" si="116"/>
        <v>#VALUE!</v>
      </c>
      <c r="AW929" s="1" t="e">
        <f t="shared" si="117"/>
        <v>#VALUE!</v>
      </c>
    </row>
    <row r="930" spans="1:49" x14ac:dyDescent="0.2">
      <c r="A930">
        <v>928</v>
      </c>
      <c r="B930" t="s">
        <v>542</v>
      </c>
      <c r="C930" t="s">
        <v>541</v>
      </c>
      <c r="E930">
        <v>2222984</v>
      </c>
      <c r="F930" t="s">
        <v>540</v>
      </c>
      <c r="G930" t="s">
        <v>14</v>
      </c>
      <c r="H930" t="s">
        <v>13</v>
      </c>
      <c r="I930" t="s">
        <v>539</v>
      </c>
      <c r="J930">
        <v>60022119</v>
      </c>
      <c r="K930" t="s">
        <v>538</v>
      </c>
      <c r="L930" t="s">
        <v>537</v>
      </c>
      <c r="M930" t="s">
        <v>536</v>
      </c>
      <c r="N930">
        <v>6</v>
      </c>
      <c r="O930" t="s">
        <v>535</v>
      </c>
      <c r="P930" t="s">
        <v>534</v>
      </c>
      <c r="Q930" t="s">
        <v>533</v>
      </c>
      <c r="R930" s="7">
        <v>32874</v>
      </c>
      <c r="S930" s="8">
        <f t="shared" si="112"/>
        <v>1990</v>
      </c>
      <c r="T930" s="8">
        <v>1990</v>
      </c>
      <c r="U930" s="8">
        <f t="shared" si="113"/>
        <v>32</v>
      </c>
      <c r="V930" s="7">
        <v>1990</v>
      </c>
      <c r="W930" t="s">
        <v>532</v>
      </c>
      <c r="X930" s="2">
        <v>0.70099999999999996</v>
      </c>
      <c r="Y930" s="6">
        <f t="shared" si="118"/>
        <v>1.8712794639758681E-2</v>
      </c>
      <c r="AA930">
        <v>8949115</v>
      </c>
      <c r="AB930">
        <v>16263</v>
      </c>
      <c r="AD930" t="s">
        <v>5</v>
      </c>
      <c r="AE930">
        <v>69</v>
      </c>
      <c r="AF930">
        <v>5</v>
      </c>
      <c r="AH930" t="s">
        <v>531</v>
      </c>
      <c r="AI930" t="s">
        <v>530</v>
      </c>
      <c r="AJ930" t="s">
        <v>529</v>
      </c>
      <c r="AK930" t="s">
        <v>528</v>
      </c>
      <c r="AL930">
        <v>9</v>
      </c>
      <c r="AM930" s="5">
        <f t="shared" si="114"/>
        <v>0.28125</v>
      </c>
      <c r="AN930" s="4">
        <f t="shared" si="119"/>
        <v>4.2597500946611131E-4</v>
      </c>
      <c r="AO930" s="3"/>
      <c r="AP930">
        <v>0</v>
      </c>
      <c r="AR930" t="s">
        <v>0</v>
      </c>
      <c r="AT930" s="2" t="s">
        <v>126</v>
      </c>
      <c r="AU930" s="1">
        <f t="shared" si="115"/>
        <v>1.3226748750670911</v>
      </c>
      <c r="AV930" s="1">
        <f t="shared" si="116"/>
        <v>0.95693848246123958</v>
      </c>
      <c r="AW930" s="1">
        <f t="shared" si="117"/>
        <v>0.59120208985538825</v>
      </c>
    </row>
    <row r="931" spans="1:49" x14ac:dyDescent="0.2">
      <c r="A931">
        <v>929</v>
      </c>
      <c r="B931" t="s">
        <v>527</v>
      </c>
      <c r="C931" t="s">
        <v>526</v>
      </c>
      <c r="E931">
        <v>2119174</v>
      </c>
      <c r="F931" t="s">
        <v>525</v>
      </c>
      <c r="G931" t="s">
        <v>14</v>
      </c>
      <c r="H931" t="s">
        <v>13</v>
      </c>
      <c r="I931" t="s">
        <v>524</v>
      </c>
      <c r="J931">
        <v>60009305</v>
      </c>
      <c r="K931" t="s">
        <v>523</v>
      </c>
      <c r="L931" t="s">
        <v>522</v>
      </c>
      <c r="M931" t="s">
        <v>521</v>
      </c>
      <c r="N931">
        <v>3</v>
      </c>
      <c r="O931" t="s">
        <v>520</v>
      </c>
      <c r="P931" t="s">
        <v>519</v>
      </c>
      <c r="Q931" t="s">
        <v>518</v>
      </c>
      <c r="R931" s="7">
        <v>32874</v>
      </c>
      <c r="S931" s="8">
        <f t="shared" si="112"/>
        <v>1990</v>
      </c>
      <c r="T931" s="8">
        <v>1990</v>
      </c>
      <c r="U931" s="8">
        <f t="shared" si="113"/>
        <v>32</v>
      </c>
      <c r="V931" s="7">
        <v>1990</v>
      </c>
      <c r="W931" t="s">
        <v>517</v>
      </c>
      <c r="X931" s="2">
        <v>1.706</v>
      </c>
      <c r="Y931" s="6">
        <f t="shared" si="118"/>
        <v>4.554069565681642E-2</v>
      </c>
      <c r="AA931">
        <v>2646021</v>
      </c>
      <c r="AB931">
        <v>16850</v>
      </c>
      <c r="AD931" t="s">
        <v>5</v>
      </c>
      <c r="AE931">
        <v>270</v>
      </c>
      <c r="AF931">
        <v>2</v>
      </c>
      <c r="AH931" t="s">
        <v>516</v>
      </c>
      <c r="AI931" t="s">
        <v>515</v>
      </c>
      <c r="AK931" t="s">
        <v>514</v>
      </c>
      <c r="AL931">
        <v>3</v>
      </c>
      <c r="AM931" s="5">
        <f t="shared" si="114"/>
        <v>9.375E-2</v>
      </c>
      <c r="AN931" s="4">
        <f t="shared" si="119"/>
        <v>1.4199166982203711E-4</v>
      </c>
      <c r="AO931" s="3"/>
      <c r="AP931">
        <v>0</v>
      </c>
      <c r="AR931" t="s">
        <v>0</v>
      </c>
      <c r="AT931" s="2">
        <v>3.8570000000000002</v>
      </c>
      <c r="AU931" s="1">
        <f t="shared" si="115"/>
        <v>3.1921084460718099</v>
      </c>
      <c r="AV931" s="1">
        <f t="shared" si="116"/>
        <v>2.2841343663319229</v>
      </c>
      <c r="AW931" s="1">
        <f t="shared" si="117"/>
        <v>1.3761602865920353</v>
      </c>
    </row>
    <row r="932" spans="1:49" x14ac:dyDescent="0.2">
      <c r="A932">
        <v>930</v>
      </c>
      <c r="B932" t="s">
        <v>513</v>
      </c>
      <c r="C932" t="s">
        <v>512</v>
      </c>
      <c r="D932" t="s">
        <v>511</v>
      </c>
      <c r="F932" t="s">
        <v>510</v>
      </c>
      <c r="G932" t="s">
        <v>14</v>
      </c>
      <c r="H932" t="s">
        <v>13</v>
      </c>
      <c r="I932" t="s">
        <v>509</v>
      </c>
      <c r="J932" t="s">
        <v>508</v>
      </c>
      <c r="K932" t="s">
        <v>507</v>
      </c>
      <c r="L932" t="s">
        <v>506</v>
      </c>
      <c r="M932" t="s">
        <v>505</v>
      </c>
      <c r="N932">
        <v>7</v>
      </c>
      <c r="O932" t="s">
        <v>504</v>
      </c>
      <c r="P932" t="s">
        <v>503</v>
      </c>
      <c r="Q932" t="s">
        <v>502</v>
      </c>
      <c r="R932" s="7">
        <v>32874</v>
      </c>
      <c r="S932" s="8">
        <f t="shared" si="112"/>
        <v>1990</v>
      </c>
      <c r="T932" s="8">
        <v>1990</v>
      </c>
      <c r="U932" s="8">
        <f t="shared" si="113"/>
        <v>32</v>
      </c>
      <c r="V932" s="7">
        <v>1990</v>
      </c>
      <c r="W932" t="s">
        <v>501</v>
      </c>
      <c r="X932" s="2">
        <v>0.54100000000000004</v>
      </c>
      <c r="Y932" s="6">
        <f t="shared" si="118"/>
        <v>1.4441686020127601E-2</v>
      </c>
      <c r="AA932">
        <v>404039</v>
      </c>
      <c r="AB932">
        <v>26514</v>
      </c>
      <c r="AD932" t="s">
        <v>5</v>
      </c>
      <c r="AE932">
        <v>31</v>
      </c>
      <c r="AF932">
        <v>41</v>
      </c>
      <c r="AH932" t="s">
        <v>500</v>
      </c>
      <c r="AI932" t="s">
        <v>499</v>
      </c>
      <c r="AK932" t="s">
        <v>498</v>
      </c>
      <c r="AL932">
        <v>61</v>
      </c>
      <c r="AM932" s="5">
        <f t="shared" si="114"/>
        <v>1.90625</v>
      </c>
      <c r="AN932" s="4">
        <f t="shared" si="119"/>
        <v>2.8871639530480878E-3</v>
      </c>
      <c r="AO932" s="3"/>
      <c r="AP932">
        <v>0</v>
      </c>
      <c r="AR932" t="s">
        <v>0</v>
      </c>
      <c r="AS932" t="s">
        <v>497</v>
      </c>
      <c r="AT932" s="2">
        <v>2.415</v>
      </c>
      <c r="AU932" s="1">
        <f t="shared" si="115"/>
        <v>1.0975329400003746</v>
      </c>
      <c r="AV932" s="1">
        <f t="shared" si="116"/>
        <v>0.86644249865878453</v>
      </c>
      <c r="AW932" s="1">
        <f t="shared" si="117"/>
        <v>0.63535205731719424</v>
      </c>
    </row>
    <row r="933" spans="1:49" x14ac:dyDescent="0.2">
      <c r="A933">
        <v>931</v>
      </c>
      <c r="B933" t="s">
        <v>496</v>
      </c>
      <c r="C933" t="s">
        <v>495</v>
      </c>
      <c r="D933" t="s">
        <v>494</v>
      </c>
      <c r="E933">
        <v>2211214</v>
      </c>
      <c r="F933" t="s">
        <v>493</v>
      </c>
      <c r="G933" t="s">
        <v>14</v>
      </c>
      <c r="H933" t="s">
        <v>13</v>
      </c>
      <c r="I933" t="s">
        <v>492</v>
      </c>
      <c r="J933">
        <v>60013227</v>
      </c>
      <c r="K933" t="s">
        <v>491</v>
      </c>
      <c r="L933" t="s">
        <v>490</v>
      </c>
      <c r="M933" t="s">
        <v>197</v>
      </c>
      <c r="N933">
        <v>3</v>
      </c>
      <c r="O933" t="s">
        <v>489</v>
      </c>
      <c r="P933" t="s">
        <v>488</v>
      </c>
      <c r="Q933" t="s">
        <v>487</v>
      </c>
      <c r="R933" s="7">
        <v>32874</v>
      </c>
      <c r="S933" s="8">
        <f t="shared" si="112"/>
        <v>1990</v>
      </c>
      <c r="T933" s="8">
        <v>1990</v>
      </c>
      <c r="U933" s="8">
        <f t="shared" si="113"/>
        <v>32</v>
      </c>
      <c r="V933" s="7">
        <v>33117</v>
      </c>
      <c r="W933" t="s">
        <v>486</v>
      </c>
      <c r="X933" s="2" t="s">
        <v>126</v>
      </c>
      <c r="Y933" s="6" t="e">
        <f t="shared" si="118"/>
        <v>#VALUE!</v>
      </c>
      <c r="AA933">
        <v>3603016</v>
      </c>
      <c r="AB933">
        <v>17191</v>
      </c>
      <c r="AD933" t="s">
        <v>5</v>
      </c>
      <c r="AE933">
        <v>19</v>
      </c>
      <c r="AF933">
        <v>3</v>
      </c>
      <c r="AH933" t="s">
        <v>485</v>
      </c>
      <c r="AI933" t="s">
        <v>484</v>
      </c>
      <c r="AJ933" t="s">
        <v>483</v>
      </c>
      <c r="AK933" t="s">
        <v>482</v>
      </c>
      <c r="AL933">
        <v>4</v>
      </c>
      <c r="AM933" s="5">
        <f t="shared" si="114"/>
        <v>0.125</v>
      </c>
      <c r="AN933" s="4">
        <f t="shared" si="119"/>
        <v>1.893222264293828E-4</v>
      </c>
      <c r="AO933" s="3"/>
      <c r="AP933">
        <v>0</v>
      </c>
      <c r="AR933" t="s">
        <v>0</v>
      </c>
      <c r="AT933" s="2" t="s">
        <v>126</v>
      </c>
      <c r="AU933" s="1" t="e">
        <f t="shared" si="115"/>
        <v>#VALUE!</v>
      </c>
      <c r="AV933" s="1" t="e">
        <f t="shared" si="116"/>
        <v>#VALUE!</v>
      </c>
      <c r="AW933" s="1" t="e">
        <f t="shared" si="117"/>
        <v>#VALUE!</v>
      </c>
    </row>
    <row r="934" spans="1:49" x14ac:dyDescent="0.2">
      <c r="A934">
        <v>932</v>
      </c>
      <c r="B934" t="s">
        <v>481</v>
      </c>
      <c r="F934" t="s">
        <v>480</v>
      </c>
      <c r="G934" t="s">
        <v>14</v>
      </c>
      <c r="H934" t="s">
        <v>13</v>
      </c>
      <c r="I934" t="s">
        <v>479</v>
      </c>
      <c r="J934">
        <v>60007742</v>
      </c>
      <c r="K934" t="s">
        <v>478</v>
      </c>
      <c r="L934" t="s">
        <v>477</v>
      </c>
      <c r="M934" t="s">
        <v>197</v>
      </c>
      <c r="N934">
        <v>6</v>
      </c>
      <c r="O934" t="s">
        <v>476</v>
      </c>
      <c r="P934" t="s">
        <v>475</v>
      </c>
      <c r="Q934" t="s">
        <v>474</v>
      </c>
      <c r="R934" s="7">
        <v>32874</v>
      </c>
      <c r="S934" s="8">
        <f t="shared" si="112"/>
        <v>1990</v>
      </c>
      <c r="T934" s="8">
        <v>1990</v>
      </c>
      <c r="U934" s="8">
        <f t="shared" si="113"/>
        <v>32</v>
      </c>
      <c r="V934" s="7">
        <v>1990</v>
      </c>
      <c r="W934" t="s">
        <v>422</v>
      </c>
      <c r="X934" s="2">
        <v>0.49199999999999999</v>
      </c>
      <c r="Y934" s="6">
        <f t="shared" si="118"/>
        <v>1.313365900536558E-2</v>
      </c>
      <c r="AA934" t="s">
        <v>421</v>
      </c>
      <c r="AB934">
        <v>17280</v>
      </c>
      <c r="AD934" t="s">
        <v>5</v>
      </c>
      <c r="AE934">
        <v>2</v>
      </c>
      <c r="AH934" t="s">
        <v>473</v>
      </c>
      <c r="AI934" t="s">
        <v>472</v>
      </c>
      <c r="AK934" t="s">
        <v>471</v>
      </c>
      <c r="AL934">
        <v>4</v>
      </c>
      <c r="AM934" s="5">
        <f t="shared" si="114"/>
        <v>0.125</v>
      </c>
      <c r="AN934" s="4">
        <f t="shared" si="119"/>
        <v>1.893222264293828E-4</v>
      </c>
      <c r="AO934" s="3"/>
      <c r="AP934">
        <v>0</v>
      </c>
      <c r="AR934" t="s">
        <v>0</v>
      </c>
      <c r="AT934" s="2" t="s">
        <v>126</v>
      </c>
      <c r="AU934" s="1">
        <f t="shared" si="115"/>
        <v>0.92503579716847195</v>
      </c>
      <c r="AV934" s="1">
        <f t="shared" si="116"/>
        <v>0.66614906158974818</v>
      </c>
      <c r="AW934" s="1">
        <f t="shared" si="117"/>
        <v>0.40726232601102424</v>
      </c>
    </row>
    <row r="935" spans="1:49" x14ac:dyDescent="0.2">
      <c r="A935">
        <v>933</v>
      </c>
      <c r="B935" t="s">
        <v>470</v>
      </c>
      <c r="F935" t="s">
        <v>469</v>
      </c>
      <c r="G935" t="s">
        <v>14</v>
      </c>
      <c r="H935" t="s">
        <v>13</v>
      </c>
      <c r="I935" t="s">
        <v>468</v>
      </c>
      <c r="J935">
        <v>60025997</v>
      </c>
      <c r="K935" t="s">
        <v>467</v>
      </c>
      <c r="L935" t="s">
        <v>466</v>
      </c>
      <c r="M935" t="s">
        <v>267</v>
      </c>
      <c r="N935">
        <v>4</v>
      </c>
      <c r="O935" t="s">
        <v>465</v>
      </c>
      <c r="P935" t="s">
        <v>464</v>
      </c>
      <c r="Q935" t="s">
        <v>463</v>
      </c>
      <c r="R935" s="7">
        <v>32874</v>
      </c>
      <c r="S935" s="8">
        <f t="shared" si="112"/>
        <v>1990</v>
      </c>
      <c r="T935" s="8">
        <v>1990</v>
      </c>
      <c r="U935" s="8">
        <f t="shared" si="113"/>
        <v>32</v>
      </c>
      <c r="V935" s="7">
        <v>1990</v>
      </c>
      <c r="W935" t="s">
        <v>422</v>
      </c>
      <c r="X935" s="2">
        <v>0.49199999999999999</v>
      </c>
      <c r="Y935" s="6">
        <f t="shared" si="118"/>
        <v>1.313365900536558E-2</v>
      </c>
      <c r="AA935" t="s">
        <v>421</v>
      </c>
      <c r="AB935">
        <v>17280</v>
      </c>
      <c r="AD935" t="s">
        <v>5</v>
      </c>
      <c r="AE935">
        <v>1</v>
      </c>
      <c r="AH935" t="s">
        <v>462</v>
      </c>
      <c r="AI935" t="s">
        <v>461</v>
      </c>
      <c r="AK935" t="s">
        <v>460</v>
      </c>
      <c r="AL935">
        <v>0</v>
      </c>
      <c r="AM935" s="5">
        <f t="shared" si="114"/>
        <v>0</v>
      </c>
      <c r="AN935" s="4">
        <f t="shared" si="119"/>
        <v>0</v>
      </c>
      <c r="AO935" s="3"/>
      <c r="AP935">
        <v>0</v>
      </c>
      <c r="AR935" t="s">
        <v>0</v>
      </c>
      <c r="AT935" s="2" t="s">
        <v>126</v>
      </c>
      <c r="AU935" s="1">
        <f t="shared" si="115"/>
        <v>0.9193561303755905</v>
      </c>
      <c r="AV935" s="1">
        <f t="shared" si="116"/>
        <v>0.65668295026827905</v>
      </c>
      <c r="AW935" s="1">
        <f t="shared" si="117"/>
        <v>0.39400977016096739</v>
      </c>
    </row>
    <row r="936" spans="1:49" x14ac:dyDescent="0.2">
      <c r="A936">
        <v>934</v>
      </c>
      <c r="B936" t="s">
        <v>459</v>
      </c>
      <c r="F936" t="s">
        <v>458</v>
      </c>
      <c r="G936" t="s">
        <v>14</v>
      </c>
      <c r="H936" t="s">
        <v>13</v>
      </c>
      <c r="I936" t="s">
        <v>457</v>
      </c>
      <c r="J936">
        <v>60020547</v>
      </c>
      <c r="K936" t="s">
        <v>456</v>
      </c>
      <c r="L936" t="s">
        <v>455</v>
      </c>
      <c r="M936" t="s">
        <v>197</v>
      </c>
      <c r="N936">
        <v>3</v>
      </c>
      <c r="O936" t="s">
        <v>454</v>
      </c>
      <c r="P936" t="s">
        <v>453</v>
      </c>
      <c r="Q936" t="s">
        <v>452</v>
      </c>
      <c r="R936" s="7">
        <v>32874</v>
      </c>
      <c r="S936" s="8">
        <f t="shared" si="112"/>
        <v>1990</v>
      </c>
      <c r="T936" s="8">
        <v>1990</v>
      </c>
      <c r="U936" s="8">
        <f t="shared" si="113"/>
        <v>32</v>
      </c>
      <c r="V936" s="7">
        <v>1990</v>
      </c>
      <c r="W936" t="s">
        <v>422</v>
      </c>
      <c r="X936" s="2">
        <v>0.49199999999999999</v>
      </c>
      <c r="Y936" s="6">
        <f t="shared" si="118"/>
        <v>1.313365900536558E-2</v>
      </c>
      <c r="AA936" t="s">
        <v>421</v>
      </c>
      <c r="AB936">
        <v>17280</v>
      </c>
      <c r="AD936" t="s">
        <v>5</v>
      </c>
      <c r="AE936">
        <v>2</v>
      </c>
      <c r="AH936" t="s">
        <v>451</v>
      </c>
      <c r="AI936" t="s">
        <v>450</v>
      </c>
      <c r="AK936" t="s">
        <v>449</v>
      </c>
      <c r="AL936">
        <v>4</v>
      </c>
      <c r="AM936" s="5">
        <f t="shared" si="114"/>
        <v>0.125</v>
      </c>
      <c r="AN936" s="4">
        <f t="shared" si="119"/>
        <v>1.893222264293828E-4</v>
      </c>
      <c r="AO936" s="3"/>
      <c r="AP936">
        <v>0</v>
      </c>
      <c r="AR936" t="s">
        <v>0</v>
      </c>
      <c r="AT936" s="2" t="s">
        <v>126</v>
      </c>
      <c r="AU936" s="1">
        <f t="shared" si="115"/>
        <v>0.92503579716847195</v>
      </c>
      <c r="AV936" s="1">
        <f t="shared" si="116"/>
        <v>0.66614906158974818</v>
      </c>
      <c r="AW936" s="1">
        <f t="shared" si="117"/>
        <v>0.40726232601102424</v>
      </c>
    </row>
    <row r="937" spans="1:49" x14ac:dyDescent="0.2">
      <c r="A937">
        <v>935</v>
      </c>
      <c r="B937" t="s">
        <v>448</v>
      </c>
      <c r="F937" t="s">
        <v>447</v>
      </c>
      <c r="G937" t="s">
        <v>14</v>
      </c>
      <c r="H937" t="s">
        <v>13</v>
      </c>
      <c r="I937" t="s">
        <v>446</v>
      </c>
      <c r="J937">
        <v>60021366</v>
      </c>
      <c r="K937" t="s">
        <v>445</v>
      </c>
      <c r="L937" t="s">
        <v>444</v>
      </c>
      <c r="M937" t="s">
        <v>197</v>
      </c>
      <c r="N937">
        <v>1</v>
      </c>
      <c r="O937" t="s">
        <v>443</v>
      </c>
      <c r="P937">
        <v>57210718742</v>
      </c>
      <c r="Q937">
        <v>60021366</v>
      </c>
      <c r="R937" s="7">
        <v>32874</v>
      </c>
      <c r="S937" s="8">
        <f t="shared" si="112"/>
        <v>1990</v>
      </c>
      <c r="T937" s="8">
        <v>1990</v>
      </c>
      <c r="U937" s="8">
        <f t="shared" si="113"/>
        <v>32</v>
      </c>
      <c r="V937" s="7">
        <v>1990</v>
      </c>
      <c r="W937" t="s">
        <v>422</v>
      </c>
      <c r="X937" s="2">
        <v>0.49199999999999999</v>
      </c>
      <c r="Y937" s="6">
        <f t="shared" si="118"/>
        <v>1.313365900536558E-2</v>
      </c>
      <c r="AA937" t="s">
        <v>421</v>
      </c>
      <c r="AB937">
        <v>17280</v>
      </c>
      <c r="AD937" t="s">
        <v>5</v>
      </c>
      <c r="AE937">
        <v>1</v>
      </c>
      <c r="AH937" t="s">
        <v>442</v>
      </c>
      <c r="AI937" t="s">
        <v>441</v>
      </c>
      <c r="AK937" t="s">
        <v>440</v>
      </c>
      <c r="AL937">
        <v>7</v>
      </c>
      <c r="AM937" s="5">
        <f t="shared" si="114"/>
        <v>0.21875</v>
      </c>
      <c r="AN937" s="4">
        <f t="shared" si="119"/>
        <v>3.3131389625141994E-4</v>
      </c>
      <c r="AO937" s="3"/>
      <c r="AP937">
        <v>0</v>
      </c>
      <c r="AR937" t="s">
        <v>0</v>
      </c>
      <c r="AT937" s="2" t="s">
        <v>126</v>
      </c>
      <c r="AU937" s="1">
        <f t="shared" si="115"/>
        <v>0.92929554726313324</v>
      </c>
      <c r="AV937" s="1">
        <f t="shared" si="116"/>
        <v>0.67324864508085003</v>
      </c>
      <c r="AW937" s="1">
        <f t="shared" si="117"/>
        <v>0.41720174289856682</v>
      </c>
    </row>
    <row r="938" spans="1:49" x14ac:dyDescent="0.2">
      <c r="A938">
        <v>936</v>
      </c>
      <c r="B938" t="s">
        <v>439</v>
      </c>
      <c r="F938" t="s">
        <v>438</v>
      </c>
      <c r="G938" t="s">
        <v>14</v>
      </c>
      <c r="H938" t="s">
        <v>13</v>
      </c>
      <c r="I938" t="s">
        <v>437</v>
      </c>
      <c r="J938">
        <v>60025778</v>
      </c>
      <c r="K938" t="s">
        <v>436</v>
      </c>
      <c r="L938" t="s">
        <v>435</v>
      </c>
      <c r="M938" t="s">
        <v>197</v>
      </c>
      <c r="N938">
        <v>2</v>
      </c>
      <c r="O938" t="s">
        <v>434</v>
      </c>
      <c r="P938" t="s">
        <v>433</v>
      </c>
      <c r="Q938" t="s">
        <v>432</v>
      </c>
      <c r="R938" s="7">
        <v>32874</v>
      </c>
      <c r="S938" s="8">
        <f t="shared" si="112"/>
        <v>1990</v>
      </c>
      <c r="T938" s="8">
        <v>1990</v>
      </c>
      <c r="U938" s="8">
        <f t="shared" si="113"/>
        <v>32</v>
      </c>
      <c r="V938" s="7">
        <v>1990</v>
      </c>
      <c r="W938" t="s">
        <v>422</v>
      </c>
      <c r="X938" s="2">
        <v>0.49199999999999999</v>
      </c>
      <c r="Y938" s="6">
        <f t="shared" si="118"/>
        <v>1.313365900536558E-2</v>
      </c>
      <c r="AA938" t="s">
        <v>421</v>
      </c>
      <c r="AB938">
        <v>17280</v>
      </c>
      <c r="AD938" t="s">
        <v>5</v>
      </c>
      <c r="AE938">
        <v>3</v>
      </c>
      <c r="AH938" t="s">
        <v>431</v>
      </c>
      <c r="AI938" t="s">
        <v>430</v>
      </c>
      <c r="AK938" t="s">
        <v>429</v>
      </c>
      <c r="AL938">
        <v>2</v>
      </c>
      <c r="AM938" s="5">
        <f t="shared" si="114"/>
        <v>6.25E-2</v>
      </c>
      <c r="AN938" s="4">
        <f t="shared" si="119"/>
        <v>9.46611132146914E-5</v>
      </c>
      <c r="AO938" s="3"/>
      <c r="AP938">
        <v>0</v>
      </c>
      <c r="AR938" t="s">
        <v>0</v>
      </c>
      <c r="AT938" s="2" t="s">
        <v>126</v>
      </c>
      <c r="AU938" s="1">
        <f t="shared" si="115"/>
        <v>0.92219596377203128</v>
      </c>
      <c r="AV938" s="1">
        <f t="shared" si="116"/>
        <v>0.66141600592901362</v>
      </c>
      <c r="AW938" s="1">
        <f t="shared" si="117"/>
        <v>0.40063604808599584</v>
      </c>
    </row>
    <row r="939" spans="1:49" x14ac:dyDescent="0.2">
      <c r="A939">
        <v>937</v>
      </c>
      <c r="B939" t="s">
        <v>428</v>
      </c>
      <c r="F939" t="s">
        <v>427</v>
      </c>
      <c r="G939" t="s">
        <v>14</v>
      </c>
      <c r="H939" t="s">
        <v>13</v>
      </c>
      <c r="I939" t="s">
        <v>426</v>
      </c>
      <c r="J939">
        <v>60017366</v>
      </c>
      <c r="K939" t="s">
        <v>425</v>
      </c>
      <c r="L939" t="s">
        <v>424</v>
      </c>
      <c r="M939" t="s">
        <v>197</v>
      </c>
      <c r="N939">
        <v>1</v>
      </c>
      <c r="O939" t="s">
        <v>423</v>
      </c>
      <c r="P939">
        <v>7005862569</v>
      </c>
      <c r="Q939">
        <v>60017366</v>
      </c>
      <c r="R939" s="7">
        <v>32874</v>
      </c>
      <c r="S939" s="8">
        <f t="shared" si="112"/>
        <v>1990</v>
      </c>
      <c r="T939" s="8">
        <v>1990</v>
      </c>
      <c r="U939" s="8">
        <f t="shared" si="113"/>
        <v>32</v>
      </c>
      <c r="V939" s="7">
        <v>1990</v>
      </c>
      <c r="W939" t="s">
        <v>422</v>
      </c>
      <c r="X939" s="2">
        <v>0.49199999999999999</v>
      </c>
      <c r="Y939" s="6">
        <f t="shared" si="118"/>
        <v>1.313365900536558E-2</v>
      </c>
      <c r="AA939" t="s">
        <v>421</v>
      </c>
      <c r="AB939">
        <v>17280</v>
      </c>
      <c r="AD939" t="s">
        <v>5</v>
      </c>
      <c r="AE939">
        <v>2</v>
      </c>
      <c r="AH939" t="s">
        <v>420</v>
      </c>
      <c r="AI939" t="s">
        <v>419</v>
      </c>
      <c r="AK939" t="s">
        <v>418</v>
      </c>
      <c r="AL939">
        <v>2</v>
      </c>
      <c r="AM939" s="5">
        <f t="shared" si="114"/>
        <v>6.25E-2</v>
      </c>
      <c r="AN939" s="4">
        <f t="shared" si="119"/>
        <v>9.46611132146914E-5</v>
      </c>
      <c r="AO939" s="3"/>
      <c r="AP939">
        <v>0</v>
      </c>
      <c r="AR939" t="s">
        <v>0</v>
      </c>
      <c r="AT939" s="2" t="s">
        <v>126</v>
      </c>
      <c r="AU939" s="1">
        <f t="shared" si="115"/>
        <v>0.92219596377203128</v>
      </c>
      <c r="AV939" s="1">
        <f t="shared" si="116"/>
        <v>0.66141600592901362</v>
      </c>
      <c r="AW939" s="1">
        <f t="shared" si="117"/>
        <v>0.40063604808599584</v>
      </c>
    </row>
    <row r="940" spans="1:49" x14ac:dyDescent="0.2">
      <c r="A940">
        <v>938</v>
      </c>
      <c r="B940" t="s">
        <v>417</v>
      </c>
      <c r="F940" t="s">
        <v>416</v>
      </c>
      <c r="G940" t="s">
        <v>14</v>
      </c>
      <c r="H940" t="s">
        <v>13</v>
      </c>
      <c r="I940" t="s">
        <v>415</v>
      </c>
      <c r="N940">
        <v>1</v>
      </c>
      <c r="O940" t="s">
        <v>414</v>
      </c>
      <c r="P940">
        <v>6603422272</v>
      </c>
      <c r="R940" s="7">
        <v>32874</v>
      </c>
      <c r="S940" s="8">
        <f t="shared" si="112"/>
        <v>1990</v>
      </c>
      <c r="T940" s="8">
        <v>1990</v>
      </c>
      <c r="U940" s="8">
        <f t="shared" si="113"/>
        <v>32</v>
      </c>
      <c r="V940" s="7">
        <v>32874</v>
      </c>
      <c r="W940" t="s">
        <v>390</v>
      </c>
      <c r="X940" s="2">
        <v>0.14099999999999999</v>
      </c>
      <c r="Y940" s="6">
        <f t="shared" si="118"/>
        <v>3.7639144710498915E-3</v>
      </c>
      <c r="AA940">
        <v>402508</v>
      </c>
      <c r="AB940">
        <v>20868</v>
      </c>
      <c r="AD940" t="s">
        <v>5</v>
      </c>
      <c r="AE940">
        <v>45</v>
      </c>
      <c r="AF940">
        <v>1</v>
      </c>
      <c r="AH940" t="s">
        <v>413</v>
      </c>
      <c r="AI940" t="s">
        <v>412</v>
      </c>
      <c r="AK940" t="s">
        <v>411</v>
      </c>
      <c r="AL940">
        <v>0</v>
      </c>
      <c r="AM940" s="5">
        <f t="shared" si="114"/>
        <v>0</v>
      </c>
      <c r="AN940" s="4">
        <f t="shared" si="119"/>
        <v>0</v>
      </c>
      <c r="AO940" s="3"/>
      <c r="AP940">
        <v>0</v>
      </c>
      <c r="AR940" t="s">
        <v>0</v>
      </c>
      <c r="AT940" s="2" t="s">
        <v>126</v>
      </c>
      <c r="AU940" s="1">
        <f t="shared" si="115"/>
        <v>0.26347401297349238</v>
      </c>
      <c r="AV940" s="1">
        <f t="shared" si="116"/>
        <v>0.18819572355249459</v>
      </c>
      <c r="AW940" s="1">
        <f t="shared" si="117"/>
        <v>0.11291743413149673</v>
      </c>
    </row>
    <row r="941" spans="1:49" x14ac:dyDescent="0.2">
      <c r="A941">
        <v>939</v>
      </c>
      <c r="B941" t="s">
        <v>410</v>
      </c>
      <c r="F941" t="s">
        <v>409</v>
      </c>
      <c r="G941" t="s">
        <v>14</v>
      </c>
      <c r="H941" t="s">
        <v>13</v>
      </c>
      <c r="I941" t="s">
        <v>408</v>
      </c>
      <c r="N941">
        <v>1</v>
      </c>
      <c r="O941" t="s">
        <v>407</v>
      </c>
      <c r="P941">
        <v>7006804104</v>
      </c>
      <c r="R941" s="7">
        <v>32874</v>
      </c>
      <c r="S941" s="8">
        <f t="shared" si="112"/>
        <v>1990</v>
      </c>
      <c r="T941" s="8">
        <v>1990</v>
      </c>
      <c r="U941" s="8">
        <f t="shared" si="113"/>
        <v>32</v>
      </c>
      <c r="V941" s="7">
        <v>32874</v>
      </c>
      <c r="W941" t="s">
        <v>390</v>
      </c>
      <c r="X941" s="2">
        <v>0.14099999999999999</v>
      </c>
      <c r="Y941" s="6">
        <f t="shared" si="118"/>
        <v>3.7639144710498915E-3</v>
      </c>
      <c r="AA941">
        <v>402508</v>
      </c>
      <c r="AB941">
        <v>20868</v>
      </c>
      <c r="AD941" t="s">
        <v>5</v>
      </c>
      <c r="AE941">
        <v>45</v>
      </c>
      <c r="AF941">
        <v>1</v>
      </c>
      <c r="AH941" t="s">
        <v>406</v>
      </c>
      <c r="AI941" t="s">
        <v>405</v>
      </c>
      <c r="AK941" t="s">
        <v>404</v>
      </c>
      <c r="AL941">
        <v>0</v>
      </c>
      <c r="AM941" s="5">
        <f t="shared" si="114"/>
        <v>0</v>
      </c>
      <c r="AN941" s="4">
        <f t="shared" si="119"/>
        <v>0</v>
      </c>
      <c r="AO941" s="3"/>
      <c r="AP941">
        <v>0</v>
      </c>
      <c r="AR941" t="s">
        <v>0</v>
      </c>
      <c r="AT941" s="2" t="s">
        <v>126</v>
      </c>
      <c r="AU941" s="1">
        <f t="shared" si="115"/>
        <v>0.26347401297349238</v>
      </c>
      <c r="AV941" s="1">
        <f t="shared" si="116"/>
        <v>0.18819572355249459</v>
      </c>
      <c r="AW941" s="1">
        <f t="shared" si="117"/>
        <v>0.11291743413149673</v>
      </c>
    </row>
    <row r="942" spans="1:49" x14ac:dyDescent="0.2">
      <c r="A942">
        <v>940</v>
      </c>
      <c r="B942" t="s">
        <v>403</v>
      </c>
      <c r="F942" t="s">
        <v>402</v>
      </c>
      <c r="G942" t="s">
        <v>14</v>
      </c>
      <c r="H942" t="s">
        <v>13</v>
      </c>
      <c r="I942" t="s">
        <v>401</v>
      </c>
      <c r="N942">
        <v>1</v>
      </c>
      <c r="O942" t="s">
        <v>400</v>
      </c>
      <c r="P942">
        <v>56375460400</v>
      </c>
      <c r="R942" s="7">
        <v>32874</v>
      </c>
      <c r="S942" s="8">
        <f t="shared" si="112"/>
        <v>1990</v>
      </c>
      <c r="T942" s="8">
        <v>1990</v>
      </c>
      <c r="U942" s="8">
        <f t="shared" si="113"/>
        <v>32</v>
      </c>
      <c r="V942" s="7">
        <v>32874</v>
      </c>
      <c r="W942" t="s">
        <v>390</v>
      </c>
      <c r="X942" s="2">
        <v>0.14099999999999999</v>
      </c>
      <c r="Y942" s="6">
        <f t="shared" si="118"/>
        <v>3.7639144710498915E-3</v>
      </c>
      <c r="AA942">
        <v>402508</v>
      </c>
      <c r="AB942">
        <v>20868</v>
      </c>
      <c r="AD942" t="s">
        <v>5</v>
      </c>
      <c r="AE942">
        <v>45</v>
      </c>
      <c r="AF942">
        <v>1</v>
      </c>
      <c r="AH942" t="s">
        <v>399</v>
      </c>
      <c r="AI942" t="s">
        <v>398</v>
      </c>
      <c r="AK942" t="s">
        <v>397</v>
      </c>
      <c r="AL942">
        <v>0</v>
      </c>
      <c r="AM942" s="5">
        <f t="shared" si="114"/>
        <v>0</v>
      </c>
      <c r="AN942" s="4">
        <f t="shared" si="119"/>
        <v>0</v>
      </c>
      <c r="AO942" s="3"/>
      <c r="AP942">
        <v>0</v>
      </c>
      <c r="AR942" t="s">
        <v>0</v>
      </c>
      <c r="AT942" s="2" t="s">
        <v>126</v>
      </c>
      <c r="AU942" s="1">
        <f t="shared" si="115"/>
        <v>0.26347401297349238</v>
      </c>
      <c r="AV942" s="1">
        <f t="shared" si="116"/>
        <v>0.18819572355249459</v>
      </c>
      <c r="AW942" s="1">
        <f t="shared" si="117"/>
        <v>0.11291743413149673</v>
      </c>
    </row>
    <row r="943" spans="1:49" x14ac:dyDescent="0.2">
      <c r="A943">
        <v>941</v>
      </c>
      <c r="B943" t="s">
        <v>396</v>
      </c>
      <c r="F943" t="s">
        <v>395</v>
      </c>
      <c r="G943" t="s">
        <v>14</v>
      </c>
      <c r="H943" t="s">
        <v>13</v>
      </c>
      <c r="I943" t="s">
        <v>394</v>
      </c>
      <c r="N943">
        <v>3</v>
      </c>
      <c r="O943" t="s">
        <v>393</v>
      </c>
      <c r="P943" t="s">
        <v>392</v>
      </c>
      <c r="Q943" t="s">
        <v>391</v>
      </c>
      <c r="R943" s="7">
        <v>32874</v>
      </c>
      <c r="S943" s="8">
        <f t="shared" si="112"/>
        <v>1990</v>
      </c>
      <c r="T943" s="8">
        <v>1990</v>
      </c>
      <c r="U943" s="8">
        <f t="shared" si="113"/>
        <v>32</v>
      </c>
      <c r="V943" s="7">
        <v>32874</v>
      </c>
      <c r="W943" t="s">
        <v>390</v>
      </c>
      <c r="X943" s="2">
        <v>0.14099999999999999</v>
      </c>
      <c r="Y943" s="6">
        <f t="shared" si="118"/>
        <v>3.7639144710498915E-3</v>
      </c>
      <c r="AA943">
        <v>402508</v>
      </c>
      <c r="AB943">
        <v>20868</v>
      </c>
      <c r="AD943" t="s">
        <v>5</v>
      </c>
      <c r="AE943">
        <v>45</v>
      </c>
      <c r="AF943">
        <v>1</v>
      </c>
      <c r="AH943" t="s">
        <v>389</v>
      </c>
      <c r="AI943" t="s">
        <v>388</v>
      </c>
      <c r="AK943" t="s">
        <v>387</v>
      </c>
      <c r="AL943">
        <v>0</v>
      </c>
      <c r="AM943" s="5">
        <f t="shared" si="114"/>
        <v>0</v>
      </c>
      <c r="AN943" s="4">
        <f t="shared" si="119"/>
        <v>0</v>
      </c>
      <c r="AO943" s="3"/>
      <c r="AP943">
        <v>0</v>
      </c>
      <c r="AR943" t="s">
        <v>0</v>
      </c>
      <c r="AT943" s="2" t="s">
        <v>126</v>
      </c>
      <c r="AU943" s="1">
        <f t="shared" si="115"/>
        <v>0.26347401297349238</v>
      </c>
      <c r="AV943" s="1">
        <f t="shared" si="116"/>
        <v>0.18819572355249459</v>
      </c>
      <c r="AW943" s="1">
        <f t="shared" si="117"/>
        <v>0.11291743413149673</v>
      </c>
    </row>
    <row r="944" spans="1:49" x14ac:dyDescent="0.2">
      <c r="A944">
        <v>942</v>
      </c>
      <c r="B944" t="s">
        <v>386</v>
      </c>
      <c r="C944" t="s">
        <v>385</v>
      </c>
      <c r="F944" t="s">
        <v>384</v>
      </c>
      <c r="G944" t="s">
        <v>14</v>
      </c>
      <c r="H944" t="s">
        <v>13</v>
      </c>
      <c r="I944" t="s">
        <v>282</v>
      </c>
      <c r="J944">
        <v>60025209</v>
      </c>
      <c r="K944" t="s">
        <v>281</v>
      </c>
      <c r="L944" t="s">
        <v>280</v>
      </c>
      <c r="M944" t="s">
        <v>197</v>
      </c>
      <c r="N944">
        <v>1</v>
      </c>
      <c r="O944" t="s">
        <v>279</v>
      </c>
      <c r="P944">
        <v>7410200582</v>
      </c>
      <c r="Q944">
        <v>60025209</v>
      </c>
      <c r="R944" s="7">
        <v>32874</v>
      </c>
      <c r="S944" s="8">
        <f t="shared" si="112"/>
        <v>1990</v>
      </c>
      <c r="T944" s="8">
        <v>1990</v>
      </c>
      <c r="U944" s="8">
        <f t="shared" si="113"/>
        <v>32</v>
      </c>
      <c r="V944" s="7">
        <v>1990</v>
      </c>
      <c r="W944" t="s">
        <v>278</v>
      </c>
      <c r="X944" s="2">
        <v>0.28599999999999998</v>
      </c>
      <c r="Y944" s="6">
        <f t="shared" si="118"/>
        <v>7.6346066575905605E-3</v>
      </c>
      <c r="AA944">
        <v>9205071</v>
      </c>
      <c r="AB944">
        <v>28139</v>
      </c>
      <c r="AC944">
        <v>15693937</v>
      </c>
      <c r="AD944" t="s">
        <v>5</v>
      </c>
      <c r="AE944">
        <v>4</v>
      </c>
      <c r="AF944">
        <v>9</v>
      </c>
      <c r="AH944" t="s">
        <v>383</v>
      </c>
      <c r="AI944" t="s">
        <v>382</v>
      </c>
      <c r="AK944" t="s">
        <v>381</v>
      </c>
      <c r="AL944">
        <v>2</v>
      </c>
      <c r="AM944" s="5">
        <f t="shared" si="114"/>
        <v>6.25E-2</v>
      </c>
      <c r="AN944" s="4">
        <f t="shared" si="119"/>
        <v>9.46611132146914E-5</v>
      </c>
      <c r="AO944" s="3"/>
      <c r="AP944">
        <v>0</v>
      </c>
      <c r="AR944" t="s">
        <v>0</v>
      </c>
      <c r="AT944" s="2" t="s">
        <v>126</v>
      </c>
      <c r="AU944" s="1">
        <f t="shared" si="115"/>
        <v>0.53726229942777992</v>
      </c>
      <c r="AV944" s="1">
        <f t="shared" si="116"/>
        <v>0.38646338854026258</v>
      </c>
      <c r="AW944" s="1">
        <f t="shared" si="117"/>
        <v>0.23566447765274523</v>
      </c>
    </row>
    <row r="945" spans="1:49" x14ac:dyDescent="0.2">
      <c r="A945">
        <v>943</v>
      </c>
      <c r="B945" t="s">
        <v>380</v>
      </c>
      <c r="C945" t="s">
        <v>379</v>
      </c>
      <c r="F945" t="s">
        <v>378</v>
      </c>
      <c r="G945" t="s">
        <v>14</v>
      </c>
      <c r="H945" t="s">
        <v>13</v>
      </c>
      <c r="I945" t="s">
        <v>377</v>
      </c>
      <c r="J945" t="s">
        <v>376</v>
      </c>
      <c r="K945" t="s">
        <v>375</v>
      </c>
      <c r="L945" t="s">
        <v>374</v>
      </c>
      <c r="M945" t="s">
        <v>373</v>
      </c>
      <c r="N945">
        <v>4</v>
      </c>
      <c r="O945" t="s">
        <v>372</v>
      </c>
      <c r="P945" t="s">
        <v>371</v>
      </c>
      <c r="Q945" t="s">
        <v>370</v>
      </c>
      <c r="R945" s="7">
        <v>32874</v>
      </c>
      <c r="S945" s="8">
        <f t="shared" si="112"/>
        <v>1990</v>
      </c>
      <c r="T945" s="8">
        <v>1990</v>
      </c>
      <c r="U945" s="8">
        <f t="shared" si="113"/>
        <v>32</v>
      </c>
      <c r="V945" s="7">
        <v>1990</v>
      </c>
      <c r="W945" t="s">
        <v>369</v>
      </c>
      <c r="X945" s="2">
        <v>2.3759999999999999</v>
      </c>
      <c r="Y945" s="6">
        <f t="shared" si="118"/>
        <v>6.3425963001521576E-2</v>
      </c>
      <c r="AA945" t="s">
        <v>368</v>
      </c>
      <c r="AB945">
        <v>26765</v>
      </c>
      <c r="AC945">
        <v>15384357</v>
      </c>
      <c r="AD945" t="s">
        <v>5</v>
      </c>
      <c r="AE945">
        <v>348</v>
      </c>
      <c r="AF945">
        <v>2</v>
      </c>
      <c r="AH945" t="s">
        <v>367</v>
      </c>
      <c r="AI945" t="s">
        <v>366</v>
      </c>
      <c r="AJ945" t="s">
        <v>365</v>
      </c>
      <c r="AK945" t="s">
        <v>364</v>
      </c>
      <c r="AL945">
        <v>35</v>
      </c>
      <c r="AM945" s="5">
        <f t="shared" si="114"/>
        <v>1.09375</v>
      </c>
      <c r="AN945" s="4">
        <f t="shared" si="119"/>
        <v>1.6565694812570996E-3</v>
      </c>
      <c r="AO945" s="3"/>
      <c r="AP945">
        <v>0</v>
      </c>
      <c r="AR945" t="s">
        <v>0</v>
      </c>
      <c r="AT945" s="2">
        <v>5.8739999999999997</v>
      </c>
      <c r="AU945" s="1">
        <f t="shared" si="115"/>
        <v>4.4895144945442231</v>
      </c>
      <c r="AV945" s="1">
        <f t="shared" si="116"/>
        <v>3.2541266241389337</v>
      </c>
      <c r="AW945" s="1">
        <f t="shared" si="117"/>
        <v>2.0187387537336443</v>
      </c>
    </row>
    <row r="946" spans="1:49" x14ac:dyDescent="0.2">
      <c r="A946">
        <v>944</v>
      </c>
      <c r="B946" t="s">
        <v>363</v>
      </c>
      <c r="C946" t="s">
        <v>362</v>
      </c>
      <c r="D946">
        <v>1011134490851110</v>
      </c>
      <c r="F946" t="s">
        <v>361</v>
      </c>
      <c r="G946" t="s">
        <v>14</v>
      </c>
      <c r="H946" t="s">
        <v>13</v>
      </c>
      <c r="I946" t="s">
        <v>360</v>
      </c>
      <c r="J946">
        <v>60030622</v>
      </c>
      <c r="K946" t="s">
        <v>359</v>
      </c>
      <c r="L946" t="s">
        <v>358</v>
      </c>
      <c r="M946" t="s">
        <v>357</v>
      </c>
      <c r="N946">
        <v>3</v>
      </c>
      <c r="O946" t="s">
        <v>356</v>
      </c>
      <c r="P946" t="s">
        <v>355</v>
      </c>
      <c r="Q946" t="s">
        <v>354</v>
      </c>
      <c r="R946" s="7">
        <v>32874</v>
      </c>
      <c r="S946" s="8">
        <f t="shared" si="112"/>
        <v>1990</v>
      </c>
      <c r="T946" s="8">
        <v>1990</v>
      </c>
      <c r="U946" s="8">
        <f t="shared" si="113"/>
        <v>32</v>
      </c>
      <c r="V946" s="7">
        <v>33086</v>
      </c>
      <c r="W946" t="s">
        <v>353</v>
      </c>
      <c r="X946" s="2" t="s">
        <v>126</v>
      </c>
      <c r="Y946" s="6" t="e">
        <f t="shared" si="118"/>
        <v>#VALUE!</v>
      </c>
      <c r="AA946">
        <v>10111344</v>
      </c>
      <c r="AB946">
        <v>17622</v>
      </c>
      <c r="AD946" t="s">
        <v>5</v>
      </c>
      <c r="AE946">
        <v>6</v>
      </c>
      <c r="AF946">
        <v>4</v>
      </c>
      <c r="AH946" t="s">
        <v>352</v>
      </c>
      <c r="AI946" t="s">
        <v>351</v>
      </c>
      <c r="AJ946" t="s">
        <v>350</v>
      </c>
      <c r="AK946" t="s">
        <v>349</v>
      </c>
      <c r="AL946">
        <v>27</v>
      </c>
      <c r="AM946" s="5">
        <f t="shared" si="114"/>
        <v>0.84375</v>
      </c>
      <c r="AN946" s="4">
        <f t="shared" si="119"/>
        <v>1.2779250283983339E-3</v>
      </c>
      <c r="AO946" s="3"/>
      <c r="AP946">
        <v>0</v>
      </c>
      <c r="AR946" t="s">
        <v>0</v>
      </c>
      <c r="AT946" s="2" t="s">
        <v>126</v>
      </c>
      <c r="AU946" s="1" t="e">
        <f t="shared" si="115"/>
        <v>#VALUE!</v>
      </c>
      <c r="AV946" s="1" t="e">
        <f t="shared" si="116"/>
        <v>#VALUE!</v>
      </c>
      <c r="AW946" s="1" t="e">
        <f t="shared" si="117"/>
        <v>#VALUE!</v>
      </c>
    </row>
    <row r="947" spans="1:49" x14ac:dyDescent="0.2">
      <c r="A947">
        <v>945</v>
      </c>
      <c r="B947" t="s">
        <v>348</v>
      </c>
      <c r="C947" t="s">
        <v>347</v>
      </c>
      <c r="F947" t="s">
        <v>346</v>
      </c>
      <c r="G947" t="s">
        <v>14</v>
      </c>
      <c r="H947" t="s">
        <v>13</v>
      </c>
      <c r="I947" t="s">
        <v>345</v>
      </c>
      <c r="J947">
        <v>60008023</v>
      </c>
      <c r="K947" t="s">
        <v>344</v>
      </c>
      <c r="L947" t="s">
        <v>343</v>
      </c>
      <c r="M947" t="s">
        <v>197</v>
      </c>
      <c r="N947">
        <v>2</v>
      </c>
      <c r="O947" t="s">
        <v>342</v>
      </c>
      <c r="P947" t="s">
        <v>341</v>
      </c>
      <c r="Q947" t="s">
        <v>340</v>
      </c>
      <c r="R947" s="7">
        <v>32874</v>
      </c>
      <c r="S947" s="8">
        <f t="shared" si="112"/>
        <v>1990</v>
      </c>
      <c r="T947" s="8">
        <v>1990</v>
      </c>
      <c r="U947" s="8">
        <f t="shared" si="113"/>
        <v>32</v>
      </c>
      <c r="V947" s="7">
        <v>1990</v>
      </c>
      <c r="W947" t="s">
        <v>339</v>
      </c>
      <c r="X947" s="2">
        <v>1.641</v>
      </c>
      <c r="Y947" s="6">
        <f t="shared" si="118"/>
        <v>4.3805557780091299E-2</v>
      </c>
      <c r="AA947">
        <v>223654</v>
      </c>
      <c r="AB947">
        <v>30422</v>
      </c>
      <c r="AD947" t="s">
        <v>5</v>
      </c>
      <c r="AE947">
        <v>94</v>
      </c>
      <c r="AF947">
        <v>19</v>
      </c>
      <c r="AH947" t="s">
        <v>338</v>
      </c>
      <c r="AI947" t="s">
        <v>337</v>
      </c>
      <c r="AK947" t="s">
        <v>336</v>
      </c>
      <c r="AL947">
        <v>12</v>
      </c>
      <c r="AM947" s="5">
        <f t="shared" si="114"/>
        <v>0.375</v>
      </c>
      <c r="AN947" s="4">
        <f t="shared" si="119"/>
        <v>5.6796667928814845E-4</v>
      </c>
      <c r="AO947" s="3"/>
      <c r="AP947">
        <v>0</v>
      </c>
      <c r="AR947" t="s">
        <v>0</v>
      </c>
      <c r="AT947" s="2" t="s">
        <v>126</v>
      </c>
      <c r="AU947" s="1">
        <f t="shared" si="115"/>
        <v>3.0834280449850349</v>
      </c>
      <c r="AV947" s="1">
        <f t="shared" si="116"/>
        <v>2.2186762229689725</v>
      </c>
      <c r="AW947" s="1">
        <f t="shared" si="117"/>
        <v>1.3539244009529094</v>
      </c>
    </row>
    <row r="948" spans="1:49" x14ac:dyDescent="0.2">
      <c r="A948">
        <v>946</v>
      </c>
      <c r="B948" t="s">
        <v>335</v>
      </c>
      <c r="C948" t="s">
        <v>334</v>
      </c>
      <c r="F948" t="s">
        <v>333</v>
      </c>
      <c r="G948" t="s">
        <v>14</v>
      </c>
      <c r="H948" t="s">
        <v>13</v>
      </c>
      <c r="I948" t="s">
        <v>332</v>
      </c>
      <c r="N948">
        <v>4</v>
      </c>
      <c r="O948" t="s">
        <v>331</v>
      </c>
      <c r="P948" t="s">
        <v>330</v>
      </c>
      <c r="Q948" t="s">
        <v>329</v>
      </c>
      <c r="R948" s="7">
        <v>32874</v>
      </c>
      <c r="S948" s="8">
        <f t="shared" si="112"/>
        <v>1990</v>
      </c>
      <c r="T948" s="8">
        <v>1990</v>
      </c>
      <c r="U948" s="8">
        <f t="shared" si="113"/>
        <v>32</v>
      </c>
      <c r="V948" s="7" t="s">
        <v>7</v>
      </c>
      <c r="W948" t="s">
        <v>110</v>
      </c>
      <c r="X948" s="2">
        <v>0.371</v>
      </c>
      <c r="Y948" s="6">
        <f t="shared" si="118"/>
        <v>9.9036331117695747E-3</v>
      </c>
      <c r="AA948">
        <v>486604</v>
      </c>
      <c r="AB948">
        <v>28580</v>
      </c>
      <c r="AC948" t="s">
        <v>109</v>
      </c>
      <c r="AD948" t="s">
        <v>5</v>
      </c>
      <c r="AE948">
        <v>25</v>
      </c>
      <c r="AF948">
        <v>4</v>
      </c>
      <c r="AH948" t="s">
        <v>328</v>
      </c>
      <c r="AI948" t="s">
        <v>327</v>
      </c>
      <c r="AK948" t="s">
        <v>326</v>
      </c>
      <c r="AL948">
        <v>10</v>
      </c>
      <c r="AM948" s="5">
        <f t="shared" si="114"/>
        <v>0.3125</v>
      </c>
      <c r="AN948" s="4">
        <f t="shared" si="119"/>
        <v>4.7330556607345703E-4</v>
      </c>
      <c r="AO948" s="3"/>
      <c r="AP948">
        <v>0</v>
      </c>
      <c r="AR948" t="s">
        <v>0</v>
      </c>
      <c r="AT948" s="2">
        <v>1.431</v>
      </c>
      <c r="AU948" s="1">
        <f t="shared" si="115"/>
        <v>0.70745348480607395</v>
      </c>
      <c r="AV948" s="1">
        <f t="shared" si="116"/>
        <v>0.51884693389215164</v>
      </c>
      <c r="AW948" s="1">
        <f t="shared" si="117"/>
        <v>0.33024038297822927</v>
      </c>
    </row>
    <row r="949" spans="1:49" x14ac:dyDescent="0.2">
      <c r="A949">
        <v>947</v>
      </c>
      <c r="B949" t="s">
        <v>325</v>
      </c>
      <c r="C949" t="s">
        <v>324</v>
      </c>
      <c r="F949" t="s">
        <v>323</v>
      </c>
      <c r="G949" t="s">
        <v>14</v>
      </c>
      <c r="H949" t="s">
        <v>13</v>
      </c>
      <c r="I949" t="s">
        <v>322</v>
      </c>
      <c r="J949">
        <v>60022238</v>
      </c>
      <c r="K949" t="s">
        <v>321</v>
      </c>
      <c r="L949" t="s">
        <v>280</v>
      </c>
      <c r="M949" t="s">
        <v>197</v>
      </c>
      <c r="N949">
        <v>1</v>
      </c>
      <c r="O949" t="s">
        <v>320</v>
      </c>
      <c r="P949">
        <v>55724438700</v>
      </c>
      <c r="Q949">
        <v>60022238</v>
      </c>
      <c r="R949" s="7">
        <v>32874</v>
      </c>
      <c r="S949" s="8">
        <f t="shared" si="112"/>
        <v>1990</v>
      </c>
      <c r="T949" s="8">
        <v>1990</v>
      </c>
      <c r="U949" s="8">
        <f t="shared" si="113"/>
        <v>32</v>
      </c>
      <c r="V949" s="7">
        <v>1990</v>
      </c>
      <c r="W949" t="s">
        <v>319</v>
      </c>
      <c r="X949" s="2">
        <v>0.68</v>
      </c>
      <c r="Y949" s="6">
        <f t="shared" si="118"/>
        <v>1.8152211633432103E-2</v>
      </c>
      <c r="AA949" t="s">
        <v>318</v>
      </c>
      <c r="AB949">
        <v>20393</v>
      </c>
      <c r="AC949" t="s">
        <v>317</v>
      </c>
      <c r="AD949" t="s">
        <v>5</v>
      </c>
      <c r="AE949">
        <v>21</v>
      </c>
      <c r="AF949">
        <v>3</v>
      </c>
      <c r="AH949" t="s">
        <v>316</v>
      </c>
      <c r="AI949" t="s">
        <v>315</v>
      </c>
      <c r="AK949" t="s">
        <v>314</v>
      </c>
      <c r="AL949">
        <v>1</v>
      </c>
      <c r="AM949" s="5">
        <f t="shared" si="114"/>
        <v>3.125E-2</v>
      </c>
      <c r="AN949" s="4">
        <f t="shared" si="119"/>
        <v>4.73305566073457E-5</v>
      </c>
      <c r="AO949" s="3"/>
      <c r="AP949">
        <v>0</v>
      </c>
      <c r="AR949" t="s">
        <v>0</v>
      </c>
      <c r="AT949" s="2" t="s">
        <v>126</v>
      </c>
      <c r="AU949" s="1">
        <f t="shared" si="115"/>
        <v>1.2720747310384675</v>
      </c>
      <c r="AV949" s="1">
        <f t="shared" si="116"/>
        <v>0.90997710950197241</v>
      </c>
      <c r="AW949" s="1">
        <f t="shared" si="117"/>
        <v>0.54787948796547725</v>
      </c>
    </row>
    <row r="950" spans="1:49" x14ac:dyDescent="0.2">
      <c r="A950">
        <v>948</v>
      </c>
      <c r="B950" t="s">
        <v>313</v>
      </c>
      <c r="C950" t="s">
        <v>312</v>
      </c>
      <c r="D950" t="s">
        <v>311</v>
      </c>
      <c r="F950" t="s">
        <v>310</v>
      </c>
      <c r="G950" t="s">
        <v>14</v>
      </c>
      <c r="H950" t="s">
        <v>13</v>
      </c>
      <c r="I950" t="s">
        <v>309</v>
      </c>
      <c r="J950">
        <v>60026415</v>
      </c>
      <c r="K950" t="s">
        <v>308</v>
      </c>
      <c r="L950" t="s">
        <v>307</v>
      </c>
      <c r="M950" t="s">
        <v>197</v>
      </c>
      <c r="N950">
        <v>2</v>
      </c>
      <c r="O950" t="s">
        <v>306</v>
      </c>
      <c r="P950" t="s">
        <v>305</v>
      </c>
      <c r="Q950" t="s">
        <v>304</v>
      </c>
      <c r="R950" s="7">
        <v>32874</v>
      </c>
      <c r="S950" s="8">
        <f t="shared" si="112"/>
        <v>1990</v>
      </c>
      <c r="T950" s="8">
        <v>1990</v>
      </c>
      <c r="U950" s="8">
        <f t="shared" si="113"/>
        <v>32</v>
      </c>
      <c r="V950" s="7">
        <v>1990</v>
      </c>
      <c r="W950" t="s">
        <v>131</v>
      </c>
      <c r="X950" s="2" t="s">
        <v>126</v>
      </c>
      <c r="Y950" s="6" t="e">
        <f t="shared" si="118"/>
        <v>#VALUE!</v>
      </c>
      <c r="AA950">
        <v>201790</v>
      </c>
      <c r="AB950">
        <v>9800153163</v>
      </c>
      <c r="AD950" t="s">
        <v>5</v>
      </c>
      <c r="AE950">
        <v>20</v>
      </c>
      <c r="AF950">
        <v>7</v>
      </c>
      <c r="AH950" t="s">
        <v>303</v>
      </c>
      <c r="AI950" t="s">
        <v>302</v>
      </c>
      <c r="AJ950" t="s">
        <v>301</v>
      </c>
      <c r="AK950" t="s">
        <v>300</v>
      </c>
      <c r="AL950">
        <v>12</v>
      </c>
      <c r="AM950" s="5">
        <f t="shared" si="114"/>
        <v>0.375</v>
      </c>
      <c r="AN950" s="4">
        <f t="shared" si="119"/>
        <v>5.6796667928814845E-4</v>
      </c>
      <c r="AO950" s="3"/>
      <c r="AP950">
        <v>0</v>
      </c>
      <c r="AR950" t="s">
        <v>0</v>
      </c>
      <c r="AT950" s="2" t="s">
        <v>126</v>
      </c>
      <c r="AU950" s="1" t="e">
        <f t="shared" si="115"/>
        <v>#VALUE!</v>
      </c>
      <c r="AV950" s="1" t="e">
        <f t="shared" si="116"/>
        <v>#VALUE!</v>
      </c>
      <c r="AW950" s="1" t="e">
        <f t="shared" si="117"/>
        <v>#VALUE!</v>
      </c>
    </row>
    <row r="951" spans="1:49" x14ac:dyDescent="0.2">
      <c r="A951">
        <v>949</v>
      </c>
      <c r="B951" t="s">
        <v>299</v>
      </c>
      <c r="C951" t="s">
        <v>298</v>
      </c>
      <c r="F951" t="s">
        <v>297</v>
      </c>
      <c r="G951" t="s">
        <v>14</v>
      </c>
      <c r="H951" t="s">
        <v>13</v>
      </c>
      <c r="I951" t="s">
        <v>296</v>
      </c>
      <c r="J951">
        <v>60005460</v>
      </c>
      <c r="K951" t="s">
        <v>295</v>
      </c>
      <c r="L951" t="s">
        <v>294</v>
      </c>
      <c r="M951" t="s">
        <v>135</v>
      </c>
      <c r="N951">
        <v>3</v>
      </c>
      <c r="O951" t="s">
        <v>293</v>
      </c>
      <c r="P951" t="s">
        <v>292</v>
      </c>
      <c r="Q951" t="s">
        <v>291</v>
      </c>
      <c r="R951" s="7">
        <v>32874</v>
      </c>
      <c r="S951" s="8">
        <f t="shared" si="112"/>
        <v>1990</v>
      </c>
      <c r="T951" s="8">
        <v>1990</v>
      </c>
      <c r="U951" s="8">
        <f t="shared" si="113"/>
        <v>32</v>
      </c>
      <c r="V951" s="7" t="s">
        <v>290</v>
      </c>
      <c r="W951" t="s">
        <v>289</v>
      </c>
      <c r="X951" s="2">
        <v>0.79500000000000004</v>
      </c>
      <c r="Y951" s="6">
        <f t="shared" si="118"/>
        <v>2.1222070953791944E-2</v>
      </c>
      <c r="AA951">
        <v>9312048</v>
      </c>
      <c r="AB951">
        <v>20459</v>
      </c>
      <c r="AC951">
        <v>14390418</v>
      </c>
      <c r="AD951" t="s">
        <v>5</v>
      </c>
      <c r="AE951">
        <v>109</v>
      </c>
      <c r="AF951" s="9">
        <v>44317</v>
      </c>
      <c r="AH951" t="s">
        <v>288</v>
      </c>
      <c r="AI951" t="s">
        <v>287</v>
      </c>
      <c r="AK951" t="s">
        <v>286</v>
      </c>
      <c r="AL951">
        <v>25</v>
      </c>
      <c r="AM951" s="5">
        <f t="shared" si="114"/>
        <v>0.78125</v>
      </c>
      <c r="AN951" s="4">
        <f t="shared" si="119"/>
        <v>1.1832639151836426E-3</v>
      </c>
      <c r="AO951" s="3"/>
      <c r="AP951">
        <v>0</v>
      </c>
      <c r="AR951" t="s">
        <v>0</v>
      </c>
      <c r="AT951" s="2">
        <v>2.6030000000000002</v>
      </c>
      <c r="AU951" s="1">
        <f t="shared" si="115"/>
        <v>1.5210428842209454</v>
      </c>
      <c r="AV951" s="1">
        <f t="shared" si="116"/>
        <v>1.1202667434487792</v>
      </c>
      <c r="AW951" s="1">
        <f t="shared" si="117"/>
        <v>0.71949060267661324</v>
      </c>
    </row>
    <row r="952" spans="1:49" x14ac:dyDescent="0.2">
      <c r="A952">
        <v>950</v>
      </c>
      <c r="B952" t="s">
        <v>285</v>
      </c>
      <c r="C952" t="s">
        <v>284</v>
      </c>
      <c r="F952" t="s">
        <v>283</v>
      </c>
      <c r="G952" t="s">
        <v>14</v>
      </c>
      <c r="H952" t="s">
        <v>13</v>
      </c>
      <c r="I952" t="s">
        <v>282</v>
      </c>
      <c r="J952">
        <v>60025209</v>
      </c>
      <c r="K952" t="s">
        <v>281</v>
      </c>
      <c r="L952" t="s">
        <v>280</v>
      </c>
      <c r="M952" t="s">
        <v>197</v>
      </c>
      <c r="N952">
        <v>1</v>
      </c>
      <c r="O952" t="s">
        <v>279</v>
      </c>
      <c r="P952">
        <v>7410200582</v>
      </c>
      <c r="Q952">
        <v>60025209</v>
      </c>
      <c r="R952" s="7">
        <v>32874</v>
      </c>
      <c r="S952" s="8">
        <f t="shared" si="112"/>
        <v>1990</v>
      </c>
      <c r="T952" s="8">
        <v>1990</v>
      </c>
      <c r="U952" s="8">
        <f t="shared" si="113"/>
        <v>32</v>
      </c>
      <c r="V952" s="7">
        <v>1990</v>
      </c>
      <c r="W952" t="s">
        <v>278</v>
      </c>
      <c r="X952" s="2">
        <v>0.28599999999999998</v>
      </c>
      <c r="Y952" s="6">
        <f t="shared" si="118"/>
        <v>7.6346066575905605E-3</v>
      </c>
      <c r="AA952">
        <v>9205071</v>
      </c>
      <c r="AB952">
        <v>28139</v>
      </c>
      <c r="AC952">
        <v>15693937</v>
      </c>
      <c r="AD952" t="s">
        <v>5</v>
      </c>
      <c r="AE952">
        <v>4</v>
      </c>
      <c r="AF952">
        <v>4</v>
      </c>
      <c r="AH952" t="s">
        <v>277</v>
      </c>
      <c r="AI952" t="s">
        <v>276</v>
      </c>
      <c r="AK952" t="s">
        <v>275</v>
      </c>
      <c r="AL952">
        <v>2</v>
      </c>
      <c r="AM952" s="5">
        <f t="shared" si="114"/>
        <v>6.25E-2</v>
      </c>
      <c r="AN952" s="4">
        <f t="shared" si="119"/>
        <v>9.46611132146914E-5</v>
      </c>
      <c r="AO952" s="3"/>
      <c r="AP952">
        <v>0</v>
      </c>
      <c r="AR952" t="s">
        <v>0</v>
      </c>
      <c r="AT952" s="2" t="s">
        <v>126</v>
      </c>
      <c r="AU952" s="1">
        <f t="shared" si="115"/>
        <v>0.53726229942777992</v>
      </c>
      <c r="AV952" s="1">
        <f t="shared" si="116"/>
        <v>0.38646338854026258</v>
      </c>
      <c r="AW952" s="1">
        <f t="shared" si="117"/>
        <v>0.23566447765274523</v>
      </c>
    </row>
    <row r="953" spans="1:49" x14ac:dyDescent="0.2">
      <c r="A953">
        <v>951</v>
      </c>
      <c r="B953" t="s">
        <v>274</v>
      </c>
      <c r="C953" t="s">
        <v>273</v>
      </c>
      <c r="D953" t="s">
        <v>272</v>
      </c>
      <c r="F953" t="s">
        <v>271</v>
      </c>
      <c r="G953" t="s">
        <v>14</v>
      </c>
      <c r="H953" t="s">
        <v>13</v>
      </c>
      <c r="I953" t="s">
        <v>270</v>
      </c>
      <c r="J953">
        <v>60012288</v>
      </c>
      <c r="K953" t="s">
        <v>269</v>
      </c>
      <c r="L953" t="s">
        <v>268</v>
      </c>
      <c r="M953" t="s">
        <v>267</v>
      </c>
      <c r="N953">
        <v>15</v>
      </c>
      <c r="O953" t="s">
        <v>266</v>
      </c>
      <c r="P953" t="s">
        <v>265</v>
      </c>
      <c r="Q953" t="s">
        <v>264</v>
      </c>
      <c r="R953" s="7">
        <v>32874</v>
      </c>
      <c r="S953" s="8">
        <f t="shared" si="112"/>
        <v>1990</v>
      </c>
      <c r="T953" s="8">
        <v>1990</v>
      </c>
      <c r="U953" s="8">
        <f t="shared" si="113"/>
        <v>32</v>
      </c>
      <c r="V953" s="7">
        <v>1990</v>
      </c>
      <c r="W953" t="s">
        <v>263</v>
      </c>
      <c r="X953" s="2">
        <v>0.65600000000000003</v>
      </c>
      <c r="Y953" s="6">
        <f t="shared" si="118"/>
        <v>1.751154534048744E-2</v>
      </c>
      <c r="AA953">
        <v>9203796</v>
      </c>
      <c r="AB953">
        <v>20344</v>
      </c>
      <c r="AD953" t="s">
        <v>5</v>
      </c>
      <c r="AE953">
        <v>12</v>
      </c>
      <c r="AF953" s="9">
        <v>44228</v>
      </c>
      <c r="AH953" t="s">
        <v>262</v>
      </c>
      <c r="AI953" t="s">
        <v>261</v>
      </c>
      <c r="AK953" t="s">
        <v>260</v>
      </c>
      <c r="AL953">
        <v>22</v>
      </c>
      <c r="AM953" s="5">
        <f t="shared" si="114"/>
        <v>0.6875</v>
      </c>
      <c r="AN953" s="4">
        <f t="shared" si="119"/>
        <v>1.0412722453616054E-3</v>
      </c>
      <c r="AO953" s="3"/>
      <c r="AP953">
        <v>0</v>
      </c>
      <c r="AR953" t="s">
        <v>0</v>
      </c>
      <c r="AT953" s="2">
        <v>1.4530000000000001</v>
      </c>
      <c r="AU953" s="1">
        <f t="shared" si="115"/>
        <v>1.2570463411949691</v>
      </c>
      <c r="AV953" s="1">
        <f t="shared" si="116"/>
        <v>0.92764087929245231</v>
      </c>
      <c r="AW953" s="1">
        <f t="shared" si="117"/>
        <v>0.59823541738993558</v>
      </c>
    </row>
    <row r="954" spans="1:49" x14ac:dyDescent="0.2">
      <c r="A954">
        <v>952</v>
      </c>
      <c r="B954" t="s">
        <v>259</v>
      </c>
      <c r="C954" t="s">
        <v>258</v>
      </c>
      <c r="F954" t="s">
        <v>257</v>
      </c>
      <c r="G954" t="s">
        <v>14</v>
      </c>
      <c r="H954" t="s">
        <v>13</v>
      </c>
      <c r="I954" t="s">
        <v>256</v>
      </c>
      <c r="J954">
        <v>60015138</v>
      </c>
      <c r="K954" t="s">
        <v>255</v>
      </c>
      <c r="L954" t="s">
        <v>254</v>
      </c>
      <c r="M954" t="s">
        <v>253</v>
      </c>
      <c r="N954">
        <v>3</v>
      </c>
      <c r="O954" t="s">
        <v>252</v>
      </c>
      <c r="P954" t="s">
        <v>251</v>
      </c>
      <c r="Q954" t="s">
        <v>250</v>
      </c>
      <c r="R954" s="7">
        <v>32874</v>
      </c>
      <c r="S954" s="8">
        <f t="shared" si="112"/>
        <v>1990</v>
      </c>
      <c r="T954" s="8">
        <v>1990</v>
      </c>
      <c r="U954" s="8">
        <f t="shared" si="113"/>
        <v>32</v>
      </c>
      <c r="V954" s="7">
        <v>32874</v>
      </c>
      <c r="W954" t="s">
        <v>249</v>
      </c>
      <c r="X954" s="2">
        <v>0.53400000000000003</v>
      </c>
      <c r="Y954" s="6">
        <f t="shared" si="118"/>
        <v>1.4254825018018741E-2</v>
      </c>
      <c r="AA954">
        <v>8927553</v>
      </c>
      <c r="AB954">
        <v>20484</v>
      </c>
      <c r="AC954">
        <v>15728889</v>
      </c>
      <c r="AD954" t="s">
        <v>5</v>
      </c>
      <c r="AE954">
        <v>3</v>
      </c>
      <c r="AF954">
        <v>1</v>
      </c>
      <c r="AH954" t="s">
        <v>248</v>
      </c>
      <c r="AI954" t="s">
        <v>247</v>
      </c>
      <c r="AJ954" t="s">
        <v>246</v>
      </c>
      <c r="AK954" t="s">
        <v>245</v>
      </c>
      <c r="AL954">
        <v>23</v>
      </c>
      <c r="AM954" s="5">
        <f t="shared" si="114"/>
        <v>0.71875</v>
      </c>
      <c r="AN954" s="4">
        <f t="shared" si="119"/>
        <v>1.0886028019689512E-3</v>
      </c>
      <c r="AO954" s="3"/>
      <c r="AP954">
        <v>0</v>
      </c>
      <c r="AR954" t="s">
        <v>0</v>
      </c>
      <c r="AT954" s="2">
        <v>1.3089999999999999</v>
      </c>
      <c r="AU954" s="1">
        <f t="shared" si="115"/>
        <v>1.0304958353203804</v>
      </c>
      <c r="AV954" s="1">
        <f t="shared" si="116"/>
        <v>0.76717139099938458</v>
      </c>
      <c r="AW954" s="1">
        <f t="shared" si="117"/>
        <v>0.50384694667838881</v>
      </c>
    </row>
    <row r="955" spans="1:49" x14ac:dyDescent="0.2">
      <c r="A955">
        <v>953</v>
      </c>
      <c r="B955" t="s">
        <v>244</v>
      </c>
      <c r="C955" t="s">
        <v>243</v>
      </c>
      <c r="F955" t="s">
        <v>242</v>
      </c>
      <c r="G955" t="s">
        <v>14</v>
      </c>
      <c r="H955" t="s">
        <v>13</v>
      </c>
      <c r="I955" t="s">
        <v>241</v>
      </c>
      <c r="J955" t="s">
        <v>240</v>
      </c>
      <c r="K955" t="s">
        <v>239</v>
      </c>
      <c r="L955" t="s">
        <v>238</v>
      </c>
      <c r="M955" t="s">
        <v>237</v>
      </c>
      <c r="N955">
        <v>3</v>
      </c>
      <c r="O955" t="s">
        <v>236</v>
      </c>
      <c r="P955" t="s">
        <v>235</v>
      </c>
      <c r="Q955" t="s">
        <v>234</v>
      </c>
      <c r="R955" s="7">
        <v>32874</v>
      </c>
      <c r="S955" s="8">
        <f t="shared" si="112"/>
        <v>1990</v>
      </c>
      <c r="T955" s="8">
        <v>1990</v>
      </c>
      <c r="U955" s="8">
        <f t="shared" si="113"/>
        <v>32</v>
      </c>
      <c r="V955" s="7">
        <v>1990</v>
      </c>
      <c r="W955" t="s">
        <v>233</v>
      </c>
      <c r="X955" s="2">
        <v>1.1879999999999999</v>
      </c>
      <c r="Y955" s="6">
        <f t="shared" si="118"/>
        <v>3.1712981500760788E-2</v>
      </c>
      <c r="AA955">
        <v>8998221</v>
      </c>
      <c r="AB955">
        <v>8900153323</v>
      </c>
      <c r="AD955" t="s">
        <v>5</v>
      </c>
      <c r="AE955">
        <v>2</v>
      </c>
      <c r="AF955">
        <v>3</v>
      </c>
      <c r="AH955" t="s">
        <v>232</v>
      </c>
      <c r="AI955" t="s">
        <v>231</v>
      </c>
      <c r="AK955" t="s">
        <v>230</v>
      </c>
      <c r="AL955">
        <v>16</v>
      </c>
      <c r="AM955" s="5">
        <f t="shared" si="114"/>
        <v>0.5</v>
      </c>
      <c r="AN955" s="4">
        <f t="shared" si="119"/>
        <v>7.572889057175312E-4</v>
      </c>
      <c r="AO955" s="3"/>
      <c r="AP955">
        <v>0</v>
      </c>
      <c r="AR955" t="s">
        <v>0</v>
      </c>
      <c r="AT955" s="2" t="s">
        <v>126</v>
      </c>
      <c r="AU955" s="1">
        <f t="shared" si="115"/>
        <v>2.2426273722247809</v>
      </c>
      <c r="AV955" s="1">
        <f t="shared" si="116"/>
        <v>1.6235135203239159</v>
      </c>
      <c r="AW955" s="1">
        <f t="shared" si="117"/>
        <v>1.004399668423051</v>
      </c>
    </row>
    <row r="956" spans="1:49" x14ac:dyDescent="0.2">
      <c r="A956">
        <v>954</v>
      </c>
      <c r="B956" t="s">
        <v>229</v>
      </c>
      <c r="C956" t="s">
        <v>228</v>
      </c>
      <c r="F956" t="s">
        <v>227</v>
      </c>
      <c r="G956" t="s">
        <v>14</v>
      </c>
      <c r="H956" t="s">
        <v>13</v>
      </c>
      <c r="I956" t="s">
        <v>226</v>
      </c>
      <c r="J956">
        <v>60024415</v>
      </c>
      <c r="K956" t="s">
        <v>225</v>
      </c>
      <c r="L956" t="s">
        <v>224</v>
      </c>
      <c r="M956" t="s">
        <v>223</v>
      </c>
      <c r="N956">
        <v>3</v>
      </c>
      <c r="O956" t="s">
        <v>222</v>
      </c>
      <c r="P956" t="s">
        <v>221</v>
      </c>
      <c r="Q956" t="s">
        <v>220</v>
      </c>
      <c r="R956" s="7">
        <v>32874</v>
      </c>
      <c r="S956" s="8">
        <f t="shared" si="112"/>
        <v>1990</v>
      </c>
      <c r="T956" s="8">
        <v>1990</v>
      </c>
      <c r="U956" s="8">
        <f t="shared" si="113"/>
        <v>32</v>
      </c>
      <c r="V956" s="7">
        <v>32874</v>
      </c>
      <c r="W956" t="s">
        <v>219</v>
      </c>
      <c r="X956" s="2">
        <v>1.0329999999999999</v>
      </c>
      <c r="Y956" s="6">
        <f t="shared" si="118"/>
        <v>2.7575345025493178E-2</v>
      </c>
      <c r="AA956">
        <v>9532048</v>
      </c>
      <c r="AB956">
        <v>12278</v>
      </c>
      <c r="AC956">
        <v>13616668</v>
      </c>
      <c r="AD956" t="s">
        <v>5</v>
      </c>
      <c r="AE956">
        <v>3</v>
      </c>
      <c r="AF956">
        <v>1</v>
      </c>
      <c r="AH956" s="9">
        <v>44378</v>
      </c>
      <c r="AI956" t="s">
        <v>218</v>
      </c>
      <c r="AK956" t="s">
        <v>217</v>
      </c>
      <c r="AL956">
        <v>30</v>
      </c>
      <c r="AM956" s="5">
        <f t="shared" si="114"/>
        <v>0.9375</v>
      </c>
      <c r="AN956" s="4">
        <f t="shared" si="119"/>
        <v>1.4199166982203711E-3</v>
      </c>
      <c r="AO956" s="3"/>
      <c r="AP956">
        <v>0</v>
      </c>
      <c r="AR956" t="s">
        <v>0</v>
      </c>
      <c r="AT956" s="2" t="s">
        <v>126</v>
      </c>
      <c r="AU956" s="1">
        <f t="shared" si="115"/>
        <v>1.9728716527311334</v>
      </c>
      <c r="AV956" s="1">
        <f t="shared" si="116"/>
        <v>1.4497630861856774</v>
      </c>
      <c r="AW956" s="1">
        <f t="shared" si="117"/>
        <v>0.92665451964022127</v>
      </c>
    </row>
    <row r="957" spans="1:49" x14ac:dyDescent="0.2">
      <c r="A957">
        <v>955</v>
      </c>
      <c r="B957" t="s">
        <v>216</v>
      </c>
      <c r="C957" t="s">
        <v>215</v>
      </c>
      <c r="D957" t="s">
        <v>214</v>
      </c>
      <c r="F957" t="s">
        <v>213</v>
      </c>
      <c r="G957" t="s">
        <v>14</v>
      </c>
      <c r="H957" t="s">
        <v>13</v>
      </c>
      <c r="I957" t="s">
        <v>212</v>
      </c>
      <c r="J957">
        <v>60016437</v>
      </c>
      <c r="K957" t="s">
        <v>211</v>
      </c>
      <c r="L957" t="s">
        <v>210</v>
      </c>
      <c r="M957" t="s">
        <v>209</v>
      </c>
      <c r="N957">
        <v>1</v>
      </c>
      <c r="O957" t="s">
        <v>208</v>
      </c>
      <c r="P957">
        <v>6507404245</v>
      </c>
      <c r="Q957">
        <v>60016437</v>
      </c>
      <c r="R957" s="7">
        <v>32874</v>
      </c>
      <c r="S957" s="8">
        <f t="shared" ref="S957:S972" si="120">YEAR(R957)</f>
        <v>1990</v>
      </c>
      <c r="T957" s="8">
        <v>1990</v>
      </c>
      <c r="U957" s="8">
        <f t="shared" ref="U957:U972" si="121">2022-T957</f>
        <v>32</v>
      </c>
      <c r="V957" s="7">
        <v>32933</v>
      </c>
      <c r="W957" t="s">
        <v>207</v>
      </c>
      <c r="X957" s="2">
        <v>0.41399999999999998</v>
      </c>
      <c r="Y957" s="6">
        <f t="shared" si="118"/>
        <v>1.1051493553295428E-2</v>
      </c>
      <c r="AA957">
        <v>17272</v>
      </c>
      <c r="AB957">
        <v>24104</v>
      </c>
      <c r="AC957">
        <v>14636395</v>
      </c>
      <c r="AD957" t="s">
        <v>5</v>
      </c>
      <c r="AE957">
        <v>71</v>
      </c>
      <c r="AF957">
        <v>1</v>
      </c>
      <c r="AH957" t="s">
        <v>206</v>
      </c>
      <c r="AI957" t="s">
        <v>205</v>
      </c>
      <c r="AK957" t="s">
        <v>204</v>
      </c>
      <c r="AL957">
        <v>29</v>
      </c>
      <c r="AM957" s="5">
        <f t="shared" ref="AM957:AM972" si="122">AL957/U957</f>
        <v>0.90625</v>
      </c>
      <c r="AN957" s="4">
        <f t="shared" si="119"/>
        <v>1.3725861416130254E-3</v>
      </c>
      <c r="AO957" s="3"/>
      <c r="AP957">
        <v>0</v>
      </c>
      <c r="AR957" t="s">
        <v>0</v>
      </c>
      <c r="AT957" s="2">
        <v>1.2609999999999999</v>
      </c>
      <c r="AU957" s="1">
        <f t="shared" ref="AU957:AU972" si="123">(Y957*0.7+AN957*0.3)*100</f>
        <v>0.81478213297907065</v>
      </c>
      <c r="AV957" s="1">
        <f t="shared" ref="AV957:AV972" si="124">(Y957*0.5+AN957*0.5)*100</f>
        <v>0.6212039847454226</v>
      </c>
      <c r="AW957" s="1">
        <f t="shared" ref="AW957:AW972" si="125">(Y957*0.3+AN957*0.7)*100</f>
        <v>0.42762583651177455</v>
      </c>
    </row>
    <row r="958" spans="1:49" x14ac:dyDescent="0.2">
      <c r="A958">
        <v>956</v>
      </c>
      <c r="B958" t="s">
        <v>203</v>
      </c>
      <c r="C958" t="s">
        <v>202</v>
      </c>
      <c r="F958" t="s">
        <v>201</v>
      </c>
      <c r="G958" t="s">
        <v>14</v>
      </c>
      <c r="H958" t="s">
        <v>13</v>
      </c>
      <c r="I958" t="s">
        <v>200</v>
      </c>
      <c r="J958">
        <v>60025038</v>
      </c>
      <c r="K958" t="s">
        <v>199</v>
      </c>
      <c r="L958" t="s">
        <v>198</v>
      </c>
      <c r="M958" t="s">
        <v>197</v>
      </c>
      <c r="N958">
        <v>2</v>
      </c>
      <c r="O958" t="s">
        <v>196</v>
      </c>
      <c r="P958" t="s">
        <v>195</v>
      </c>
      <c r="Q958" t="s">
        <v>194</v>
      </c>
      <c r="R958" s="7">
        <v>32874</v>
      </c>
      <c r="S958" s="8">
        <f t="shared" si="120"/>
        <v>1990</v>
      </c>
      <c r="T958" s="8">
        <v>1990</v>
      </c>
      <c r="U958" s="8">
        <f t="shared" si="121"/>
        <v>32</v>
      </c>
      <c r="V958" s="7">
        <v>32964</v>
      </c>
      <c r="W958" t="s">
        <v>21</v>
      </c>
      <c r="X958" s="2">
        <v>3.5539999999999998</v>
      </c>
      <c r="Y958" s="6">
        <f t="shared" si="118"/>
        <v>9.4872000213555435E-2</v>
      </c>
      <c r="AA958">
        <v>320889</v>
      </c>
      <c r="AB958">
        <v>16615</v>
      </c>
      <c r="AD958" t="s">
        <v>5</v>
      </c>
      <c r="AE958">
        <v>92</v>
      </c>
      <c r="AF958">
        <v>4</v>
      </c>
      <c r="AH958" t="s">
        <v>193</v>
      </c>
      <c r="AI958" t="s">
        <v>192</v>
      </c>
      <c r="AK958" t="s">
        <v>191</v>
      </c>
      <c r="AL958">
        <v>35</v>
      </c>
      <c r="AM958" s="5">
        <f t="shared" si="122"/>
        <v>1.09375</v>
      </c>
      <c r="AN958" s="4">
        <f t="shared" si="119"/>
        <v>1.6565694812570996E-3</v>
      </c>
      <c r="AO958" s="3"/>
      <c r="AP958">
        <v>1</v>
      </c>
      <c r="AR958" t="s">
        <v>0</v>
      </c>
      <c r="AT958" s="2">
        <v>8.34</v>
      </c>
      <c r="AU958" s="1">
        <f t="shared" si="123"/>
        <v>6.6907370993865927</v>
      </c>
      <c r="AV958" s="1">
        <f t="shared" si="124"/>
        <v>4.8264284847406271</v>
      </c>
      <c r="AW958" s="1">
        <f t="shared" si="125"/>
        <v>2.9621198700946603</v>
      </c>
    </row>
    <row r="959" spans="1:49" x14ac:dyDescent="0.2">
      <c r="A959">
        <v>957</v>
      </c>
      <c r="B959" t="s">
        <v>190</v>
      </c>
      <c r="C959" t="s">
        <v>189</v>
      </c>
      <c r="F959" t="s">
        <v>188</v>
      </c>
      <c r="G959" t="s">
        <v>14</v>
      </c>
      <c r="H959" t="s">
        <v>13</v>
      </c>
      <c r="I959" t="s">
        <v>187</v>
      </c>
      <c r="J959">
        <v>60021199</v>
      </c>
      <c r="K959" t="s">
        <v>186</v>
      </c>
      <c r="L959" t="s">
        <v>185</v>
      </c>
      <c r="M959" t="s">
        <v>184</v>
      </c>
      <c r="N959">
        <v>4</v>
      </c>
      <c r="O959" t="s">
        <v>183</v>
      </c>
      <c r="P959" t="s">
        <v>182</v>
      </c>
      <c r="Q959" t="s">
        <v>181</v>
      </c>
      <c r="R959" s="7">
        <v>32874</v>
      </c>
      <c r="S959" s="8">
        <f t="shared" si="120"/>
        <v>1990</v>
      </c>
      <c r="T959" s="8">
        <v>1990</v>
      </c>
      <c r="U959" s="8">
        <f t="shared" si="121"/>
        <v>32</v>
      </c>
      <c r="V959" s="7">
        <v>32874</v>
      </c>
      <c r="W959" t="s">
        <v>180</v>
      </c>
      <c r="X959" s="2">
        <v>7.1150000000000002</v>
      </c>
      <c r="Y959" s="6">
        <f t="shared" si="118"/>
        <v>0.18993086142921972</v>
      </c>
      <c r="AA959">
        <v>27863</v>
      </c>
      <c r="AB959">
        <v>22680</v>
      </c>
      <c r="AC959">
        <v>15205126</v>
      </c>
      <c r="AD959" t="s">
        <v>5</v>
      </c>
      <c r="AE959">
        <v>112</v>
      </c>
      <c r="AF959">
        <v>20</v>
      </c>
      <c r="AH959" t="s">
        <v>179</v>
      </c>
      <c r="AI959" t="s">
        <v>178</v>
      </c>
      <c r="AK959" t="s">
        <v>177</v>
      </c>
      <c r="AL959">
        <v>264</v>
      </c>
      <c r="AM959" s="5">
        <f t="shared" si="122"/>
        <v>8.25</v>
      </c>
      <c r="AN959" s="4">
        <f t="shared" si="119"/>
        <v>1.2495266944339266E-2</v>
      </c>
      <c r="AO959" s="3"/>
      <c r="AP959">
        <v>0</v>
      </c>
      <c r="AR959" t="s">
        <v>0</v>
      </c>
      <c r="AT959" s="2" t="s">
        <v>126</v>
      </c>
      <c r="AU959" s="1">
        <f t="shared" si="123"/>
        <v>13.670018308375559</v>
      </c>
      <c r="AV959" s="1">
        <f t="shared" si="124"/>
        <v>10.12130641867795</v>
      </c>
      <c r="AW959" s="1">
        <f t="shared" si="125"/>
        <v>6.57259452898034</v>
      </c>
    </row>
    <row r="960" spans="1:49" x14ac:dyDescent="0.2">
      <c r="A960">
        <v>958</v>
      </c>
      <c r="B960" t="s">
        <v>176</v>
      </c>
      <c r="C960" t="s">
        <v>175</v>
      </c>
      <c r="F960" t="s">
        <v>174</v>
      </c>
      <c r="G960" t="s">
        <v>14</v>
      </c>
      <c r="H960" t="s">
        <v>13</v>
      </c>
      <c r="I960" t="s">
        <v>164</v>
      </c>
      <c r="N960">
        <v>11</v>
      </c>
      <c r="O960" t="s">
        <v>173</v>
      </c>
      <c r="P960" t="s">
        <v>172</v>
      </c>
      <c r="Q960" t="s">
        <v>171</v>
      </c>
      <c r="R960" s="7">
        <v>32874</v>
      </c>
      <c r="S960" s="8">
        <f t="shared" si="120"/>
        <v>1990</v>
      </c>
      <c r="T960" s="8">
        <v>1990</v>
      </c>
      <c r="U960" s="8">
        <f t="shared" si="121"/>
        <v>32</v>
      </c>
      <c r="V960" s="7" t="s">
        <v>7</v>
      </c>
      <c r="W960" t="s">
        <v>110</v>
      </c>
      <c r="X960" s="2">
        <v>0.371</v>
      </c>
      <c r="Y960" s="6">
        <f t="shared" si="118"/>
        <v>9.9036331117695747E-3</v>
      </c>
      <c r="AA960">
        <v>486604</v>
      </c>
      <c r="AB960">
        <v>28580</v>
      </c>
      <c r="AC960" t="s">
        <v>109</v>
      </c>
      <c r="AD960" t="s">
        <v>5</v>
      </c>
      <c r="AE960">
        <v>25</v>
      </c>
      <c r="AF960">
        <v>4</v>
      </c>
      <c r="AH960" t="s">
        <v>170</v>
      </c>
      <c r="AI960" t="s">
        <v>169</v>
      </c>
      <c r="AK960" t="s">
        <v>168</v>
      </c>
      <c r="AL960">
        <v>32</v>
      </c>
      <c r="AM960" s="5">
        <f t="shared" si="122"/>
        <v>1</v>
      </c>
      <c r="AN960" s="4">
        <f t="shared" si="119"/>
        <v>1.5145778114350624E-3</v>
      </c>
      <c r="AO960" s="3"/>
      <c r="AP960">
        <v>0</v>
      </c>
      <c r="AR960" t="s">
        <v>0</v>
      </c>
      <c r="AT960" s="2">
        <v>1.431</v>
      </c>
      <c r="AU960" s="1">
        <f t="shared" si="123"/>
        <v>0.73869165216692201</v>
      </c>
      <c r="AV960" s="1">
        <f t="shared" si="124"/>
        <v>0.57091054616023185</v>
      </c>
      <c r="AW960" s="1">
        <f t="shared" si="125"/>
        <v>0.40312944015354163</v>
      </c>
    </row>
    <row r="961" spans="1:49" x14ac:dyDescent="0.2">
      <c r="A961">
        <v>959</v>
      </c>
      <c r="B961" t="s">
        <v>167</v>
      </c>
      <c r="C961" t="s">
        <v>166</v>
      </c>
      <c r="F961" t="s">
        <v>165</v>
      </c>
      <c r="G961" t="s">
        <v>14</v>
      </c>
      <c r="H961" t="s">
        <v>13</v>
      </c>
      <c r="I961" t="s">
        <v>164</v>
      </c>
      <c r="N961">
        <v>6</v>
      </c>
      <c r="O961" t="s">
        <v>163</v>
      </c>
      <c r="P961" t="s">
        <v>162</v>
      </c>
      <c r="Q961" t="s">
        <v>161</v>
      </c>
      <c r="R961" s="7">
        <v>32874</v>
      </c>
      <c r="S961" s="8">
        <f t="shared" si="120"/>
        <v>1990</v>
      </c>
      <c r="T961" s="8">
        <v>1990</v>
      </c>
      <c r="U961" s="8">
        <f t="shared" si="121"/>
        <v>32</v>
      </c>
      <c r="V961" s="7" t="s">
        <v>7</v>
      </c>
      <c r="W961" t="s">
        <v>110</v>
      </c>
      <c r="X961" s="2">
        <v>0.371</v>
      </c>
      <c r="Y961" s="6">
        <f t="shared" si="118"/>
        <v>9.9036331117695747E-3</v>
      </c>
      <c r="AA961">
        <v>486604</v>
      </c>
      <c r="AB961">
        <v>28580</v>
      </c>
      <c r="AC961" t="s">
        <v>109</v>
      </c>
      <c r="AD961" t="s">
        <v>5</v>
      </c>
      <c r="AE961">
        <v>25</v>
      </c>
      <c r="AF961">
        <v>4</v>
      </c>
      <c r="AH961" t="s">
        <v>160</v>
      </c>
      <c r="AI961" t="s">
        <v>159</v>
      </c>
      <c r="AK961" t="s">
        <v>158</v>
      </c>
      <c r="AL961">
        <v>32</v>
      </c>
      <c r="AM961" s="5">
        <f t="shared" si="122"/>
        <v>1</v>
      </c>
      <c r="AN961" s="4">
        <f t="shared" si="119"/>
        <v>1.5145778114350624E-3</v>
      </c>
      <c r="AO961" s="3"/>
      <c r="AP961">
        <v>0</v>
      </c>
      <c r="AR961" t="s">
        <v>0</v>
      </c>
      <c r="AT961" s="2">
        <v>1.431</v>
      </c>
      <c r="AU961" s="1">
        <f t="shared" si="123"/>
        <v>0.73869165216692201</v>
      </c>
      <c r="AV961" s="1">
        <f t="shared" si="124"/>
        <v>0.57091054616023185</v>
      </c>
      <c r="AW961" s="1">
        <f t="shared" si="125"/>
        <v>0.40312944015354163</v>
      </c>
    </row>
    <row r="962" spans="1:49" x14ac:dyDescent="0.2">
      <c r="A962">
        <v>960</v>
      </c>
      <c r="B962" t="s">
        <v>157</v>
      </c>
      <c r="C962" t="s">
        <v>156</v>
      </c>
      <c r="F962" t="s">
        <v>155</v>
      </c>
      <c r="G962" t="s">
        <v>14</v>
      </c>
      <c r="H962" t="s">
        <v>13</v>
      </c>
      <c r="I962" t="s">
        <v>154</v>
      </c>
      <c r="J962">
        <v>60007971</v>
      </c>
      <c r="K962" t="s">
        <v>153</v>
      </c>
      <c r="L962" t="s">
        <v>152</v>
      </c>
      <c r="M962" t="s">
        <v>151</v>
      </c>
      <c r="N962">
        <v>2</v>
      </c>
      <c r="O962" t="s">
        <v>150</v>
      </c>
      <c r="P962" t="s">
        <v>149</v>
      </c>
      <c r="Q962" t="s">
        <v>148</v>
      </c>
      <c r="R962" s="7">
        <v>32874</v>
      </c>
      <c r="S962" s="8">
        <f t="shared" si="120"/>
        <v>1990</v>
      </c>
      <c r="T962" s="8">
        <v>1990</v>
      </c>
      <c r="U962" s="8">
        <f t="shared" si="121"/>
        <v>32</v>
      </c>
      <c r="V962" s="7">
        <v>32933</v>
      </c>
      <c r="W962" t="s">
        <v>147</v>
      </c>
      <c r="X962" s="2">
        <v>1.351</v>
      </c>
      <c r="Y962" s="6">
        <f t="shared" ref="Y962:Y972" si="126">(X962-$Z$4)/($Z$3-$Z$4)</f>
        <v>3.6064173407009958E-2</v>
      </c>
      <c r="AA962">
        <v>319317</v>
      </c>
      <c r="AB962">
        <v>16530</v>
      </c>
      <c r="AC962">
        <v>13993054</v>
      </c>
      <c r="AD962" t="s">
        <v>5</v>
      </c>
      <c r="AE962">
        <v>78</v>
      </c>
      <c r="AF962">
        <v>3</v>
      </c>
      <c r="AH962" t="s">
        <v>146</v>
      </c>
      <c r="AI962" t="s">
        <v>145</v>
      </c>
      <c r="AJ962" t="s">
        <v>144</v>
      </c>
      <c r="AK962" t="s">
        <v>143</v>
      </c>
      <c r="AL962">
        <v>53</v>
      </c>
      <c r="AM962" s="5">
        <f t="shared" si="122"/>
        <v>1.65625</v>
      </c>
      <c r="AN962" s="4">
        <f t="shared" ref="AN962:AN972" si="127">(AM962-$AO$4)/($AO$3-$AO$4)</f>
        <v>2.5085195001893221E-3</v>
      </c>
      <c r="AO962" s="3"/>
      <c r="AP962">
        <v>0</v>
      </c>
      <c r="AR962" t="s">
        <v>0</v>
      </c>
      <c r="AT962" s="2">
        <v>4.5</v>
      </c>
      <c r="AU962" s="1">
        <f t="shared" si="123"/>
        <v>2.5997477234963768</v>
      </c>
      <c r="AV962" s="1">
        <f t="shared" si="124"/>
        <v>1.9286346453599639</v>
      </c>
      <c r="AW962" s="1">
        <f t="shared" si="125"/>
        <v>1.2575215672235514</v>
      </c>
    </row>
    <row r="963" spans="1:49" x14ac:dyDescent="0.2">
      <c r="A963">
        <v>961</v>
      </c>
      <c r="B963" t="s">
        <v>142</v>
      </c>
      <c r="C963" t="s">
        <v>141</v>
      </c>
      <c r="D963" t="s">
        <v>140</v>
      </c>
      <c r="F963" t="s">
        <v>139</v>
      </c>
      <c r="G963" t="s">
        <v>14</v>
      </c>
      <c r="H963" t="s">
        <v>13</v>
      </c>
      <c r="I963" t="s">
        <v>138</v>
      </c>
      <c r="J963">
        <v>60018373</v>
      </c>
      <c r="K963" t="s">
        <v>137</v>
      </c>
      <c r="L963" t="s">
        <v>136</v>
      </c>
      <c r="M963" t="s">
        <v>135</v>
      </c>
      <c r="N963">
        <v>3</v>
      </c>
      <c r="O963" t="s">
        <v>134</v>
      </c>
      <c r="P963" t="s">
        <v>133</v>
      </c>
      <c r="Q963" t="s">
        <v>132</v>
      </c>
      <c r="R963" s="7">
        <v>32874</v>
      </c>
      <c r="S963" s="8">
        <f t="shared" si="120"/>
        <v>1990</v>
      </c>
      <c r="T963" s="8">
        <v>1990</v>
      </c>
      <c r="U963" s="8">
        <f t="shared" si="121"/>
        <v>32</v>
      </c>
      <c r="V963" s="7">
        <v>1990</v>
      </c>
      <c r="W963" t="s">
        <v>131</v>
      </c>
      <c r="X963" s="2" t="s">
        <v>126</v>
      </c>
      <c r="Y963" s="6" t="e">
        <f t="shared" si="126"/>
        <v>#VALUE!</v>
      </c>
      <c r="AA963">
        <v>201790</v>
      </c>
      <c r="AB963">
        <v>9800153163</v>
      </c>
      <c r="AD963" t="s">
        <v>5</v>
      </c>
      <c r="AE963">
        <v>20</v>
      </c>
      <c r="AF963">
        <v>7</v>
      </c>
      <c r="AH963" t="s">
        <v>130</v>
      </c>
      <c r="AI963" t="s">
        <v>129</v>
      </c>
      <c r="AJ963" t="s">
        <v>128</v>
      </c>
      <c r="AK963" t="s">
        <v>127</v>
      </c>
      <c r="AL963">
        <v>92</v>
      </c>
      <c r="AM963" s="5">
        <f t="shared" si="122"/>
        <v>2.875</v>
      </c>
      <c r="AN963" s="4">
        <f t="shared" si="127"/>
        <v>4.354411207875805E-3</v>
      </c>
      <c r="AO963" s="3"/>
      <c r="AP963">
        <v>0</v>
      </c>
      <c r="AR963" t="s">
        <v>0</v>
      </c>
      <c r="AT963" s="2" t="s">
        <v>126</v>
      </c>
      <c r="AU963" s="1" t="e">
        <f t="shared" si="123"/>
        <v>#VALUE!</v>
      </c>
      <c r="AV963" s="1" t="e">
        <f t="shared" si="124"/>
        <v>#VALUE!</v>
      </c>
      <c r="AW963" s="1" t="e">
        <f t="shared" si="125"/>
        <v>#VALUE!</v>
      </c>
    </row>
    <row r="964" spans="1:49" x14ac:dyDescent="0.2">
      <c r="A964">
        <v>962</v>
      </c>
      <c r="B964" t="s">
        <v>125</v>
      </c>
      <c r="C964" t="s">
        <v>124</v>
      </c>
      <c r="F964" t="s">
        <v>123</v>
      </c>
      <c r="G964" t="s">
        <v>14</v>
      </c>
      <c r="H964" t="s">
        <v>13</v>
      </c>
      <c r="I964" t="s">
        <v>122</v>
      </c>
      <c r="N964">
        <v>2</v>
      </c>
      <c r="O964" t="s">
        <v>121</v>
      </c>
      <c r="P964" t="s">
        <v>120</v>
      </c>
      <c r="Q964" t="s">
        <v>119</v>
      </c>
      <c r="R964" s="7">
        <v>32874</v>
      </c>
      <c r="S964" s="8">
        <f t="shared" si="120"/>
        <v>1990</v>
      </c>
      <c r="T964" s="8">
        <v>1990</v>
      </c>
      <c r="U964" s="8">
        <f t="shared" si="121"/>
        <v>32</v>
      </c>
      <c r="V964" s="7" t="s">
        <v>7</v>
      </c>
      <c r="W964" t="s">
        <v>110</v>
      </c>
      <c r="X964" s="2">
        <v>0.371</v>
      </c>
      <c r="Y964" s="6">
        <f t="shared" si="126"/>
        <v>9.9036331117695747E-3</v>
      </c>
      <c r="AA964">
        <v>486604</v>
      </c>
      <c r="AB964">
        <v>28580</v>
      </c>
      <c r="AC964" t="s">
        <v>109</v>
      </c>
      <c r="AD964" t="s">
        <v>5</v>
      </c>
      <c r="AE964">
        <v>25</v>
      </c>
      <c r="AF964">
        <v>4</v>
      </c>
      <c r="AH964" t="s">
        <v>118</v>
      </c>
      <c r="AI964" t="s">
        <v>117</v>
      </c>
      <c r="AK964" t="s">
        <v>116</v>
      </c>
      <c r="AL964">
        <v>122</v>
      </c>
      <c r="AM964" s="5">
        <f t="shared" si="122"/>
        <v>3.8125</v>
      </c>
      <c r="AN964" s="4">
        <f t="shared" si="127"/>
        <v>5.7743279060961756E-3</v>
      </c>
      <c r="AO964" s="3"/>
      <c r="AP964">
        <v>0</v>
      </c>
      <c r="AR964" t="s">
        <v>0</v>
      </c>
      <c r="AT964" s="2">
        <v>1.431</v>
      </c>
      <c r="AU964" s="1">
        <f t="shared" si="123"/>
        <v>0.86648415500675535</v>
      </c>
      <c r="AV964" s="1">
        <f t="shared" si="124"/>
        <v>0.78389805089328757</v>
      </c>
      <c r="AW964" s="1">
        <f t="shared" si="125"/>
        <v>0.70131194677981956</v>
      </c>
    </row>
    <row r="965" spans="1:49" x14ac:dyDescent="0.2">
      <c r="A965">
        <v>963</v>
      </c>
      <c r="B965" t="s">
        <v>115</v>
      </c>
      <c r="C965" t="s">
        <v>114</v>
      </c>
      <c r="F965" t="s">
        <v>113</v>
      </c>
      <c r="G965" t="s">
        <v>14</v>
      </c>
      <c r="H965" t="s">
        <v>13</v>
      </c>
      <c r="I965" t="s">
        <v>112</v>
      </c>
      <c r="N965">
        <v>1</v>
      </c>
      <c r="O965" t="s">
        <v>111</v>
      </c>
      <c r="P965">
        <v>24290221300</v>
      </c>
      <c r="R965" s="7">
        <v>32874</v>
      </c>
      <c r="S965" s="8">
        <f t="shared" si="120"/>
        <v>1990</v>
      </c>
      <c r="T965" s="8">
        <v>1990</v>
      </c>
      <c r="U965" s="8">
        <f t="shared" si="121"/>
        <v>32</v>
      </c>
      <c r="V965" s="7" t="s">
        <v>7</v>
      </c>
      <c r="W965" t="s">
        <v>110</v>
      </c>
      <c r="X965" s="2">
        <v>0.371</v>
      </c>
      <c r="Y965" s="6">
        <f t="shared" si="126"/>
        <v>9.9036331117695747E-3</v>
      </c>
      <c r="AA965">
        <v>486604</v>
      </c>
      <c r="AB965">
        <v>28580</v>
      </c>
      <c r="AC965" t="s">
        <v>109</v>
      </c>
      <c r="AD965" t="s">
        <v>5</v>
      </c>
      <c r="AE965">
        <v>25</v>
      </c>
      <c r="AF965">
        <v>4</v>
      </c>
      <c r="AH965" t="s">
        <v>108</v>
      </c>
      <c r="AI965" t="s">
        <v>107</v>
      </c>
      <c r="AK965" t="s">
        <v>106</v>
      </c>
      <c r="AL965">
        <v>25</v>
      </c>
      <c r="AM965" s="5">
        <f t="shared" si="122"/>
        <v>0.78125</v>
      </c>
      <c r="AN965" s="4">
        <f t="shared" si="127"/>
        <v>1.1832639151836426E-3</v>
      </c>
      <c r="AO965" s="3"/>
      <c r="AP965">
        <v>0</v>
      </c>
      <c r="AR965" t="s">
        <v>0</v>
      </c>
      <c r="AT965" s="2">
        <v>1.431</v>
      </c>
      <c r="AU965" s="1">
        <f t="shared" si="123"/>
        <v>0.72875223527937949</v>
      </c>
      <c r="AV965" s="1">
        <f t="shared" si="124"/>
        <v>0.55434485134766087</v>
      </c>
      <c r="AW965" s="1">
        <f t="shared" si="125"/>
        <v>0.3799374674159422</v>
      </c>
    </row>
    <row r="966" spans="1:49" x14ac:dyDescent="0.2">
      <c r="A966">
        <v>964</v>
      </c>
      <c r="B966" t="s">
        <v>105</v>
      </c>
      <c r="C966" t="s">
        <v>104</v>
      </c>
      <c r="F966" t="s">
        <v>103</v>
      </c>
      <c r="G966" t="s">
        <v>14</v>
      </c>
      <c r="H966" t="s">
        <v>13</v>
      </c>
      <c r="I966" t="s">
        <v>102</v>
      </c>
      <c r="J966" t="s">
        <v>101</v>
      </c>
      <c r="K966" t="s">
        <v>100</v>
      </c>
      <c r="L966" t="s">
        <v>99</v>
      </c>
      <c r="M966" t="s">
        <v>98</v>
      </c>
      <c r="N966">
        <v>1</v>
      </c>
      <c r="O966" t="s">
        <v>97</v>
      </c>
      <c r="P966">
        <v>7006463973</v>
      </c>
      <c r="Q966" t="s">
        <v>96</v>
      </c>
      <c r="R966" s="7">
        <v>32874</v>
      </c>
      <c r="S966" s="8">
        <f t="shared" si="120"/>
        <v>1990</v>
      </c>
      <c r="T966" s="8">
        <v>1990</v>
      </c>
      <c r="U966" s="8">
        <f t="shared" si="121"/>
        <v>32</v>
      </c>
      <c r="V966" s="7">
        <v>1990</v>
      </c>
      <c r="W966" t="s">
        <v>95</v>
      </c>
      <c r="X966" s="2">
        <v>1.391</v>
      </c>
      <c r="Y966" s="6">
        <f t="shared" si="126"/>
        <v>3.7131950561917731E-2</v>
      </c>
      <c r="AA966">
        <v>10502947</v>
      </c>
      <c r="AB966">
        <v>29143</v>
      </c>
      <c r="AD966" t="s">
        <v>5</v>
      </c>
      <c r="AE966">
        <v>41</v>
      </c>
      <c r="AF966">
        <v>7</v>
      </c>
      <c r="AH966" t="s">
        <v>94</v>
      </c>
      <c r="AI966" t="s">
        <v>93</v>
      </c>
      <c r="AK966" t="s">
        <v>92</v>
      </c>
      <c r="AL966">
        <v>14</v>
      </c>
      <c r="AM966" s="5">
        <f t="shared" si="122"/>
        <v>0.4375</v>
      </c>
      <c r="AN966" s="4">
        <f t="shared" si="127"/>
        <v>6.6262779250283988E-4</v>
      </c>
      <c r="AO966" s="3"/>
      <c r="AP966">
        <v>0</v>
      </c>
      <c r="AR966" t="s">
        <v>0</v>
      </c>
      <c r="AT966" s="2">
        <v>3.14</v>
      </c>
      <c r="AU966" s="1">
        <f t="shared" si="123"/>
        <v>2.6191153731093264</v>
      </c>
      <c r="AV966" s="1">
        <f t="shared" si="124"/>
        <v>1.8897289177210286</v>
      </c>
      <c r="AW966" s="1">
        <f t="shared" si="125"/>
        <v>1.1603424623327308</v>
      </c>
    </row>
    <row r="967" spans="1:49" x14ac:dyDescent="0.2">
      <c r="A967">
        <v>965</v>
      </c>
      <c r="B967" t="s">
        <v>91</v>
      </c>
      <c r="C967" t="s">
        <v>90</v>
      </c>
      <c r="F967" t="s">
        <v>89</v>
      </c>
      <c r="G967" t="s">
        <v>14</v>
      </c>
      <c r="H967" t="s">
        <v>13</v>
      </c>
      <c r="I967" t="s">
        <v>88</v>
      </c>
      <c r="J967" t="s">
        <v>87</v>
      </c>
      <c r="K967" t="s">
        <v>86</v>
      </c>
      <c r="L967" t="s">
        <v>85</v>
      </c>
      <c r="M967" t="s">
        <v>84</v>
      </c>
      <c r="N967">
        <v>4</v>
      </c>
      <c r="O967" t="s">
        <v>83</v>
      </c>
      <c r="P967" t="s">
        <v>82</v>
      </c>
      <c r="Q967" t="s">
        <v>81</v>
      </c>
      <c r="R967" s="7">
        <v>32874</v>
      </c>
      <c r="S967" s="8">
        <f t="shared" si="120"/>
        <v>1990</v>
      </c>
      <c r="T967" s="8">
        <v>1990</v>
      </c>
      <c r="U967" s="8">
        <f t="shared" si="121"/>
        <v>32</v>
      </c>
      <c r="V967" s="7">
        <v>33055</v>
      </c>
      <c r="W967" t="s">
        <v>21</v>
      </c>
      <c r="X967" s="2">
        <v>3.5539999999999998</v>
      </c>
      <c r="Y967" s="6">
        <f t="shared" si="126"/>
        <v>9.4872000213555435E-2</v>
      </c>
      <c r="AA967">
        <v>320889</v>
      </c>
      <c r="AB967">
        <v>16615</v>
      </c>
      <c r="AD967" t="s">
        <v>5</v>
      </c>
      <c r="AE967">
        <v>93</v>
      </c>
      <c r="AF967">
        <v>3</v>
      </c>
      <c r="AH967" t="s">
        <v>80</v>
      </c>
      <c r="AI967" t="s">
        <v>79</v>
      </c>
      <c r="AK967" t="s">
        <v>78</v>
      </c>
      <c r="AL967">
        <v>56</v>
      </c>
      <c r="AM967" s="5">
        <f t="shared" si="122"/>
        <v>1.75</v>
      </c>
      <c r="AN967" s="4">
        <f t="shared" si="127"/>
        <v>2.6505111700113595E-3</v>
      </c>
      <c r="AO967" s="3"/>
      <c r="AP967">
        <v>1</v>
      </c>
      <c r="AR967" t="s">
        <v>0</v>
      </c>
      <c r="AT967" s="2">
        <v>8.34</v>
      </c>
      <c r="AU967" s="1">
        <f t="shared" si="123"/>
        <v>6.7205553500492217</v>
      </c>
      <c r="AV967" s="1">
        <f t="shared" si="124"/>
        <v>4.8761255691783401</v>
      </c>
      <c r="AW967" s="1">
        <f t="shared" si="125"/>
        <v>3.031695788307458</v>
      </c>
    </row>
    <row r="968" spans="1:49" x14ac:dyDescent="0.2">
      <c r="A968">
        <v>966</v>
      </c>
      <c r="B968" t="s">
        <v>77</v>
      </c>
      <c r="C968" t="s">
        <v>76</v>
      </c>
      <c r="F968" t="s">
        <v>75</v>
      </c>
      <c r="G968" t="s">
        <v>14</v>
      </c>
      <c r="H968" t="s">
        <v>13</v>
      </c>
      <c r="I968" t="s">
        <v>74</v>
      </c>
      <c r="J968" t="s">
        <v>73</v>
      </c>
      <c r="K968" t="s">
        <v>72</v>
      </c>
      <c r="L968" t="s">
        <v>71</v>
      </c>
      <c r="M968" t="s">
        <v>70</v>
      </c>
      <c r="N968">
        <v>3</v>
      </c>
      <c r="O968" t="s">
        <v>69</v>
      </c>
      <c r="P968" t="s">
        <v>68</v>
      </c>
      <c r="Q968" t="s">
        <v>67</v>
      </c>
      <c r="R968" s="7">
        <v>32874</v>
      </c>
      <c r="S968" s="8">
        <f t="shared" si="120"/>
        <v>1990</v>
      </c>
      <c r="T968" s="8">
        <v>1990</v>
      </c>
      <c r="U968" s="8">
        <f t="shared" si="121"/>
        <v>32</v>
      </c>
      <c r="V968" s="7">
        <v>32905</v>
      </c>
      <c r="W968" t="s">
        <v>21</v>
      </c>
      <c r="X968" s="2">
        <v>3.5539999999999998</v>
      </c>
      <c r="Y968" s="6">
        <f t="shared" si="126"/>
        <v>9.4872000213555435E-2</v>
      </c>
      <c r="AA968">
        <v>320889</v>
      </c>
      <c r="AB968">
        <v>16615</v>
      </c>
      <c r="AD968" t="s">
        <v>5</v>
      </c>
      <c r="AE968">
        <v>92</v>
      </c>
      <c r="AF968">
        <v>2</v>
      </c>
      <c r="AH968" t="s">
        <v>66</v>
      </c>
      <c r="AI968" t="s">
        <v>65</v>
      </c>
      <c r="AK968" t="s">
        <v>64</v>
      </c>
      <c r="AL968">
        <v>71</v>
      </c>
      <c r="AM968" s="5">
        <f t="shared" si="122"/>
        <v>2.21875</v>
      </c>
      <c r="AN968" s="4">
        <f t="shared" si="127"/>
        <v>3.3604695191215448E-3</v>
      </c>
      <c r="AO968" s="3"/>
      <c r="AP968">
        <v>1</v>
      </c>
      <c r="AR968" t="s">
        <v>0</v>
      </c>
      <c r="AT968" s="2">
        <v>8.34</v>
      </c>
      <c r="AU968" s="1">
        <f t="shared" si="123"/>
        <v>6.7418541005225263</v>
      </c>
      <c r="AV968" s="1">
        <f t="shared" si="124"/>
        <v>4.9116234866338493</v>
      </c>
      <c r="AW968" s="1">
        <f t="shared" si="125"/>
        <v>3.0813928727451709</v>
      </c>
    </row>
    <row r="969" spans="1:49" x14ac:dyDescent="0.2">
      <c r="A969">
        <v>967</v>
      </c>
      <c r="B969" t="s">
        <v>63</v>
      </c>
      <c r="C969" t="s">
        <v>62</v>
      </c>
      <c r="F969" t="s">
        <v>61</v>
      </c>
      <c r="G969" t="s">
        <v>14</v>
      </c>
      <c r="H969" t="s">
        <v>13</v>
      </c>
      <c r="I969" t="s">
        <v>60</v>
      </c>
      <c r="J969" t="s">
        <v>59</v>
      </c>
      <c r="K969" t="s">
        <v>58</v>
      </c>
      <c r="L969" t="s">
        <v>57</v>
      </c>
      <c r="M969" t="s">
        <v>56</v>
      </c>
      <c r="N969">
        <v>7</v>
      </c>
      <c r="O969" t="s">
        <v>55</v>
      </c>
      <c r="P969" t="s">
        <v>54</v>
      </c>
      <c r="Q969" t="s">
        <v>53</v>
      </c>
      <c r="R969" s="7">
        <v>32874</v>
      </c>
      <c r="S969" s="8">
        <f t="shared" si="120"/>
        <v>1990</v>
      </c>
      <c r="T969" s="8">
        <v>1990</v>
      </c>
      <c r="U969" s="8">
        <f t="shared" si="121"/>
        <v>32</v>
      </c>
      <c r="V969" s="7">
        <v>33086</v>
      </c>
      <c r="W969" t="s">
        <v>21</v>
      </c>
      <c r="X969" s="2">
        <v>3.5539999999999998</v>
      </c>
      <c r="Y969" s="6">
        <f t="shared" si="126"/>
        <v>9.4872000213555435E-2</v>
      </c>
      <c r="AA969">
        <v>320889</v>
      </c>
      <c r="AB969">
        <v>16615</v>
      </c>
      <c r="AD969" t="s">
        <v>5</v>
      </c>
      <c r="AE969">
        <v>93</v>
      </c>
      <c r="AF969">
        <v>4</v>
      </c>
      <c r="AH969" t="s">
        <v>52</v>
      </c>
      <c r="AI969" t="s">
        <v>51</v>
      </c>
      <c r="AK969" t="s">
        <v>50</v>
      </c>
      <c r="AL969">
        <v>127</v>
      </c>
      <c r="AM969" s="5">
        <f t="shared" si="122"/>
        <v>3.96875</v>
      </c>
      <c r="AN969" s="4">
        <f t="shared" si="127"/>
        <v>6.0109806891329044E-3</v>
      </c>
      <c r="AO969" s="3"/>
      <c r="AP969">
        <v>1</v>
      </c>
      <c r="AR969" t="s">
        <v>0</v>
      </c>
      <c r="AT969" s="2">
        <v>8.34</v>
      </c>
      <c r="AU969" s="1">
        <f t="shared" si="123"/>
        <v>6.8213694356228673</v>
      </c>
      <c r="AV969" s="1">
        <f t="shared" si="124"/>
        <v>5.0441490451344171</v>
      </c>
      <c r="AW969" s="1">
        <f t="shared" si="125"/>
        <v>3.2669286546459659</v>
      </c>
    </row>
    <row r="970" spans="1:49" x14ac:dyDescent="0.2">
      <c r="A970">
        <v>968</v>
      </c>
      <c r="B970" t="s">
        <v>49</v>
      </c>
      <c r="C970" t="s">
        <v>48</v>
      </c>
      <c r="F970" t="s">
        <v>47</v>
      </c>
      <c r="G970" t="s">
        <v>14</v>
      </c>
      <c r="H970" t="s">
        <v>13</v>
      </c>
      <c r="I970" t="s">
        <v>46</v>
      </c>
      <c r="J970" t="s">
        <v>45</v>
      </c>
      <c r="K970" t="s">
        <v>44</v>
      </c>
      <c r="L970" t="s">
        <v>43</v>
      </c>
      <c r="M970" t="s">
        <v>42</v>
      </c>
      <c r="N970">
        <v>4</v>
      </c>
      <c r="O970" t="s">
        <v>41</v>
      </c>
      <c r="P970" t="s">
        <v>40</v>
      </c>
      <c r="Q970" t="s">
        <v>39</v>
      </c>
      <c r="R970" s="7">
        <v>32874</v>
      </c>
      <c r="S970" s="8">
        <f t="shared" si="120"/>
        <v>1990</v>
      </c>
      <c r="T970" s="8">
        <v>1990</v>
      </c>
      <c r="U970" s="8">
        <f t="shared" si="121"/>
        <v>32</v>
      </c>
      <c r="V970" s="7">
        <v>33025</v>
      </c>
      <c r="W970" t="s">
        <v>38</v>
      </c>
      <c r="X970" s="2">
        <v>0.251</v>
      </c>
      <c r="Y970" s="6">
        <f t="shared" si="126"/>
        <v>6.7003016470462617E-3</v>
      </c>
      <c r="AA970">
        <v>207217</v>
      </c>
      <c r="AB970">
        <v>26145</v>
      </c>
      <c r="AC970">
        <v>13623060</v>
      </c>
      <c r="AD970" t="s">
        <v>5</v>
      </c>
      <c r="AE970">
        <v>68</v>
      </c>
      <c r="AF970">
        <v>6</v>
      </c>
      <c r="AH970" t="s">
        <v>37</v>
      </c>
      <c r="AI970" t="s">
        <v>36</v>
      </c>
      <c r="AK970" t="s">
        <v>35</v>
      </c>
      <c r="AL970">
        <v>24</v>
      </c>
      <c r="AM970" s="5">
        <f t="shared" si="122"/>
        <v>0.75</v>
      </c>
      <c r="AN970" s="4">
        <f t="shared" si="127"/>
        <v>1.1359333585762969E-3</v>
      </c>
      <c r="AO970" s="3"/>
      <c r="AP970">
        <v>0</v>
      </c>
      <c r="AQ970" t="s">
        <v>34</v>
      </c>
      <c r="AR970" t="s">
        <v>0</v>
      </c>
      <c r="AS970" t="s">
        <v>33</v>
      </c>
      <c r="AT970" s="2">
        <v>1.3360000000000001</v>
      </c>
      <c r="AU970" s="1">
        <f t="shared" si="123"/>
        <v>0.50309911605052715</v>
      </c>
      <c r="AV970" s="1">
        <f t="shared" si="124"/>
        <v>0.39181175028112791</v>
      </c>
      <c r="AW970" s="1">
        <f t="shared" si="125"/>
        <v>0.28052438451172856</v>
      </c>
    </row>
    <row r="971" spans="1:49" x14ac:dyDescent="0.2">
      <c r="A971">
        <v>969</v>
      </c>
      <c r="B971" t="s">
        <v>32</v>
      </c>
      <c r="C971" t="s">
        <v>31</v>
      </c>
      <c r="F971" t="s">
        <v>30</v>
      </c>
      <c r="G971" t="s">
        <v>14</v>
      </c>
      <c r="H971" t="s">
        <v>13</v>
      </c>
      <c r="I971" t="s">
        <v>29</v>
      </c>
      <c r="J971" t="s">
        <v>28</v>
      </c>
      <c r="K971" t="s">
        <v>27</v>
      </c>
      <c r="L971" t="s">
        <v>26</v>
      </c>
      <c r="M971" t="s">
        <v>25</v>
      </c>
      <c r="N971">
        <v>4</v>
      </c>
      <c r="O971" t="s">
        <v>24</v>
      </c>
      <c r="P971" t="s">
        <v>23</v>
      </c>
      <c r="Q971" t="s">
        <v>22</v>
      </c>
      <c r="R971" s="7">
        <v>32874</v>
      </c>
      <c r="S971" s="8">
        <f t="shared" si="120"/>
        <v>1990</v>
      </c>
      <c r="T971" s="8">
        <v>1990</v>
      </c>
      <c r="U971" s="8">
        <f t="shared" si="121"/>
        <v>32</v>
      </c>
      <c r="V971" s="7">
        <v>32964</v>
      </c>
      <c r="W971" t="s">
        <v>21</v>
      </c>
      <c r="X971" s="2">
        <v>3.5539999999999998</v>
      </c>
      <c r="Y971" s="6">
        <f t="shared" si="126"/>
        <v>9.4872000213555435E-2</v>
      </c>
      <c r="AA971">
        <v>320889</v>
      </c>
      <c r="AB971">
        <v>16615</v>
      </c>
      <c r="AD971" t="s">
        <v>5</v>
      </c>
      <c r="AE971">
        <v>92</v>
      </c>
      <c r="AF971">
        <v>4</v>
      </c>
      <c r="AH971" t="s">
        <v>20</v>
      </c>
      <c r="AI971" t="s">
        <v>19</v>
      </c>
      <c r="AK971" t="s">
        <v>18</v>
      </c>
      <c r="AL971">
        <v>79</v>
      </c>
      <c r="AM971" s="5">
        <f t="shared" si="122"/>
        <v>2.46875</v>
      </c>
      <c r="AN971" s="4">
        <f t="shared" si="127"/>
        <v>3.7391139719803105E-3</v>
      </c>
      <c r="AO971" s="3"/>
      <c r="AP971">
        <v>1</v>
      </c>
      <c r="AR971" t="s">
        <v>0</v>
      </c>
      <c r="AT971" s="2">
        <v>8.34</v>
      </c>
      <c r="AU971" s="1">
        <f t="shared" si="123"/>
        <v>6.7532134341082894</v>
      </c>
      <c r="AV971" s="1">
        <f t="shared" si="124"/>
        <v>4.9305557092767867</v>
      </c>
      <c r="AW971" s="1">
        <f t="shared" si="125"/>
        <v>3.1078979844452848</v>
      </c>
    </row>
    <row r="972" spans="1:49" x14ac:dyDescent="0.2">
      <c r="A972">
        <v>970</v>
      </c>
      <c r="B972" t="s">
        <v>17</v>
      </c>
      <c r="C972" t="s">
        <v>16</v>
      </c>
      <c r="F972" t="s">
        <v>15</v>
      </c>
      <c r="G972" t="s">
        <v>14</v>
      </c>
      <c r="H972" t="s">
        <v>13</v>
      </c>
      <c r="I972" t="s">
        <v>12</v>
      </c>
      <c r="J972">
        <v>60021902</v>
      </c>
      <c r="K972" t="s">
        <v>11</v>
      </c>
      <c r="L972" t="s">
        <v>10</v>
      </c>
      <c r="M972" t="s">
        <v>9</v>
      </c>
      <c r="N972">
        <v>1</v>
      </c>
      <c r="O972" t="s">
        <v>8</v>
      </c>
      <c r="P972">
        <v>7004903510</v>
      </c>
      <c r="Q972">
        <v>60021902</v>
      </c>
      <c r="R972" s="7">
        <v>32874</v>
      </c>
      <c r="S972" s="8">
        <f t="shared" si="120"/>
        <v>1990</v>
      </c>
      <c r="T972" s="8">
        <v>1990</v>
      </c>
      <c r="U972" s="8">
        <f t="shared" si="121"/>
        <v>32</v>
      </c>
      <c r="V972" s="7" t="s">
        <v>7</v>
      </c>
      <c r="W972" t="s">
        <v>6</v>
      </c>
      <c r="X972" s="2">
        <v>0.51100000000000001</v>
      </c>
      <c r="Y972" s="6">
        <f t="shared" si="126"/>
        <v>1.3640853153946772E-2</v>
      </c>
      <c r="AA972">
        <v>222933</v>
      </c>
      <c r="AB972">
        <v>29630</v>
      </c>
      <c r="AC972">
        <v>14645262</v>
      </c>
      <c r="AD972" t="s">
        <v>5</v>
      </c>
      <c r="AE972">
        <v>24</v>
      </c>
      <c r="AF972">
        <v>4</v>
      </c>
      <c r="AH972" t="s">
        <v>4</v>
      </c>
      <c r="AI972" t="s">
        <v>3</v>
      </c>
      <c r="AJ972" t="s">
        <v>2</v>
      </c>
      <c r="AK972" t="s">
        <v>1</v>
      </c>
      <c r="AL972">
        <v>80</v>
      </c>
      <c r="AM972" s="5">
        <f t="shared" si="122"/>
        <v>2.5</v>
      </c>
      <c r="AN972" s="4">
        <f t="shared" si="127"/>
        <v>3.7864445285876562E-3</v>
      </c>
      <c r="AO972" s="3"/>
      <c r="AP972">
        <v>0</v>
      </c>
      <c r="AR972" t="s">
        <v>0</v>
      </c>
      <c r="AT972" s="2">
        <v>1.016</v>
      </c>
      <c r="AU972" s="1">
        <f t="shared" si="123"/>
        <v>1.0684530566339037</v>
      </c>
      <c r="AV972" s="1">
        <f t="shared" si="124"/>
        <v>0.87136488412672131</v>
      </c>
      <c r="AW972" s="1">
        <f t="shared" si="125"/>
        <v>0.67427671161953906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2021-11-11T11:39:25Z</dcterms:created>
  <dcterms:modified xsi:type="dcterms:W3CDTF">2022-01-19T20:17:57Z</dcterms:modified>
</cp:coreProperties>
</file>