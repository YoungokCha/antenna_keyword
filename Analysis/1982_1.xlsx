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source_code/Analysis/"/>
    </mc:Choice>
  </mc:AlternateContent>
  <xr:revisionPtr revIDLastSave="3" documentId="8_{9D62D815-2AE9-E141-A7E2-1D5694268D71}" xr6:coauthVersionLast="47" xr6:coauthVersionMax="47" xr10:uidLastSave="{EFE5DB69-521D-7E40-B320-878826D5B0D3}"/>
  <bookViews>
    <workbookView xWindow="1020" yWindow="2520" windowWidth="27240" windowHeight="16440" xr2:uid="{20F00796-4C8F-C34C-90EF-98E053FFFE4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63" i="1" l="1"/>
  <c r="U563" i="1"/>
  <c r="AM563" i="1" s="1"/>
  <c r="AN563" i="1" s="1"/>
  <c r="S563" i="1"/>
  <c r="Y562" i="1"/>
  <c r="U562" i="1"/>
  <c r="AM562" i="1" s="1"/>
  <c r="AN562" i="1" s="1"/>
  <c r="S562" i="1"/>
  <c r="Y561" i="1"/>
  <c r="U561" i="1"/>
  <c r="AM561" i="1" s="1"/>
  <c r="AN561" i="1" s="1"/>
  <c r="S561" i="1"/>
  <c r="Y560" i="1"/>
  <c r="U560" i="1"/>
  <c r="AM560" i="1" s="1"/>
  <c r="AN560" i="1" s="1"/>
  <c r="S560" i="1"/>
  <c r="Y559" i="1"/>
  <c r="U559" i="1"/>
  <c r="AM559" i="1" s="1"/>
  <c r="AN559" i="1" s="1"/>
  <c r="S559" i="1"/>
  <c r="Y558" i="1"/>
  <c r="U558" i="1"/>
  <c r="AM558" i="1" s="1"/>
  <c r="AN558" i="1" s="1"/>
  <c r="S558" i="1"/>
  <c r="Y557" i="1"/>
  <c r="U557" i="1"/>
  <c r="AM557" i="1" s="1"/>
  <c r="AN557" i="1" s="1"/>
  <c r="S557" i="1"/>
  <c r="Y556" i="1"/>
  <c r="U556" i="1"/>
  <c r="AM556" i="1" s="1"/>
  <c r="AN556" i="1" s="1"/>
  <c r="S556" i="1"/>
  <c r="Y555" i="1"/>
  <c r="U555" i="1"/>
  <c r="AM555" i="1" s="1"/>
  <c r="AN555" i="1" s="1"/>
  <c r="S555" i="1"/>
  <c r="Y554" i="1"/>
  <c r="U554" i="1"/>
  <c r="AM554" i="1" s="1"/>
  <c r="AN554" i="1" s="1"/>
  <c r="S554" i="1"/>
  <c r="Y553" i="1"/>
  <c r="U553" i="1"/>
  <c r="AM553" i="1" s="1"/>
  <c r="AN553" i="1" s="1"/>
  <c r="S553" i="1"/>
  <c r="Y552" i="1"/>
  <c r="U552" i="1"/>
  <c r="AM552" i="1" s="1"/>
  <c r="AN552" i="1" s="1"/>
  <c r="S552" i="1"/>
  <c r="Y551" i="1"/>
  <c r="U551" i="1"/>
  <c r="AM551" i="1" s="1"/>
  <c r="AN551" i="1" s="1"/>
  <c r="S551" i="1"/>
  <c r="Y550" i="1"/>
  <c r="U550" i="1"/>
  <c r="AM550" i="1" s="1"/>
  <c r="AN550" i="1" s="1"/>
  <c r="S550" i="1"/>
  <c r="Y549" i="1"/>
  <c r="U549" i="1"/>
  <c r="AM549" i="1" s="1"/>
  <c r="AN549" i="1" s="1"/>
  <c r="S549" i="1"/>
  <c r="Y548" i="1"/>
  <c r="U548" i="1"/>
  <c r="AM548" i="1" s="1"/>
  <c r="AN548" i="1" s="1"/>
  <c r="S548" i="1"/>
  <c r="Y547" i="1"/>
  <c r="U547" i="1"/>
  <c r="AM547" i="1" s="1"/>
  <c r="AN547" i="1" s="1"/>
  <c r="S547" i="1"/>
  <c r="Y546" i="1"/>
  <c r="U546" i="1"/>
  <c r="AM546" i="1" s="1"/>
  <c r="AN546" i="1" s="1"/>
  <c r="S546" i="1"/>
  <c r="Y545" i="1"/>
  <c r="U545" i="1"/>
  <c r="AM545" i="1" s="1"/>
  <c r="AN545" i="1" s="1"/>
  <c r="S545" i="1"/>
  <c r="Y544" i="1"/>
  <c r="U544" i="1"/>
  <c r="AM544" i="1" s="1"/>
  <c r="AN544" i="1" s="1"/>
  <c r="S544" i="1"/>
  <c r="Y543" i="1"/>
  <c r="U543" i="1"/>
  <c r="AM543" i="1" s="1"/>
  <c r="AN543" i="1" s="1"/>
  <c r="S543" i="1"/>
  <c r="Y542" i="1"/>
  <c r="U542" i="1"/>
  <c r="AM542" i="1" s="1"/>
  <c r="AN542" i="1" s="1"/>
  <c r="S542" i="1"/>
  <c r="Y541" i="1"/>
  <c r="U541" i="1"/>
  <c r="AM541" i="1" s="1"/>
  <c r="AN541" i="1" s="1"/>
  <c r="AW541" i="1" s="1"/>
  <c r="S541" i="1"/>
  <c r="Y540" i="1"/>
  <c r="U540" i="1"/>
  <c r="AM540" i="1" s="1"/>
  <c r="AN540" i="1" s="1"/>
  <c r="S540" i="1"/>
  <c r="Y539" i="1"/>
  <c r="U539" i="1"/>
  <c r="AM539" i="1" s="1"/>
  <c r="AN539" i="1" s="1"/>
  <c r="S539" i="1"/>
  <c r="Y538" i="1"/>
  <c r="U538" i="1"/>
  <c r="AM538" i="1" s="1"/>
  <c r="AN538" i="1" s="1"/>
  <c r="S538" i="1"/>
  <c r="Y537" i="1"/>
  <c r="U537" i="1"/>
  <c r="AM537" i="1" s="1"/>
  <c r="AN537" i="1" s="1"/>
  <c r="S537" i="1"/>
  <c r="Y536" i="1"/>
  <c r="U536" i="1"/>
  <c r="AM536" i="1" s="1"/>
  <c r="AN536" i="1" s="1"/>
  <c r="S536" i="1"/>
  <c r="Y535" i="1"/>
  <c r="U535" i="1"/>
  <c r="AM535" i="1" s="1"/>
  <c r="AN535" i="1" s="1"/>
  <c r="S535" i="1"/>
  <c r="Y534" i="1"/>
  <c r="U534" i="1"/>
  <c r="AM534" i="1" s="1"/>
  <c r="AN534" i="1" s="1"/>
  <c r="S534" i="1"/>
  <c r="Y533" i="1"/>
  <c r="U533" i="1"/>
  <c r="AM533" i="1" s="1"/>
  <c r="AN533" i="1" s="1"/>
  <c r="S533" i="1"/>
  <c r="Y532" i="1"/>
  <c r="U532" i="1"/>
  <c r="AM532" i="1" s="1"/>
  <c r="AN532" i="1" s="1"/>
  <c r="S532" i="1"/>
  <c r="Y531" i="1"/>
  <c r="U531" i="1"/>
  <c r="AM531" i="1" s="1"/>
  <c r="AN531" i="1" s="1"/>
  <c r="S531" i="1"/>
  <c r="Y530" i="1"/>
  <c r="U530" i="1"/>
  <c r="AM530" i="1" s="1"/>
  <c r="AN530" i="1" s="1"/>
  <c r="S530" i="1"/>
  <c r="Y529" i="1"/>
  <c r="U529" i="1"/>
  <c r="AM529" i="1" s="1"/>
  <c r="AN529" i="1" s="1"/>
  <c r="S529" i="1"/>
  <c r="Y528" i="1"/>
  <c r="U528" i="1"/>
  <c r="AM528" i="1" s="1"/>
  <c r="AN528" i="1" s="1"/>
  <c r="S528" i="1"/>
  <c r="Y527" i="1"/>
  <c r="U527" i="1"/>
  <c r="AM527" i="1" s="1"/>
  <c r="AN527" i="1" s="1"/>
  <c r="S527" i="1"/>
  <c r="Y526" i="1"/>
  <c r="U526" i="1"/>
  <c r="AM526" i="1" s="1"/>
  <c r="AN526" i="1" s="1"/>
  <c r="S526" i="1"/>
  <c r="Y525" i="1"/>
  <c r="U525" i="1"/>
  <c r="AM525" i="1" s="1"/>
  <c r="AN525" i="1" s="1"/>
  <c r="S525" i="1"/>
  <c r="Y524" i="1"/>
  <c r="U524" i="1"/>
  <c r="AM524" i="1" s="1"/>
  <c r="AN524" i="1" s="1"/>
  <c r="S524" i="1"/>
  <c r="Y523" i="1"/>
  <c r="U523" i="1"/>
  <c r="AM523" i="1" s="1"/>
  <c r="AN523" i="1" s="1"/>
  <c r="S523" i="1"/>
  <c r="Y522" i="1"/>
  <c r="U522" i="1"/>
  <c r="AM522" i="1" s="1"/>
  <c r="AN522" i="1" s="1"/>
  <c r="S522" i="1"/>
  <c r="Y521" i="1"/>
  <c r="U521" i="1"/>
  <c r="AM521" i="1" s="1"/>
  <c r="AN521" i="1" s="1"/>
  <c r="S521" i="1"/>
  <c r="Y520" i="1"/>
  <c r="U520" i="1"/>
  <c r="AM520" i="1" s="1"/>
  <c r="AN520" i="1" s="1"/>
  <c r="S520" i="1"/>
  <c r="Y519" i="1"/>
  <c r="U519" i="1"/>
  <c r="AM519" i="1" s="1"/>
  <c r="AN519" i="1" s="1"/>
  <c r="S519" i="1"/>
  <c r="Y518" i="1"/>
  <c r="U518" i="1"/>
  <c r="AM518" i="1" s="1"/>
  <c r="AN518" i="1" s="1"/>
  <c r="S518" i="1"/>
  <c r="Y517" i="1"/>
  <c r="U517" i="1"/>
  <c r="AM517" i="1" s="1"/>
  <c r="AN517" i="1" s="1"/>
  <c r="S517" i="1"/>
  <c r="Y516" i="1"/>
  <c r="U516" i="1"/>
  <c r="AM516" i="1" s="1"/>
  <c r="AN516" i="1" s="1"/>
  <c r="S516" i="1"/>
  <c r="Y515" i="1"/>
  <c r="U515" i="1"/>
  <c r="AM515" i="1" s="1"/>
  <c r="AN515" i="1" s="1"/>
  <c r="S515" i="1"/>
  <c r="Y514" i="1"/>
  <c r="U514" i="1"/>
  <c r="AM514" i="1" s="1"/>
  <c r="AN514" i="1" s="1"/>
  <c r="S514" i="1"/>
  <c r="Y513" i="1"/>
  <c r="U513" i="1"/>
  <c r="AM513" i="1" s="1"/>
  <c r="AN513" i="1" s="1"/>
  <c r="S513" i="1"/>
  <c r="Y512" i="1"/>
  <c r="U512" i="1"/>
  <c r="AM512" i="1" s="1"/>
  <c r="AN512" i="1" s="1"/>
  <c r="S512" i="1"/>
  <c r="Y511" i="1"/>
  <c r="U511" i="1"/>
  <c r="AM511" i="1" s="1"/>
  <c r="AN511" i="1" s="1"/>
  <c r="S511" i="1"/>
  <c r="Y510" i="1"/>
  <c r="U510" i="1"/>
  <c r="AM510" i="1" s="1"/>
  <c r="AN510" i="1" s="1"/>
  <c r="S510" i="1"/>
  <c r="Y509" i="1"/>
  <c r="U509" i="1"/>
  <c r="AM509" i="1" s="1"/>
  <c r="AN509" i="1" s="1"/>
  <c r="S509" i="1"/>
  <c r="Y508" i="1"/>
  <c r="U508" i="1"/>
  <c r="AM508" i="1" s="1"/>
  <c r="AN508" i="1" s="1"/>
  <c r="S508" i="1"/>
  <c r="Y507" i="1"/>
  <c r="U507" i="1"/>
  <c r="AM507" i="1" s="1"/>
  <c r="AN507" i="1" s="1"/>
  <c r="S507" i="1"/>
  <c r="Y506" i="1"/>
  <c r="U506" i="1"/>
  <c r="AM506" i="1" s="1"/>
  <c r="AN506" i="1" s="1"/>
  <c r="S506" i="1"/>
  <c r="Y505" i="1"/>
  <c r="U505" i="1"/>
  <c r="AM505" i="1" s="1"/>
  <c r="AN505" i="1" s="1"/>
  <c r="S505" i="1"/>
  <c r="Y504" i="1"/>
  <c r="U504" i="1"/>
  <c r="AM504" i="1" s="1"/>
  <c r="AN504" i="1" s="1"/>
  <c r="S504" i="1"/>
  <c r="Y503" i="1"/>
  <c r="U503" i="1"/>
  <c r="AM503" i="1" s="1"/>
  <c r="AN503" i="1" s="1"/>
  <c r="S503" i="1"/>
  <c r="Y502" i="1"/>
  <c r="U502" i="1"/>
  <c r="AM502" i="1" s="1"/>
  <c r="AN502" i="1" s="1"/>
  <c r="S502" i="1"/>
  <c r="Y501" i="1"/>
  <c r="U501" i="1"/>
  <c r="AM501" i="1" s="1"/>
  <c r="AN501" i="1" s="1"/>
  <c r="S501" i="1"/>
  <c r="Y500" i="1"/>
  <c r="U500" i="1"/>
  <c r="AM500" i="1" s="1"/>
  <c r="AN500" i="1" s="1"/>
  <c r="S500" i="1"/>
  <c r="Y499" i="1"/>
  <c r="U499" i="1"/>
  <c r="AM499" i="1" s="1"/>
  <c r="AN499" i="1" s="1"/>
  <c r="S499" i="1"/>
  <c r="Y498" i="1"/>
  <c r="U498" i="1"/>
  <c r="AM498" i="1" s="1"/>
  <c r="AN498" i="1" s="1"/>
  <c r="S498" i="1"/>
  <c r="Y497" i="1"/>
  <c r="U497" i="1"/>
  <c r="AM497" i="1" s="1"/>
  <c r="AN497" i="1" s="1"/>
  <c r="S497" i="1"/>
  <c r="Y496" i="1"/>
  <c r="U496" i="1"/>
  <c r="AM496" i="1" s="1"/>
  <c r="AN496" i="1" s="1"/>
  <c r="S496" i="1"/>
  <c r="Y495" i="1"/>
  <c r="U495" i="1"/>
  <c r="AM495" i="1" s="1"/>
  <c r="AN495" i="1" s="1"/>
  <c r="S495" i="1"/>
  <c r="Y494" i="1"/>
  <c r="U494" i="1"/>
  <c r="AM494" i="1" s="1"/>
  <c r="AN494" i="1" s="1"/>
  <c r="S494" i="1"/>
  <c r="Y493" i="1"/>
  <c r="U493" i="1"/>
  <c r="AM493" i="1" s="1"/>
  <c r="AN493" i="1" s="1"/>
  <c r="S493" i="1"/>
  <c r="Y492" i="1"/>
  <c r="U492" i="1"/>
  <c r="AM492" i="1" s="1"/>
  <c r="AN492" i="1" s="1"/>
  <c r="S492" i="1"/>
  <c r="Y491" i="1"/>
  <c r="U491" i="1"/>
  <c r="AM491" i="1" s="1"/>
  <c r="AN491" i="1" s="1"/>
  <c r="S491" i="1"/>
  <c r="Y490" i="1"/>
  <c r="U490" i="1"/>
  <c r="AM490" i="1" s="1"/>
  <c r="AN490" i="1" s="1"/>
  <c r="S490" i="1"/>
  <c r="Y489" i="1"/>
  <c r="U489" i="1"/>
  <c r="AM489" i="1" s="1"/>
  <c r="AN489" i="1" s="1"/>
  <c r="S489" i="1"/>
  <c r="Y488" i="1"/>
  <c r="U488" i="1"/>
  <c r="AM488" i="1" s="1"/>
  <c r="AN488" i="1" s="1"/>
  <c r="S488" i="1"/>
  <c r="Y487" i="1"/>
  <c r="U487" i="1"/>
  <c r="AM487" i="1" s="1"/>
  <c r="AN487" i="1" s="1"/>
  <c r="S487" i="1"/>
  <c r="Y486" i="1"/>
  <c r="U486" i="1"/>
  <c r="AM486" i="1" s="1"/>
  <c r="AN486" i="1" s="1"/>
  <c r="S486" i="1"/>
  <c r="Y485" i="1"/>
  <c r="U485" i="1"/>
  <c r="AM485" i="1" s="1"/>
  <c r="AN485" i="1" s="1"/>
  <c r="S485" i="1"/>
  <c r="Y484" i="1"/>
  <c r="U484" i="1"/>
  <c r="AM484" i="1" s="1"/>
  <c r="AN484" i="1" s="1"/>
  <c r="S484" i="1"/>
  <c r="Y483" i="1"/>
  <c r="U483" i="1"/>
  <c r="AM483" i="1" s="1"/>
  <c r="AN483" i="1" s="1"/>
  <c r="AU483" i="1" s="1"/>
  <c r="S483" i="1"/>
  <c r="Y482" i="1"/>
  <c r="U482" i="1"/>
  <c r="AM482" i="1" s="1"/>
  <c r="AN482" i="1" s="1"/>
  <c r="S482" i="1"/>
  <c r="Y481" i="1"/>
  <c r="U481" i="1"/>
  <c r="AM481" i="1" s="1"/>
  <c r="AN481" i="1" s="1"/>
  <c r="S481" i="1"/>
  <c r="Y480" i="1"/>
  <c r="U480" i="1"/>
  <c r="AM480" i="1" s="1"/>
  <c r="AN480" i="1" s="1"/>
  <c r="S480" i="1"/>
  <c r="Y479" i="1"/>
  <c r="U479" i="1"/>
  <c r="AM479" i="1" s="1"/>
  <c r="AN479" i="1" s="1"/>
  <c r="S479" i="1"/>
  <c r="Y478" i="1"/>
  <c r="U478" i="1"/>
  <c r="AM478" i="1" s="1"/>
  <c r="AN478" i="1" s="1"/>
  <c r="S478" i="1"/>
  <c r="Y477" i="1"/>
  <c r="U477" i="1"/>
  <c r="AM477" i="1" s="1"/>
  <c r="AN477" i="1" s="1"/>
  <c r="S477" i="1"/>
  <c r="Y476" i="1"/>
  <c r="U476" i="1"/>
  <c r="AM476" i="1" s="1"/>
  <c r="AN476" i="1" s="1"/>
  <c r="S476" i="1"/>
  <c r="Y475" i="1"/>
  <c r="U475" i="1"/>
  <c r="AM475" i="1" s="1"/>
  <c r="AN475" i="1" s="1"/>
  <c r="S475" i="1"/>
  <c r="Y474" i="1"/>
  <c r="U474" i="1"/>
  <c r="AM474" i="1" s="1"/>
  <c r="AN474" i="1" s="1"/>
  <c r="S474" i="1"/>
  <c r="Y473" i="1"/>
  <c r="U473" i="1"/>
  <c r="AM473" i="1" s="1"/>
  <c r="AN473" i="1" s="1"/>
  <c r="S473" i="1"/>
  <c r="Y472" i="1"/>
  <c r="U472" i="1"/>
  <c r="AM472" i="1" s="1"/>
  <c r="AN472" i="1" s="1"/>
  <c r="S472" i="1"/>
  <c r="Y471" i="1"/>
  <c r="U471" i="1"/>
  <c r="AM471" i="1" s="1"/>
  <c r="AN471" i="1" s="1"/>
  <c r="S471" i="1"/>
  <c r="Y470" i="1"/>
  <c r="U470" i="1"/>
  <c r="AM470" i="1" s="1"/>
  <c r="AN470" i="1" s="1"/>
  <c r="S470" i="1"/>
  <c r="Y469" i="1"/>
  <c r="U469" i="1"/>
  <c r="AM469" i="1" s="1"/>
  <c r="AN469" i="1" s="1"/>
  <c r="S469" i="1"/>
  <c r="Y468" i="1"/>
  <c r="U468" i="1"/>
  <c r="AM468" i="1" s="1"/>
  <c r="AN468" i="1" s="1"/>
  <c r="S468" i="1"/>
  <c r="Y467" i="1"/>
  <c r="U467" i="1"/>
  <c r="AM467" i="1" s="1"/>
  <c r="AN467" i="1" s="1"/>
  <c r="S467" i="1"/>
  <c r="Y466" i="1"/>
  <c r="U466" i="1"/>
  <c r="AM466" i="1" s="1"/>
  <c r="AN466" i="1" s="1"/>
  <c r="S466" i="1"/>
  <c r="Y465" i="1"/>
  <c r="U465" i="1"/>
  <c r="AM465" i="1" s="1"/>
  <c r="AN465" i="1" s="1"/>
  <c r="S465" i="1"/>
  <c r="Y464" i="1"/>
  <c r="U464" i="1"/>
  <c r="AM464" i="1" s="1"/>
  <c r="AN464" i="1" s="1"/>
  <c r="S464" i="1"/>
  <c r="Y463" i="1"/>
  <c r="U463" i="1"/>
  <c r="AM463" i="1" s="1"/>
  <c r="AN463" i="1" s="1"/>
  <c r="S463" i="1"/>
  <c r="Y462" i="1"/>
  <c r="U462" i="1"/>
  <c r="AM462" i="1" s="1"/>
  <c r="AN462" i="1" s="1"/>
  <c r="S462" i="1"/>
  <c r="Y461" i="1"/>
  <c r="U461" i="1"/>
  <c r="AM461" i="1" s="1"/>
  <c r="AN461" i="1" s="1"/>
  <c r="S461" i="1"/>
  <c r="Y460" i="1"/>
  <c r="U460" i="1"/>
  <c r="AM460" i="1" s="1"/>
  <c r="AN460" i="1" s="1"/>
  <c r="S460" i="1"/>
  <c r="Y459" i="1"/>
  <c r="U459" i="1"/>
  <c r="AM459" i="1" s="1"/>
  <c r="AN459" i="1" s="1"/>
  <c r="S459" i="1"/>
  <c r="Y458" i="1"/>
  <c r="U458" i="1"/>
  <c r="AM458" i="1" s="1"/>
  <c r="AN458" i="1" s="1"/>
  <c r="S458" i="1"/>
  <c r="Y457" i="1"/>
  <c r="U457" i="1"/>
  <c r="AM457" i="1" s="1"/>
  <c r="AN457" i="1" s="1"/>
  <c r="S457" i="1"/>
  <c r="Y456" i="1"/>
  <c r="U456" i="1"/>
  <c r="AM456" i="1" s="1"/>
  <c r="AN456" i="1" s="1"/>
  <c r="S456" i="1"/>
  <c r="Y455" i="1"/>
  <c r="U455" i="1"/>
  <c r="AM455" i="1" s="1"/>
  <c r="AN455" i="1" s="1"/>
  <c r="S455" i="1"/>
  <c r="Y454" i="1"/>
  <c r="U454" i="1"/>
  <c r="AM454" i="1" s="1"/>
  <c r="AN454" i="1" s="1"/>
  <c r="S454" i="1"/>
  <c r="Y453" i="1"/>
  <c r="U453" i="1"/>
  <c r="AM453" i="1" s="1"/>
  <c r="AN453" i="1" s="1"/>
  <c r="S453" i="1"/>
  <c r="Y452" i="1"/>
  <c r="U452" i="1"/>
  <c r="AM452" i="1" s="1"/>
  <c r="AN452" i="1" s="1"/>
  <c r="S452" i="1"/>
  <c r="Y451" i="1"/>
  <c r="U451" i="1"/>
  <c r="AM451" i="1" s="1"/>
  <c r="AN451" i="1" s="1"/>
  <c r="S451" i="1"/>
  <c r="Y450" i="1"/>
  <c r="U450" i="1"/>
  <c r="AM450" i="1" s="1"/>
  <c r="AN450" i="1" s="1"/>
  <c r="S450" i="1"/>
  <c r="Y449" i="1"/>
  <c r="U449" i="1"/>
  <c r="AM449" i="1" s="1"/>
  <c r="AN449" i="1" s="1"/>
  <c r="S449" i="1"/>
  <c r="Y448" i="1"/>
  <c r="U448" i="1"/>
  <c r="AM448" i="1" s="1"/>
  <c r="AN448" i="1" s="1"/>
  <c r="S448" i="1"/>
  <c r="Y447" i="1"/>
  <c r="U447" i="1"/>
  <c r="AM447" i="1" s="1"/>
  <c r="AN447" i="1" s="1"/>
  <c r="S447" i="1"/>
  <c r="Y446" i="1"/>
  <c r="U446" i="1"/>
  <c r="AM446" i="1" s="1"/>
  <c r="AN446" i="1" s="1"/>
  <c r="S446" i="1"/>
  <c r="Y445" i="1"/>
  <c r="U445" i="1"/>
  <c r="AM445" i="1" s="1"/>
  <c r="AN445" i="1" s="1"/>
  <c r="S445" i="1"/>
  <c r="Y444" i="1"/>
  <c r="U444" i="1"/>
  <c r="AM444" i="1" s="1"/>
  <c r="AN444" i="1" s="1"/>
  <c r="S444" i="1"/>
  <c r="Y443" i="1"/>
  <c r="U443" i="1"/>
  <c r="AM443" i="1" s="1"/>
  <c r="AN443" i="1" s="1"/>
  <c r="S443" i="1"/>
  <c r="Y442" i="1"/>
  <c r="U442" i="1"/>
  <c r="AM442" i="1" s="1"/>
  <c r="AN442" i="1" s="1"/>
  <c r="S442" i="1"/>
  <c r="Y441" i="1"/>
  <c r="U441" i="1"/>
  <c r="AM441" i="1" s="1"/>
  <c r="AN441" i="1" s="1"/>
  <c r="S441" i="1"/>
  <c r="Y440" i="1"/>
  <c r="U440" i="1"/>
  <c r="AM440" i="1" s="1"/>
  <c r="AN440" i="1" s="1"/>
  <c r="S440" i="1"/>
  <c r="Y439" i="1"/>
  <c r="U439" i="1"/>
  <c r="AM439" i="1" s="1"/>
  <c r="AN439" i="1" s="1"/>
  <c r="S439" i="1"/>
  <c r="Y438" i="1"/>
  <c r="U438" i="1"/>
  <c r="AM438" i="1" s="1"/>
  <c r="AN438" i="1" s="1"/>
  <c r="S438" i="1"/>
  <c r="Y437" i="1"/>
  <c r="U437" i="1"/>
  <c r="AM437" i="1" s="1"/>
  <c r="AN437" i="1" s="1"/>
  <c r="AW437" i="1" s="1"/>
  <c r="S437" i="1"/>
  <c r="Y436" i="1"/>
  <c r="U436" i="1"/>
  <c r="AM436" i="1" s="1"/>
  <c r="AN436" i="1" s="1"/>
  <c r="S436" i="1"/>
  <c r="Y435" i="1"/>
  <c r="U435" i="1"/>
  <c r="AM435" i="1" s="1"/>
  <c r="AN435" i="1" s="1"/>
  <c r="S435" i="1"/>
  <c r="Y434" i="1"/>
  <c r="U434" i="1"/>
  <c r="AM434" i="1" s="1"/>
  <c r="AN434" i="1" s="1"/>
  <c r="S434" i="1"/>
  <c r="Y433" i="1"/>
  <c r="U433" i="1"/>
  <c r="AM433" i="1" s="1"/>
  <c r="AN433" i="1" s="1"/>
  <c r="S433" i="1"/>
  <c r="Y432" i="1"/>
  <c r="U432" i="1"/>
  <c r="AM432" i="1" s="1"/>
  <c r="AN432" i="1" s="1"/>
  <c r="S432" i="1"/>
  <c r="Y431" i="1"/>
  <c r="U431" i="1"/>
  <c r="AM431" i="1" s="1"/>
  <c r="AN431" i="1" s="1"/>
  <c r="S431" i="1"/>
  <c r="Y430" i="1"/>
  <c r="U430" i="1"/>
  <c r="AM430" i="1" s="1"/>
  <c r="AN430" i="1" s="1"/>
  <c r="S430" i="1"/>
  <c r="Y429" i="1"/>
  <c r="U429" i="1"/>
  <c r="AM429" i="1" s="1"/>
  <c r="AN429" i="1" s="1"/>
  <c r="S429" i="1"/>
  <c r="Y428" i="1"/>
  <c r="U428" i="1"/>
  <c r="AM428" i="1" s="1"/>
  <c r="AN428" i="1" s="1"/>
  <c r="S428" i="1"/>
  <c r="Y427" i="1"/>
  <c r="U427" i="1"/>
  <c r="AM427" i="1" s="1"/>
  <c r="AN427" i="1" s="1"/>
  <c r="S427" i="1"/>
  <c r="Y426" i="1"/>
  <c r="U426" i="1"/>
  <c r="AM426" i="1" s="1"/>
  <c r="AN426" i="1" s="1"/>
  <c r="S426" i="1"/>
  <c r="Y425" i="1"/>
  <c r="U425" i="1"/>
  <c r="AM425" i="1" s="1"/>
  <c r="AN425" i="1" s="1"/>
  <c r="S425" i="1"/>
  <c r="Y424" i="1"/>
  <c r="U424" i="1"/>
  <c r="AM424" i="1" s="1"/>
  <c r="AN424" i="1" s="1"/>
  <c r="S424" i="1"/>
  <c r="Y423" i="1"/>
  <c r="U423" i="1"/>
  <c r="AM423" i="1" s="1"/>
  <c r="AN423" i="1" s="1"/>
  <c r="S423" i="1"/>
  <c r="Y422" i="1"/>
  <c r="U422" i="1"/>
  <c r="AM422" i="1" s="1"/>
  <c r="AN422" i="1" s="1"/>
  <c r="S422" i="1"/>
  <c r="Y421" i="1"/>
  <c r="U421" i="1"/>
  <c r="AM421" i="1" s="1"/>
  <c r="AN421" i="1" s="1"/>
  <c r="S421" i="1"/>
  <c r="Y420" i="1"/>
  <c r="U420" i="1"/>
  <c r="AM420" i="1" s="1"/>
  <c r="AN420" i="1" s="1"/>
  <c r="S420" i="1"/>
  <c r="Y419" i="1"/>
  <c r="U419" i="1"/>
  <c r="AM419" i="1" s="1"/>
  <c r="AN419" i="1" s="1"/>
  <c r="S419" i="1"/>
  <c r="Y418" i="1"/>
  <c r="U418" i="1"/>
  <c r="AM418" i="1" s="1"/>
  <c r="AN418" i="1" s="1"/>
  <c r="S418" i="1"/>
  <c r="Y417" i="1"/>
  <c r="U417" i="1"/>
  <c r="AM417" i="1" s="1"/>
  <c r="AN417" i="1" s="1"/>
  <c r="S417" i="1"/>
  <c r="Y416" i="1"/>
  <c r="U416" i="1"/>
  <c r="AM416" i="1" s="1"/>
  <c r="AN416" i="1" s="1"/>
  <c r="S416" i="1"/>
  <c r="Y415" i="1"/>
  <c r="U415" i="1"/>
  <c r="AM415" i="1" s="1"/>
  <c r="AN415" i="1" s="1"/>
  <c r="S415" i="1"/>
  <c r="Y414" i="1"/>
  <c r="U414" i="1"/>
  <c r="AM414" i="1" s="1"/>
  <c r="AN414" i="1" s="1"/>
  <c r="S414" i="1"/>
  <c r="Y413" i="1"/>
  <c r="U413" i="1"/>
  <c r="AM413" i="1" s="1"/>
  <c r="AN413" i="1" s="1"/>
  <c r="S413" i="1"/>
  <c r="Y412" i="1"/>
  <c r="U412" i="1"/>
  <c r="AM412" i="1" s="1"/>
  <c r="AN412" i="1" s="1"/>
  <c r="S412" i="1"/>
  <c r="Y411" i="1"/>
  <c r="U411" i="1"/>
  <c r="AM411" i="1" s="1"/>
  <c r="AN411" i="1" s="1"/>
  <c r="S411" i="1"/>
  <c r="Y410" i="1"/>
  <c r="U410" i="1"/>
  <c r="AM410" i="1" s="1"/>
  <c r="AN410" i="1" s="1"/>
  <c r="S410" i="1"/>
  <c r="Y409" i="1"/>
  <c r="U409" i="1"/>
  <c r="AM409" i="1" s="1"/>
  <c r="AN409" i="1" s="1"/>
  <c r="S409" i="1"/>
  <c r="Y408" i="1"/>
  <c r="U408" i="1"/>
  <c r="AM408" i="1" s="1"/>
  <c r="AN408" i="1" s="1"/>
  <c r="S408" i="1"/>
  <c r="Y407" i="1"/>
  <c r="U407" i="1"/>
  <c r="AM407" i="1" s="1"/>
  <c r="AN407" i="1" s="1"/>
  <c r="S407" i="1"/>
  <c r="Y406" i="1"/>
  <c r="U406" i="1"/>
  <c r="AM406" i="1" s="1"/>
  <c r="AN406" i="1" s="1"/>
  <c r="S406" i="1"/>
  <c r="Y405" i="1"/>
  <c r="U405" i="1"/>
  <c r="AM405" i="1" s="1"/>
  <c r="AN405" i="1" s="1"/>
  <c r="S405" i="1"/>
  <c r="Y404" i="1"/>
  <c r="U404" i="1"/>
  <c r="AM404" i="1" s="1"/>
  <c r="AN404" i="1" s="1"/>
  <c r="S404" i="1"/>
  <c r="Y403" i="1"/>
  <c r="U403" i="1"/>
  <c r="AM403" i="1" s="1"/>
  <c r="AN403" i="1" s="1"/>
  <c r="S403" i="1"/>
  <c r="Y402" i="1"/>
  <c r="U402" i="1"/>
  <c r="AM402" i="1" s="1"/>
  <c r="AN402" i="1" s="1"/>
  <c r="S402" i="1"/>
  <c r="Y401" i="1"/>
  <c r="U401" i="1"/>
  <c r="AM401" i="1" s="1"/>
  <c r="AN401" i="1" s="1"/>
  <c r="S401" i="1"/>
  <c r="Y400" i="1"/>
  <c r="U400" i="1"/>
  <c r="AM400" i="1" s="1"/>
  <c r="AN400" i="1" s="1"/>
  <c r="S400" i="1"/>
  <c r="Y399" i="1"/>
  <c r="U399" i="1"/>
  <c r="AM399" i="1" s="1"/>
  <c r="AN399" i="1" s="1"/>
  <c r="S399" i="1"/>
  <c r="Y398" i="1"/>
  <c r="U398" i="1"/>
  <c r="AM398" i="1" s="1"/>
  <c r="AN398" i="1" s="1"/>
  <c r="S398" i="1"/>
  <c r="Y397" i="1"/>
  <c r="U397" i="1"/>
  <c r="AM397" i="1" s="1"/>
  <c r="AN397" i="1" s="1"/>
  <c r="S397" i="1"/>
  <c r="Y396" i="1"/>
  <c r="U396" i="1"/>
  <c r="AM396" i="1" s="1"/>
  <c r="AN396" i="1" s="1"/>
  <c r="S396" i="1"/>
  <c r="Y395" i="1"/>
  <c r="U395" i="1"/>
  <c r="AM395" i="1" s="1"/>
  <c r="AN395" i="1" s="1"/>
  <c r="S395" i="1"/>
  <c r="AM394" i="1"/>
  <c r="AN394" i="1" s="1"/>
  <c r="Y394" i="1"/>
  <c r="U394" i="1"/>
  <c r="S394" i="1"/>
  <c r="AM393" i="1"/>
  <c r="AN393" i="1" s="1"/>
  <c r="Y393" i="1"/>
  <c r="U393" i="1"/>
  <c r="S393" i="1"/>
  <c r="Y392" i="1"/>
  <c r="U392" i="1"/>
  <c r="AM392" i="1" s="1"/>
  <c r="AN392" i="1" s="1"/>
  <c r="S392" i="1"/>
  <c r="Y391" i="1"/>
  <c r="U391" i="1"/>
  <c r="AM391" i="1" s="1"/>
  <c r="AN391" i="1" s="1"/>
  <c r="S391" i="1"/>
  <c r="Y390" i="1"/>
  <c r="U390" i="1"/>
  <c r="AM390" i="1" s="1"/>
  <c r="AN390" i="1" s="1"/>
  <c r="S390" i="1"/>
  <c r="Y389" i="1"/>
  <c r="U389" i="1"/>
  <c r="AM389" i="1" s="1"/>
  <c r="AN389" i="1" s="1"/>
  <c r="S389" i="1"/>
  <c r="Y388" i="1"/>
  <c r="U388" i="1"/>
  <c r="AM388" i="1" s="1"/>
  <c r="AN388" i="1" s="1"/>
  <c r="S388" i="1"/>
  <c r="Y387" i="1"/>
  <c r="U387" i="1"/>
  <c r="AM387" i="1" s="1"/>
  <c r="AN387" i="1" s="1"/>
  <c r="S387" i="1"/>
  <c r="Y386" i="1"/>
  <c r="U386" i="1"/>
  <c r="AM386" i="1" s="1"/>
  <c r="AN386" i="1" s="1"/>
  <c r="S386" i="1"/>
  <c r="Y385" i="1"/>
  <c r="U385" i="1"/>
  <c r="AM385" i="1" s="1"/>
  <c r="AN385" i="1" s="1"/>
  <c r="S385" i="1"/>
  <c r="Y384" i="1"/>
  <c r="U384" i="1"/>
  <c r="AM384" i="1" s="1"/>
  <c r="AN384" i="1" s="1"/>
  <c r="S384" i="1"/>
  <c r="Y383" i="1"/>
  <c r="U383" i="1"/>
  <c r="AM383" i="1" s="1"/>
  <c r="AN383" i="1" s="1"/>
  <c r="S383" i="1"/>
  <c r="Y382" i="1"/>
  <c r="U382" i="1"/>
  <c r="AM382" i="1" s="1"/>
  <c r="AN382" i="1" s="1"/>
  <c r="S382" i="1"/>
  <c r="Y381" i="1"/>
  <c r="U381" i="1"/>
  <c r="AM381" i="1" s="1"/>
  <c r="AN381" i="1" s="1"/>
  <c r="S381" i="1"/>
  <c r="Y380" i="1"/>
  <c r="U380" i="1"/>
  <c r="AM380" i="1" s="1"/>
  <c r="AN380" i="1" s="1"/>
  <c r="S380" i="1"/>
  <c r="Y379" i="1"/>
  <c r="U379" i="1"/>
  <c r="AM379" i="1" s="1"/>
  <c r="AN379" i="1" s="1"/>
  <c r="S379" i="1"/>
  <c r="Y378" i="1"/>
  <c r="U378" i="1"/>
  <c r="AM378" i="1" s="1"/>
  <c r="AN378" i="1" s="1"/>
  <c r="S378" i="1"/>
  <c r="Y377" i="1"/>
  <c r="U377" i="1"/>
  <c r="AM377" i="1" s="1"/>
  <c r="AN377" i="1" s="1"/>
  <c r="S377" i="1"/>
  <c r="Y376" i="1"/>
  <c r="U376" i="1"/>
  <c r="AM376" i="1" s="1"/>
  <c r="AN376" i="1" s="1"/>
  <c r="S376" i="1"/>
  <c r="Y375" i="1"/>
  <c r="U375" i="1"/>
  <c r="AM375" i="1" s="1"/>
  <c r="AN375" i="1" s="1"/>
  <c r="S375" i="1"/>
  <c r="Y374" i="1"/>
  <c r="U374" i="1"/>
  <c r="AM374" i="1" s="1"/>
  <c r="AN374" i="1" s="1"/>
  <c r="S374" i="1"/>
  <c r="Y373" i="1"/>
  <c r="U373" i="1"/>
  <c r="AM373" i="1" s="1"/>
  <c r="AN373" i="1" s="1"/>
  <c r="S373" i="1"/>
  <c r="Y372" i="1"/>
  <c r="U372" i="1"/>
  <c r="AM372" i="1" s="1"/>
  <c r="AN372" i="1" s="1"/>
  <c r="S372" i="1"/>
  <c r="Y371" i="1"/>
  <c r="U371" i="1"/>
  <c r="AM371" i="1" s="1"/>
  <c r="AN371" i="1" s="1"/>
  <c r="S371" i="1"/>
  <c r="Y370" i="1"/>
  <c r="U370" i="1"/>
  <c r="AM370" i="1" s="1"/>
  <c r="AN370" i="1" s="1"/>
  <c r="S370" i="1"/>
  <c r="Y369" i="1"/>
  <c r="U369" i="1"/>
  <c r="AM369" i="1" s="1"/>
  <c r="AN369" i="1" s="1"/>
  <c r="S369" i="1"/>
  <c r="Y368" i="1"/>
  <c r="U368" i="1"/>
  <c r="AM368" i="1" s="1"/>
  <c r="AN368" i="1" s="1"/>
  <c r="S368" i="1"/>
  <c r="Y367" i="1"/>
  <c r="U367" i="1"/>
  <c r="AM367" i="1" s="1"/>
  <c r="AN367" i="1" s="1"/>
  <c r="S367" i="1"/>
  <c r="AN366" i="1"/>
  <c r="Y366" i="1"/>
  <c r="U366" i="1"/>
  <c r="AM366" i="1" s="1"/>
  <c r="S366" i="1"/>
  <c r="Y365" i="1"/>
  <c r="U365" i="1"/>
  <c r="AM365" i="1" s="1"/>
  <c r="AN365" i="1" s="1"/>
  <c r="S365" i="1"/>
  <c r="Y364" i="1"/>
  <c r="U364" i="1"/>
  <c r="AM364" i="1" s="1"/>
  <c r="AN364" i="1" s="1"/>
  <c r="S364" i="1"/>
  <c r="Y363" i="1"/>
  <c r="U363" i="1"/>
  <c r="AM363" i="1" s="1"/>
  <c r="AN363" i="1" s="1"/>
  <c r="S363" i="1"/>
  <c r="Y362" i="1"/>
  <c r="U362" i="1"/>
  <c r="AM362" i="1" s="1"/>
  <c r="AN362" i="1" s="1"/>
  <c r="S362" i="1"/>
  <c r="Y361" i="1"/>
  <c r="U361" i="1"/>
  <c r="AM361" i="1" s="1"/>
  <c r="AN361" i="1" s="1"/>
  <c r="S361" i="1"/>
  <c r="Y360" i="1"/>
  <c r="U360" i="1"/>
  <c r="AM360" i="1" s="1"/>
  <c r="AN360" i="1" s="1"/>
  <c r="AW360" i="1" s="1"/>
  <c r="S360" i="1"/>
  <c r="Y359" i="1"/>
  <c r="U359" i="1"/>
  <c r="AM359" i="1" s="1"/>
  <c r="AN359" i="1" s="1"/>
  <c r="S359" i="1"/>
  <c r="Y358" i="1"/>
  <c r="U358" i="1"/>
  <c r="AM358" i="1" s="1"/>
  <c r="AN358" i="1" s="1"/>
  <c r="S358" i="1"/>
  <c r="Y357" i="1"/>
  <c r="U357" i="1"/>
  <c r="AM357" i="1" s="1"/>
  <c r="AN357" i="1" s="1"/>
  <c r="S357" i="1"/>
  <c r="Y356" i="1"/>
  <c r="U356" i="1"/>
  <c r="AM356" i="1" s="1"/>
  <c r="AN356" i="1" s="1"/>
  <c r="S356" i="1"/>
  <c r="Y355" i="1"/>
  <c r="U355" i="1"/>
  <c r="AM355" i="1" s="1"/>
  <c r="AN355" i="1" s="1"/>
  <c r="S355" i="1"/>
  <c r="Y354" i="1"/>
  <c r="U354" i="1"/>
  <c r="AM354" i="1" s="1"/>
  <c r="AN354" i="1" s="1"/>
  <c r="S354" i="1"/>
  <c r="AM353" i="1"/>
  <c r="AN353" i="1" s="1"/>
  <c r="Y353" i="1"/>
  <c r="U353" i="1"/>
  <c r="S353" i="1"/>
  <c r="Y352" i="1"/>
  <c r="U352" i="1"/>
  <c r="AM352" i="1" s="1"/>
  <c r="AN352" i="1" s="1"/>
  <c r="S352" i="1"/>
  <c r="Y351" i="1"/>
  <c r="U351" i="1"/>
  <c r="AM351" i="1" s="1"/>
  <c r="AN351" i="1" s="1"/>
  <c r="AU351" i="1" s="1"/>
  <c r="S351" i="1"/>
  <c r="Y350" i="1"/>
  <c r="U350" i="1"/>
  <c r="AM350" i="1" s="1"/>
  <c r="AN350" i="1" s="1"/>
  <c r="S350" i="1"/>
  <c r="Y349" i="1"/>
  <c r="U349" i="1"/>
  <c r="AM349" i="1" s="1"/>
  <c r="AN349" i="1" s="1"/>
  <c r="S349" i="1"/>
  <c r="Y348" i="1"/>
  <c r="U348" i="1"/>
  <c r="AM348" i="1" s="1"/>
  <c r="AN348" i="1" s="1"/>
  <c r="S348" i="1"/>
  <c r="Y347" i="1"/>
  <c r="U347" i="1"/>
  <c r="AM347" i="1" s="1"/>
  <c r="AN347" i="1" s="1"/>
  <c r="S347" i="1"/>
  <c r="Y346" i="1"/>
  <c r="U346" i="1"/>
  <c r="AM346" i="1" s="1"/>
  <c r="AN346" i="1" s="1"/>
  <c r="S346" i="1"/>
  <c r="Y345" i="1"/>
  <c r="U345" i="1"/>
  <c r="AM345" i="1" s="1"/>
  <c r="AN345" i="1" s="1"/>
  <c r="AW345" i="1" s="1"/>
  <c r="S345" i="1"/>
  <c r="Y344" i="1"/>
  <c r="U344" i="1"/>
  <c r="AM344" i="1" s="1"/>
  <c r="AN344" i="1" s="1"/>
  <c r="S344" i="1"/>
  <c r="Y343" i="1"/>
  <c r="U343" i="1"/>
  <c r="AM343" i="1" s="1"/>
  <c r="AN343" i="1" s="1"/>
  <c r="S343" i="1"/>
  <c r="Y342" i="1"/>
  <c r="U342" i="1"/>
  <c r="AM342" i="1" s="1"/>
  <c r="AN342" i="1" s="1"/>
  <c r="S342" i="1"/>
  <c r="Y341" i="1"/>
  <c r="U341" i="1"/>
  <c r="AM341" i="1" s="1"/>
  <c r="AN341" i="1" s="1"/>
  <c r="S341" i="1"/>
  <c r="Y340" i="1"/>
  <c r="U340" i="1"/>
  <c r="AM340" i="1" s="1"/>
  <c r="AN340" i="1" s="1"/>
  <c r="S340" i="1"/>
  <c r="Y339" i="1"/>
  <c r="U339" i="1"/>
  <c r="AM339" i="1" s="1"/>
  <c r="AN339" i="1" s="1"/>
  <c r="S339" i="1"/>
  <c r="Y338" i="1"/>
  <c r="U338" i="1"/>
  <c r="AM338" i="1" s="1"/>
  <c r="AN338" i="1" s="1"/>
  <c r="S338" i="1"/>
  <c r="Y337" i="1"/>
  <c r="U337" i="1"/>
  <c r="AM337" i="1" s="1"/>
  <c r="AN337" i="1" s="1"/>
  <c r="S337" i="1"/>
  <c r="Y336" i="1"/>
  <c r="U336" i="1"/>
  <c r="AM336" i="1" s="1"/>
  <c r="AN336" i="1" s="1"/>
  <c r="S336" i="1"/>
  <c r="Y335" i="1"/>
  <c r="U335" i="1"/>
  <c r="AM335" i="1" s="1"/>
  <c r="AN335" i="1" s="1"/>
  <c r="S335" i="1"/>
  <c r="Y334" i="1"/>
  <c r="U334" i="1"/>
  <c r="AM334" i="1" s="1"/>
  <c r="AN334" i="1" s="1"/>
  <c r="S334" i="1"/>
  <c r="Y333" i="1"/>
  <c r="U333" i="1"/>
  <c r="AM333" i="1" s="1"/>
  <c r="AN333" i="1" s="1"/>
  <c r="S333" i="1"/>
  <c r="Y332" i="1"/>
  <c r="U332" i="1"/>
  <c r="AM332" i="1" s="1"/>
  <c r="AN332" i="1" s="1"/>
  <c r="S332" i="1"/>
  <c r="Y331" i="1"/>
  <c r="U331" i="1"/>
  <c r="AM331" i="1" s="1"/>
  <c r="AN331" i="1" s="1"/>
  <c r="S331" i="1"/>
  <c r="Y330" i="1"/>
  <c r="U330" i="1"/>
  <c r="AM330" i="1" s="1"/>
  <c r="AN330" i="1" s="1"/>
  <c r="S330" i="1"/>
  <c r="Y329" i="1"/>
  <c r="U329" i="1"/>
  <c r="AM329" i="1" s="1"/>
  <c r="AN329" i="1" s="1"/>
  <c r="S329" i="1"/>
  <c r="Y328" i="1"/>
  <c r="U328" i="1"/>
  <c r="AM328" i="1" s="1"/>
  <c r="AN328" i="1" s="1"/>
  <c r="S328" i="1"/>
  <c r="Y327" i="1"/>
  <c r="U327" i="1"/>
  <c r="AM327" i="1" s="1"/>
  <c r="AN327" i="1" s="1"/>
  <c r="S327" i="1"/>
  <c r="Y326" i="1"/>
  <c r="U326" i="1"/>
  <c r="AM326" i="1" s="1"/>
  <c r="AN326" i="1" s="1"/>
  <c r="S326" i="1"/>
  <c r="Y325" i="1"/>
  <c r="U325" i="1"/>
  <c r="AM325" i="1" s="1"/>
  <c r="AN325" i="1" s="1"/>
  <c r="AW325" i="1" s="1"/>
  <c r="S325" i="1"/>
  <c r="Y324" i="1"/>
  <c r="U324" i="1"/>
  <c r="AM324" i="1" s="1"/>
  <c r="AN324" i="1" s="1"/>
  <c r="S324" i="1"/>
  <c r="Y323" i="1"/>
  <c r="U323" i="1"/>
  <c r="AM323" i="1" s="1"/>
  <c r="AN323" i="1" s="1"/>
  <c r="S323" i="1"/>
  <c r="Y322" i="1"/>
  <c r="U322" i="1"/>
  <c r="AM322" i="1" s="1"/>
  <c r="AN322" i="1" s="1"/>
  <c r="S322" i="1"/>
  <c r="Y321" i="1"/>
  <c r="U321" i="1"/>
  <c r="AM321" i="1" s="1"/>
  <c r="AN321" i="1" s="1"/>
  <c r="S321" i="1"/>
  <c r="Y320" i="1"/>
  <c r="U320" i="1"/>
  <c r="AM320" i="1" s="1"/>
  <c r="AN320" i="1" s="1"/>
  <c r="S320" i="1"/>
  <c r="Y319" i="1"/>
  <c r="U319" i="1"/>
  <c r="AM319" i="1" s="1"/>
  <c r="AN319" i="1" s="1"/>
  <c r="S319" i="1"/>
  <c r="Y318" i="1"/>
  <c r="U318" i="1"/>
  <c r="AM318" i="1" s="1"/>
  <c r="AN318" i="1" s="1"/>
  <c r="S318" i="1"/>
  <c r="Y317" i="1"/>
  <c r="U317" i="1"/>
  <c r="AM317" i="1" s="1"/>
  <c r="AN317" i="1" s="1"/>
  <c r="S317" i="1"/>
  <c r="Y316" i="1"/>
  <c r="U316" i="1"/>
  <c r="AM316" i="1" s="1"/>
  <c r="AN316" i="1" s="1"/>
  <c r="S316" i="1"/>
  <c r="Y315" i="1"/>
  <c r="U315" i="1"/>
  <c r="AM315" i="1" s="1"/>
  <c r="AN315" i="1" s="1"/>
  <c r="S315" i="1"/>
  <c r="Y314" i="1"/>
  <c r="U314" i="1"/>
  <c r="AM314" i="1" s="1"/>
  <c r="AN314" i="1" s="1"/>
  <c r="S314" i="1"/>
  <c r="Y313" i="1"/>
  <c r="U313" i="1"/>
  <c r="AM313" i="1" s="1"/>
  <c r="AN313" i="1" s="1"/>
  <c r="S313" i="1"/>
  <c r="Y312" i="1"/>
  <c r="U312" i="1"/>
  <c r="AM312" i="1" s="1"/>
  <c r="AN312" i="1" s="1"/>
  <c r="S312" i="1"/>
  <c r="Y311" i="1"/>
  <c r="U311" i="1"/>
  <c r="AM311" i="1" s="1"/>
  <c r="AN311" i="1" s="1"/>
  <c r="S311" i="1"/>
  <c r="Y310" i="1"/>
  <c r="U310" i="1"/>
  <c r="AM310" i="1" s="1"/>
  <c r="AN310" i="1" s="1"/>
  <c r="S310" i="1"/>
  <c r="Y309" i="1"/>
  <c r="U309" i="1"/>
  <c r="AM309" i="1" s="1"/>
  <c r="AN309" i="1" s="1"/>
  <c r="S309" i="1"/>
  <c r="Y308" i="1"/>
  <c r="U308" i="1"/>
  <c r="AM308" i="1" s="1"/>
  <c r="AN308" i="1" s="1"/>
  <c r="S308" i="1"/>
  <c r="Y307" i="1"/>
  <c r="U307" i="1"/>
  <c r="AM307" i="1" s="1"/>
  <c r="AN307" i="1" s="1"/>
  <c r="S307" i="1"/>
  <c r="Y306" i="1"/>
  <c r="U306" i="1"/>
  <c r="AM306" i="1" s="1"/>
  <c r="AN306" i="1" s="1"/>
  <c r="S306" i="1"/>
  <c r="Y305" i="1"/>
  <c r="U305" i="1"/>
  <c r="AM305" i="1" s="1"/>
  <c r="AN305" i="1" s="1"/>
  <c r="S305" i="1"/>
  <c r="AM304" i="1"/>
  <c r="AN304" i="1" s="1"/>
  <c r="Y304" i="1"/>
  <c r="U304" i="1"/>
  <c r="S304" i="1"/>
  <c r="Y303" i="1"/>
  <c r="U303" i="1"/>
  <c r="AM303" i="1" s="1"/>
  <c r="AN303" i="1" s="1"/>
  <c r="S303" i="1"/>
  <c r="Y302" i="1"/>
  <c r="U302" i="1"/>
  <c r="AM302" i="1" s="1"/>
  <c r="AN302" i="1" s="1"/>
  <c r="S302" i="1"/>
  <c r="Y301" i="1"/>
  <c r="U301" i="1"/>
  <c r="AM301" i="1" s="1"/>
  <c r="AN301" i="1" s="1"/>
  <c r="S301" i="1"/>
  <c r="Y300" i="1"/>
  <c r="U300" i="1"/>
  <c r="AM300" i="1" s="1"/>
  <c r="AN300" i="1" s="1"/>
  <c r="S300" i="1"/>
  <c r="Y299" i="1"/>
  <c r="U299" i="1"/>
  <c r="AM299" i="1" s="1"/>
  <c r="AN299" i="1" s="1"/>
  <c r="S299" i="1"/>
  <c r="Y298" i="1"/>
  <c r="U298" i="1"/>
  <c r="AM298" i="1" s="1"/>
  <c r="AN298" i="1" s="1"/>
  <c r="AW298" i="1" s="1"/>
  <c r="S298" i="1"/>
  <c r="Y297" i="1"/>
  <c r="U297" i="1"/>
  <c r="AM297" i="1" s="1"/>
  <c r="AN297" i="1" s="1"/>
  <c r="S297" i="1"/>
  <c r="Y296" i="1"/>
  <c r="U296" i="1"/>
  <c r="AM296" i="1" s="1"/>
  <c r="AN296" i="1" s="1"/>
  <c r="S296" i="1"/>
  <c r="Y295" i="1"/>
  <c r="U295" i="1"/>
  <c r="AM295" i="1" s="1"/>
  <c r="AN295" i="1" s="1"/>
  <c r="S295" i="1"/>
  <c r="Y294" i="1"/>
  <c r="U294" i="1"/>
  <c r="AM294" i="1" s="1"/>
  <c r="AN294" i="1" s="1"/>
  <c r="S294" i="1"/>
  <c r="Y293" i="1"/>
  <c r="U293" i="1"/>
  <c r="AM293" i="1" s="1"/>
  <c r="AN293" i="1" s="1"/>
  <c r="S293" i="1"/>
  <c r="Y292" i="1"/>
  <c r="U292" i="1"/>
  <c r="AM292" i="1" s="1"/>
  <c r="AN292" i="1" s="1"/>
  <c r="S292" i="1"/>
  <c r="AM291" i="1"/>
  <c r="AN291" i="1" s="1"/>
  <c r="Y291" i="1"/>
  <c r="U291" i="1"/>
  <c r="S291" i="1"/>
  <c r="Y290" i="1"/>
  <c r="U290" i="1"/>
  <c r="AM290" i="1" s="1"/>
  <c r="AN290" i="1" s="1"/>
  <c r="S290" i="1"/>
  <c r="Y289" i="1"/>
  <c r="U289" i="1"/>
  <c r="AM289" i="1" s="1"/>
  <c r="AN289" i="1" s="1"/>
  <c r="S289" i="1"/>
  <c r="Y288" i="1"/>
  <c r="AW288" i="1" s="1"/>
  <c r="U288" i="1"/>
  <c r="AM288" i="1" s="1"/>
  <c r="AN288" i="1" s="1"/>
  <c r="S288" i="1"/>
  <c r="Y287" i="1"/>
  <c r="U287" i="1"/>
  <c r="AM287" i="1" s="1"/>
  <c r="AN287" i="1" s="1"/>
  <c r="S287" i="1"/>
  <c r="Y286" i="1"/>
  <c r="U286" i="1"/>
  <c r="AM286" i="1" s="1"/>
  <c r="AN286" i="1" s="1"/>
  <c r="S286" i="1"/>
  <c r="Y285" i="1"/>
  <c r="U285" i="1"/>
  <c r="AM285" i="1" s="1"/>
  <c r="AN285" i="1" s="1"/>
  <c r="AW285" i="1" s="1"/>
  <c r="S285" i="1"/>
  <c r="Y284" i="1"/>
  <c r="U284" i="1"/>
  <c r="AM284" i="1" s="1"/>
  <c r="AN284" i="1" s="1"/>
  <c r="S284" i="1"/>
  <c r="Y283" i="1"/>
  <c r="U283" i="1"/>
  <c r="AM283" i="1" s="1"/>
  <c r="AN283" i="1" s="1"/>
  <c r="S283" i="1"/>
  <c r="Y282" i="1"/>
  <c r="U282" i="1"/>
  <c r="AM282" i="1" s="1"/>
  <c r="AN282" i="1" s="1"/>
  <c r="S282" i="1"/>
  <c r="Y281" i="1"/>
  <c r="U281" i="1"/>
  <c r="AM281" i="1" s="1"/>
  <c r="AN281" i="1" s="1"/>
  <c r="AU281" i="1" s="1"/>
  <c r="S281" i="1"/>
  <c r="Y280" i="1"/>
  <c r="U280" i="1"/>
  <c r="AM280" i="1" s="1"/>
  <c r="AN280" i="1" s="1"/>
  <c r="S280" i="1"/>
  <c r="Y279" i="1"/>
  <c r="U279" i="1"/>
  <c r="AM279" i="1" s="1"/>
  <c r="AN279" i="1" s="1"/>
  <c r="S279" i="1"/>
  <c r="Y278" i="1"/>
  <c r="U278" i="1"/>
  <c r="AM278" i="1" s="1"/>
  <c r="AN278" i="1" s="1"/>
  <c r="S278" i="1"/>
  <c r="Y277" i="1"/>
  <c r="U277" i="1"/>
  <c r="AM277" i="1" s="1"/>
  <c r="AN277" i="1" s="1"/>
  <c r="S277" i="1"/>
  <c r="Y276" i="1"/>
  <c r="U276" i="1"/>
  <c r="AM276" i="1" s="1"/>
  <c r="AN276" i="1" s="1"/>
  <c r="S276" i="1"/>
  <c r="Y275" i="1"/>
  <c r="U275" i="1"/>
  <c r="AM275" i="1" s="1"/>
  <c r="AN275" i="1" s="1"/>
  <c r="S275" i="1"/>
  <c r="Y274" i="1"/>
  <c r="U274" i="1"/>
  <c r="AM274" i="1" s="1"/>
  <c r="AN274" i="1" s="1"/>
  <c r="S274" i="1"/>
  <c r="Y273" i="1"/>
  <c r="U273" i="1"/>
  <c r="AM273" i="1" s="1"/>
  <c r="AN273" i="1" s="1"/>
  <c r="S273" i="1"/>
  <c r="Y272" i="1"/>
  <c r="U272" i="1"/>
  <c r="AM272" i="1" s="1"/>
  <c r="AN272" i="1" s="1"/>
  <c r="S272" i="1"/>
  <c r="Y271" i="1"/>
  <c r="U271" i="1"/>
  <c r="AM271" i="1" s="1"/>
  <c r="AN271" i="1" s="1"/>
  <c r="S271" i="1"/>
  <c r="Y270" i="1"/>
  <c r="U270" i="1"/>
  <c r="AM270" i="1" s="1"/>
  <c r="AN270" i="1" s="1"/>
  <c r="S270" i="1"/>
  <c r="Y269" i="1"/>
  <c r="U269" i="1"/>
  <c r="AM269" i="1" s="1"/>
  <c r="AN269" i="1" s="1"/>
  <c r="S269" i="1"/>
  <c r="Y268" i="1"/>
  <c r="U268" i="1"/>
  <c r="AM268" i="1" s="1"/>
  <c r="AN268" i="1" s="1"/>
  <c r="S268" i="1"/>
  <c r="AM267" i="1"/>
  <c r="AN267" i="1" s="1"/>
  <c r="Y267" i="1"/>
  <c r="U267" i="1"/>
  <c r="S267" i="1"/>
  <c r="Y266" i="1"/>
  <c r="U266" i="1"/>
  <c r="AM266" i="1" s="1"/>
  <c r="AN266" i="1" s="1"/>
  <c r="S266" i="1"/>
  <c r="Y265" i="1"/>
  <c r="U265" i="1"/>
  <c r="AM265" i="1" s="1"/>
  <c r="AN265" i="1" s="1"/>
  <c r="S265" i="1"/>
  <c r="Y264" i="1"/>
  <c r="U264" i="1"/>
  <c r="AM264" i="1" s="1"/>
  <c r="AN264" i="1" s="1"/>
  <c r="S264" i="1"/>
  <c r="Y263" i="1"/>
  <c r="U263" i="1"/>
  <c r="AM263" i="1" s="1"/>
  <c r="AN263" i="1" s="1"/>
  <c r="S263" i="1"/>
  <c r="Y262" i="1"/>
  <c r="U262" i="1"/>
  <c r="AM262" i="1" s="1"/>
  <c r="AN262" i="1" s="1"/>
  <c r="S262" i="1"/>
  <c r="Y261" i="1"/>
  <c r="U261" i="1"/>
  <c r="AM261" i="1" s="1"/>
  <c r="AN261" i="1" s="1"/>
  <c r="S261" i="1"/>
  <c r="Y260" i="1"/>
  <c r="U260" i="1"/>
  <c r="AM260" i="1" s="1"/>
  <c r="AN260" i="1" s="1"/>
  <c r="S260" i="1"/>
  <c r="Y259" i="1"/>
  <c r="U259" i="1"/>
  <c r="AM259" i="1" s="1"/>
  <c r="AN259" i="1" s="1"/>
  <c r="S259" i="1"/>
  <c r="Y258" i="1"/>
  <c r="U258" i="1"/>
  <c r="AM258" i="1" s="1"/>
  <c r="AN258" i="1" s="1"/>
  <c r="S258" i="1"/>
  <c r="Y257" i="1"/>
  <c r="U257" i="1"/>
  <c r="AM257" i="1" s="1"/>
  <c r="AN257" i="1" s="1"/>
  <c r="S257" i="1"/>
  <c r="Y256" i="1"/>
  <c r="U256" i="1"/>
  <c r="AM256" i="1" s="1"/>
  <c r="AN256" i="1" s="1"/>
  <c r="S256" i="1"/>
  <c r="Y255" i="1"/>
  <c r="U255" i="1"/>
  <c r="AM255" i="1" s="1"/>
  <c r="AN255" i="1" s="1"/>
  <c r="S255" i="1"/>
  <c r="Y254" i="1"/>
  <c r="U254" i="1"/>
  <c r="AM254" i="1" s="1"/>
  <c r="AN254" i="1" s="1"/>
  <c r="S254" i="1"/>
  <c r="Y253" i="1"/>
  <c r="U253" i="1"/>
  <c r="AM253" i="1" s="1"/>
  <c r="AN253" i="1" s="1"/>
  <c r="S253" i="1"/>
  <c r="Y252" i="1"/>
  <c r="U252" i="1"/>
  <c r="AM252" i="1" s="1"/>
  <c r="AN252" i="1" s="1"/>
  <c r="S252" i="1"/>
  <c r="Y251" i="1"/>
  <c r="U251" i="1"/>
  <c r="AM251" i="1" s="1"/>
  <c r="AN251" i="1" s="1"/>
  <c r="S251" i="1"/>
  <c r="Y250" i="1"/>
  <c r="U250" i="1"/>
  <c r="AM250" i="1" s="1"/>
  <c r="AN250" i="1" s="1"/>
  <c r="S250" i="1"/>
  <c r="Y249" i="1"/>
  <c r="U249" i="1"/>
  <c r="AM249" i="1" s="1"/>
  <c r="AN249" i="1" s="1"/>
  <c r="S249" i="1"/>
  <c r="Y248" i="1"/>
  <c r="U248" i="1"/>
  <c r="AM248" i="1" s="1"/>
  <c r="AN248" i="1" s="1"/>
  <c r="S248" i="1"/>
  <c r="Y247" i="1"/>
  <c r="U247" i="1"/>
  <c r="AM247" i="1" s="1"/>
  <c r="AN247" i="1" s="1"/>
  <c r="S247" i="1"/>
  <c r="Y246" i="1"/>
  <c r="U246" i="1"/>
  <c r="AM246" i="1" s="1"/>
  <c r="AN246" i="1" s="1"/>
  <c r="S246" i="1"/>
  <c r="Y245" i="1"/>
  <c r="U245" i="1"/>
  <c r="AM245" i="1" s="1"/>
  <c r="AN245" i="1" s="1"/>
  <c r="S245" i="1"/>
  <c r="Y244" i="1"/>
  <c r="U244" i="1"/>
  <c r="AM244" i="1" s="1"/>
  <c r="AN244" i="1" s="1"/>
  <c r="S244" i="1"/>
  <c r="Y243" i="1"/>
  <c r="U243" i="1"/>
  <c r="AM243" i="1" s="1"/>
  <c r="AN243" i="1" s="1"/>
  <c r="S243" i="1"/>
  <c r="Y242" i="1"/>
  <c r="U242" i="1"/>
  <c r="AM242" i="1" s="1"/>
  <c r="AN242" i="1" s="1"/>
  <c r="S242" i="1"/>
  <c r="Y241" i="1"/>
  <c r="U241" i="1"/>
  <c r="AM241" i="1" s="1"/>
  <c r="AN241" i="1" s="1"/>
  <c r="S241" i="1"/>
  <c r="Y240" i="1"/>
  <c r="U240" i="1"/>
  <c r="AM240" i="1" s="1"/>
  <c r="AN240" i="1" s="1"/>
  <c r="S240" i="1"/>
  <c r="Y239" i="1"/>
  <c r="U239" i="1"/>
  <c r="AM239" i="1" s="1"/>
  <c r="AN239" i="1" s="1"/>
  <c r="S239" i="1"/>
  <c r="Y238" i="1"/>
  <c r="U238" i="1"/>
  <c r="AM238" i="1" s="1"/>
  <c r="AN238" i="1" s="1"/>
  <c r="S238" i="1"/>
  <c r="Y237" i="1"/>
  <c r="U237" i="1"/>
  <c r="AM237" i="1" s="1"/>
  <c r="AN237" i="1" s="1"/>
  <c r="S237" i="1"/>
  <c r="Y236" i="1"/>
  <c r="U236" i="1"/>
  <c r="AM236" i="1" s="1"/>
  <c r="AN236" i="1" s="1"/>
  <c r="S236" i="1"/>
  <c r="AM235" i="1"/>
  <c r="AN235" i="1" s="1"/>
  <c r="Y235" i="1"/>
  <c r="U235" i="1"/>
  <c r="S235" i="1"/>
  <c r="Y234" i="1"/>
  <c r="U234" i="1"/>
  <c r="AM234" i="1" s="1"/>
  <c r="AN234" i="1" s="1"/>
  <c r="S234" i="1"/>
  <c r="Y233" i="1"/>
  <c r="U233" i="1"/>
  <c r="AM233" i="1" s="1"/>
  <c r="AN233" i="1" s="1"/>
  <c r="S233" i="1"/>
  <c r="Y232" i="1"/>
  <c r="U232" i="1"/>
  <c r="AM232" i="1" s="1"/>
  <c r="AN232" i="1" s="1"/>
  <c r="S232" i="1"/>
  <c r="Y231" i="1"/>
  <c r="U231" i="1"/>
  <c r="AM231" i="1" s="1"/>
  <c r="AN231" i="1" s="1"/>
  <c r="S231" i="1"/>
  <c r="Y230" i="1"/>
  <c r="U230" i="1"/>
  <c r="AM230" i="1" s="1"/>
  <c r="AN230" i="1" s="1"/>
  <c r="S230" i="1"/>
  <c r="Y229" i="1"/>
  <c r="U229" i="1"/>
  <c r="AM229" i="1" s="1"/>
  <c r="AN229" i="1" s="1"/>
  <c r="S229" i="1"/>
  <c r="Y228" i="1"/>
  <c r="U228" i="1"/>
  <c r="AM228" i="1" s="1"/>
  <c r="AN228" i="1" s="1"/>
  <c r="S228" i="1"/>
  <c r="Y227" i="1"/>
  <c r="U227" i="1"/>
  <c r="AM227" i="1" s="1"/>
  <c r="AN227" i="1" s="1"/>
  <c r="S227" i="1"/>
  <c r="Y226" i="1"/>
  <c r="U226" i="1"/>
  <c r="AM226" i="1" s="1"/>
  <c r="AN226" i="1" s="1"/>
  <c r="S226" i="1"/>
  <c r="Y225" i="1"/>
  <c r="U225" i="1"/>
  <c r="AM225" i="1" s="1"/>
  <c r="AN225" i="1" s="1"/>
  <c r="S225" i="1"/>
  <c r="Y224" i="1"/>
  <c r="U224" i="1"/>
  <c r="AM224" i="1" s="1"/>
  <c r="AN224" i="1" s="1"/>
  <c r="S224" i="1"/>
  <c r="Y223" i="1"/>
  <c r="U223" i="1"/>
  <c r="AM223" i="1" s="1"/>
  <c r="AN223" i="1" s="1"/>
  <c r="S223" i="1"/>
  <c r="Y222" i="1"/>
  <c r="U222" i="1"/>
  <c r="AM222" i="1" s="1"/>
  <c r="AN222" i="1" s="1"/>
  <c r="S222" i="1"/>
  <c r="Y221" i="1"/>
  <c r="U221" i="1"/>
  <c r="AM221" i="1" s="1"/>
  <c r="AN221" i="1" s="1"/>
  <c r="S221" i="1"/>
  <c r="AM220" i="1"/>
  <c r="AN220" i="1" s="1"/>
  <c r="Y220" i="1"/>
  <c r="U220" i="1"/>
  <c r="S220" i="1"/>
  <c r="Y219" i="1"/>
  <c r="U219" i="1"/>
  <c r="AM219" i="1" s="1"/>
  <c r="AN219" i="1" s="1"/>
  <c r="S219" i="1"/>
  <c r="Y218" i="1"/>
  <c r="U218" i="1"/>
  <c r="AM218" i="1" s="1"/>
  <c r="AN218" i="1" s="1"/>
  <c r="S218" i="1"/>
  <c r="Y217" i="1"/>
  <c r="U217" i="1"/>
  <c r="AM217" i="1" s="1"/>
  <c r="AN217" i="1" s="1"/>
  <c r="S217" i="1"/>
  <c r="Y216" i="1"/>
  <c r="U216" i="1"/>
  <c r="AM216" i="1" s="1"/>
  <c r="AN216" i="1" s="1"/>
  <c r="S216" i="1"/>
  <c r="Y215" i="1"/>
  <c r="U215" i="1"/>
  <c r="AM215" i="1" s="1"/>
  <c r="AN215" i="1" s="1"/>
  <c r="S215" i="1"/>
  <c r="Y214" i="1"/>
  <c r="U214" i="1"/>
  <c r="AM214" i="1" s="1"/>
  <c r="AN214" i="1" s="1"/>
  <c r="S214" i="1"/>
  <c r="Y213" i="1"/>
  <c r="U213" i="1"/>
  <c r="AM213" i="1" s="1"/>
  <c r="AN213" i="1" s="1"/>
  <c r="S213" i="1"/>
  <c r="Y212" i="1"/>
  <c r="U212" i="1"/>
  <c r="AM212" i="1" s="1"/>
  <c r="AN212" i="1" s="1"/>
  <c r="S212" i="1"/>
  <c r="Y211" i="1"/>
  <c r="U211" i="1"/>
  <c r="AM211" i="1" s="1"/>
  <c r="AN211" i="1" s="1"/>
  <c r="S211" i="1"/>
  <c r="Y210" i="1"/>
  <c r="U210" i="1"/>
  <c r="AM210" i="1" s="1"/>
  <c r="AN210" i="1" s="1"/>
  <c r="AU210" i="1" s="1"/>
  <c r="S210" i="1"/>
  <c r="Y209" i="1"/>
  <c r="U209" i="1"/>
  <c r="AM209" i="1" s="1"/>
  <c r="AN209" i="1" s="1"/>
  <c r="S209" i="1"/>
  <c r="Y208" i="1"/>
  <c r="U208" i="1"/>
  <c r="AM208" i="1" s="1"/>
  <c r="AN208" i="1" s="1"/>
  <c r="S208" i="1"/>
  <c r="Y207" i="1"/>
  <c r="U207" i="1"/>
  <c r="AM207" i="1" s="1"/>
  <c r="AN207" i="1" s="1"/>
  <c r="S207" i="1"/>
  <c r="Y206" i="1"/>
  <c r="U206" i="1"/>
  <c r="AM206" i="1" s="1"/>
  <c r="AN206" i="1" s="1"/>
  <c r="S206" i="1"/>
  <c r="Y205" i="1"/>
  <c r="U205" i="1"/>
  <c r="AM205" i="1" s="1"/>
  <c r="AN205" i="1" s="1"/>
  <c r="S205" i="1"/>
  <c r="Y204" i="1"/>
  <c r="U204" i="1"/>
  <c r="AM204" i="1" s="1"/>
  <c r="AN204" i="1" s="1"/>
  <c r="S204" i="1"/>
  <c r="Y203" i="1"/>
  <c r="U203" i="1"/>
  <c r="AM203" i="1" s="1"/>
  <c r="AN203" i="1" s="1"/>
  <c r="S203" i="1"/>
  <c r="Y202" i="1"/>
  <c r="U202" i="1"/>
  <c r="AM202" i="1" s="1"/>
  <c r="AN202" i="1" s="1"/>
  <c r="S202" i="1"/>
  <c r="Y201" i="1"/>
  <c r="U201" i="1"/>
  <c r="AM201" i="1" s="1"/>
  <c r="AN201" i="1" s="1"/>
  <c r="S201" i="1"/>
  <c r="Y200" i="1"/>
  <c r="U200" i="1"/>
  <c r="AM200" i="1" s="1"/>
  <c r="AN200" i="1" s="1"/>
  <c r="AU200" i="1" s="1"/>
  <c r="S200" i="1"/>
  <c r="Y199" i="1"/>
  <c r="U199" i="1"/>
  <c r="AM199" i="1" s="1"/>
  <c r="AN199" i="1" s="1"/>
  <c r="S199" i="1"/>
  <c r="Y198" i="1"/>
  <c r="U198" i="1"/>
  <c r="AM198" i="1" s="1"/>
  <c r="AN198" i="1" s="1"/>
  <c r="S198" i="1"/>
  <c r="Y197" i="1"/>
  <c r="U197" i="1"/>
  <c r="AM197" i="1" s="1"/>
  <c r="AN197" i="1" s="1"/>
  <c r="S197" i="1"/>
  <c r="Y196" i="1"/>
  <c r="U196" i="1"/>
  <c r="AM196" i="1" s="1"/>
  <c r="AN196" i="1" s="1"/>
  <c r="S196" i="1"/>
  <c r="Y195" i="1"/>
  <c r="U195" i="1"/>
  <c r="AM195" i="1" s="1"/>
  <c r="AN195" i="1" s="1"/>
  <c r="S195" i="1"/>
  <c r="Y194" i="1"/>
  <c r="U194" i="1"/>
  <c r="AM194" i="1" s="1"/>
  <c r="AN194" i="1" s="1"/>
  <c r="S194" i="1"/>
  <c r="Y193" i="1"/>
  <c r="U193" i="1"/>
  <c r="AM193" i="1" s="1"/>
  <c r="AN193" i="1" s="1"/>
  <c r="S193" i="1"/>
  <c r="Y192" i="1"/>
  <c r="U192" i="1"/>
  <c r="AM192" i="1" s="1"/>
  <c r="AN192" i="1" s="1"/>
  <c r="S192" i="1"/>
  <c r="Y191" i="1"/>
  <c r="U191" i="1"/>
  <c r="AM191" i="1" s="1"/>
  <c r="AN191" i="1" s="1"/>
  <c r="S191" i="1"/>
  <c r="Y190" i="1"/>
  <c r="U190" i="1"/>
  <c r="AM190" i="1" s="1"/>
  <c r="AN190" i="1" s="1"/>
  <c r="S190" i="1"/>
  <c r="Y189" i="1"/>
  <c r="U189" i="1"/>
  <c r="AM189" i="1" s="1"/>
  <c r="AN189" i="1" s="1"/>
  <c r="S189" i="1"/>
  <c r="Y188" i="1"/>
  <c r="U188" i="1"/>
  <c r="AM188" i="1" s="1"/>
  <c r="AN188" i="1" s="1"/>
  <c r="S188" i="1"/>
  <c r="Y187" i="1"/>
  <c r="U187" i="1"/>
  <c r="AM187" i="1" s="1"/>
  <c r="AN187" i="1" s="1"/>
  <c r="S187" i="1"/>
  <c r="Y186" i="1"/>
  <c r="U186" i="1"/>
  <c r="AM186" i="1" s="1"/>
  <c r="AN186" i="1" s="1"/>
  <c r="S186" i="1"/>
  <c r="Y185" i="1"/>
  <c r="U185" i="1"/>
  <c r="AM185" i="1" s="1"/>
  <c r="AN185" i="1" s="1"/>
  <c r="S185" i="1"/>
  <c r="Y184" i="1"/>
  <c r="U184" i="1"/>
  <c r="AM184" i="1" s="1"/>
  <c r="AN184" i="1" s="1"/>
  <c r="S184" i="1"/>
  <c r="Y183" i="1"/>
  <c r="U183" i="1"/>
  <c r="AM183" i="1" s="1"/>
  <c r="AN183" i="1" s="1"/>
  <c r="S183" i="1"/>
  <c r="Y182" i="1"/>
  <c r="U182" i="1"/>
  <c r="AM182" i="1" s="1"/>
  <c r="AN182" i="1" s="1"/>
  <c r="S182" i="1"/>
  <c r="Y181" i="1"/>
  <c r="U181" i="1"/>
  <c r="AM181" i="1" s="1"/>
  <c r="AN181" i="1" s="1"/>
  <c r="S181" i="1"/>
  <c r="Y180" i="1"/>
  <c r="U180" i="1"/>
  <c r="AM180" i="1" s="1"/>
  <c r="AN180" i="1" s="1"/>
  <c r="AU180" i="1" s="1"/>
  <c r="S180" i="1"/>
  <c r="Y179" i="1"/>
  <c r="U179" i="1"/>
  <c r="AM179" i="1" s="1"/>
  <c r="AN179" i="1" s="1"/>
  <c r="S179" i="1"/>
  <c r="Y178" i="1"/>
  <c r="U178" i="1"/>
  <c r="AM178" i="1" s="1"/>
  <c r="AN178" i="1" s="1"/>
  <c r="S178" i="1"/>
  <c r="Y177" i="1"/>
  <c r="U177" i="1"/>
  <c r="AM177" i="1" s="1"/>
  <c r="AN177" i="1" s="1"/>
  <c r="S177" i="1"/>
  <c r="Y176" i="1"/>
  <c r="U176" i="1"/>
  <c r="AM176" i="1" s="1"/>
  <c r="AN176" i="1" s="1"/>
  <c r="S176" i="1"/>
  <c r="AM175" i="1"/>
  <c r="AN175" i="1" s="1"/>
  <c r="Y175" i="1"/>
  <c r="U175" i="1"/>
  <c r="S175" i="1"/>
  <c r="Y174" i="1"/>
  <c r="U174" i="1"/>
  <c r="AM174" i="1" s="1"/>
  <c r="AN174" i="1" s="1"/>
  <c r="S174" i="1"/>
  <c r="Y173" i="1"/>
  <c r="U173" i="1"/>
  <c r="AM173" i="1" s="1"/>
  <c r="AN173" i="1" s="1"/>
  <c r="S173" i="1"/>
  <c r="Y172" i="1"/>
  <c r="U172" i="1"/>
  <c r="AM172" i="1" s="1"/>
  <c r="AN172" i="1" s="1"/>
  <c r="S172" i="1"/>
  <c r="Y171" i="1"/>
  <c r="U171" i="1"/>
  <c r="AM171" i="1" s="1"/>
  <c r="AN171" i="1" s="1"/>
  <c r="S171" i="1"/>
  <c r="Y170" i="1"/>
  <c r="U170" i="1"/>
  <c r="AM170" i="1" s="1"/>
  <c r="AN170" i="1" s="1"/>
  <c r="S170" i="1"/>
  <c r="Y169" i="1"/>
  <c r="U169" i="1"/>
  <c r="AM169" i="1" s="1"/>
  <c r="AN169" i="1" s="1"/>
  <c r="S169" i="1"/>
  <c r="Y168" i="1"/>
  <c r="U168" i="1"/>
  <c r="AM168" i="1" s="1"/>
  <c r="AN168" i="1" s="1"/>
  <c r="S168" i="1"/>
  <c r="Y167" i="1"/>
  <c r="U167" i="1"/>
  <c r="AM167" i="1" s="1"/>
  <c r="AN167" i="1" s="1"/>
  <c r="S167" i="1"/>
  <c r="Y166" i="1"/>
  <c r="U166" i="1"/>
  <c r="AM166" i="1" s="1"/>
  <c r="AN166" i="1" s="1"/>
  <c r="S166" i="1"/>
  <c r="Y165" i="1"/>
  <c r="U165" i="1"/>
  <c r="AM165" i="1" s="1"/>
  <c r="AN165" i="1" s="1"/>
  <c r="S165" i="1"/>
  <c r="Y164" i="1"/>
  <c r="U164" i="1"/>
  <c r="AM164" i="1" s="1"/>
  <c r="AN164" i="1" s="1"/>
  <c r="S164" i="1"/>
  <c r="Y163" i="1"/>
  <c r="U163" i="1"/>
  <c r="AM163" i="1" s="1"/>
  <c r="AN163" i="1" s="1"/>
  <c r="S163" i="1"/>
  <c r="Y162" i="1"/>
  <c r="U162" i="1"/>
  <c r="AM162" i="1" s="1"/>
  <c r="AN162" i="1" s="1"/>
  <c r="S162" i="1"/>
  <c r="Y161" i="1"/>
  <c r="U161" i="1"/>
  <c r="AM161" i="1" s="1"/>
  <c r="AN161" i="1" s="1"/>
  <c r="S161" i="1"/>
  <c r="Y160" i="1"/>
  <c r="U160" i="1"/>
  <c r="AM160" i="1" s="1"/>
  <c r="AN160" i="1" s="1"/>
  <c r="S160" i="1"/>
  <c r="Y159" i="1"/>
  <c r="U159" i="1"/>
  <c r="AM159" i="1" s="1"/>
  <c r="AN159" i="1" s="1"/>
  <c r="S159" i="1"/>
  <c r="Y158" i="1"/>
  <c r="U158" i="1"/>
  <c r="AM158" i="1" s="1"/>
  <c r="AN158" i="1" s="1"/>
  <c r="S158" i="1"/>
  <c r="Y157" i="1"/>
  <c r="U157" i="1"/>
  <c r="AM157" i="1" s="1"/>
  <c r="AN157" i="1" s="1"/>
  <c r="S157" i="1"/>
  <c r="Y156" i="1"/>
  <c r="U156" i="1"/>
  <c r="AM156" i="1" s="1"/>
  <c r="AN156" i="1" s="1"/>
  <c r="S156" i="1"/>
  <c r="Y155" i="1"/>
  <c r="U155" i="1"/>
  <c r="AM155" i="1" s="1"/>
  <c r="AN155" i="1" s="1"/>
  <c r="S155" i="1"/>
  <c r="Y154" i="1"/>
  <c r="U154" i="1"/>
  <c r="AM154" i="1" s="1"/>
  <c r="AN154" i="1" s="1"/>
  <c r="S154" i="1"/>
  <c r="Y153" i="1"/>
  <c r="U153" i="1"/>
  <c r="AM153" i="1" s="1"/>
  <c r="AN153" i="1" s="1"/>
  <c r="AW153" i="1" s="1"/>
  <c r="S153" i="1"/>
  <c r="Y152" i="1"/>
  <c r="U152" i="1"/>
  <c r="AM152" i="1" s="1"/>
  <c r="AN152" i="1" s="1"/>
  <c r="S152" i="1"/>
  <c r="Y151" i="1"/>
  <c r="U151" i="1"/>
  <c r="AM151" i="1" s="1"/>
  <c r="AN151" i="1" s="1"/>
  <c r="S151" i="1"/>
  <c r="Y150" i="1"/>
  <c r="U150" i="1"/>
  <c r="AM150" i="1" s="1"/>
  <c r="AN150" i="1" s="1"/>
  <c r="S150" i="1"/>
  <c r="Y149" i="1"/>
  <c r="U149" i="1"/>
  <c r="AM149" i="1" s="1"/>
  <c r="AN149" i="1" s="1"/>
  <c r="S149" i="1"/>
  <c r="AM148" i="1"/>
  <c r="AN148" i="1" s="1"/>
  <c r="Y148" i="1"/>
  <c r="U148" i="1"/>
  <c r="S148" i="1"/>
  <c r="Y147" i="1"/>
  <c r="U147" i="1"/>
  <c r="AM147" i="1" s="1"/>
  <c r="AN147" i="1" s="1"/>
  <c r="S147" i="1"/>
  <c r="Y146" i="1"/>
  <c r="U146" i="1"/>
  <c r="AM146" i="1" s="1"/>
  <c r="AN146" i="1" s="1"/>
  <c r="S146" i="1"/>
  <c r="AM145" i="1"/>
  <c r="AN145" i="1" s="1"/>
  <c r="Y145" i="1"/>
  <c r="U145" i="1"/>
  <c r="S145" i="1"/>
  <c r="Y144" i="1"/>
  <c r="U144" i="1"/>
  <c r="AM144" i="1" s="1"/>
  <c r="AN144" i="1" s="1"/>
  <c r="S144" i="1"/>
  <c r="Y143" i="1"/>
  <c r="U143" i="1"/>
  <c r="AM143" i="1" s="1"/>
  <c r="AN143" i="1" s="1"/>
  <c r="S143" i="1"/>
  <c r="Y142" i="1"/>
  <c r="U142" i="1"/>
  <c r="AM142" i="1" s="1"/>
  <c r="AN142" i="1" s="1"/>
  <c r="S142" i="1"/>
  <c r="Y141" i="1"/>
  <c r="U141" i="1"/>
  <c r="AM141" i="1" s="1"/>
  <c r="AN141" i="1" s="1"/>
  <c r="S141" i="1"/>
  <c r="Y140" i="1"/>
  <c r="U140" i="1"/>
  <c r="AM140" i="1" s="1"/>
  <c r="AN140" i="1" s="1"/>
  <c r="S140" i="1"/>
  <c r="Y139" i="1"/>
  <c r="U139" i="1"/>
  <c r="AM139" i="1" s="1"/>
  <c r="AN139" i="1" s="1"/>
  <c r="S139" i="1"/>
  <c r="Y138" i="1"/>
  <c r="U138" i="1"/>
  <c r="AM138" i="1" s="1"/>
  <c r="AN138" i="1" s="1"/>
  <c r="S138" i="1"/>
  <c r="Y137" i="1"/>
  <c r="U137" i="1"/>
  <c r="AM137" i="1" s="1"/>
  <c r="AN137" i="1" s="1"/>
  <c r="S137" i="1"/>
  <c r="Y136" i="1"/>
  <c r="U136" i="1"/>
  <c r="AM136" i="1" s="1"/>
  <c r="AN136" i="1" s="1"/>
  <c r="S136" i="1"/>
  <c r="Y135" i="1"/>
  <c r="U135" i="1"/>
  <c r="AM135" i="1" s="1"/>
  <c r="AN135" i="1" s="1"/>
  <c r="S135" i="1"/>
  <c r="Y134" i="1"/>
  <c r="AV134" i="1" s="1"/>
  <c r="U134" i="1"/>
  <c r="AM134" i="1" s="1"/>
  <c r="AN134" i="1" s="1"/>
  <c r="S134" i="1"/>
  <c r="Y133" i="1"/>
  <c r="U133" i="1"/>
  <c r="AM133" i="1" s="1"/>
  <c r="AN133" i="1" s="1"/>
  <c r="S133" i="1"/>
  <c r="Y132" i="1"/>
  <c r="U132" i="1"/>
  <c r="AM132" i="1" s="1"/>
  <c r="AN132" i="1" s="1"/>
  <c r="S132" i="1"/>
  <c r="Y131" i="1"/>
  <c r="U131" i="1"/>
  <c r="AM131" i="1" s="1"/>
  <c r="AN131" i="1" s="1"/>
  <c r="S131" i="1"/>
  <c r="Y130" i="1"/>
  <c r="U130" i="1"/>
  <c r="AM130" i="1" s="1"/>
  <c r="AN130" i="1" s="1"/>
  <c r="S130" i="1"/>
  <c r="Y129" i="1"/>
  <c r="U129" i="1"/>
  <c r="AM129" i="1" s="1"/>
  <c r="AN129" i="1" s="1"/>
  <c r="S129" i="1"/>
  <c r="Y128" i="1"/>
  <c r="U128" i="1"/>
  <c r="AM128" i="1" s="1"/>
  <c r="AN128" i="1" s="1"/>
  <c r="S128" i="1"/>
  <c r="Y127" i="1"/>
  <c r="U127" i="1"/>
  <c r="AM127" i="1" s="1"/>
  <c r="AN127" i="1" s="1"/>
  <c r="S127" i="1"/>
  <c r="Y126" i="1"/>
  <c r="U126" i="1"/>
  <c r="AM126" i="1" s="1"/>
  <c r="AN126" i="1" s="1"/>
  <c r="S126" i="1"/>
  <c r="Y125" i="1"/>
  <c r="U125" i="1"/>
  <c r="AM125" i="1" s="1"/>
  <c r="AN125" i="1" s="1"/>
  <c r="S125" i="1"/>
  <c r="Y124" i="1"/>
  <c r="U124" i="1"/>
  <c r="AM124" i="1" s="1"/>
  <c r="AN124" i="1" s="1"/>
  <c r="S124" i="1"/>
  <c r="Y123" i="1"/>
  <c r="U123" i="1"/>
  <c r="AM123" i="1" s="1"/>
  <c r="AN123" i="1" s="1"/>
  <c r="AW123" i="1" s="1"/>
  <c r="S123" i="1"/>
  <c r="Y122" i="1"/>
  <c r="U122" i="1"/>
  <c r="AM122" i="1" s="1"/>
  <c r="AN122" i="1" s="1"/>
  <c r="S122" i="1"/>
  <c r="Y121" i="1"/>
  <c r="U121" i="1"/>
  <c r="AM121" i="1" s="1"/>
  <c r="AN121" i="1" s="1"/>
  <c r="S121" i="1"/>
  <c r="Y120" i="1"/>
  <c r="U120" i="1"/>
  <c r="AM120" i="1" s="1"/>
  <c r="AN120" i="1" s="1"/>
  <c r="S120" i="1"/>
  <c r="Y119" i="1"/>
  <c r="U119" i="1"/>
  <c r="AM119" i="1" s="1"/>
  <c r="AN119" i="1" s="1"/>
  <c r="S119" i="1"/>
  <c r="Y118" i="1"/>
  <c r="U118" i="1"/>
  <c r="AM118" i="1" s="1"/>
  <c r="AN118" i="1" s="1"/>
  <c r="S118" i="1"/>
  <c r="Y117" i="1"/>
  <c r="U117" i="1"/>
  <c r="AM117" i="1" s="1"/>
  <c r="AN117" i="1" s="1"/>
  <c r="S117" i="1"/>
  <c r="Y116" i="1"/>
  <c r="U116" i="1"/>
  <c r="AM116" i="1" s="1"/>
  <c r="AN116" i="1" s="1"/>
  <c r="S116" i="1"/>
  <c r="Y115" i="1"/>
  <c r="U115" i="1"/>
  <c r="AM115" i="1" s="1"/>
  <c r="AN115" i="1" s="1"/>
  <c r="S115" i="1"/>
  <c r="Y114" i="1"/>
  <c r="U114" i="1"/>
  <c r="AM114" i="1" s="1"/>
  <c r="AN114" i="1" s="1"/>
  <c r="S114" i="1"/>
  <c r="Y113" i="1"/>
  <c r="U113" i="1"/>
  <c r="AM113" i="1" s="1"/>
  <c r="AN113" i="1" s="1"/>
  <c r="S113" i="1"/>
  <c r="Y112" i="1"/>
  <c r="U112" i="1"/>
  <c r="AM112" i="1" s="1"/>
  <c r="AN112" i="1" s="1"/>
  <c r="S112" i="1"/>
  <c r="Y111" i="1"/>
  <c r="U111" i="1"/>
  <c r="AM111" i="1" s="1"/>
  <c r="AN111" i="1" s="1"/>
  <c r="S111" i="1"/>
  <c r="Y110" i="1"/>
  <c r="U110" i="1"/>
  <c r="AM110" i="1" s="1"/>
  <c r="AN110" i="1" s="1"/>
  <c r="S110" i="1"/>
  <c r="Y109" i="1"/>
  <c r="U109" i="1"/>
  <c r="AM109" i="1" s="1"/>
  <c r="AN109" i="1" s="1"/>
  <c r="S109" i="1"/>
  <c r="Y108" i="1"/>
  <c r="U108" i="1"/>
  <c r="AM108" i="1" s="1"/>
  <c r="AN108" i="1" s="1"/>
  <c r="S108" i="1"/>
  <c r="Y107" i="1"/>
  <c r="U107" i="1"/>
  <c r="AM107" i="1" s="1"/>
  <c r="AN107" i="1" s="1"/>
  <c r="S107" i="1"/>
  <c r="Y106" i="1"/>
  <c r="U106" i="1"/>
  <c r="AM106" i="1" s="1"/>
  <c r="AN106" i="1" s="1"/>
  <c r="S106" i="1"/>
  <c r="Y105" i="1"/>
  <c r="U105" i="1"/>
  <c r="AM105" i="1" s="1"/>
  <c r="AN105" i="1" s="1"/>
  <c r="S105" i="1"/>
  <c r="Y104" i="1"/>
  <c r="U104" i="1"/>
  <c r="AM104" i="1" s="1"/>
  <c r="AN104" i="1" s="1"/>
  <c r="S104" i="1"/>
  <c r="Y103" i="1"/>
  <c r="U103" i="1"/>
  <c r="AM103" i="1" s="1"/>
  <c r="AN103" i="1" s="1"/>
  <c r="S103" i="1"/>
  <c r="Y102" i="1"/>
  <c r="U102" i="1"/>
  <c r="AM102" i="1" s="1"/>
  <c r="AN102" i="1" s="1"/>
  <c r="S102" i="1"/>
  <c r="Y101" i="1"/>
  <c r="U101" i="1"/>
  <c r="AM101" i="1" s="1"/>
  <c r="AN101" i="1" s="1"/>
  <c r="S101" i="1"/>
  <c r="Y100" i="1"/>
  <c r="U100" i="1"/>
  <c r="AM100" i="1" s="1"/>
  <c r="AN100" i="1" s="1"/>
  <c r="S100" i="1"/>
  <c r="Y99" i="1"/>
  <c r="U99" i="1"/>
  <c r="AM99" i="1" s="1"/>
  <c r="AN99" i="1" s="1"/>
  <c r="S99" i="1"/>
  <c r="Y98" i="1"/>
  <c r="U98" i="1"/>
  <c r="AM98" i="1" s="1"/>
  <c r="AN98" i="1" s="1"/>
  <c r="S98" i="1"/>
  <c r="Y97" i="1"/>
  <c r="U97" i="1"/>
  <c r="AM97" i="1" s="1"/>
  <c r="AN97" i="1" s="1"/>
  <c r="S97" i="1"/>
  <c r="Y96" i="1"/>
  <c r="U96" i="1"/>
  <c r="AM96" i="1" s="1"/>
  <c r="AN96" i="1" s="1"/>
  <c r="S96" i="1"/>
  <c r="Y95" i="1"/>
  <c r="U95" i="1"/>
  <c r="AM95" i="1" s="1"/>
  <c r="AN95" i="1" s="1"/>
  <c r="S95" i="1"/>
  <c r="Y94" i="1"/>
  <c r="U94" i="1"/>
  <c r="AM94" i="1" s="1"/>
  <c r="AN94" i="1" s="1"/>
  <c r="S94" i="1"/>
  <c r="Y93" i="1"/>
  <c r="U93" i="1"/>
  <c r="AM93" i="1" s="1"/>
  <c r="AN93" i="1" s="1"/>
  <c r="S93" i="1"/>
  <c r="Y92" i="1"/>
  <c r="U92" i="1"/>
  <c r="AM92" i="1" s="1"/>
  <c r="AN92" i="1" s="1"/>
  <c r="S92" i="1"/>
  <c r="Y91" i="1"/>
  <c r="U91" i="1"/>
  <c r="AM91" i="1" s="1"/>
  <c r="AN91" i="1" s="1"/>
  <c r="S91" i="1"/>
  <c r="Y90" i="1"/>
  <c r="U90" i="1"/>
  <c r="AM90" i="1" s="1"/>
  <c r="AN90" i="1" s="1"/>
  <c r="S90" i="1"/>
  <c r="Y89" i="1"/>
  <c r="U89" i="1"/>
  <c r="AM89" i="1" s="1"/>
  <c r="AN89" i="1" s="1"/>
  <c r="S89" i="1"/>
  <c r="Y88" i="1"/>
  <c r="U88" i="1"/>
  <c r="AM88" i="1" s="1"/>
  <c r="AN88" i="1" s="1"/>
  <c r="S88" i="1"/>
  <c r="Y87" i="1"/>
  <c r="U87" i="1"/>
  <c r="AM87" i="1" s="1"/>
  <c r="AN87" i="1" s="1"/>
  <c r="S87" i="1"/>
  <c r="AM86" i="1"/>
  <c r="AN86" i="1" s="1"/>
  <c r="Y86" i="1"/>
  <c r="U86" i="1"/>
  <c r="S86" i="1"/>
  <c r="Y85" i="1"/>
  <c r="U85" i="1"/>
  <c r="AM85" i="1" s="1"/>
  <c r="AN85" i="1" s="1"/>
  <c r="S85" i="1"/>
  <c r="Y84" i="1"/>
  <c r="U84" i="1"/>
  <c r="AM84" i="1" s="1"/>
  <c r="AN84" i="1" s="1"/>
  <c r="S84" i="1"/>
  <c r="Y83" i="1"/>
  <c r="U83" i="1"/>
  <c r="AM83" i="1" s="1"/>
  <c r="AN83" i="1" s="1"/>
  <c r="S83" i="1"/>
  <c r="Y82" i="1"/>
  <c r="U82" i="1"/>
  <c r="AM82" i="1" s="1"/>
  <c r="AN82" i="1" s="1"/>
  <c r="S82" i="1"/>
  <c r="Y81" i="1"/>
  <c r="U81" i="1"/>
  <c r="AM81" i="1" s="1"/>
  <c r="AN81" i="1" s="1"/>
  <c r="S81" i="1"/>
  <c r="Y80" i="1"/>
  <c r="U80" i="1"/>
  <c r="AM80" i="1" s="1"/>
  <c r="AN80" i="1" s="1"/>
  <c r="S80" i="1"/>
  <c r="Y79" i="1"/>
  <c r="U79" i="1"/>
  <c r="AM79" i="1" s="1"/>
  <c r="AN79" i="1" s="1"/>
  <c r="S79" i="1"/>
  <c r="Y78" i="1"/>
  <c r="U78" i="1"/>
  <c r="AM78" i="1" s="1"/>
  <c r="AN78" i="1" s="1"/>
  <c r="S78" i="1"/>
  <c r="Y77" i="1"/>
  <c r="U77" i="1"/>
  <c r="AM77" i="1" s="1"/>
  <c r="AN77" i="1" s="1"/>
  <c r="S77" i="1"/>
  <c r="Y76" i="1"/>
  <c r="U76" i="1"/>
  <c r="AM76" i="1" s="1"/>
  <c r="AN76" i="1" s="1"/>
  <c r="S76" i="1"/>
  <c r="Y75" i="1"/>
  <c r="U75" i="1"/>
  <c r="AM75" i="1" s="1"/>
  <c r="AN75" i="1" s="1"/>
  <c r="S75" i="1"/>
  <c r="Y74" i="1"/>
  <c r="U74" i="1"/>
  <c r="AM74" i="1" s="1"/>
  <c r="AN74" i="1" s="1"/>
  <c r="S74" i="1"/>
  <c r="Y73" i="1"/>
  <c r="U73" i="1"/>
  <c r="AM73" i="1" s="1"/>
  <c r="AN73" i="1" s="1"/>
  <c r="S73" i="1"/>
  <c r="Y72" i="1"/>
  <c r="U72" i="1"/>
  <c r="AM72" i="1" s="1"/>
  <c r="AN72" i="1" s="1"/>
  <c r="S72" i="1"/>
  <c r="Y71" i="1"/>
  <c r="U71" i="1"/>
  <c r="AM71" i="1" s="1"/>
  <c r="AN71" i="1" s="1"/>
  <c r="S71" i="1"/>
  <c r="Y70" i="1"/>
  <c r="U70" i="1"/>
  <c r="AM70" i="1" s="1"/>
  <c r="AN70" i="1" s="1"/>
  <c r="S70" i="1"/>
  <c r="Y69" i="1"/>
  <c r="U69" i="1"/>
  <c r="AM69" i="1" s="1"/>
  <c r="AN69" i="1" s="1"/>
  <c r="S69" i="1"/>
  <c r="Y68" i="1"/>
  <c r="U68" i="1"/>
  <c r="AM68" i="1" s="1"/>
  <c r="AN68" i="1" s="1"/>
  <c r="S68" i="1"/>
  <c r="Y67" i="1"/>
  <c r="U67" i="1"/>
  <c r="AM67" i="1" s="1"/>
  <c r="AN67" i="1" s="1"/>
  <c r="S67" i="1"/>
  <c r="Y66" i="1"/>
  <c r="U66" i="1"/>
  <c r="AM66" i="1" s="1"/>
  <c r="AN66" i="1" s="1"/>
  <c r="S66" i="1"/>
  <c r="Y65" i="1"/>
  <c r="U65" i="1"/>
  <c r="AM65" i="1" s="1"/>
  <c r="AN65" i="1" s="1"/>
  <c r="S65" i="1"/>
  <c r="Y64" i="1"/>
  <c r="U64" i="1"/>
  <c r="AM64" i="1" s="1"/>
  <c r="AN64" i="1" s="1"/>
  <c r="S64" i="1"/>
  <c r="Y63" i="1"/>
  <c r="U63" i="1"/>
  <c r="AM63" i="1" s="1"/>
  <c r="AN63" i="1" s="1"/>
  <c r="S63" i="1"/>
  <c r="Y62" i="1"/>
  <c r="U62" i="1"/>
  <c r="AM62" i="1" s="1"/>
  <c r="AN62" i="1" s="1"/>
  <c r="S62" i="1"/>
  <c r="Y61" i="1"/>
  <c r="U61" i="1"/>
  <c r="AM61" i="1" s="1"/>
  <c r="AN61" i="1" s="1"/>
  <c r="S61" i="1"/>
  <c r="Y60" i="1"/>
  <c r="U60" i="1"/>
  <c r="AM60" i="1" s="1"/>
  <c r="AN60" i="1" s="1"/>
  <c r="S60" i="1"/>
  <c r="Y59" i="1"/>
  <c r="U59" i="1"/>
  <c r="AM59" i="1" s="1"/>
  <c r="AN59" i="1" s="1"/>
  <c r="S59" i="1"/>
  <c r="Y58" i="1"/>
  <c r="U58" i="1"/>
  <c r="AM58" i="1" s="1"/>
  <c r="AN58" i="1" s="1"/>
  <c r="S58" i="1"/>
  <c r="Y57" i="1"/>
  <c r="U57" i="1"/>
  <c r="AM57" i="1" s="1"/>
  <c r="AN57" i="1" s="1"/>
  <c r="S57" i="1"/>
  <c r="Y56" i="1"/>
  <c r="U56" i="1"/>
  <c r="AM56" i="1" s="1"/>
  <c r="AN56" i="1" s="1"/>
  <c r="S56" i="1"/>
  <c r="AM55" i="1"/>
  <c r="AN55" i="1" s="1"/>
  <c r="Y55" i="1"/>
  <c r="U55" i="1"/>
  <c r="S55" i="1"/>
  <c r="Y54" i="1"/>
  <c r="U54" i="1"/>
  <c r="AM54" i="1" s="1"/>
  <c r="AN54" i="1" s="1"/>
  <c r="S54" i="1"/>
  <c r="Y53" i="1"/>
  <c r="U53" i="1"/>
  <c r="AM53" i="1" s="1"/>
  <c r="AN53" i="1" s="1"/>
  <c r="S53" i="1"/>
  <c r="Y52" i="1"/>
  <c r="U52" i="1"/>
  <c r="AM52" i="1" s="1"/>
  <c r="AN52" i="1" s="1"/>
  <c r="S52" i="1"/>
  <c r="Y51" i="1"/>
  <c r="U51" i="1"/>
  <c r="AM51" i="1" s="1"/>
  <c r="AN51" i="1" s="1"/>
  <c r="S51" i="1"/>
  <c r="Y50" i="1"/>
  <c r="U50" i="1"/>
  <c r="AM50" i="1" s="1"/>
  <c r="AN50" i="1" s="1"/>
  <c r="S50" i="1"/>
  <c r="Y49" i="1"/>
  <c r="U49" i="1"/>
  <c r="AM49" i="1" s="1"/>
  <c r="AN49" i="1" s="1"/>
  <c r="S49" i="1"/>
  <c r="Y48" i="1"/>
  <c r="U48" i="1"/>
  <c r="AM48" i="1" s="1"/>
  <c r="AN48" i="1" s="1"/>
  <c r="S48" i="1"/>
  <c r="Y47" i="1"/>
  <c r="U47" i="1"/>
  <c r="AM47" i="1" s="1"/>
  <c r="AN47" i="1" s="1"/>
  <c r="S47" i="1"/>
  <c r="Y46" i="1"/>
  <c r="U46" i="1"/>
  <c r="AM46" i="1" s="1"/>
  <c r="AN46" i="1" s="1"/>
  <c r="S46" i="1"/>
  <c r="Y45" i="1"/>
  <c r="U45" i="1"/>
  <c r="AM45" i="1" s="1"/>
  <c r="AN45" i="1" s="1"/>
  <c r="S45" i="1"/>
  <c r="Y44" i="1"/>
  <c r="U44" i="1"/>
  <c r="AM44" i="1" s="1"/>
  <c r="AN44" i="1" s="1"/>
  <c r="S44" i="1"/>
  <c r="Y43" i="1"/>
  <c r="U43" i="1"/>
  <c r="AM43" i="1" s="1"/>
  <c r="AN43" i="1" s="1"/>
  <c r="S43" i="1"/>
  <c r="Y42" i="1"/>
  <c r="U42" i="1"/>
  <c r="AM42" i="1" s="1"/>
  <c r="AN42" i="1" s="1"/>
  <c r="S42" i="1"/>
  <c r="Y41" i="1"/>
  <c r="U41" i="1"/>
  <c r="AM41" i="1" s="1"/>
  <c r="AN41" i="1" s="1"/>
  <c r="S41" i="1"/>
  <c r="Y40" i="1"/>
  <c r="U40" i="1"/>
  <c r="AM40" i="1" s="1"/>
  <c r="AN40" i="1" s="1"/>
  <c r="S40" i="1"/>
  <c r="Y39" i="1"/>
  <c r="U39" i="1"/>
  <c r="AM39" i="1" s="1"/>
  <c r="AN39" i="1" s="1"/>
  <c r="S39" i="1"/>
  <c r="Y38" i="1"/>
  <c r="U38" i="1"/>
  <c r="AM38" i="1" s="1"/>
  <c r="AN38" i="1" s="1"/>
  <c r="S38" i="1"/>
  <c r="Y37" i="1"/>
  <c r="U37" i="1"/>
  <c r="AM37" i="1" s="1"/>
  <c r="AN37" i="1" s="1"/>
  <c r="S37" i="1"/>
  <c r="Y36" i="1"/>
  <c r="U36" i="1"/>
  <c r="AM36" i="1" s="1"/>
  <c r="AN36" i="1" s="1"/>
  <c r="S36" i="1"/>
  <c r="Y35" i="1"/>
  <c r="U35" i="1"/>
  <c r="AM35" i="1" s="1"/>
  <c r="AN35" i="1" s="1"/>
  <c r="S35" i="1"/>
  <c r="AM34" i="1"/>
  <c r="AN34" i="1" s="1"/>
  <c r="Y34" i="1"/>
  <c r="U34" i="1"/>
  <c r="S34" i="1"/>
  <c r="Y33" i="1"/>
  <c r="U33" i="1"/>
  <c r="AM33" i="1" s="1"/>
  <c r="AN33" i="1" s="1"/>
  <c r="S33" i="1"/>
  <c r="Y32" i="1"/>
  <c r="U32" i="1"/>
  <c r="AM32" i="1" s="1"/>
  <c r="AN32" i="1" s="1"/>
  <c r="S32" i="1"/>
  <c r="Y31" i="1"/>
  <c r="U31" i="1"/>
  <c r="AM31" i="1" s="1"/>
  <c r="AN31" i="1" s="1"/>
  <c r="S31" i="1"/>
  <c r="Y30" i="1"/>
  <c r="U30" i="1"/>
  <c r="AM30" i="1" s="1"/>
  <c r="AN30" i="1" s="1"/>
  <c r="S30" i="1"/>
  <c r="Y29" i="1"/>
  <c r="U29" i="1"/>
  <c r="AM29" i="1" s="1"/>
  <c r="AN29" i="1" s="1"/>
  <c r="S29" i="1"/>
  <c r="AM28" i="1"/>
  <c r="AN28" i="1" s="1"/>
  <c r="Y28" i="1"/>
  <c r="U28" i="1"/>
  <c r="S28" i="1"/>
  <c r="Y27" i="1"/>
  <c r="U27" i="1"/>
  <c r="AM27" i="1" s="1"/>
  <c r="AN27" i="1" s="1"/>
  <c r="S27" i="1"/>
  <c r="Y26" i="1"/>
  <c r="U26" i="1"/>
  <c r="AM26" i="1" s="1"/>
  <c r="AN26" i="1" s="1"/>
  <c r="S26" i="1"/>
  <c r="Y25" i="1"/>
  <c r="U25" i="1"/>
  <c r="AM25" i="1" s="1"/>
  <c r="AN25" i="1" s="1"/>
  <c r="S25" i="1"/>
  <c r="Y24" i="1"/>
  <c r="U24" i="1"/>
  <c r="AM24" i="1" s="1"/>
  <c r="AN24" i="1" s="1"/>
  <c r="S24" i="1"/>
  <c r="Y23" i="1"/>
  <c r="U23" i="1"/>
  <c r="AM23" i="1" s="1"/>
  <c r="AN23" i="1" s="1"/>
  <c r="S23" i="1"/>
  <c r="Y22" i="1"/>
  <c r="U22" i="1"/>
  <c r="AM22" i="1" s="1"/>
  <c r="AN22" i="1" s="1"/>
  <c r="S22" i="1"/>
  <c r="Y21" i="1"/>
  <c r="U21" i="1"/>
  <c r="AM21" i="1" s="1"/>
  <c r="AN21" i="1" s="1"/>
  <c r="S21" i="1"/>
  <c r="Y20" i="1"/>
  <c r="U20" i="1"/>
  <c r="AM20" i="1" s="1"/>
  <c r="AN20" i="1" s="1"/>
  <c r="S20" i="1"/>
  <c r="Y19" i="1"/>
  <c r="U19" i="1"/>
  <c r="AM19" i="1" s="1"/>
  <c r="AN19" i="1" s="1"/>
  <c r="S19" i="1"/>
  <c r="Y18" i="1"/>
  <c r="U18" i="1"/>
  <c r="AM18" i="1" s="1"/>
  <c r="AN18" i="1" s="1"/>
  <c r="S18" i="1"/>
  <c r="Y17" i="1"/>
  <c r="U17" i="1"/>
  <c r="AM17" i="1" s="1"/>
  <c r="AN17" i="1" s="1"/>
  <c r="S17" i="1"/>
  <c r="Y16" i="1"/>
  <c r="U16" i="1"/>
  <c r="AM16" i="1" s="1"/>
  <c r="AN16" i="1" s="1"/>
  <c r="S16" i="1"/>
  <c r="Y15" i="1"/>
  <c r="U15" i="1"/>
  <c r="AM15" i="1" s="1"/>
  <c r="AN15" i="1" s="1"/>
  <c r="S15" i="1"/>
  <c r="Y14" i="1"/>
  <c r="U14" i="1"/>
  <c r="AM14" i="1" s="1"/>
  <c r="AN14" i="1" s="1"/>
  <c r="S14" i="1"/>
  <c r="Y13" i="1"/>
  <c r="U13" i="1"/>
  <c r="AM13" i="1" s="1"/>
  <c r="AN13" i="1" s="1"/>
  <c r="S13" i="1"/>
  <c r="Y12" i="1"/>
  <c r="U12" i="1"/>
  <c r="AM12" i="1" s="1"/>
  <c r="AN12" i="1" s="1"/>
  <c r="S12" i="1"/>
  <c r="Y11" i="1"/>
  <c r="U11" i="1"/>
  <c r="AM11" i="1" s="1"/>
  <c r="AN11" i="1" s="1"/>
  <c r="S11" i="1"/>
  <c r="Y10" i="1"/>
  <c r="U10" i="1"/>
  <c r="AM10" i="1" s="1"/>
  <c r="AN10" i="1" s="1"/>
  <c r="S10" i="1"/>
  <c r="Y9" i="1"/>
  <c r="U9" i="1"/>
  <c r="AM9" i="1" s="1"/>
  <c r="AN9" i="1" s="1"/>
  <c r="S9" i="1"/>
  <c r="Y8" i="1"/>
  <c r="U8" i="1"/>
  <c r="AM8" i="1" s="1"/>
  <c r="AN8" i="1" s="1"/>
  <c r="AV8" i="1" s="1"/>
  <c r="S8" i="1"/>
  <c r="Y7" i="1"/>
  <c r="U7" i="1"/>
  <c r="AM7" i="1" s="1"/>
  <c r="AN7" i="1" s="1"/>
  <c r="S7" i="1"/>
  <c r="Y6" i="1"/>
  <c r="U6" i="1"/>
  <c r="AM6" i="1" s="1"/>
  <c r="AN6" i="1" s="1"/>
  <c r="S6" i="1"/>
  <c r="Y5" i="1"/>
  <c r="U5" i="1"/>
  <c r="AM5" i="1" s="1"/>
  <c r="AN5" i="1" s="1"/>
  <c r="S5" i="1"/>
  <c r="Y4" i="1"/>
  <c r="U4" i="1"/>
  <c r="AM4" i="1" s="1"/>
  <c r="AN4" i="1" s="1"/>
  <c r="S4" i="1"/>
  <c r="Y3" i="1"/>
  <c r="U3" i="1"/>
  <c r="AM3" i="1" s="1"/>
  <c r="AN3" i="1" s="1"/>
  <c r="S3" i="1"/>
  <c r="Y2" i="1"/>
  <c r="U2" i="1"/>
  <c r="AM2" i="1" s="1"/>
  <c r="AN2" i="1" s="1"/>
  <c r="S2" i="1"/>
  <c r="AU75" i="1" l="1"/>
  <c r="AU83" i="1"/>
  <c r="AU261" i="1"/>
  <c r="AW560" i="1"/>
  <c r="AU547" i="1"/>
  <c r="AW47" i="1"/>
  <c r="AV238" i="1"/>
  <c r="AU67" i="1"/>
  <c r="AW140" i="1"/>
  <c r="AU344" i="1"/>
  <c r="AW396" i="1"/>
  <c r="AU398" i="1"/>
  <c r="AU458" i="1"/>
  <c r="AV280" i="1"/>
  <c r="AW300" i="1"/>
  <c r="AW452" i="1"/>
  <c r="AW472" i="1"/>
  <c r="AW492" i="1"/>
  <c r="AU439" i="1"/>
  <c r="AW506" i="1"/>
  <c r="AU321" i="1"/>
  <c r="AU533" i="1"/>
  <c r="AW230" i="1"/>
  <c r="AV243" i="1"/>
  <c r="AW276" i="1"/>
  <c r="AW316" i="1"/>
  <c r="AU165" i="1"/>
  <c r="AW218" i="1"/>
  <c r="AW231" i="1"/>
  <c r="AW389" i="1"/>
  <c r="AU395" i="1"/>
  <c r="AW404" i="1"/>
  <c r="AU260" i="1"/>
  <c r="AW431" i="1"/>
  <c r="AW471" i="1"/>
  <c r="AV168" i="1"/>
  <c r="AV181" i="1"/>
  <c r="AV418" i="1"/>
  <c r="AU512" i="1"/>
  <c r="AW267" i="1"/>
  <c r="AU254" i="1"/>
  <c r="AV18" i="1"/>
  <c r="AV31" i="1"/>
  <c r="AU57" i="1"/>
  <c r="AW255" i="1"/>
  <c r="AU301" i="1"/>
  <c r="AW426" i="1"/>
  <c r="AU341" i="1"/>
  <c r="AW137" i="1"/>
  <c r="AU308" i="1"/>
  <c r="AW328" i="1"/>
  <c r="AU400" i="1"/>
  <c r="AW440" i="1"/>
  <c r="AW460" i="1"/>
  <c r="AV447" i="1"/>
  <c r="AW514" i="1"/>
  <c r="AW13" i="1"/>
  <c r="AW39" i="1"/>
  <c r="AW98" i="1"/>
  <c r="AU250" i="1"/>
  <c r="AW375" i="1"/>
  <c r="AU475" i="1"/>
  <c r="AU185" i="1"/>
  <c r="AW205" i="1"/>
  <c r="AW271" i="1"/>
  <c r="AW59" i="1"/>
  <c r="AW74" i="1"/>
  <c r="AU94" i="1"/>
  <c r="AU160" i="1"/>
  <c r="AW213" i="1"/>
  <c r="AW226" i="1"/>
  <c r="AW239" i="1"/>
  <c r="AW259" i="1"/>
  <c r="AW318" i="1"/>
  <c r="AW410" i="1"/>
  <c r="AW530" i="1"/>
  <c r="AW96" i="1"/>
  <c r="AU129" i="1"/>
  <c r="AW174" i="1"/>
  <c r="AW193" i="1"/>
  <c r="AV219" i="1"/>
  <c r="AW397" i="1"/>
  <c r="AW308" i="1"/>
  <c r="AW197" i="1"/>
  <c r="AU288" i="1"/>
  <c r="AU284" i="1"/>
  <c r="AW495" i="1"/>
  <c r="AW521" i="1"/>
  <c r="AW104" i="1"/>
  <c r="AW236" i="1"/>
  <c r="AV288" i="1"/>
  <c r="AU476" i="1"/>
  <c r="AU268" i="1"/>
  <c r="AV11" i="1"/>
  <c r="AW114" i="1"/>
  <c r="AW41" i="1"/>
  <c r="AW54" i="1"/>
  <c r="AW99" i="1"/>
  <c r="AW144" i="1"/>
  <c r="AV183" i="1"/>
  <c r="AW189" i="1"/>
  <c r="AV291" i="1"/>
  <c r="AW348" i="1"/>
  <c r="AV354" i="1"/>
  <c r="AW490" i="1"/>
  <c r="AW536" i="1"/>
  <c r="AW447" i="1"/>
  <c r="AW23" i="1"/>
  <c r="AW260" i="1"/>
  <c r="AU304" i="1"/>
  <c r="AV439" i="1"/>
  <c r="AW67" i="1"/>
  <c r="AW171" i="1"/>
  <c r="AW216" i="1"/>
  <c r="AW280" i="1"/>
  <c r="AU324" i="1"/>
  <c r="AV368" i="1"/>
  <c r="AW439" i="1"/>
  <c r="AU446" i="1"/>
  <c r="AW510" i="1"/>
  <c r="AU517" i="1"/>
  <c r="AW210" i="1"/>
  <c r="AU300" i="1"/>
  <c r="AU205" i="1"/>
  <c r="AW180" i="1"/>
  <c r="AW168" i="1"/>
  <c r="AW8" i="1"/>
  <c r="AU521" i="1"/>
  <c r="AU305" i="1"/>
  <c r="AW159" i="1"/>
  <c r="AV255" i="1"/>
  <c r="AU271" i="1"/>
  <c r="AV401" i="1"/>
  <c r="AU140" i="1"/>
  <c r="AU471" i="1"/>
  <c r="AW18" i="1"/>
  <c r="AV151" i="1"/>
  <c r="AV123" i="1"/>
  <c r="AW321" i="1"/>
  <c r="AV140" i="1"/>
  <c r="AU418" i="1"/>
  <c r="AW436" i="1"/>
  <c r="AW524" i="1"/>
  <c r="AU239" i="1"/>
  <c r="AV59" i="1"/>
  <c r="AU137" i="1"/>
  <c r="AV159" i="1"/>
  <c r="AW206" i="1"/>
  <c r="AW296" i="1"/>
  <c r="AU36" i="1"/>
  <c r="AV300" i="1"/>
  <c r="AW333" i="1"/>
  <c r="AU280" i="1"/>
  <c r="AV211" i="1"/>
  <c r="AV126" i="1"/>
  <c r="AU437" i="1"/>
  <c r="AW454" i="1"/>
  <c r="AV460" i="1"/>
  <c r="AV520" i="1"/>
  <c r="AW549" i="1"/>
  <c r="AW395" i="1"/>
  <c r="AW36" i="1"/>
  <c r="AU153" i="1"/>
  <c r="AU401" i="1"/>
  <c r="AV153" i="1"/>
  <c r="AW301" i="1"/>
  <c r="AW43" i="1"/>
  <c r="AW266" i="1"/>
  <c r="AW281" i="1"/>
  <c r="AW291" i="1"/>
  <c r="AV437" i="1"/>
  <c r="AW555" i="1"/>
  <c r="AW57" i="1"/>
  <c r="AV231" i="1"/>
  <c r="AW81" i="1"/>
  <c r="AW446" i="1"/>
  <c r="AU102" i="1"/>
  <c r="AV180" i="1"/>
  <c r="AW381" i="1"/>
  <c r="AV484" i="1"/>
  <c r="AW366" i="1"/>
  <c r="AW58" i="1"/>
  <c r="AW136" i="1"/>
  <c r="AW38" i="1"/>
  <c r="AW91" i="1"/>
  <c r="AW155" i="1"/>
  <c r="AW364" i="1"/>
  <c r="AV403" i="1"/>
  <c r="AW484" i="1"/>
  <c r="AU503" i="1"/>
  <c r="AV268" i="1"/>
  <c r="AW377" i="1"/>
  <c r="AW486" i="1"/>
  <c r="AU189" i="1"/>
  <c r="AU259" i="1"/>
  <c r="AV36" i="1"/>
  <c r="AW33" i="1"/>
  <c r="AW313" i="1"/>
  <c r="AW341" i="1"/>
  <c r="AU467" i="1"/>
  <c r="AW562" i="1"/>
  <c r="AU422" i="1"/>
  <c r="AW268" i="1"/>
  <c r="AW221" i="1"/>
  <c r="AW94" i="1"/>
  <c r="AW179" i="1"/>
  <c r="AW374" i="1"/>
  <c r="AU115" i="1"/>
  <c r="AV421" i="1"/>
  <c r="AW497" i="1"/>
  <c r="AU204" i="1"/>
  <c r="AW158" i="1"/>
  <c r="AW475" i="1"/>
  <c r="AW53" i="1"/>
  <c r="AW401" i="1"/>
  <c r="AW482" i="1"/>
  <c r="AW311" i="1"/>
  <c r="AW48" i="1"/>
  <c r="AW465" i="1"/>
  <c r="AW203" i="1"/>
  <c r="AW208" i="1"/>
  <c r="AV308" i="1"/>
  <c r="AW371" i="1"/>
  <c r="AW545" i="1"/>
  <c r="AU159" i="1"/>
  <c r="AU59" i="1"/>
  <c r="AW278" i="1"/>
  <c r="AW336" i="1"/>
  <c r="AW421" i="1"/>
  <c r="AW450" i="1"/>
  <c r="AW462" i="1"/>
  <c r="AV468" i="1"/>
  <c r="AU510" i="1"/>
  <c r="AW145" i="1"/>
  <c r="AW372" i="1"/>
  <c r="AV23" i="1"/>
  <c r="AW412" i="1"/>
  <c r="AU104" i="1"/>
  <c r="AW122" i="1"/>
  <c r="AU231" i="1"/>
  <c r="AW247" i="1"/>
  <c r="AW522" i="1"/>
  <c r="AW540" i="1"/>
  <c r="AW557" i="1"/>
  <c r="AW63" i="1"/>
  <c r="AV63" i="1"/>
  <c r="AU63" i="1"/>
  <c r="AW118" i="1"/>
  <c r="AV118" i="1"/>
  <c r="AU118" i="1"/>
  <c r="AV163" i="1"/>
  <c r="AU163" i="1"/>
  <c r="AW163" i="1"/>
  <c r="AV47" i="1"/>
  <c r="AW130" i="1"/>
  <c r="AV130" i="1"/>
  <c r="AU130" i="1"/>
  <c r="AW6" i="1"/>
  <c r="AU52" i="1"/>
  <c r="AW70" i="1"/>
  <c r="AV70" i="1"/>
  <c r="AU70" i="1"/>
  <c r="AW100" i="1"/>
  <c r="AV100" i="1"/>
  <c r="AU100" i="1"/>
  <c r="AW184" i="1"/>
  <c r="AV184" i="1"/>
  <c r="AU184" i="1"/>
  <c r="AW29" i="1"/>
  <c r="AV65" i="1"/>
  <c r="AU65" i="1"/>
  <c r="AW65" i="1"/>
  <c r="AW89" i="1"/>
  <c r="AV113" i="1"/>
  <c r="AW105" i="1"/>
  <c r="AV105" i="1"/>
  <c r="AU105" i="1"/>
  <c r="AU26" i="1"/>
  <c r="AV26" i="1"/>
  <c r="AW26" i="1"/>
  <c r="AU37" i="1"/>
  <c r="AW107" i="1"/>
  <c r="AU107" i="1"/>
  <c r="AW190" i="1"/>
  <c r="AU190" i="1"/>
  <c r="AV190" i="1"/>
  <c r="AV334" i="1"/>
  <c r="AV369" i="1"/>
  <c r="AW369" i="1"/>
  <c r="AU369" i="1"/>
  <c r="AW132" i="1"/>
  <c r="AU132" i="1"/>
  <c r="AW148" i="1"/>
  <c r="AV148" i="1"/>
  <c r="AU148" i="1"/>
  <c r="AU60" i="1"/>
  <c r="AW60" i="1"/>
  <c r="AV60" i="1"/>
  <c r="AV78" i="1"/>
  <c r="AW78" i="1"/>
  <c r="AW240" i="1"/>
  <c r="AV240" i="1"/>
  <c r="AU240" i="1"/>
  <c r="AW251" i="1"/>
  <c r="AV251" i="1"/>
  <c r="AW110" i="1"/>
  <c r="AV110" i="1"/>
  <c r="AU110" i="1"/>
  <c r="AW135" i="1"/>
  <c r="AV135" i="1"/>
  <c r="AU135" i="1"/>
  <c r="AW387" i="1"/>
  <c r="AV387" i="1"/>
  <c r="AU387" i="1"/>
  <c r="AU62" i="1"/>
  <c r="AW62" i="1"/>
  <c r="AV24" i="1"/>
  <c r="AU24" i="1"/>
  <c r="AU49" i="1"/>
  <c r="AW49" i="1"/>
  <c r="AV49" i="1"/>
  <c r="AV21" i="1"/>
  <c r="AU21" i="1"/>
  <c r="AW21" i="1"/>
  <c r="AV121" i="1"/>
  <c r="AU121" i="1"/>
  <c r="AW121" i="1"/>
  <c r="AW127" i="1"/>
  <c r="AU127" i="1"/>
  <c r="AW86" i="1"/>
  <c r="AV86" i="1"/>
  <c r="AU86" i="1"/>
  <c r="AU3" i="1"/>
  <c r="AV3" i="1"/>
  <c r="AW3" i="1"/>
  <c r="AV143" i="1"/>
  <c r="AU16" i="1"/>
  <c r="AU44" i="1"/>
  <c r="AV44" i="1"/>
  <c r="AW44" i="1"/>
  <c r="AW73" i="1"/>
  <c r="AU97" i="1"/>
  <c r="AV156" i="1"/>
  <c r="AU156" i="1"/>
  <c r="AW156" i="1"/>
  <c r="AW16" i="1"/>
  <c r="AV16" i="1"/>
  <c r="AV39" i="1"/>
  <c r="AW34" i="1"/>
  <c r="AW187" i="1"/>
  <c r="AV76" i="1"/>
  <c r="AW76" i="1"/>
  <c r="AW250" i="1"/>
  <c r="AU151" i="1"/>
  <c r="AV200" i="1"/>
  <c r="AU334" i="1"/>
  <c r="AW17" i="1"/>
  <c r="AW191" i="1"/>
  <c r="AV191" i="1"/>
  <c r="AU191" i="1"/>
  <c r="AW392" i="1"/>
  <c r="AV392" i="1"/>
  <c r="AU392" i="1"/>
  <c r="AW2" i="1"/>
  <c r="AU6" i="1"/>
  <c r="AU18" i="1"/>
  <c r="AV29" i="1"/>
  <c r="AW52" i="1"/>
  <c r="AU81" i="1"/>
  <c r="AV89" i="1"/>
  <c r="AW97" i="1"/>
  <c r="AW126" i="1"/>
  <c r="AW201" i="1"/>
  <c r="AV201" i="1"/>
  <c r="AW233" i="1"/>
  <c r="AV233" i="1"/>
  <c r="AU325" i="1"/>
  <c r="AW479" i="1"/>
  <c r="AV479" i="1"/>
  <c r="AU479" i="1"/>
  <c r="AU490" i="1"/>
  <c r="AV443" i="1"/>
  <c r="AU443" i="1"/>
  <c r="AV400" i="1"/>
  <c r="AW56" i="1"/>
  <c r="AU29" i="1"/>
  <c r="AU89" i="1"/>
  <c r="AW354" i="1"/>
  <c r="AW559" i="1"/>
  <c r="AV6" i="1"/>
  <c r="AU14" i="1"/>
  <c r="AW14" i="1"/>
  <c r="AV14" i="1"/>
  <c r="AU73" i="1"/>
  <c r="AV81" i="1"/>
  <c r="AV102" i="1"/>
  <c r="AW131" i="1"/>
  <c r="AW170" i="1"/>
  <c r="AU170" i="1"/>
  <c r="AV170" i="1"/>
  <c r="AU219" i="1"/>
  <c r="AW229" i="1"/>
  <c r="AW261" i="1"/>
  <c r="AV261" i="1"/>
  <c r="AV325" i="1"/>
  <c r="AW351" i="1"/>
  <c r="AW355" i="1"/>
  <c r="AV355" i="1"/>
  <c r="AU355" i="1"/>
  <c r="AV490" i="1"/>
  <c r="AW552" i="1"/>
  <c r="AV552" i="1"/>
  <c r="AU552" i="1"/>
  <c r="AU354" i="1"/>
  <c r="AV37" i="1"/>
  <c r="AW37" i="1"/>
  <c r="AW85" i="1"/>
  <c r="AV85" i="1"/>
  <c r="AU85" i="1"/>
  <c r="AU126" i="1"/>
  <c r="AV41" i="1"/>
  <c r="AW143" i="1"/>
  <c r="AW320" i="1"/>
  <c r="AV320" i="1"/>
  <c r="AU320" i="1"/>
  <c r="AU45" i="1"/>
  <c r="AW45" i="1"/>
  <c r="AV45" i="1"/>
  <c r="AW69" i="1"/>
  <c r="AV73" i="1"/>
  <c r="AW166" i="1"/>
  <c r="AV166" i="1"/>
  <c r="AU166" i="1"/>
  <c r="AU201" i="1"/>
  <c r="AV210" i="1"/>
  <c r="AW331" i="1"/>
  <c r="AW474" i="1"/>
  <c r="AV474" i="1"/>
  <c r="AV227" i="1"/>
  <c r="AU227" i="1"/>
  <c r="AW227" i="1"/>
  <c r="AV213" i="1"/>
  <c r="AW169" i="1"/>
  <c r="AU169" i="1"/>
  <c r="AV169" i="1"/>
  <c r="AU396" i="1"/>
  <c r="AV13" i="1"/>
  <c r="AU76" i="1"/>
  <c r="AW139" i="1"/>
  <c r="AU495" i="1"/>
  <c r="AV495" i="1"/>
  <c r="AU214" i="1"/>
  <c r="AW214" i="1"/>
  <c r="AV214" i="1"/>
  <c r="AU22" i="1"/>
  <c r="AW22" i="1"/>
  <c r="AV22" i="1"/>
  <c r="AW42" i="1"/>
  <c r="AW90" i="1"/>
  <c r="AV90" i="1"/>
  <c r="AU90" i="1"/>
  <c r="AV157" i="1"/>
  <c r="AU157" i="1"/>
  <c r="AW157" i="1"/>
  <c r="AU233" i="1"/>
  <c r="AV275" i="1"/>
  <c r="AU275" i="1"/>
  <c r="AW305" i="1"/>
  <c r="AV305" i="1"/>
  <c r="AV393" i="1"/>
  <c r="AU393" i="1"/>
  <c r="AW469" i="1"/>
  <c r="AV469" i="1"/>
  <c r="AU469" i="1"/>
  <c r="AW525" i="1"/>
  <c r="AV525" i="1"/>
  <c r="AU525" i="1"/>
  <c r="AW40" i="1"/>
  <c r="AU113" i="1"/>
  <c r="AW223" i="1"/>
  <c r="AW209" i="1"/>
  <c r="AV162" i="1"/>
  <c r="AU162" i="1"/>
  <c r="AW162" i="1"/>
  <c r="AW175" i="1"/>
  <c r="AV175" i="1"/>
  <c r="AW275" i="1"/>
  <c r="AW346" i="1"/>
  <c r="AV346" i="1"/>
  <c r="AU346" i="1"/>
  <c r="AV413" i="1"/>
  <c r="AU413" i="1"/>
  <c r="AV463" i="1"/>
  <c r="AU463" i="1"/>
  <c r="AU55" i="1"/>
  <c r="AV55" i="1"/>
  <c r="AW55" i="1"/>
  <c r="AW334" i="1"/>
  <c r="AU13" i="1"/>
  <c r="AU360" i="1"/>
  <c r="AW309" i="1"/>
  <c r="AV309" i="1"/>
  <c r="AU309" i="1"/>
  <c r="AW422" i="1"/>
  <c r="AV422" i="1"/>
  <c r="AV187" i="1"/>
  <c r="AU187" i="1"/>
  <c r="AW7" i="1"/>
  <c r="AU34" i="1"/>
  <c r="AW46" i="1"/>
  <c r="AV57" i="1"/>
  <c r="AV94" i="1"/>
  <c r="AW102" i="1"/>
  <c r="AV115" i="1"/>
  <c r="AU119" i="1"/>
  <c r="AV119" i="1"/>
  <c r="AW119" i="1"/>
  <c r="AU175" i="1"/>
  <c r="AU188" i="1"/>
  <c r="AW188" i="1"/>
  <c r="AV188" i="1"/>
  <c r="AW225" i="1"/>
  <c r="AV225" i="1"/>
  <c r="AU225" i="1"/>
  <c r="AW234" i="1"/>
  <c r="AV234" i="1"/>
  <c r="AU234" i="1"/>
  <c r="AW248" i="1"/>
  <c r="AV248" i="1"/>
  <c r="AU248" i="1"/>
  <c r="AW326" i="1"/>
  <c r="AV326" i="1"/>
  <c r="AU326" i="1"/>
  <c r="AV351" i="1"/>
  <c r="AV452" i="1"/>
  <c r="AU474" i="1"/>
  <c r="AW178" i="1"/>
  <c r="AU178" i="1"/>
  <c r="AV250" i="1"/>
  <c r="AW405" i="1"/>
  <c r="AV405" i="1"/>
  <c r="AU405" i="1"/>
  <c r="AW68" i="1"/>
  <c r="AV237" i="1"/>
  <c r="AU237" i="1"/>
  <c r="AW237" i="1"/>
  <c r="AW427" i="1"/>
  <c r="AU143" i="1"/>
  <c r="AW64" i="1"/>
  <c r="AW330" i="1"/>
  <c r="AV330" i="1"/>
  <c r="AU330" i="1"/>
  <c r="AV434" i="1"/>
  <c r="AU434" i="1"/>
  <c r="AW434" i="1"/>
  <c r="AW61" i="1"/>
  <c r="AW115" i="1"/>
  <c r="AV206" i="1"/>
  <c r="AW220" i="1"/>
  <c r="AV220" i="1"/>
  <c r="AU220" i="1"/>
  <c r="AW378" i="1"/>
  <c r="AV378" i="1"/>
  <c r="AU378" i="1"/>
  <c r="AW419" i="1"/>
  <c r="AV419" i="1"/>
  <c r="AU419" i="1"/>
  <c r="AV92" i="1"/>
  <c r="AU92" i="1"/>
  <c r="AW92" i="1"/>
  <c r="AW151" i="1"/>
  <c r="AW264" i="1"/>
  <c r="AV264" i="1"/>
  <c r="AU264" i="1"/>
  <c r="AW195" i="1"/>
  <c r="AV195" i="1"/>
  <c r="AU195" i="1"/>
  <c r="AW500" i="1"/>
  <c r="AV97" i="1"/>
  <c r="AW340" i="1"/>
  <c r="AV340" i="1"/>
  <c r="AU340" i="1"/>
  <c r="AW501" i="1"/>
  <c r="AV501" i="1"/>
  <c r="AU501" i="1"/>
  <c r="AW113" i="1"/>
  <c r="AV174" i="1"/>
  <c r="AV360" i="1"/>
  <c r="AV68" i="1"/>
  <c r="AU145" i="1"/>
  <c r="AW149" i="1"/>
  <c r="AV149" i="1"/>
  <c r="AU149" i="1"/>
  <c r="AU171" i="1"/>
  <c r="AW176" i="1"/>
  <c r="AV176" i="1"/>
  <c r="AU176" i="1"/>
  <c r="AW198" i="1"/>
  <c r="AU198" i="1"/>
  <c r="AV198" i="1"/>
  <c r="AU216" i="1"/>
  <c r="AW253" i="1"/>
  <c r="AV271" i="1"/>
  <c r="AV276" i="1"/>
  <c r="AV296" i="1"/>
  <c r="AW409" i="1"/>
  <c r="AV409" i="1"/>
  <c r="AW414" i="1"/>
  <c r="AW441" i="1"/>
  <c r="AV441" i="1"/>
  <c r="AU441" i="1"/>
  <c r="AW464" i="1"/>
  <c r="AV464" i="1"/>
  <c r="AU464" i="1"/>
  <c r="AW487" i="1"/>
  <c r="AV487" i="1"/>
  <c r="AU487" i="1"/>
  <c r="AU213" i="1"/>
  <c r="AW109" i="1"/>
  <c r="AV109" i="1"/>
  <c r="AU109" i="1"/>
  <c r="AW438" i="1"/>
  <c r="AV438" i="1"/>
  <c r="AU438" i="1"/>
  <c r="AW200" i="1"/>
  <c r="AW93" i="1"/>
  <c r="AV52" i="1"/>
  <c r="AV224" i="1"/>
  <c r="AU224" i="1"/>
  <c r="AW224" i="1"/>
  <c r="AW11" i="1"/>
  <c r="AU50" i="1"/>
  <c r="AW50" i="1"/>
  <c r="AV50" i="1"/>
  <c r="AU54" i="1"/>
  <c r="AW66" i="1"/>
  <c r="AU91" i="1"/>
  <c r="AW95" i="1"/>
  <c r="AV95" i="1"/>
  <c r="AU95" i="1"/>
  <c r="AW103" i="1"/>
  <c r="AW120" i="1"/>
  <c r="AV120" i="1"/>
  <c r="AU120" i="1"/>
  <c r="AV124" i="1"/>
  <c r="AU124" i="1"/>
  <c r="AW128" i="1"/>
  <c r="AW141" i="1"/>
  <c r="AV145" i="1"/>
  <c r="AU154" i="1"/>
  <c r="AV154" i="1"/>
  <c r="AW154" i="1"/>
  <c r="AV171" i="1"/>
  <c r="AV216" i="1"/>
  <c r="AU230" i="1"/>
  <c r="AW244" i="1"/>
  <c r="AV258" i="1"/>
  <c r="AU258" i="1"/>
  <c r="AW258" i="1"/>
  <c r="AV317" i="1"/>
  <c r="AU317" i="1"/>
  <c r="AW343" i="1"/>
  <c r="AV384" i="1"/>
  <c r="AW384" i="1"/>
  <c r="AU384" i="1"/>
  <c r="AU403" i="1"/>
  <c r="AU32" i="1"/>
  <c r="AW32" i="1"/>
  <c r="AV32" i="1"/>
  <c r="AV84" i="1"/>
  <c r="AW84" i="1"/>
  <c r="AW391" i="1"/>
  <c r="AV391" i="1"/>
  <c r="AU391" i="1"/>
  <c r="AU84" i="1"/>
  <c r="AU68" i="1"/>
  <c r="AU251" i="1"/>
  <c r="AW265" i="1"/>
  <c r="AV265" i="1"/>
  <c r="AU265" i="1"/>
  <c r="AV19" i="1"/>
  <c r="AW19" i="1"/>
  <c r="AV42" i="1"/>
  <c r="AV54" i="1"/>
  <c r="AV91" i="1"/>
  <c r="AU99" i="1"/>
  <c r="AW116" i="1"/>
  <c r="AV116" i="1"/>
  <c r="AW150" i="1"/>
  <c r="AV150" i="1"/>
  <c r="AU150" i="1"/>
  <c r="AV203" i="1"/>
  <c r="AU226" i="1"/>
  <c r="AV230" i="1"/>
  <c r="AW317" i="1"/>
  <c r="AV363" i="1"/>
  <c r="AU363" i="1"/>
  <c r="AW453" i="1"/>
  <c r="AV453" i="1"/>
  <c r="AU453" i="1"/>
  <c r="AW125" i="1"/>
  <c r="AV125" i="1"/>
  <c r="AU125" i="1"/>
  <c r="AW293" i="1"/>
  <c r="AV293" i="1"/>
  <c r="AU293" i="1"/>
  <c r="AV9" i="1"/>
  <c r="AW9" i="1"/>
  <c r="AU9" i="1"/>
  <c r="AV178" i="1"/>
  <c r="AW165" i="1"/>
  <c r="AV165" i="1"/>
  <c r="AW406" i="1"/>
  <c r="AV34" i="1"/>
  <c r="AU42" i="1"/>
  <c r="AU31" i="1"/>
  <c r="AU19" i="1"/>
  <c r="AW31" i="1"/>
  <c r="AV75" i="1"/>
  <c r="AW79" i="1"/>
  <c r="AV79" i="1"/>
  <c r="AU79" i="1"/>
  <c r="AW83" i="1"/>
  <c r="AV99" i="1"/>
  <c r="AV226" i="1"/>
  <c r="AW235" i="1"/>
  <c r="AU235" i="1"/>
  <c r="AV235" i="1"/>
  <c r="AW254" i="1"/>
  <c r="AV254" i="1"/>
  <c r="AW263" i="1"/>
  <c r="AV263" i="1"/>
  <c r="AU263" i="1"/>
  <c r="AV323" i="1"/>
  <c r="AW338" i="1"/>
  <c r="AU409" i="1"/>
  <c r="AW80" i="1"/>
  <c r="AV80" i="1"/>
  <c r="AU80" i="1"/>
  <c r="AW204" i="1"/>
  <c r="AV204" i="1"/>
  <c r="AW542" i="1"/>
  <c r="AV542" i="1"/>
  <c r="AU542" i="1"/>
  <c r="AU11" i="1"/>
  <c r="AW87" i="1"/>
  <c r="AW4" i="1"/>
  <c r="AU4" i="1"/>
  <c r="AV4" i="1"/>
  <c r="AU8" i="1"/>
  <c r="AW12" i="1"/>
  <c r="AW24" i="1"/>
  <c r="AU39" i="1"/>
  <c r="AU47" i="1"/>
  <c r="AW75" i="1"/>
  <c r="AW124" i="1"/>
  <c r="AW129" i="1"/>
  <c r="AV129" i="1"/>
  <c r="AW194" i="1"/>
  <c r="AV297" i="1"/>
  <c r="AU297" i="1"/>
  <c r="AW297" i="1"/>
  <c r="AU343" i="1"/>
  <c r="AW390" i="1"/>
  <c r="AV390" i="1"/>
  <c r="AU390" i="1"/>
  <c r="AW400" i="1"/>
  <c r="AW442" i="1"/>
  <c r="AV442" i="1"/>
  <c r="AU442" i="1"/>
  <c r="AW27" i="1"/>
  <c r="AV27" i="1"/>
  <c r="AU27" i="1"/>
  <c r="AW133" i="1"/>
  <c r="AW20" i="1"/>
  <c r="AW28" i="1"/>
  <c r="AW51" i="1"/>
  <c r="AW71" i="1"/>
  <c r="AV71" i="1"/>
  <c r="AU71" i="1"/>
  <c r="AV96" i="1"/>
  <c r="AV104" i="1"/>
  <c r="AW108" i="1"/>
  <c r="AV108" i="1"/>
  <c r="AU108" i="1"/>
  <c r="AU116" i="1"/>
  <c r="AU138" i="1"/>
  <c r="AV138" i="1"/>
  <c r="AW138" i="1"/>
  <c r="AW146" i="1"/>
  <c r="AV146" i="1"/>
  <c r="AU146" i="1"/>
  <c r="AV172" i="1"/>
  <c r="AU172" i="1"/>
  <c r="AW172" i="1"/>
  <c r="AU181" i="1"/>
  <c r="AW181" i="1"/>
  <c r="AV217" i="1"/>
  <c r="AU217" i="1"/>
  <c r="AW217" i="1"/>
  <c r="AW245" i="1"/>
  <c r="AV245" i="1"/>
  <c r="AU245" i="1"/>
  <c r="AV318" i="1"/>
  <c r="AV343" i="1"/>
  <c r="AW448" i="1"/>
  <c r="AV448" i="1"/>
  <c r="AU448" i="1"/>
  <c r="AW517" i="1"/>
  <c r="AV517" i="1"/>
  <c r="AW269" i="1"/>
  <c r="AV269" i="1"/>
  <c r="AU366" i="1"/>
  <c r="AU35" i="1"/>
  <c r="AW111" i="1"/>
  <c r="AV111" i="1"/>
  <c r="AV160" i="1"/>
  <c r="AW241" i="1"/>
  <c r="AV241" i="1"/>
  <c r="AU241" i="1"/>
  <c r="AV262" i="1"/>
  <c r="AU262" i="1"/>
  <c r="AW262" i="1"/>
  <c r="AW273" i="1"/>
  <c r="AV273" i="1"/>
  <c r="AU273" i="1"/>
  <c r="AV277" i="1"/>
  <c r="AU277" i="1"/>
  <c r="AU285" i="1"/>
  <c r="AW310" i="1"/>
  <c r="AV310" i="1"/>
  <c r="AU310" i="1"/>
  <c r="AU348" i="1"/>
  <c r="AV366" i="1"/>
  <c r="AU397" i="1"/>
  <c r="AW415" i="1"/>
  <c r="AV415" i="1"/>
  <c r="AU415" i="1"/>
  <c r="AW424" i="1"/>
  <c r="AW491" i="1"/>
  <c r="AV491" i="1"/>
  <c r="AU491" i="1"/>
  <c r="AV560" i="1"/>
  <c r="AW314" i="1"/>
  <c r="AU30" i="1"/>
  <c r="AV82" i="1"/>
  <c r="AV152" i="1"/>
  <c r="AW152" i="1"/>
  <c r="AW160" i="1"/>
  <c r="AV182" i="1"/>
  <c r="AU182" i="1"/>
  <c r="AV192" i="1"/>
  <c r="AU192" i="1"/>
  <c r="AU208" i="1"/>
  <c r="AW228" i="1"/>
  <c r="AV228" i="1"/>
  <c r="AU228" i="1"/>
  <c r="AU238" i="1"/>
  <c r="AW277" i="1"/>
  <c r="AV285" i="1"/>
  <c r="AW294" i="1"/>
  <c r="AV298" i="1"/>
  <c r="AU314" i="1"/>
  <c r="AU323" i="1"/>
  <c r="AU331" i="1"/>
  <c r="AW335" i="1"/>
  <c r="AV335" i="1"/>
  <c r="AU335" i="1"/>
  <c r="AV348" i="1"/>
  <c r="AV397" i="1"/>
  <c r="AW444" i="1"/>
  <c r="AW534" i="1"/>
  <c r="AV534" i="1"/>
  <c r="AU534" i="1"/>
  <c r="AW539" i="1"/>
  <c r="AV539" i="1"/>
  <c r="AU539" i="1"/>
  <c r="AU17" i="1"/>
  <c r="AU25" i="1"/>
  <c r="AV40" i="1"/>
  <c r="AU58" i="1"/>
  <c r="AU74" i="1"/>
  <c r="AU87" i="1"/>
  <c r="AU103" i="1"/>
  <c r="AU114" i="1"/>
  <c r="AV117" i="1"/>
  <c r="AU122" i="1"/>
  <c r="AU133" i="1"/>
  <c r="AU141" i="1"/>
  <c r="AW173" i="1"/>
  <c r="AV173" i="1"/>
  <c r="AU173" i="1"/>
  <c r="AU179" i="1"/>
  <c r="AV208" i="1"/>
  <c r="AU211" i="1"/>
  <c r="AU218" i="1"/>
  <c r="AU221" i="1"/>
  <c r="AU255" i="1"/>
  <c r="AU266" i="1"/>
  <c r="AU269" i="1"/>
  <c r="AW306" i="1"/>
  <c r="AV306" i="1"/>
  <c r="AU306" i="1"/>
  <c r="AV314" i="1"/>
  <c r="AV331" i="1"/>
  <c r="AW357" i="1"/>
  <c r="AV357" i="1"/>
  <c r="AU357" i="1"/>
  <c r="AV455" i="1"/>
  <c r="AU455" i="1"/>
  <c r="AW529" i="1"/>
  <c r="AW550" i="1"/>
  <c r="AV550" i="1"/>
  <c r="AU550" i="1"/>
  <c r="AW561" i="1"/>
  <c r="AV561" i="1"/>
  <c r="AU561" i="1"/>
  <c r="AW323" i="1"/>
  <c r="AW544" i="1"/>
  <c r="AV544" i="1"/>
  <c r="AU544" i="1"/>
  <c r="AU12" i="1"/>
  <c r="AV17" i="1"/>
  <c r="AU53" i="1"/>
  <c r="AV58" i="1"/>
  <c r="AU66" i="1"/>
  <c r="AV74" i="1"/>
  <c r="AV77" i="1"/>
  <c r="AV103" i="1"/>
  <c r="AV106" i="1"/>
  <c r="AU111" i="1"/>
  <c r="AV114" i="1"/>
  <c r="AV133" i="1"/>
  <c r="AV141" i="1"/>
  <c r="AU144" i="1"/>
  <c r="AU164" i="1"/>
  <c r="AV179" i="1"/>
  <c r="AW199" i="1"/>
  <c r="AV199" i="1"/>
  <c r="AU199" i="1"/>
  <c r="AV221" i="1"/>
  <c r="AW249" i="1"/>
  <c r="AV249" i="1"/>
  <c r="AU249" i="1"/>
  <c r="AV266" i="1"/>
  <c r="AW290" i="1"/>
  <c r="AV290" i="1"/>
  <c r="AU290" i="1"/>
  <c r="AW303" i="1"/>
  <c r="AU375" i="1"/>
  <c r="AW380" i="1"/>
  <c r="AW385" i="1"/>
  <c r="AU406" i="1"/>
  <c r="AW425" i="1"/>
  <c r="AU425" i="1"/>
  <c r="AW435" i="1"/>
  <c r="AV435" i="1"/>
  <c r="AU435" i="1"/>
  <c r="AU555" i="1"/>
  <c r="AW379" i="1"/>
  <c r="AV379" i="1"/>
  <c r="AU379" i="1"/>
  <c r="AU7" i="1"/>
  <c r="AV12" i="1"/>
  <c r="AU15" i="1"/>
  <c r="AV30" i="1"/>
  <c r="AW35" i="1"/>
  <c r="AU48" i="1"/>
  <c r="AV53" i="1"/>
  <c r="AV66" i="1"/>
  <c r="AU82" i="1"/>
  <c r="AU98" i="1"/>
  <c r="AV144" i="1"/>
  <c r="AV147" i="1"/>
  <c r="AW147" i="1"/>
  <c r="AU152" i="1"/>
  <c r="AU155" i="1"/>
  <c r="AW161" i="1"/>
  <c r="AV167" i="1"/>
  <c r="AU167" i="1"/>
  <c r="AW182" i="1"/>
  <c r="AV185" i="1"/>
  <c r="AW192" i="1"/>
  <c r="AV205" i="1"/>
  <c r="AV218" i="1"/>
  <c r="AW238" i="1"/>
  <c r="AV242" i="1"/>
  <c r="AU242" i="1"/>
  <c r="AV259" i="1"/>
  <c r="AW274" i="1"/>
  <c r="AV278" i="1"/>
  <c r="AU294" i="1"/>
  <c r="AV336" i="1"/>
  <c r="AW367" i="1"/>
  <c r="AV367" i="1"/>
  <c r="AU367" i="1"/>
  <c r="AV375" i="1"/>
  <c r="AV406" i="1"/>
  <c r="AW411" i="1"/>
  <c r="AW416" i="1"/>
  <c r="AV416" i="1"/>
  <c r="AU416" i="1"/>
  <c r="AW455" i="1"/>
  <c r="AW461" i="1"/>
  <c r="AV461" i="1"/>
  <c r="AW466" i="1"/>
  <c r="AU482" i="1"/>
  <c r="AW504" i="1"/>
  <c r="AV504" i="1"/>
  <c r="AW509" i="1"/>
  <c r="AV509" i="1"/>
  <c r="AU509" i="1"/>
  <c r="AV555" i="1"/>
  <c r="AV122" i="1"/>
  <c r="AU560" i="1"/>
  <c r="AV35" i="1"/>
  <c r="AU2" i="1"/>
  <c r="AV7" i="1"/>
  <c r="AU10" i="1"/>
  <c r="AV25" i="1"/>
  <c r="AW30" i="1"/>
  <c r="AU43" i="1"/>
  <c r="AV48" i="1"/>
  <c r="AU61" i="1"/>
  <c r="AU69" i="1"/>
  <c r="AV72" i="1"/>
  <c r="AW82" i="1"/>
  <c r="AV98" i="1"/>
  <c r="AU101" i="1"/>
  <c r="AU117" i="1"/>
  <c r="AU136" i="1"/>
  <c r="AV155" i="1"/>
  <c r="AW185" i="1"/>
  <c r="AW196" i="1"/>
  <c r="AV196" i="1"/>
  <c r="AW215" i="1"/>
  <c r="AV215" i="1"/>
  <c r="AU215" i="1"/>
  <c r="AW286" i="1"/>
  <c r="AV286" i="1"/>
  <c r="AU286" i="1"/>
  <c r="AV294" i="1"/>
  <c r="AU328" i="1"/>
  <c r="AW349" i="1"/>
  <c r="AV349" i="1"/>
  <c r="AU349" i="1"/>
  <c r="AW394" i="1"/>
  <c r="AV394" i="1"/>
  <c r="AU394" i="1"/>
  <c r="AW445" i="1"/>
  <c r="AV445" i="1"/>
  <c r="AU445" i="1"/>
  <c r="AV482" i="1"/>
  <c r="AU530" i="1"/>
  <c r="AV87" i="1"/>
  <c r="AV2" i="1"/>
  <c r="AU5" i="1"/>
  <c r="AV20" i="1"/>
  <c r="AW25" i="1"/>
  <c r="AU38" i="1"/>
  <c r="AV43" i="1"/>
  <c r="AU56" i="1"/>
  <c r="AV61" i="1"/>
  <c r="AV69" i="1"/>
  <c r="AU77" i="1"/>
  <c r="AW88" i="1"/>
  <c r="AU93" i="1"/>
  <c r="AU106" i="1"/>
  <c r="AV112" i="1"/>
  <c r="AW117" i="1"/>
  <c r="AU128" i="1"/>
  <c r="AV136" i="1"/>
  <c r="AU139" i="1"/>
  <c r="AU158" i="1"/>
  <c r="AV164" i="1"/>
  <c r="AV189" i="1"/>
  <c r="AV212" i="1"/>
  <c r="AU212" i="1"/>
  <c r="AW212" i="1"/>
  <c r="AW246" i="1"/>
  <c r="AV246" i="1"/>
  <c r="AW270" i="1"/>
  <c r="AV270" i="1"/>
  <c r="AU270" i="1"/>
  <c r="AW283" i="1"/>
  <c r="AU303" i="1"/>
  <c r="AU311" i="1"/>
  <c r="AW315" i="1"/>
  <c r="AV315" i="1"/>
  <c r="AU315" i="1"/>
  <c r="AV328" i="1"/>
  <c r="AV381" i="1"/>
  <c r="AV425" i="1"/>
  <c r="AV431" i="1"/>
  <c r="AU440" i="1"/>
  <c r="AU461" i="1"/>
  <c r="AV530" i="1"/>
  <c r="AW551" i="1"/>
  <c r="AV551" i="1"/>
  <c r="AU551" i="1"/>
  <c r="AW496" i="1"/>
  <c r="AV496" i="1"/>
  <c r="AU496" i="1"/>
  <c r="AW211" i="1"/>
  <c r="AW356" i="1"/>
  <c r="AV15" i="1"/>
  <c r="AU33" i="1"/>
  <c r="AV38" i="1"/>
  <c r="AU51" i="1"/>
  <c r="AV56" i="1"/>
  <c r="AW77" i="1"/>
  <c r="AV93" i="1"/>
  <c r="AW106" i="1"/>
  <c r="AV128" i="1"/>
  <c r="AW134" i="1"/>
  <c r="AV139" i="1"/>
  <c r="AV142" i="1"/>
  <c r="AU142" i="1"/>
  <c r="AU147" i="1"/>
  <c r="AV158" i="1"/>
  <c r="AU161" i="1"/>
  <c r="AW164" i="1"/>
  <c r="AW167" i="1"/>
  <c r="AW183" i="1"/>
  <c r="AU193" i="1"/>
  <c r="AV222" i="1"/>
  <c r="AU222" i="1"/>
  <c r="AV232" i="1"/>
  <c r="AU232" i="1"/>
  <c r="AW242" i="1"/>
  <c r="AW256" i="1"/>
  <c r="AU256" i="1"/>
  <c r="AU274" i="1"/>
  <c r="AV303" i="1"/>
  <c r="AV311" i="1"/>
  <c r="AU345" i="1"/>
  <c r="AW358" i="1"/>
  <c r="AV358" i="1"/>
  <c r="AU358" i="1"/>
  <c r="AW376" i="1"/>
  <c r="AV376" i="1"/>
  <c r="AU376" i="1"/>
  <c r="AV440" i="1"/>
  <c r="AW456" i="1"/>
  <c r="AV456" i="1"/>
  <c r="AU456" i="1"/>
  <c r="AU504" i="1"/>
  <c r="AV10" i="1"/>
  <c r="AU46" i="1"/>
  <c r="AU64" i="1"/>
  <c r="AV67" i="1"/>
  <c r="AU72" i="1"/>
  <c r="AV83" i="1"/>
  <c r="AV101" i="1"/>
  <c r="AU131" i="1"/>
  <c r="AV161" i="1"/>
  <c r="AV177" i="1"/>
  <c r="AU177" i="1"/>
  <c r="AW177" i="1"/>
  <c r="AW186" i="1"/>
  <c r="AV186" i="1"/>
  <c r="AU186" i="1"/>
  <c r="AU196" i="1"/>
  <c r="AU206" i="1"/>
  <c r="AU209" i="1"/>
  <c r="AW219" i="1"/>
  <c r="AU229" i="1"/>
  <c r="AU253" i="1"/>
  <c r="AV274" i="1"/>
  <c r="AV337" i="1"/>
  <c r="AU337" i="1"/>
  <c r="AV345" i="1"/>
  <c r="AU372" i="1"/>
  <c r="AW403" i="1"/>
  <c r="AW531" i="1"/>
  <c r="AV531" i="1"/>
  <c r="AU531" i="1"/>
  <c r="AW547" i="1"/>
  <c r="AV547" i="1"/>
  <c r="AW289" i="1"/>
  <c r="AV289" i="1"/>
  <c r="AU289" i="1"/>
  <c r="AW361" i="1"/>
  <c r="AV361" i="1"/>
  <c r="AU361" i="1"/>
  <c r="AU40" i="1"/>
  <c r="AV33" i="1"/>
  <c r="AV51" i="1"/>
  <c r="AV5" i="1"/>
  <c r="AW72" i="1"/>
  <c r="AU88" i="1"/>
  <c r="AW101" i="1"/>
  <c r="AU112" i="1"/>
  <c r="AU123" i="1"/>
  <c r="AV131" i="1"/>
  <c r="AW142" i="1"/>
  <c r="AU174" i="1"/>
  <c r="AU203" i="1"/>
  <c r="AV209" i="1"/>
  <c r="AW222" i="1"/>
  <c r="AV229" i="1"/>
  <c r="AV239" i="1"/>
  <c r="AU246" i="1"/>
  <c r="AV253" i="1"/>
  <c r="AV256" i="1"/>
  <c r="AU283" i="1"/>
  <c r="AU291" i="1"/>
  <c r="AV295" i="1"/>
  <c r="AU295" i="1"/>
  <c r="AV316" i="1"/>
  <c r="AW337" i="1"/>
  <c r="AV372" i="1"/>
  <c r="AU412" i="1"/>
  <c r="AW499" i="1"/>
  <c r="AV499" i="1"/>
  <c r="AU499" i="1"/>
  <c r="AW429" i="1"/>
  <c r="AV429" i="1"/>
  <c r="AU429" i="1"/>
  <c r="AU20" i="1"/>
  <c r="AW15" i="1"/>
  <c r="AU28" i="1"/>
  <c r="AW10" i="1"/>
  <c r="AU23" i="1"/>
  <c r="AV28" i="1"/>
  <c r="AU41" i="1"/>
  <c r="AV46" i="1"/>
  <c r="AV64" i="1"/>
  <c r="AU96" i="1"/>
  <c r="AW5" i="1"/>
  <c r="AV62" i="1"/>
  <c r="AU78" i="1"/>
  <c r="AV88" i="1"/>
  <c r="AV107" i="1"/>
  <c r="AW112" i="1"/>
  <c r="AU134" i="1"/>
  <c r="AV137" i="1"/>
  <c r="AU168" i="1"/>
  <c r="AU183" i="1"/>
  <c r="AV193" i="1"/>
  <c r="AW232" i="1"/>
  <c r="AW243" i="1"/>
  <c r="AU243" i="1"/>
  <c r="AV260" i="1"/>
  <c r="AV283" i="1"/>
  <c r="AW295" i="1"/>
  <c r="AW329" i="1"/>
  <c r="AV329" i="1"/>
  <c r="AU329" i="1"/>
  <c r="AW350" i="1"/>
  <c r="AV350" i="1"/>
  <c r="AU350" i="1"/>
  <c r="AW359" i="1"/>
  <c r="AW382" i="1"/>
  <c r="AV382" i="1"/>
  <c r="AU382" i="1"/>
  <c r="AV412" i="1"/>
  <c r="AW432" i="1"/>
  <c r="AV432" i="1"/>
  <c r="AU432" i="1"/>
  <c r="AW457" i="1"/>
  <c r="AW370" i="1"/>
  <c r="AV370" i="1"/>
  <c r="AW388" i="1"/>
  <c r="AV388" i="1"/>
  <c r="AW470" i="1"/>
  <c r="AW505" i="1"/>
  <c r="AV272" i="1"/>
  <c r="AU272" i="1"/>
  <c r="AV292" i="1"/>
  <c r="AU292" i="1"/>
  <c r="AV312" i="1"/>
  <c r="AU312" i="1"/>
  <c r="AV332" i="1"/>
  <c r="AU332" i="1"/>
  <c r="AV352" i="1"/>
  <c r="AU352" i="1"/>
  <c r="AW373" i="1"/>
  <c r="AV373" i="1"/>
  <c r="AU373" i="1"/>
  <c r="AU404" i="1"/>
  <c r="AU410" i="1"/>
  <c r="AW449" i="1"/>
  <c r="AW535" i="1"/>
  <c r="AW272" i="1"/>
  <c r="AW292" i="1"/>
  <c r="AW312" i="1"/>
  <c r="AW332" i="1"/>
  <c r="AW352" i="1"/>
  <c r="AW407" i="1"/>
  <c r="AV410" i="1"/>
  <c r="AU426" i="1"/>
  <c r="AW458" i="1"/>
  <c r="AU466" i="1"/>
  <c r="AV492" i="1"/>
  <c r="AU522" i="1"/>
  <c r="AW526" i="1"/>
  <c r="AV526" i="1"/>
  <c r="AU526" i="1"/>
  <c r="AW556" i="1"/>
  <c r="AV556" i="1"/>
  <c r="AU556" i="1"/>
  <c r="AV267" i="1"/>
  <c r="AU267" i="1"/>
  <c r="AU278" i="1"/>
  <c r="AW284" i="1"/>
  <c r="AU298" i="1"/>
  <c r="AW304" i="1"/>
  <c r="AU318" i="1"/>
  <c r="AW324" i="1"/>
  <c r="AU338" i="1"/>
  <c r="AW344" i="1"/>
  <c r="AU364" i="1"/>
  <c r="AU370" i="1"/>
  <c r="AU385" i="1"/>
  <c r="AU388" i="1"/>
  <c r="AW398" i="1"/>
  <c r="AV426" i="1"/>
  <c r="AV466" i="1"/>
  <c r="AU514" i="1"/>
  <c r="AV522" i="1"/>
  <c r="AV338" i="1"/>
  <c r="AV364" i="1"/>
  <c r="AV385" i="1"/>
  <c r="AV404" i="1"/>
  <c r="AV514" i="1"/>
  <c r="AW353" i="1"/>
  <c r="AV417" i="1"/>
  <c r="AW420" i="1"/>
  <c r="AV420" i="1"/>
  <c r="AU420" i="1"/>
  <c r="AW488" i="1"/>
  <c r="AV488" i="1"/>
  <c r="AU488" i="1"/>
  <c r="AV287" i="1"/>
  <c r="AU287" i="1"/>
  <c r="AV307" i="1"/>
  <c r="AU307" i="1"/>
  <c r="AV327" i="1"/>
  <c r="AU327" i="1"/>
  <c r="AV347" i="1"/>
  <c r="AU347" i="1"/>
  <c r="AW362" i="1"/>
  <c r="AU389" i="1"/>
  <c r="AW433" i="1"/>
  <c r="AV433" i="1"/>
  <c r="AV458" i="1"/>
  <c r="AV471" i="1"/>
  <c r="AW493" i="1"/>
  <c r="AV493" i="1"/>
  <c r="AW502" i="1"/>
  <c r="AU502" i="1"/>
  <c r="AU506" i="1"/>
  <c r="AW519" i="1"/>
  <c r="AW527" i="1"/>
  <c r="AU536" i="1"/>
  <c r="AV557" i="1"/>
  <c r="AV207" i="1"/>
  <c r="AU207" i="1"/>
  <c r="AV257" i="1"/>
  <c r="AU257" i="1"/>
  <c r="AV281" i="1"/>
  <c r="AV284" i="1"/>
  <c r="AW287" i="1"/>
  <c r="AV301" i="1"/>
  <c r="AV304" i="1"/>
  <c r="AW307" i="1"/>
  <c r="AV321" i="1"/>
  <c r="AV324" i="1"/>
  <c r="AW327" i="1"/>
  <c r="AV341" i="1"/>
  <c r="AV344" i="1"/>
  <c r="AW347" i="1"/>
  <c r="AU374" i="1"/>
  <c r="AW383" i="1"/>
  <c r="AV389" i="1"/>
  <c r="AV395" i="1"/>
  <c r="AV398" i="1"/>
  <c r="AW408" i="1"/>
  <c r="AW430" i="1"/>
  <c r="AU450" i="1"/>
  <c r="AW467" i="1"/>
  <c r="AW480" i="1"/>
  <c r="AV480" i="1"/>
  <c r="AU480" i="1"/>
  <c r="AV502" i="1"/>
  <c r="AV506" i="1"/>
  <c r="AV511" i="1"/>
  <c r="AU511" i="1"/>
  <c r="AW523" i="1"/>
  <c r="AV523" i="1"/>
  <c r="AU523" i="1"/>
  <c r="AV536" i="1"/>
  <c r="AW279" i="1"/>
  <c r="AW299" i="1"/>
  <c r="AU313" i="1"/>
  <c r="AW319" i="1"/>
  <c r="AU333" i="1"/>
  <c r="AW339" i="1"/>
  <c r="AU353" i="1"/>
  <c r="AW365" i="1"/>
  <c r="AV365" i="1"/>
  <c r="AU365" i="1"/>
  <c r="AU368" i="1"/>
  <c r="AU371" i="1"/>
  <c r="AV374" i="1"/>
  <c r="AW386" i="1"/>
  <c r="AV386" i="1"/>
  <c r="AU386" i="1"/>
  <c r="AU411" i="1"/>
  <c r="AU417" i="1"/>
  <c r="AU433" i="1"/>
  <c r="AW443" i="1"/>
  <c r="AV450" i="1"/>
  <c r="AV459" i="1"/>
  <c r="AU459" i="1"/>
  <c r="AV476" i="1"/>
  <c r="AW485" i="1"/>
  <c r="AV485" i="1"/>
  <c r="AW489" i="1"/>
  <c r="AW498" i="1"/>
  <c r="AV498" i="1"/>
  <c r="AW515" i="1"/>
  <c r="AV515" i="1"/>
  <c r="AU515" i="1"/>
  <c r="AW532" i="1"/>
  <c r="AU549" i="1"/>
  <c r="AV202" i="1"/>
  <c r="AU202" i="1"/>
  <c r="AV252" i="1"/>
  <c r="AU252" i="1"/>
  <c r="AV313" i="1"/>
  <c r="AV333" i="1"/>
  <c r="AV353" i="1"/>
  <c r="AU356" i="1"/>
  <c r="AU359" i="1"/>
  <c r="AU362" i="1"/>
  <c r="AV371" i="1"/>
  <c r="AU377" i="1"/>
  <c r="AU383" i="1"/>
  <c r="AV411" i="1"/>
  <c r="AU414" i="1"/>
  <c r="AW417" i="1"/>
  <c r="AW459" i="1"/>
  <c r="AW476" i="1"/>
  <c r="AW481" i="1"/>
  <c r="AV481" i="1"/>
  <c r="AU481" i="1"/>
  <c r="AU493" i="1"/>
  <c r="AW511" i="1"/>
  <c r="AW520" i="1"/>
  <c r="AW528" i="1"/>
  <c r="AV528" i="1"/>
  <c r="AV549" i="1"/>
  <c r="AU194" i="1"/>
  <c r="AW207" i="1"/>
  <c r="AU223" i="1"/>
  <c r="AU236" i="1"/>
  <c r="AU244" i="1"/>
  <c r="AW257" i="1"/>
  <c r="AV356" i="1"/>
  <c r="AV359" i="1"/>
  <c r="AV362" i="1"/>
  <c r="AV377" i="1"/>
  <c r="AU380" i="1"/>
  <c r="AV383" i="1"/>
  <c r="AW399" i="1"/>
  <c r="AV399" i="1"/>
  <c r="AV402" i="1"/>
  <c r="AU402" i="1"/>
  <c r="AU408" i="1"/>
  <c r="AV414" i="1"/>
  <c r="AU424" i="1"/>
  <c r="AU427" i="1"/>
  <c r="AU430" i="1"/>
  <c r="AV472" i="1"/>
  <c r="AU541" i="1"/>
  <c r="AV545" i="1"/>
  <c r="AW558" i="1"/>
  <c r="AV558" i="1"/>
  <c r="AU558" i="1"/>
  <c r="AV132" i="1"/>
  <c r="AV194" i="1"/>
  <c r="AV197" i="1"/>
  <c r="AU197" i="1"/>
  <c r="AV223" i="1"/>
  <c r="AV236" i="1"/>
  <c r="AV244" i="1"/>
  <c r="AV247" i="1"/>
  <c r="AU247" i="1"/>
  <c r="AU276" i="1"/>
  <c r="AU279" i="1"/>
  <c r="AV282" i="1"/>
  <c r="AU282" i="1"/>
  <c r="AU296" i="1"/>
  <c r="AU299" i="1"/>
  <c r="AV302" i="1"/>
  <c r="AU302" i="1"/>
  <c r="AU316" i="1"/>
  <c r="AU319" i="1"/>
  <c r="AV322" i="1"/>
  <c r="AU322" i="1"/>
  <c r="AU336" i="1"/>
  <c r="AU339" i="1"/>
  <c r="AV342" i="1"/>
  <c r="AU342" i="1"/>
  <c r="AV380" i="1"/>
  <c r="AV396" i="1"/>
  <c r="AW402" i="1"/>
  <c r="AV408" i="1"/>
  <c r="AU421" i="1"/>
  <c r="AV424" i="1"/>
  <c r="AV427" i="1"/>
  <c r="AV430" i="1"/>
  <c r="AU447" i="1"/>
  <c r="AU468" i="1"/>
  <c r="AU485" i="1"/>
  <c r="AW494" i="1"/>
  <c r="AU494" i="1"/>
  <c r="AU498" i="1"/>
  <c r="AW507" i="1"/>
  <c r="AV507" i="1"/>
  <c r="AU507" i="1"/>
  <c r="AW516" i="1"/>
  <c r="AV516" i="1"/>
  <c r="AU516" i="1"/>
  <c r="AW537" i="1"/>
  <c r="AV541" i="1"/>
  <c r="AV127" i="1"/>
  <c r="AW202" i="1"/>
  <c r="AW252" i="1"/>
  <c r="AV279" i="1"/>
  <c r="AW282" i="1"/>
  <c r="AV299" i="1"/>
  <c r="AW302" i="1"/>
  <c r="AV319" i="1"/>
  <c r="AW322" i="1"/>
  <c r="AV339" i="1"/>
  <c r="AW342" i="1"/>
  <c r="AW393" i="1"/>
  <c r="AU399" i="1"/>
  <c r="AW451" i="1"/>
  <c r="AU460" i="1"/>
  <c r="AW477" i="1"/>
  <c r="AV477" i="1"/>
  <c r="AU477" i="1"/>
  <c r="AV494" i="1"/>
  <c r="AW512" i="1"/>
  <c r="AV512" i="1"/>
  <c r="AU520" i="1"/>
  <c r="AU528" i="1"/>
  <c r="AW546" i="1"/>
  <c r="AV546" i="1"/>
  <c r="AU546" i="1"/>
  <c r="AW554" i="1"/>
  <c r="AW553" i="1"/>
  <c r="AV553" i="1"/>
  <c r="AU553" i="1"/>
  <c r="AW518" i="1"/>
  <c r="AV518" i="1"/>
  <c r="AW483" i="1"/>
  <c r="AV483" i="1"/>
  <c r="AU451" i="1"/>
  <c r="AU472" i="1"/>
  <c r="AU545" i="1"/>
  <c r="AW548" i="1"/>
  <c r="AV548" i="1"/>
  <c r="AV451" i="1"/>
  <c r="AW513" i="1"/>
  <c r="AV513" i="1"/>
  <c r="AU518" i="1"/>
  <c r="AU529" i="1"/>
  <c r="AU537" i="1"/>
  <c r="AU559" i="1"/>
  <c r="AW478" i="1"/>
  <c r="AV478" i="1"/>
  <c r="AV510" i="1"/>
  <c r="AV529" i="1"/>
  <c r="AV537" i="1"/>
  <c r="AV559" i="1"/>
  <c r="AW428" i="1"/>
  <c r="AV446" i="1"/>
  <c r="AU454" i="1"/>
  <c r="AV467" i="1"/>
  <c r="AV475" i="1"/>
  <c r="AU486" i="1"/>
  <c r="AV521" i="1"/>
  <c r="AU540" i="1"/>
  <c r="AW543" i="1"/>
  <c r="AV543" i="1"/>
  <c r="AU548" i="1"/>
  <c r="AV454" i="1"/>
  <c r="AU462" i="1"/>
  <c r="AV486" i="1"/>
  <c r="AU505" i="1"/>
  <c r="AW508" i="1"/>
  <c r="AV508" i="1"/>
  <c r="AU513" i="1"/>
  <c r="AU524" i="1"/>
  <c r="AU532" i="1"/>
  <c r="AV540" i="1"/>
  <c r="AU562" i="1"/>
  <c r="AW423" i="1"/>
  <c r="AU449" i="1"/>
  <c r="AV462" i="1"/>
  <c r="AU470" i="1"/>
  <c r="AW473" i="1"/>
  <c r="AV473" i="1"/>
  <c r="AU478" i="1"/>
  <c r="AU489" i="1"/>
  <c r="AU497" i="1"/>
  <c r="AV505" i="1"/>
  <c r="AV524" i="1"/>
  <c r="AV532" i="1"/>
  <c r="AU554" i="1"/>
  <c r="AV562" i="1"/>
  <c r="AU407" i="1"/>
  <c r="AU428" i="1"/>
  <c r="AU436" i="1"/>
  <c r="AV449" i="1"/>
  <c r="AU457" i="1"/>
  <c r="AV470" i="1"/>
  <c r="AV489" i="1"/>
  <c r="AV497" i="1"/>
  <c r="AU535" i="1"/>
  <c r="AW538" i="1"/>
  <c r="AV538" i="1"/>
  <c r="AU543" i="1"/>
  <c r="AV554" i="1"/>
  <c r="AW368" i="1"/>
  <c r="AV407" i="1"/>
  <c r="AW418" i="1"/>
  <c r="AV428" i="1"/>
  <c r="AV436" i="1"/>
  <c r="AU444" i="1"/>
  <c r="AV457" i="1"/>
  <c r="AU465" i="1"/>
  <c r="AW468" i="1"/>
  <c r="AU500" i="1"/>
  <c r="AW503" i="1"/>
  <c r="AV503" i="1"/>
  <c r="AU508" i="1"/>
  <c r="AU519" i="1"/>
  <c r="AU527" i="1"/>
  <c r="AV535" i="1"/>
  <c r="AU381" i="1"/>
  <c r="AU423" i="1"/>
  <c r="AU431" i="1"/>
  <c r="AV444" i="1"/>
  <c r="AU452" i="1"/>
  <c r="AV465" i="1"/>
  <c r="AU473" i="1"/>
  <c r="AU484" i="1"/>
  <c r="AU492" i="1"/>
  <c r="AV500" i="1"/>
  <c r="AV519" i="1"/>
  <c r="AV527" i="1"/>
  <c r="AU557" i="1"/>
  <c r="AW363" i="1"/>
  <c r="AW413" i="1"/>
  <c r="AV423" i="1"/>
  <c r="AW463" i="1"/>
  <c r="AW533" i="1"/>
  <c r="AV533" i="1"/>
  <c r="AU538" i="1"/>
  <c r="AW563" i="1"/>
  <c r="AV563" i="1"/>
  <c r="AU563" i="1"/>
</calcChain>
</file>

<file path=xl/sharedStrings.xml><?xml version="1.0" encoding="utf-8"?>
<sst xmlns="http://schemas.openxmlformats.org/spreadsheetml/2006/main" count="10259" uniqueCount="5952">
  <si>
    <t>2-s2.0-0020362137</t>
  </si>
  <si>
    <t>10.1016/0006-291X(82)91256-6</t>
  </si>
  <si>
    <t>0006291X82912566</t>
  </si>
  <si>
    <t>Magnetic field effects on the fluorescence of two reaction centerless mutants of Rhodopseudomonas capsulata</t>
  </si>
  <si>
    <t>ar</t>
  </si>
  <si>
    <t>Article</t>
  </si>
  <si>
    <t>Frank H.A.</t>
  </si>
  <si>
    <t>University of Connecticut</t>
  </si>
  <si>
    <t>Storrs</t>
  </si>
  <si>
    <t>United States</t>
  </si>
  <si>
    <t>Frank, Harry A.;McGann, William J.;Macknicki, John;Felber, Mary</t>
  </si>
  <si>
    <t>7201842354;36817548500;6503952378;57225423419</t>
  </si>
  <si>
    <t>60022659;60022659;60022659;60022659</t>
  </si>
  <si>
    <t>Biochemical and Biophysical Research Communications</t>
  </si>
  <si>
    <t>0006291X</t>
  </si>
  <si>
    <t>Journal</t>
  </si>
  <si>
    <t>1310-1317</t>
  </si>
  <si>
    <t>Magnetic field induced changes in the fluorescence intensity are observed from two reaction centerless mutants of Rhodopseudomonas capsulata. These results constitute the first direct assignment of such effects arising solely from the antenna pigments in photosynthetic bacteria. ¬© 1982.</t>
  </si>
  <si>
    <t>['¬© 1982', 'rhodopseudomonas capsulata', 'results constitute', 'photosynthetic bacteria', 'fluorescence intensity', 'antenna pigments']</t>
  </si>
  <si>
    <t>undefined</t>
  </si>
  <si>
    <t>n</t>
  </si>
  <si>
    <t>2-s2.0-0039544343</t>
  </si>
  <si>
    <t>10.1016/0014-5793(82)80268-8</t>
  </si>
  <si>
    <t>The study of excitation transfer between light-harvesting antenna and reaction center in chromatophores from purple bacterium Rhodospirillum rubrum by selective picosecond spectroscopy</t>
  </si>
  <si>
    <t>Razjivin A.</t>
  </si>
  <si>
    <t>60059987;60007457</t>
  </si>
  <si>
    <t>Vilniaus Universitetas;Lomonosov Moscow State University</t>
  </si>
  <si>
    <t>Vilnius;Moscow</t>
  </si>
  <si>
    <t>Lithuania;Russian Federation</t>
  </si>
  <si>
    <t>Razjivin, A. P.;Danielius, R. V.;Gadonas, R. A.;Borisov, A. Yu;Piskarskas, A. S.</t>
  </si>
  <si>
    <t>6603794637;7003895031;23121768400;15049241600;7006569102</t>
  </si>
  <si>
    <t>60007457;60059987;60059987;60007457;60059987</t>
  </si>
  <si>
    <t>FEBS Letters</t>
  </si>
  <si>
    <t>40-44</t>
  </si>
  <si>
    <t>2-s2.0-0019996218</t>
  </si>
  <si>
    <t>10.1016/0005-2728(82)90149-9</t>
  </si>
  <si>
    <t>A new chlorophyll-protein complex related to Photosystem I in Chlamydomonas reinhardii</t>
  </si>
  <si>
    <t>Wollman F.A.</t>
  </si>
  <si>
    <t>Institut de Biologie Physico-Chimique</t>
  </si>
  <si>
    <t>Paris</t>
  </si>
  <si>
    <t>France</t>
  </si>
  <si>
    <t>Wollman, Francis Andr√©;Bennoun, Pierre</t>
  </si>
  <si>
    <t>7006770347;57205295774</t>
  </si>
  <si>
    <t>60014849;60014849</t>
  </si>
  <si>
    <t>BBA - Bioenergetics</t>
  </si>
  <si>
    <t>352-360</t>
  </si>
  <si>
    <t>A new chlorophyll-protein complex, CP O, was isolated from Chlamydomonas reinhardii using lithium dodecyl sulfate polyacrylamide gel electrophoresis run at 4¬∞C. A similar complex is recovered using Triton/digitonin solubilization of thylakoid membranes of the F54-14 mutant lacking in CP I and ATPase. CP O is enriched in long-wavelength chlorophyll a and contains five polypeptides (27.5, 27, 25, 23 and 19 kDa). Its 77 K fluorescence emission spectrum peaks at 705 nm while CP II have an emission maximum at 682 and 720 nm, respectively. Comparison of the polypeptide pattern of the wild type and AC40 mutant of C. reinhardii shows that the five CP O polypeptides are specifically lacking in the mutant. Although the 77 K emission originating from the Photosystem (PS) I pigments is lower in the mutant than in the wild type, the two spectra show the same peaks at 686, 694 and 717 nm. However, comparison of the 77 K emission spectrum of the F14 mutant lacking in CP I with that of the double mutant AC40-14 lacking in CP I and CP O shows the absence in the latter of the large emission band peaking at 707 nm. The 707 nm emission is thought to arise from some PS I antennae and is quenched in the wild type by the presence of PS I traps located in CP I. We conclude that CP O is a part of the PS I antenna in C. reinhardii which controls the 707 nm fluorescence emission. ¬© 1982.</t>
  </si>
  <si>
    <t>(C. reinhardii) | Chlorophyll-protein complex | Photosystem I</t>
  </si>
  <si>
    <t>['¬© 1982', 'wild type', 'wavelength chlorophyll', 'traps located', 'thylakoid membranes', 'specifically lacking', 'similar complex', 'reinhardii shows', 'protein complex', 'polypeptide pattern', 'new chlorophyll', 'five cp', 'emission maximum', 'digitonin solubilization', 'cp ii', 'ac40 mutant', '720 nm', '717 nm', '707 nm', '705 nm', '14 lacking']</t>
  </si>
  <si>
    <t>CNRS</t>
  </si>
  <si>
    <t>Centre National de la Recherche Scientifique</t>
  </si>
  <si>
    <t>2-s2.0-0020483510</t>
  </si>
  <si>
    <t>Chemosensilla on labella, tarsi and antennae of Chrysops fuliginosus Wied.: a preliminary electrophysiological study.</t>
  </si>
  <si>
    <t>Liscia A.</t>
  </si>
  <si>
    <t>Liscia, A.;Angioy, A. M.;Crnjar, R.;Pietra, P.;Stoffolano, J. G.</t>
  </si>
  <si>
    <t>6603926346;7003316394;6701707224;7005206301;7003715146</t>
  </si>
  <si>
    <t>;;;;</t>
  </si>
  <si>
    <t>Bollettino della Societa italiana di biologia sperimentale</t>
  </si>
  <si>
    <t>673-677</t>
  </si>
  <si>
    <t>2-s2.0-0020139230</t>
  </si>
  <si>
    <t>10.1049/el:19820353</t>
  </si>
  <si>
    <t>Mutual coupling between microstrip patch antennas</t>
  </si>
  <si>
    <t>Malkomes M.</t>
  </si>
  <si>
    <t>Rheinisch-Westf√§lische Technische Hochschule Aachen</t>
  </si>
  <si>
    <t>Aachen</t>
  </si>
  <si>
    <t>Germany</t>
  </si>
  <si>
    <t>Malkomes, M.</t>
  </si>
  <si>
    <t>Electronics Letters</t>
  </si>
  <si>
    <t>520-522</t>
  </si>
  <si>
    <t>A theoretical approach to the mutual coupling phenomenon between microstrip patch antennas of arbitrary geometry and alignment is presented. The theory employs an equivalent magnetic wall model for each single radiator, a series expansion in resonant modes in connection with a reaction concept treatment of antenna interaction. Good agreement of theoretical and experimental data is observed in a wide frequency range for various element spacings. ¬© 1982, The Institution of Electrical Engineers. All rights reserved.</t>
  </si>
  <si>
    <t>Antennas | Microstrip</t>
  </si>
  <si>
    <t>['¬© 1982', 'theory employs', 'theoretical approach', 'single radiator', 'series expansion', 'rights reserved', 'resonant modes', 'good agreement', 'experimental data', 'electrical engineers', 'arbitrary geometry', 'antenna interaction']</t>
  </si>
  <si>
    <t>2-s2.0-84955883427</t>
  </si>
  <si>
    <t>10.1515/znc-1982-5-619</t>
  </si>
  <si>
    <t>Adaptation of chloroplast-ultrastructure and of chlorophyll-protein levels to high-light and low-light growth conditions</t>
  </si>
  <si>
    <t>Lichtenthaler H.</t>
  </si>
  <si>
    <t>Karlsruhe Institute of Technology, Campus South</t>
  </si>
  <si>
    <t>Karlsruhe</t>
  </si>
  <si>
    <t>Lichtenthaler, H. K.;Kuhn, G.;Prenzel, U.;Buschmann, C.;Meier, D.</t>
  </si>
  <si>
    <t>7006918218;56899784800;6507924577;7003911032;16488615900</t>
  </si>
  <si>
    <t>60029428;60029428;60029428;60029428;60029428</t>
  </si>
  <si>
    <t>Zeitschrift fur Naturforschung - Section C Journal of Biosciences</t>
  </si>
  <si>
    <t>464-475</t>
  </si>
  <si>
    <t>In saturating light radish seedlings grown in high-light growth conditions (90 W ¬∑ m-2) possess a much higher photosynthetic capacity on a chlorophyll and leaf area basis than the low-light grown plants (10 W ¬∑ m-2). The higher CO2 -fixation rate of HL-plants is due to the presence of HL-chloroplasts which possess a different ultrastructure and also different levels of the individual chlorophyll-carotenoid-proteins than the LL-chloroplasts of LL-seedlings.1. Ultrastructure: The high-light adapted chloroplasts are characterized by fewer photosynthetic membranes per chloroplast section, by low grana stacks (only few thylakoids per granum), a lower stacking degree of thylakoids, a higher proportion of non-appressed membranes(stroma thylakoids + end grana membranes) and a high starch content. The LL-chloroplasts possess no starch, their grana stacks are higher (up to 17 thylakoids per granum) and also significantly broader than that of HL-chloroplasts. 2. Chlorophyll-proteins: The photosynthetic apparatus of HL-chloroplasts contains a larger proportion of chlorophyll a-proteins of photosystem I (CPIa+CPI) and of photosystem II (CPa, the presumable reaction center of PS II) than the LL-chloroplasts which possess a higher proportion of light-harvesting chlorophyll a/fc-proteins (LHCP1, LHCP2, LHCP3, LHCPy). The higher levels of LHCPs in LL-plants are associated with a higher ground fluorescence fo and maximum fluorescence fp of the in vivo chlorophyll. 3. Chlorophyll and carotenoid ratios: The chloroplasts of HL-plants possess a higher proportion of chlorophyll a and √ü-carotene (higher values for the ratios chlorophyll a /b and lower values for a/c and x /c ) which reflect the increased level of the chlorophyll √ü-carotene-proteins CPIa, CPI and CPa. The higher level of light-harvesting chlorophyll a/Œ≤-xanthophyll-proteins (LHCPs) in LL-plants is also indicated by an increased content of xanthophylls and chlorophyll b as seen from lower a /b and higher x /c and x/c ratios. 4. The results indicate that plants possess the capacity for an ontogenetic adaptation of their photosynthetic apparatus to the incident light intensity. The HL-chloroplasts of HL-plants which contain less antenna chlorophyll, are adapted for a more efficient photosynthetic quantum conversion at light saturation than the LL-chloroplasts with high grana stacks. The correlation between higher levels of light-harvesting chlorophyll a/b-proteins (LHCPs) and a higher stacking degree of thylakoids, and the involvement of LHCPs in stacking is discussed. ¬© 1982, Walter de Gruyter. All rights reserved.</t>
  </si>
  <si>
    <t>Adaptation of Chloroplasts | Chlorophyll a-Proteins | Chlorophyll Fluorescence | Chloroplast Ultrastructure | High-Light Chloroplasts</t>
  </si>
  <si>
    <t>['√ ü', '¬© 1982', 'vivo chlorophyll', 'stroma thylakoids', 'rights reserved', 'results indicate', 'ratios chlorophyll', 'ps ii', 'proteins cpia', 'plants possess', 'photosystem ii', 'photosynthetic apparatus', 'ontogenetic adaptation', 'lower values', 'light saturation', 'lhcpy ).', 'larger proportion', 'individual chlorophyll', 'increased level', 'increased content', 'higher x', 'higher values', 'higher proportion', 'higher levels', 'higher level', 'higher co2', 'harvesting chlorophyll', 'grana stacks', 'fixation rate', 'different ultrastructure', 'chloroplasts possess', 'chloroplasts contains', 'chlorophyll b', 'carotenoid ratios', 'c ratios', 'appressed membranes', 'also indicated', '2 ).']</t>
  </si>
  <si>
    <t>DFG</t>
  </si>
  <si>
    <t>Deutsche Forschungsgemeinschaft</t>
  </si>
  <si>
    <t>2-s2.0-33645930933</t>
  </si>
  <si>
    <t>10.1007/BF00609851</t>
  </si>
  <si>
    <t>Reflex antennal movements in the spiny lobster, Palinurus elephas - II. Feedback and motor control</t>
  </si>
  <si>
    <t>Barnes W.</t>
  </si>
  <si>
    <t>University of Glasgow</t>
  </si>
  <si>
    <t>Glasgow</t>
  </si>
  <si>
    <t>United Kingdom</t>
  </si>
  <si>
    <t>Barnes, W. J.P.;Neil, D. M.</t>
  </si>
  <si>
    <t>24304811000;7005407253</t>
  </si>
  <si>
    <t>60001490;60001490</t>
  </si>
  <si>
    <t>Journal of Comparative Physiology ‚ñ° A</t>
  </si>
  <si>
    <t>269-280</t>
  </si>
  <si>
    <t>1. The antennal responses of the spiny lobster, Palinums elephas, to tilting movements of a platform held under the animal's legs and to passive movements of the antenna were analysed in order to study why resistance reflexes were readily produced by passive (imposed) movement but did not occur during active (reflexive) movement (Fig. 2A, B). 2. Since antennal movements imposed during platform tilts induced resistance reflexes (Fig. 2C, D), resistance reflexes were not inhibited during active movements, nor did they give way to assistance reflexes. 3. Imposed antennal movements that exactly duplicated the immediately preceding antennal responses to platform oscillation induced resistance reflexes, showing that the active antennal movements were within the range of amplitudes and velocities that generated such reflexes (Fig. 3). 4. The effects of immobilizing the antenna on the antennal responses to platform tilts were somewhat variable when the antenna was fixed at or near its mid-position (Table 1). In contrast, fixing the joint near either of its extreme positions induced a position effect whereby the responses of the muscle that moved the antenna away from the extreme position were augmented, those of the muscle that moved the joint towards the extreme position decreased. 5. Placement of a block in the path of a moving antenna during platform tilts usually led to a positive feedback reflex in that activity in the muscle that encountered resistance to contraction was augmented (Figs. 5, 6, 7B). 6. In two preliminary experiments the effects of ablation of the chordotonal organ spanning the J1 joint on the above responses were examined. Resistance reflexes were abolished by the operation (Fig. 7C, F) as were the blocking effects (Figs. 7B, E, 8); antennal responses to platform tilts were largely unaffected (Figs. 7A, D, 8A, C). 7. Although the data were not a perfect fit to a model of motor control incorporating both negative feedback and efference copy elements (Fig. 1), the motor control system governing antennal movement has many of the properties of a von Holst type reafference system. It is proposed that corollary discharge interneurons, driven by the central commands for movement, prevent active movements initiating resistance reflexes (Fig. 9). ¬© 1982 Springer-Verlag.</t>
  </si>
  <si>
    <t>['tilting movements', 'spiny lobster', 'somewhat variable', 'resistance reflexes', 'readily produced', 'platform tilts', 'platform held', 'perfect fit', 'passive movements', 'palinums elephas', 'negative feedback', 'moving antenna', 'largely unaffected', 'joint towards', 'j1 joint', 'give way', 'extreme position', 'exactly duplicated', 'encountered resistance', 'central commands', 'c ).', 'blocking effects', 'b ).', 'assistance reflexes', 'antennal responses', 'antenna away', 'active movements', '9 ).', '7b ).', '3 ).', '1 ),']</t>
  </si>
  <si>
    <t>2-s2.0-12644268491</t>
  </si>
  <si>
    <t>10.1007/BF00609850</t>
  </si>
  <si>
    <t>Reflex antennal movements in the spiny lobster, Palinurus elephas - I. Properties of reflexes and their interaction</t>
  </si>
  <si>
    <t>Neil D.</t>
  </si>
  <si>
    <t>Neil, D. M.;Barnes, W. J.P.;Burns, M. D.</t>
  </si>
  <si>
    <t>7005407253;24304811000;24494804500</t>
  </si>
  <si>
    <t>60001490;60001490;60001490</t>
  </si>
  <si>
    <t>259-268</t>
  </si>
  <si>
    <t>1. Reflex antennal movements in the frontal plane, brought about by movement at the J1 joint, occur in the spiny lobster, Palinurus elephas, in response to tilting movements of a platform held under the animal's legs. Imposed movements of the J1 joint give rise to resistance reflexes. Experiments in which the two stimuli are delivered with different timing relations demonstrate that the two reflex pathways remain simultaneously operative. These results suggest a premotor organisation of motor patterns in the antennal muscles, and identify an integration step in the mechanics of the final movement. 2. On the basis of myographic recordings, the innervation of the two external and three internal rotator muscles that operate the J1 joint involve both the sharing of axons between synergists, and synergists receiving distinct but strongly coupled axonal supplies. 3. Two distinct modes of coordination are observed in the antennal rotator muscles. Alteration of antagonists, apparent not only in the general alternation of bursts but also in burst microstructure, occurs during reflex activity (Fig. 2B) and in the absence of imposed stimulation (Fig. 2A), while co-activation of antagonists occurs following general tactile stimulation of the body (Fig. 2A). Biases in the level of both tonic activity and reflex responsiveness towards either rotator muscle commonly occur under a variety of stimulus conditions (Fig. 2B). 4. The amplitude of the reflex responses to platform tilts is determined both by the amplitude of platform tilt and by the number of legs in contact with the platform. The reflex remains strongly phasic even at low frequencies of stimulation although at such frequencies an antennal muscle sometimes fires during movement of the platform in both directions (Fig. 3). 5. Resistance reflexes occurring in response to imposed antennal movement utilize the same pool of motoneurons as are involved in the responses to platform tilts. 6. Ramp platform tilts delivered during continuous sinusoidal movement of the antenna cause predictable changes in the pattern of resistance reflex discharges. An enhanced response in a muscle occurs when a ramp inducing discharge in a particular muscle is timed to coincide with the burst in that muscle, while a reduced burst together with an extra burst of firing in the antagonist muscle follows the application of a ramp movement in the opposite direction at the same relative time (Fig. 4A). An equivalent series of effects follows application of ramp antennal movements during continuous sinusoidal platform tilts (Fig. 4B). 7. Simultaneous sinusoidal movement of both platform and antenna such that the resistance reflexes are in phase with the responses to platform oscillation produces a pattern of simple reciprocation between the antagonist muscles of the moved antenna with clearly-defined non-overlapping bursts (Fig. 5C). When the two stimuli are arranged to conflict, the muscles are co-activated, each firing two bursts in each stimulus cycle (Fig. 5D). During such antiphase stimulation, reductions in the amplitude of platform tilt lead to enhancement of resistance reflex effects as well as reduction in the size of the bursts due to platform stimulation (Fig. 6). ¬© 1982 Springer-Verlag.</t>
  </si>
  <si>
    <t>['two stimuli', 'two external', 'tonic activity', 'tilting movements', 'stimulus cycle', 'stimulus conditions', 'stimulation although', 'spiny lobster', 'simple reciprocation', 'results suggest', 'resistance reflexes', 'relative time', 'reflex responses', 'reflex activity', 'ramp movement', 'premotor organisation', 'platform tilts', 'platform tilt', 'platform stimulation', 'platform held', 'particular muscle', 'palinurus elephas', 'overlapping bursts', 'opposite direction', 'myographic recordings', 'muscle occurs', 'moved antenna', 'motor patterns', 'low frequencies', 'j1 joint', 'integration step', 'imposed stimulation', 'imposed movements', 'general alternation', 'frontal plane', 'final movement', 'extra burst', 'equivalent series', 'enhanced response', 'defined non', 'bursts due', 'burst microstructure', 'antiphase stimulation', 'antennal muscles', 'antagonist muscles', '6 ).', '5d ).', '5c ).', '4b ).', '4a ).', '3 ).', '2b ).', '2a ).', '2a ),']</t>
  </si>
  <si>
    <t>2-s2.0-0242278609</t>
  </si>
  <si>
    <t>10.1007/BF00756213</t>
  </si>
  <si>
    <t>Gravitational radiation antennas using the Sagnac effect</t>
  </si>
  <si>
    <t>Anandan J.</t>
  </si>
  <si>
    <t>University of California, Berkeley</t>
  </si>
  <si>
    <t>Berkeley</t>
  </si>
  <si>
    <t>Anandan, J.;Chiao, R. Y.</t>
  </si>
  <si>
    <t>7005427293;7006523983</t>
  </si>
  <si>
    <t>60025038;60025038</t>
  </si>
  <si>
    <t>General Relativity and Gravitation</t>
  </si>
  <si>
    <t>515-521</t>
  </si>
  <si>
    <t>A new class of gravitational antennas that utilize the general relativistic Sagnac effect is proposed. These antennas may be more efficient than the Weber bar by a factor of (c/vs)4 ‚àº 1019, where vsis the velocity of sound in the bar. A specific case of such an antenna consisting of a superfluid helium Josephson interferometer is considered. A general relativistic theory of the interaction of the superfluid with the gravitational field is given. Using this theory, the phase shift due to a gravitational plane wave on one such antenna is obtained. More generally, the proposed interferometer involves the interplay of general relativity and quantum theory and may afford the possibility of testing general relativity in the laboratory at the quantum mechanical level. The possibility of detecting gravitons, assuming nearly unit coupling efficiency for the antenna, is explored. ¬© 1982 Plenum Publishing Corporation.</t>
  </si>
  <si>
    <t>['weber bar', 'specific case', 'quantum theory', 'new class', 'may afford', 'gravitational field', 'gravitational antennas', 'general relativity', 'detecting gravitons', 'antennas may', 'antenna consisting']</t>
  </si>
  <si>
    <t>2-s2.0-0043048718</t>
  </si>
  <si>
    <t>10.1007/BF00151619</t>
  </si>
  <si>
    <t>The use of the large MM-wave antenna at Itapetinga in high-sensitivity solar research</t>
  </si>
  <si>
    <t>Kaufmann P.</t>
  </si>
  <si>
    <t>Instituto Nacional de Pesquisas Espaciais</t>
  </si>
  <si>
    <t>Sao Jose dos Campos</t>
  </si>
  <si>
    <t>Brazil</t>
  </si>
  <si>
    <t>Kaufmann, P.;Strauss, F. M.;Schaal, R. E.;Laporte, C.</t>
  </si>
  <si>
    <t>7201921496;16423437500;16484544500;16484336000</t>
  </si>
  <si>
    <t>60012729;60012729;60012729;60012729</t>
  </si>
  <si>
    <t>Solar Physics</t>
  </si>
  <si>
    <t>1573093X</t>
  </si>
  <si>
    <t>389-399</t>
  </si>
  <si>
    <t>Large dishes used in solar radio astronomy are becoming an essential tool for the analysis of low level activity and fine time structures in solar bursts. Some front-end and back-end arrangements have been added to the Itapetinga 13.7-m radome-enclosed antenna to allow for simultaneous 22 GHz and 44 GHz observations; 22 GHz right- and left-handed circular polarization (or two linear orthogonal), with sensitivities of the order of 0.03 s.f.u., and time resolution of 1 ms. Full Sun maps can be obtained every 6 min, and selected active region maps every 3 min. Spatial angular definition of positions of active-region hot spots is close to 10 arc sec. This system is being used in a number of specific investigations, in SMM satellite related research, and in other internationally coordinated works. Examples of results are shown. ¬© 1982 D. Reidel Publishing Company.</t>
  </si>
  <si>
    <t>['¬© 1982', 'u .,', 'time resolution', 'specific investigations', 'solar bursts', 'itapetinga 13', 'essential tool', 'end arrangements', 'enclosed antenna', '1 ms']</t>
  </si>
  <si>
    <t>2-s2.0-0020145085</t>
  </si>
  <si>
    <t>Clinical local heating by microwaves.</t>
  </si>
  <si>
    <t>Scott R.</t>
  </si>
  <si>
    <t>Scott, R. M.;Cheung, A. Y.;Samaras, G. M.</t>
  </si>
  <si>
    <t>56322981600;7401806381;36797242400</t>
  </si>
  <si>
    <t>;;</t>
  </si>
  <si>
    <t>National Cancer Institute monograph</t>
  </si>
  <si>
    <t>351-355</t>
  </si>
  <si>
    <t>The advantages and limitations of microwave heating in clinical thermotherapy are reviewed on the basis of the clinical experiences of various investigators who used microwave-induced hyperthermia. Also discussed are the clinical engineering system requirements necessary for conducting controlled clinical trials, as well as appropriate thermal treatment planning. Lastly, we present the future prospects for complex antennas and treatment control systems.</t>
  </si>
  <si>
    <t>['various investigators', 'used microwave', 'microwave heating', 'induced hyperthermia', 'future prospects', 'complex antennas', 'clinical thermotherapy', 'clinical experiences', 'also discussed']</t>
  </si>
  <si>
    <t>2-s2.0-0020140532</t>
  </si>
  <si>
    <t>10.1007/BF01034641</t>
  </si>
  <si>
    <t>An adaptive active canceling system for random waves based on meadurements of the near field</t>
  </si>
  <si>
    <t>Mal'tsev A.A.</t>
  </si>
  <si>
    <t>Mal'tsev, A. A.;Pozumentov, I. E.</t>
  </si>
  <si>
    <t>57220358034;6602965096</t>
  </si>
  <si>
    <t>;</t>
  </si>
  <si>
    <t>Radiophysics and Quantum Electronics</t>
  </si>
  <si>
    <t>480-486</t>
  </si>
  <si>
    <t>2-s2.0-0020139599</t>
  </si>
  <si>
    <t>10.1007/BF01034644</t>
  </si>
  <si>
    <t>Synthesis of antenna directional patterns containing a null by coherent optical methods</t>
  </si>
  <si>
    <t>Bochkar' E.</t>
  </si>
  <si>
    <t>Bochkar', E. P.;Kul/beda, V. E.;Sudakov, O. A.;Yagodin, V. O.</t>
  </si>
  <si>
    <t>6506492185;16483714300;36875373800;6508296779</t>
  </si>
  <si>
    <t>;;;</t>
  </si>
  <si>
    <t>495-500</t>
  </si>
  <si>
    <t>2-s2.0-0019907063</t>
  </si>
  <si>
    <t>10.1007/BF00216223</t>
  </si>
  <si>
    <t>Structural and functional classification of antennal sensilla of the cockroach, Leucophaea maderae</t>
  </si>
  <si>
    <t>Schaller L.</t>
  </si>
  <si>
    <t>Universit√§t Regensburg</t>
  </si>
  <si>
    <t>Regensburg</t>
  </si>
  <si>
    <t>Schaller, Linde</t>
  </si>
  <si>
    <t>Cell and Tissue Research</t>
  </si>
  <si>
    <t>0302766X</t>
  </si>
  <si>
    <t>129-142</t>
  </si>
  <si>
    <t>Antennal sensilla of Leucophaea maderae were investigated electrophysiologically, labeled and then examined with the scanning or transmission electron microscope. The sensilla can be classified into morphological types according to their external shape and the structure of their hair wall. Sensilla showing similar reaction spectra of their cells can be cathegorized into physiological groups. The morphological classification corresponds to the physiological grouping: one morphological type of sensillum comprises one or several groups of physiologically similar sensilla. In many of these groups constant combinations of physiologically different cells occur. The possible functional significance of the relationships found between the structural features of the sensilla and the physiological properties of their sensory cells is discussed. ¬© 1982 Springer-Verlag.</t>
  </si>
  <si>
    <t>Chemoreception | Cockroach | Insect sensilla | Thermoreception</t>
  </si>
  <si>
    <t>['structural features', 'several groups', 'sensory cells', 'relationships found', 'physiological properties', 'physiological groups', 'physiological grouping', 'leucophaea maderae', 'investigated electrophysiologically', 'hair wall', 'external shape', 'antennal sensilla']</t>
  </si>
  <si>
    <t>2-s2.0-0020128681</t>
  </si>
  <si>
    <t>10.1049/el:19820299</t>
  </si>
  <si>
    <t>Improvements to a surface-wave antenna measurement range with troublesome site effects</t>
  </si>
  <si>
    <t>Keen K.</t>
  </si>
  <si>
    <t>118839220;118504995</t>
  </si>
  <si>
    <t>Keith M. Keen &amp; Associates ‚ÄúBlackwater‚Äù;Admiralty Surface Weapons Establishment</t>
  </si>
  <si>
    <t>;Chichester</t>
  </si>
  <si>
    <t>United Kingdom;United Kingdom</t>
  </si>
  <si>
    <t>Keen, K. M.;Grime, R. R.;Stemp, B. E.</t>
  </si>
  <si>
    <t>7007048290;6602606445;7801353596</t>
  </si>
  <si>
    <t>118839220;118504995;118504995</t>
  </si>
  <si>
    <t>439-440</t>
  </si>
  <si>
    <t>A surface-wave antenna measurement range used for ship antenna modelling work has been improved by the development of a novel source antenna. The antenna, a large ‚Äòhalf-truncated‚Äô corner reflector, has reduced unwanted range reflections to allow phase measurements to be made to an accuracy of approximately ¬± 2¬∞. Also, the screening effect of the reflector allows an adjacent range on the same reflecting ground plane to be operated simultaneously without noticeable effect on the surface-wave range performance. ¬© 1982, The Institution of Electrical Engineers. All rights reserved.</t>
  </si>
  <si>
    <t>Antennas | Modelling</t>
  </si>
  <si>
    <t>['¬© 1982', 'screening effect', 'rights reserved', 'reflector allows', 'electrical engineers', 'adjacent range']</t>
  </si>
  <si>
    <t>2-s2.0-0038080653</t>
  </si>
  <si>
    <t>10.1016/0005-2728(82)90008-1</t>
  </si>
  <si>
    <t>The reversible decline of oxygen flash yields at high flash energies. Evidence for total annihilation of excitations in Photosystem II</t>
  </si>
  <si>
    <t>Ley A.</t>
  </si>
  <si>
    <t>Rockefeller University</t>
  </si>
  <si>
    <t>New York</t>
  </si>
  <si>
    <t>Ley, Arthur C.;Mauzerall, David C.</t>
  </si>
  <si>
    <t>7006334364;7005034241</t>
  </si>
  <si>
    <t>60026827;60026827</t>
  </si>
  <si>
    <t>174-180</t>
  </si>
  <si>
    <t>The yield of oxygen from cells of Chlorella vulgaris illuminated for 0.5 Œºs with 596 nm laser light reversibly declines at flash energies much greater than those required for saturation. The decline in oxygen flash yields is specifically related to the optical cross-section per Photosystem (PS) II trap. The effect can be explained as the result of a total annihilation process which occurs either at the PS II trap (with very low probability) or in the PS II antenna (with very short lifetime). Evidence from separate experiments is discussed which suggests that the process occurs at the PS II trap. The probability of this process is about 10-4. ¬© 1982.</t>
  </si>
  <si>
    <t>(C. vulgaris) | Excitation annihilation | Oxygen flash yield | Photosystem II</t>
  </si>
  <si>
    <t>['¬© 1982', 'specifically related', 'separate experiments', 'process occurs', 'optical cross', 'occurs either', 'low probability', 'ii trap', '5 œºs']</t>
  </si>
  <si>
    <t>NSF</t>
  </si>
  <si>
    <t>PCM-801145</t>
  </si>
  <si>
    <t>National Science Foundation</t>
  </si>
  <si>
    <t>2-s2.0-0000826183</t>
  </si>
  <si>
    <t>10.1016/0005-2728(82)90011-1</t>
  </si>
  <si>
    <t>Antenna organization and evidence for the function of a new antenna pigment species in the green photosynthetic bacterium Chloroflexus aurantiacus</t>
  </si>
  <si>
    <t>Betti J.A.</t>
  </si>
  <si>
    <t>60032372;60014313</t>
  </si>
  <si>
    <t>Amherst College;University of Massachusetts Amherst</t>
  </si>
  <si>
    <t>Amherst;Amherst MA</t>
  </si>
  <si>
    <t>United States;United States</t>
  </si>
  <si>
    <t>Betti, J. A.;Blankenship, R. E.;Natarajan, L. V.;Dickinson, L. C.;Fuller, R. C.</t>
  </si>
  <si>
    <t>6505946922;57203046340;7005840930;35462141900;35593628100</t>
  </si>
  <si>
    <t>60014313;60032372;60032372;60014313;60014313</t>
  </si>
  <si>
    <t>194-201</t>
  </si>
  <si>
    <t>Whole cells and isolated chlorosomes (antenna complex) of the green photosynthetic bacterium Chloroflexus aurantiacus have been studied by absorption spectroscopy (77 K and room temperature), fluorescence spectroscopy, circular dichroism, linear dichroism and electron spin resonance spectroscopy. The chlorosome absorption spectrum has maxima at 450 (contributed by carotenoids and bacteriochlorophyll (BChl) a Soret), 742 (BChl c) and 792 nm (BChl a) with intensity ratios of 20:25. The fluorescence emission spectrum has peaks at 748 and 802 nm when excitation is into either the 742 or 450 nm absorption bands, respectively. Whole cells have fluorescence peaks identical to those in chlorosomes with the addition of a major peak observed at 867 nm. The CD spectrum of isolated chlorosomes has an asymmetric-derivative-shaped CD centered at 739 nm suggestive of exciton interaction at least on the level of dimers. Linear dichroism of oriented chlorosomes shows preferential absorption at 742 nm of light polarized parallel to the long axis of the chlorosome. This implies that the transition dipoles are also oriented more or less parallel to the long axis of the chlorosome. Treatment with ferricyanide results in the appearance of a 2.3 G wide ESR spectrum at g 2.002. Whole cells grown under different light conditions exhibit different fluorescence behavior when absorption is normalized at 742 nm. Cells grown under low light conditions have higher fluorescence intensity at 748 nm and lower intensity at 802 nm than cells grown under high light conditions. These results indicate that the BChl c in chlorosomes is highly organized, and transfers energy from BChl c (742 nm) to a connector of baseplate BChl B792 (BChl a) presumably located in the chlorosome baseplate adjacent to the cytoplasmic membrane. ¬© 1982.</t>
  </si>
  <si>
    <t>(Chloroflexus aurantiacus) | Antenna pigment | Bacterial photosynthesis | Bacteriochlorophyll | Chlorosome</t>
  </si>
  <si>
    <t>['¬© 1982', 'whole cells', 'transition dipoles', 'transfers energy', 'results indicate', 'presumably located', 'lower intensity', 'long axis', 'linear dichroism', 'less parallel', 'isolated chlorosomes', 'intensity ratios', 'highly organized', 'g 2', 'ferricyanide results', 'exciton interaction', 'cytoplasmic membrane', 'circular dichroism', 'cells grown', 'cd spectrum', 'bchl c', 'antenna complex', 'also oriented', 'absorption spectroscopy', '867 nm', '802 nm', '792 nm', '77 k', '748 nm', '742 nm']</t>
  </si>
  <si>
    <t>59-2259-0-1-473-0</t>
  </si>
  <si>
    <t>2-s2.0-0040908127</t>
  </si>
  <si>
    <t>10.1016/0014-5793(82)80043-4</t>
  </si>
  <si>
    <t>The antenna system of Rhodospirillum rubrum: derivative analysis of the major near infrared absorption band of chromatophores</t>
  </si>
  <si>
    <t>Gomez I.</t>
  </si>
  <si>
    <t>Consejo Superior de Investigaciones Cient√≠ficas</t>
  </si>
  <si>
    <t>Madrid</t>
  </si>
  <si>
    <t>Spain</t>
  </si>
  <si>
    <t>Gomez, Isabel;Del Campo, Francisca F.;Ramirez, Juan M.</t>
  </si>
  <si>
    <t>55427390000;57214540870;24434990900</t>
  </si>
  <si>
    <t>60006754;60006754;60006754</t>
  </si>
  <si>
    <t>185-188</t>
  </si>
  <si>
    <t>2-s2.0-0020128063</t>
  </si>
  <si>
    <t>10.1049/el:19820288</t>
  </si>
  <si>
    <t>Design of hybrid diversity on overwater paths</t>
  </si>
  <si>
    <t>Garcia-Lopez J.</t>
  </si>
  <si>
    <t>ENHER</t>
  </si>
  <si>
    <t>Barcelona</t>
  </si>
  <si>
    <t>Garcia-Lopez, J. A.;Ferrandiz, J. M.;Selga, J. M.</t>
  </si>
  <si>
    <t>7006349115;7003315513;57205035798</t>
  </si>
  <si>
    <t>100384221;100384221;100384221</t>
  </si>
  <si>
    <t>420-422</t>
  </si>
  <si>
    <t>In the design of hybrid diversity, two options are possible giving different performances to the diversity system. Both options are analysed in the case of radio links over smooth surfaces. For the calculation of the vertical antenna spacing, some considerations are given in order to generalise a method valid for space diversity. ¬© 1982, The Institution of Electrical Engineers. All rights reserved.</t>
  </si>
  <si>
    <t>Antennas | Microwave links | Radio links</t>
  </si>
  <si>
    <t>['¬© 1982', 'two options', 'space diversity', 'smooth surfaces', 'rights reserved', 'radio links', 'method valid', 'hybrid diversity', 'electrical engineers', 'diversity system']</t>
  </si>
  <si>
    <t>2-s2.0-0020127011</t>
  </si>
  <si>
    <t>10.1049/el:19820278</t>
  </si>
  <si>
    <t>Influence of surface-wave excitation on efficiency of space-wave launching in microstrip disc antennas</t>
  </si>
  <si>
    <t>de Fonseca S.</t>
  </si>
  <si>
    <t>60029570;60024989</t>
  </si>
  <si>
    <t>Universidade Estadual de Campinas;Universidade de Bras√≠lia</t>
  </si>
  <si>
    <t>Campinas;Brasilia</t>
  </si>
  <si>
    <t>Brazil;Brazil</t>
  </si>
  <si>
    <t>de Fonseca, S. B.A.;Giarola, A. J.</t>
  </si>
  <si>
    <t>57194908196;7004822283</t>
  </si>
  <si>
    <t>60024989;60029570</t>
  </si>
  <si>
    <t>406-407</t>
  </si>
  <si>
    <t>The cavity model with magnetic side walls and dyadic Green's functions was used to study microstrip disc antennas. Curves of efficiency of space-wave launching and directivity as functions of the ratio of the dielectric thickness to the disc radius d/a are shown for two dielectrics: …õr = 2.55 and 9.60. The results are useful for the design of these antennas. ¬© 1982, The Institution of Electrical Engineers. All rights reserved.</t>
  </si>
  <si>
    <t>['… õr', '¬© 1982', 'wave launching', 'two dielectrics', 'rights reserved', 'electrical engineers', 'dyadic green', 'disc radius', 'dielectric thickness', 'cavity model']</t>
  </si>
  <si>
    <t>2-s2.0-4344656326</t>
  </si>
  <si>
    <t>10.1007/BF00994786</t>
  </si>
  <si>
    <t>Pheromone hydrolysis by cuticular and interior esterases of the antennae, legs, and wings of the cabbage looper moth, Trichoplusia ni (H√ºbner)</t>
  </si>
  <si>
    <t>Ferkovich S.</t>
  </si>
  <si>
    <t>60103678;60000635</t>
  </si>
  <si>
    <t>USDA Agricultural Research Service, Gainesville;USDA ARS Beltsville Agricultural Research Center</t>
  </si>
  <si>
    <t>Gainesville;Beltsville</t>
  </si>
  <si>
    <t>Ferkovich, S. M.;Oliver, J. E.;Dillard, C.</t>
  </si>
  <si>
    <t>6701770663;7401628143;7003509317</t>
  </si>
  <si>
    <t>60103678;60103678-60000635;60103678</t>
  </si>
  <si>
    <t>Journal of Chemical Ecology</t>
  </si>
  <si>
    <t>859-866</t>
  </si>
  <si>
    <t>Examination was made of the hydrolytic activities of esterases obtained from the antennae, legs, and wings of 3-day-old cabbage looper moths, Trichoplusia ni (H√ºbner), by elution and by homogenation of those appendages. Pheromone hydrolysis in 1-min assays was monitored by use of tritium-labeled (Z)-7-dodecen-1-ol acetate and thin-layer chromatography to separate the reaction products. Listed according to the activities of the esterases obtained by homogenation, the organs were antennae &gt; legs &gt; wings. In contrast, the order according to the activities of the eluted esterases was wings &gt; legs &gt; antennae. Also, the eluted enzymes were less active than the esterases obtained by homogenization. The relatively high pheromone-hydrolyzing activity present in homogenized antennae suggests that the esterases originated inside the antennae and lends support to the hypothesis proposed in earlier investigations that pheromone-inactivating enzymes may play an important role in the olfactory process, possibly by clearing pheromone from the vicinity of the olfactory receptors. The esterases detected on the cuticle, on the other hand, may function by preventing surface accumulation of pheromone. The higher measured esterase activity in homogenates of prothoracic legs than of mesothoracic or metathoracic legs suggests that the prothoracic legs, which are used to clean the antennae of debris, may function by removing and degrading pheromone from the surface of antennae. ¬© 1982 Plenum Publishing Corporation.</t>
  </si>
  <si>
    <t>Antennae | cabbage looper | cuticle | esterases | Lepidoptera | Noctuidae | olfaction | pheromone degradation | Trichoplusia ni</t>
  </si>
  <si>
    <t>['trichoplusia ni', 'reaction products', 'prothoracic legs', 'pheromone hydrolysis', 'order according', 'olfactory receptors', 'olfactory process', 'ol acetate', 'min assays', 'may function', 'listed according', 'less active', 'lends support', 'layer chromatography', 'important role', 'hypothesis proposed', 'hydrolytic activities', 'esterases obtained', 'esterases detected', 'eluted esterases', 'eluted enzymes', 'earlier investigations', 'degrading pheromone', 'clearing pheromone']</t>
  </si>
  <si>
    <t>2-s2.0-10544245706</t>
  </si>
  <si>
    <t>10.1007/BF00312196</t>
  </si>
  <si>
    <t>Functional morphology of locomotion in Derocheilocaris typica (Crustacea, Mystacocarida)</t>
  </si>
  <si>
    <t>Lombardi J.</t>
  </si>
  <si>
    <t>Clemson University</t>
  </si>
  <si>
    <t>Clemson</t>
  </si>
  <si>
    <t>Lombardi, Julian;Ruppert, Edward E.</t>
  </si>
  <si>
    <t>7007059770;7005093230</t>
  </si>
  <si>
    <t>60026610;60026610</t>
  </si>
  <si>
    <t>Zoomorphology</t>
  </si>
  <si>
    <t>0720213X</t>
  </si>
  <si>
    <t>1432234X</t>
  </si>
  <si>
    <t>The crustacean class Mystacocarida is restricted to the interstitial marine sand environment. A cinemicrographic analysis of the functional morphology of locomotion in the mystacocarid D. typica was undertaken to demonstrate how this species progresses through the interstitial spaces. Locomotion is completely dependent on the presence of dorsal and ventral substrates. The biramous second antennae and mandibles are the force-generating appendages. During a locomotory cycle, the exopods of the second antennae and mandibles are directed dorsolaterally against a dorsal substrate. This creates a downward force enabling the endopods to gain purchase on the ventral substrate. The second antennae and mandibles undergo coordinated cyclic movements. Each cycle results in two power and two recovery strokes. The animals undergo approximately 4 complete cycles per second. The calculated maximum rate of locomotion is 420 Œºm/s. The measured rate under test conditions is 250 Œºm/s. A turning-escape reaction in response to air bubbles and other factors results in a 180¬∞ turn in a confined space within 1.5 s. These data are discussed in relation to the morphological conservatism of mystacocarids, their presumed neotenic origin and their observed migration over a tidal cycle. It is proposed that all crawling interstitial animals will have developed specific mechanisms to increase frictional forces between their locomotory appendages and the surrounding substrate. ¬© 1982 Springer-Verlag GmbH &amp; Co. KG.</t>
  </si>
  <si>
    <t>['verlag gmbh', 'ventral substrates', 'ventral substrate', 'two power', 'tidal cycle', 'test conditions', 'surrounding substrate', 'species progresses', 'second antennae', 'observed migration', 'morphological conservatism', 'measured rate', 'locomotory cycle', 'locomotory appendages', 'interstitial spaces', 'generating appendages', 'gain purchase', 'functional morphology', 'factors results', 'escape reaction', 'dorsal substrate', 'directed dorsolaterally', 'cycle results', 'completely dependent', 'cinemicrographic analysis', 'air bubbles', '420 œºm', '250 œºm']</t>
  </si>
  <si>
    <t>2-s2.0-0039592471</t>
  </si>
  <si>
    <t>10.1007/BF00151152</t>
  </si>
  <si>
    <t>Radio echo and sporadic radiation scattering in the solar corona</t>
  </si>
  <si>
    <t>Abranin E.P.</t>
  </si>
  <si>
    <t>60068535;60011774;60008673</t>
  </si>
  <si>
    <t>O. Ya. Usikov Institute for Radiophysics and Electronics of the National Academy of Sciences of Ukraine;Institute of Applied Physics of the Russian Academy of Sciences;Lobachevsky State University of Nizhni Novgorod</t>
  </si>
  <si>
    <t>Kharkiv;Nizhny Novgorod;Nizhny Novgorod</t>
  </si>
  <si>
    <t>Ukraine;Russian Federation;Russian Federation</t>
  </si>
  <si>
    <t>Abranin, E. P.;Bazelyan, L. L.;Zaitsev, V. V.;Rapoport, V. O.;Tsybko, Ya G.</t>
  </si>
  <si>
    <t>6602712774;6506613157;7202078489;7004426162;6507347221</t>
  </si>
  <si>
    <t>60068535;60068535;60011774;60008673;60008673</t>
  </si>
  <si>
    <t>179-186</t>
  </si>
  <si>
    <t>Some properties of solar radio bursts observed at the Earth are mainly due to propagation effects in the corona. A radio echo of short-time narrow-band bursts is observed by a decameter radioheliograph on the basis of UTR-2 antenna. Propagation effects are manifested in the marked regular change of the burst intensity-time profile at 25 MHz during a half-rotation of the Sun. A displacement of limb diffuse bursts deep into the solar atmosphere of 1.5 ‚àº- 2 R‚äô has been also found during the burst lifetime. ¬© 1982 D. Reidel Publishing Company.</t>
  </si>
  <si>
    <t>['¬© 1982', 'time profile', 'time narrow', 'solar atmosphere', 'radio echo', 'propagation effects', 'mainly due', 'decameter radioheliograph', 'burst lifetime', 'burst intensity', 'band bursts', 'also found', '25 mhz', '2 antenna']</t>
  </si>
  <si>
    <t>2-s2.0-0020124458</t>
  </si>
  <si>
    <t>10.1007/BF01035314</t>
  </si>
  <si>
    <t>External self- and mutual admittances of slots in an infinite plane wall covered with a dielectric layer</t>
  </si>
  <si>
    <t>Bodrov V.</t>
  </si>
  <si>
    <t>Bodrov, V. V.;Gridnev, V. I.</t>
  </si>
  <si>
    <t>7006839310;7005119523</t>
  </si>
  <si>
    <t>400-406</t>
  </si>
  <si>
    <t>2-s2.0-0020116362</t>
  </si>
  <si>
    <t>10.1049/el:19820259</t>
  </si>
  <si>
    <t>New application for radiation resistance</t>
  </si>
  <si>
    <t>Maclean T.</t>
  </si>
  <si>
    <t>University of Birmingham</t>
  </si>
  <si>
    <t>Birmingham</t>
  </si>
  <si>
    <t>Maclean, T. S.M.</t>
  </si>
  <si>
    <t>378-379</t>
  </si>
  <si>
    <t>An additional use for the self and mutual radiation resistances between current elements has been found in the calculation of the cross-spectral density between the elements. The use of these known resistances eliminates the problem of evaluating double integrals, which may be of some little complexity, in the direct calculation of the cross-spectral density. ¬© 1982, The Institution of Electrical Engineers. All rights reserved.</t>
  </si>
  <si>
    <t>Antennas | Radiation resistance</t>
  </si>
  <si>
    <t>['¬© 1982', 'spectral density', 'rights reserved', 'little complexity', 'electrical engineers', 'direct calculation', 'current elements', 'additional use']</t>
  </si>
  <si>
    <t>2-s2.0-0020490516</t>
  </si>
  <si>
    <t>Molecular architecture of a light-harvesting antenna. Isolation and characterization of phycobilisome subassembly particles.</t>
  </si>
  <si>
    <t>Yamanaka G.</t>
  </si>
  <si>
    <t>Yamanaka, G.;Lundell, D. J.;Glazer, A. N.</t>
  </si>
  <si>
    <t>7004447073;7003870096;7101844846</t>
  </si>
  <si>
    <t>Journal of Biological Chemistry</t>
  </si>
  <si>
    <t>4077-4086</t>
  </si>
  <si>
    <t>Synechococcus 6301 mutant, strain AN112, produces phycobilisomes containing two major biliproteins, phycocyanin and allophycocyanin, and two major linker polypeptides of 27 and 75 kilodaltons (27K and 75K). These phycobilisomes have a molecular weight of approximately 2.5 X 10(6) and are the smallest of these particles known to date. Sucrose density gradient centrifugation of AN112 phycobilisomes partially dissociated in 50 mM N-[tris(hydroxymethyl)methyl]glycine, 5 mM CaCl2, 10% (w/v) glycerol, pH 7.8, separated three distinct fractions: (1) free trimeric biliproteins, (2) hexameric complexes of phycocyanin with 27K (11 S particles), and (3) phycobilisome subassemblies equivalent in mass to approximately 25% of the intact phycobilisome (18 S particles). The 18 S particles contained equimolar amounts of phycocyanin and allophycocyanin, which represented approximately 30 and 50%, respectively, of the content of these biliproteins in the AN112 phycobilisome. The 18 S particles also contained 75% and 100%, respectively, of 27K and 75K polypeptides; i.e. 75K was present in a 2-fold higher amount than in the intact phycobilisome. The absorption spectrum (lambda max 648 nm) of the 18 S particles was similar to that of allophycocyanin. Upon excitation at 580 nm, these particles exhibited a fluorescence emission spectrum consisting of 680 and 660 nm components, identical with that of intact phycobilisomes. The circular dichroism spectra of AN112 phycobilisomes and of the 18 S particles, in the region between 650 and 700 nm, were also very similar. Allophycocyanin B, which fluoresces at 680 nm, was found in fraction 1, and was totally absent from the 18 S particle. Thus, the long wavelength emission of the 18 S particle must have arisen from another terminal energy acceptor. The most probable candidate is the 75K polypeptide, which has been shown to carry a bilin chromophore and emit near 680 nm (Lundell, D. J., Yamanaka, G., and Glazer, A. N. (1980) J. Cell Biol. 91, 315-319). The 27K polypeptide, present in both fractions 2 and 3, was a component of different complexes in the two fractions. Fraction 2 displayed the physical and spectroscopic properties characteristic of the phycocyanin-linker complex, (alpha beta)6.27K. However, in the 18 S particle, 27K functioned in the assembly and attachment of phycocyanin trimers to a core domain. Based on the analysis of the components in fractions 1-3, a model is proposed which describes the structure of the AN112 phycobilisome, with emphasis on the roles of the linker polypeptides in the assembly of the core.</t>
  </si>
  <si>
    <t>['upon excitation', 'two fractions', 'totally absent', 'strain an112', 'probable candidate', 'phycocyanin trimers', 'ph 7', 'particles known', 'particles exhibited', 'particles ).', 'particles ),', 'particle must', 'molecular weight', 'linker polypeptides', 'linker complex', 'intact phycobilisomes', 'intact phycobilisome', 'hexameric complexes', 'g .,', 'fractions 2', 'fractions 1', 'fraction 1', 'different complexes', 'core domain', 'cell biol', 'bilin chromophore', 'approximately 25', 'approximately 2', 'an112 phycobilisomes', 'an112 phycobilisome', 'alpha beta', 'allophycocyanin b', 'absorption spectrum', '75k polypeptides', '75k polypeptide', '75k ).', '75 kilodaltons', '700 nm', '680 nm', '580 nm', '319 ).', '27k polypeptide', '27k functioned']</t>
  </si>
  <si>
    <t>NIGMS</t>
  </si>
  <si>
    <t>T32GM007232</t>
  </si>
  <si>
    <t>National Institute of General Medical Sciences</t>
  </si>
  <si>
    <t>2-s2.0-0002678945</t>
  </si>
  <si>
    <t>10.1016/0005-2728(82)90320-6</t>
  </si>
  <si>
    <t>Absolute absorption cross-sections for Photosystem II and the minimum quantum requirement for photosynthesis in Chlorella vulgaris</t>
  </si>
  <si>
    <t>95-106</t>
  </si>
  <si>
    <t>Absolute absorption cross-sections for oxygen production (œÉO2) were determined from the light-saturation behavior of oxygen flash yields from whole cells of Chlorella vulgaris illuminated with submicrosecond flashes of laser light. Light-saturation curves were well described by simple Poisson statistics with a single average cross-section per photosystem trap (RCII). The maximum variation about the average cross-section permitted by the data was a factor of 3. œÉO2 at the laser wavelength (596 nm) increased from 38 √Ö2 for cells grown in high light to 115 √Ö2 for cells grown in low light. The 3-fold variation in œÉO2 was accompanied by a 10-fold variation in total cell chlorophyll content. This behavior results, at least in part, from the partitioning of chlorophyll between Photosystem II (measured) and Photosystem I (unmeasured). The 596 nm in vivo absorption cross-section for chlorophyll in Chlorella (œÉChl) is 0.29 √Ö2, independent of total cell chlorophyll content. The antenna size of RCII was calculated to range from 130 to 400 molecules of chlorophyll. At low flash energies, the relationship between the quantum requirement for oxygen production (QR), the maximum oxygen-flash yield or Emerson and Arnold number (PSUO2) and our cross-sections is QR=(PSUO2)¬∑ ( (œÉChl) (œÉO2). QR, found to be independent of both total cell pigmentation and RCII antenna size, was constant at 10¬±1 photons absorbed per oxygen molecule evolved. ¬© 1982.</t>
  </si>
  <si>
    <t>(Chlorella vulgaris) | Absorption cross-section | Oxygen evolution | Photosystem II | Reaction center</t>
  </si>
  <si>
    <t>['œéo2 ).', '¬© 1982', 'whole cells', 'well described', 'unmeasured ).', 'submicrosecond flashes', 'section permitted', 'saturation curves', 'saturation behavior', 'rcii ).', 'quantum requirement', 'qr ),', 'photosystem ii', 'oxygen production', 'maximum variation', 'maximum oxygen', 'low light', 'laser wavelength', 'laser light', 'high light', 'fold variation', 'flash yield', 'cells grown', 'behavior results', 'average cross', 'arnold number', 'antenna size', '596 nm', '400 molecules']</t>
  </si>
  <si>
    <t>PCM 80114</t>
  </si>
  <si>
    <t>2-s2.0-0020116176</t>
  </si>
  <si>
    <t>10.1049/el:19820213</t>
  </si>
  <si>
    <t>Concentric ring and jerusalem cross arrays as frequency selective surfaces for a 45¬∞ incidence diplexer</t>
  </si>
  <si>
    <t>Cahill R.</t>
  </si>
  <si>
    <t>University of Kent</t>
  </si>
  <si>
    <t>Canterbury</t>
  </si>
  <si>
    <t>Cahill, R.;Parker, E. A.</t>
  </si>
  <si>
    <t>7102125229;7201840709</t>
  </si>
  <si>
    <t>60010818;60010818</t>
  </si>
  <si>
    <t>313-314</t>
  </si>
  <si>
    <t>Typical crosspolar levels of -33 dB in the reflection band and slightly lower levels in transmission were recorded for the concentric ring array in the 45¬∞ planes of the feed/array combination. The Jerusalem cross array gave higher levels in transmission. The band centre frequency ratios were 1.4 and 1.6. ¬© 1982, The Institution of Electrical Engineers. All rights reserved.</t>
  </si>
  <si>
    <t>Antennas | Jerusalem cross | Reflector antennas</t>
  </si>
  <si>
    <t>['¬© 1982', 'rights reserved', 'reflection band', 'electrical engineers', 'array combination', '33 db']</t>
  </si>
  <si>
    <t>2-s2.0-0020113390</t>
  </si>
  <si>
    <t>10.1049/el:19820230</t>
  </si>
  <si>
    <t>Rotation of plane of polarisation of a beam of microwaves by corrugated reflection surfaces</t>
  </si>
  <si>
    <t>Paul P.</t>
  </si>
  <si>
    <t>60097472;60031544</t>
  </si>
  <si>
    <t>Bharata Mata College;Cochin University of Science and Technology</t>
  </si>
  <si>
    <t>Kochi;Kochi</t>
  </si>
  <si>
    <t>India;India</t>
  </si>
  <si>
    <t>Paul, P. O.;Nair, K. G.</t>
  </si>
  <si>
    <t>7202713962;56259735900</t>
  </si>
  <si>
    <t>338-339</t>
  </si>
  <si>
    <t>Corrugated metal surfaces show the property of rotatory polarisation. Orientation of the corrugations with plane of polarisation of incident radiation determines the extent of the tilt. The rotatory polarisation is additive when two corrugated reflecting surfaces are successively employed. ¬© 1982, The Institution of Electrical Engineers. All rights reserved.</t>
  </si>
  <si>
    <t>Antennas | Polarisation</t>
  </si>
  <si>
    <t>['¬© 1982', 'successively employed', 'rotatory polarisation', 'rights reserved', 'electrical engineers']</t>
  </si>
  <si>
    <t>2-s2.0-34250154373</t>
  </si>
  <si>
    <t>10.1007/BF00827425</t>
  </si>
  <si>
    <t>Errors of a radiometric method of calibrating antenna parameters</t>
  </si>
  <si>
    <t>Arsaev I.</t>
  </si>
  <si>
    <t>Arsaev, I. E.</t>
  </si>
  <si>
    <t>Measurement Techniques</t>
  </si>
  <si>
    <t>353-356</t>
  </si>
  <si>
    <t>2-s2.0-0020116264</t>
  </si>
  <si>
    <t>10.1049/el:19820201</t>
  </si>
  <si>
    <t>Equivalent circuit model for arrays of square loops</t>
  </si>
  <si>
    <t>Langley R.</t>
  </si>
  <si>
    <t>Langley, R. J.;Parker, E. A.</t>
  </si>
  <si>
    <t>56020461500;7201840709</t>
  </si>
  <si>
    <t>294-296</t>
  </si>
  <si>
    <t>Square-loop arrays are of interest as frequency selective surfaces. Experimental results for these arrays are presented, and a simple equivalent circuit model is described which predicts the plane-wave transmission characteristics for normal incidence. These elements are a new member of the group of arrays for which simple equivalent circuits are available. ¬© 1982, The Institution of Electrical Engineers. All rights reserved.</t>
  </si>
  <si>
    <t>Antenna arrays | Antennas</t>
  </si>
  <si>
    <t>['¬© 1982', 'rights reserved', 'normal incidence', 'new member', 'loop arrays', 'experimental results', 'electrical engineers']</t>
  </si>
  <si>
    <t>2-s2.0-0020114996</t>
  </si>
  <si>
    <t>10.1007/BF01034297</t>
  </si>
  <si>
    <t>Trapping effect for an open screen illuminated by a fixed source</t>
  </si>
  <si>
    <t>Veliev E.</t>
  </si>
  <si>
    <t>Veliev, E. I.;Veremei, V. V.;Nosich, A. I.;Shestopalov, V. P.</t>
  </si>
  <si>
    <t>7003943783;7003905459;56962710300;7005559067</t>
  </si>
  <si>
    <t>298-305</t>
  </si>
  <si>
    <t>2-s2.0-0020113631</t>
  </si>
  <si>
    <t>10.1007/BF01034301</t>
  </si>
  <si>
    <t>Asymptotic methods of reconstructing the field distribution at an antenna aperture from the results of measurements of its near field on a curved surface</t>
  </si>
  <si>
    <t>Belov Y.</t>
  </si>
  <si>
    <t>Belov, Yu I.</t>
  </si>
  <si>
    <t>322-327</t>
  </si>
  <si>
    <t>2-s2.0-0020102581</t>
  </si>
  <si>
    <t>10.1049/el:19820183</t>
  </si>
  <si>
    <t>Broadband circular disc microstrip antenna</t>
  </si>
  <si>
    <t>Griffin J.M.</t>
  </si>
  <si>
    <t>60022148;60015623</t>
  </si>
  <si>
    <t>University College London;General Electric Company</t>
  </si>
  <si>
    <t>London;Boston</t>
  </si>
  <si>
    <t>United Kingdom;United States</t>
  </si>
  <si>
    <t>Griffin, J. M.;Forrest, J. R.</t>
  </si>
  <si>
    <t>7403423158;7202841709</t>
  </si>
  <si>
    <t>60015623;60022148</t>
  </si>
  <si>
    <t>266-269</t>
  </si>
  <si>
    <t>A technique for broadening the bandwidth of the circular disc microstrip radiating element is described. Theory based on a simple circuit model is introduced and comparison with experimental work is shown. From this model, a matching circuit is devised, the resulting element giving a bandwidth of 35% (to a VSWR of 1.5) near 8 GHz. This makes the circular disc element suitable for a wide range of radar and communications antenna systems. ¬© 1982, The Institution of Electrical Engineers. All rights reserved.</t>
  </si>
  <si>
    <t>Antennas | Planar antennas</t>
  </si>
  <si>
    <t>['¬© 1982', 'wide range', 'theory based', 'rights reserved', 'matching circuit', 'experimental work', 'electrical engineers']</t>
  </si>
  <si>
    <t>2-s2.0-0020100756</t>
  </si>
  <si>
    <t>10.1049/el:19820173</t>
  </si>
  <si>
    <t>New wideband high-gain stripline planar array for 12 GHz satellite TV</t>
  </si>
  <si>
    <t>Rammos E.</t>
  </si>
  <si>
    <t>Royal Philips</t>
  </si>
  <si>
    <t>Amsterdam</t>
  </si>
  <si>
    <t>Netherlands</t>
  </si>
  <si>
    <t>Rammos, E.</t>
  </si>
  <si>
    <t>252-253</t>
  </si>
  <si>
    <t>A new type of stripline planar array has been studied for 12 GHz satellite TV reception. A 16-element experimental antenna (dimensions ‚àº 98 √ó 98 √ó 18 mm3), using a stripline corporate feed, presents a 2:1 VSWR bandwidth of over 2 GHz and a gain higher than 20.6 dBi in the 11.7‚Äî12.5 GHz bandwidth. ¬© 1982, The Institution of Electrical Engineers. All rights reserved.</t>
  </si>
  <si>
    <t>Antennas | Striplines</t>
  </si>
  <si>
    <t>['¬© 1982', 'rights reserved', 'new type', 'gain higher', 'electrical engineers', '6 dbi', '2 ghz']</t>
  </si>
  <si>
    <t>2-s2.0-0020099114</t>
  </si>
  <si>
    <t>10.1049/el:19820188</t>
  </si>
  <si>
    <t>Slotted antenna array excited by a coplanar waveguide</t>
  </si>
  <si>
    <t>Neslc A.</t>
  </si>
  <si>
    <t>Institute of Applied Physics</t>
  </si>
  <si>
    <t>Bonn</t>
  </si>
  <si>
    <t>Neslc, Aleksandar</t>
  </si>
  <si>
    <t>275-276</t>
  </si>
  <si>
    <t>The letter gives a new concept of exciting slotted antenna arrays. There both the slots and the feeder are etched on the same side of the printed circuit board. A channel is cut perpendicular to the slots and a coplanar waveguide for exciting the slots is inserted into the channel. The concept has been experimentally verified on a model. ¬© 1982, The Institution of Electrical Engineers. All rights reserved.</t>
  </si>
  <si>
    <t>['¬© 1982', 'rights reserved', 'new concept', 'letter gives', 'experimentally verified', 'electrical engineers', 'cut perpendicular', 'coplanar waveguide']</t>
  </si>
  <si>
    <t>2-s2.0-49049130289</t>
  </si>
  <si>
    <t>10.1016/0005-2728(82)90155-4</t>
  </si>
  <si>
    <t>Chlorophyll a in bilayer membranes. II. Interaction with distearoylphosphatidylcholine by NMR</t>
  </si>
  <si>
    <t>Eigenberg K.</t>
  </si>
  <si>
    <t>California Institute of Technology</t>
  </si>
  <si>
    <t>Pasadena</t>
  </si>
  <si>
    <t>Eigenberg, Kenneth E.;Croasmun, William R.;Chan, Sunney I.</t>
  </si>
  <si>
    <t>6507669275;15620161400;56461551300</t>
  </si>
  <si>
    <t>60031581;60031581;60031581</t>
  </si>
  <si>
    <t>361-368</t>
  </si>
  <si>
    <t>Bilayer membranes containing distearoylphosphatidylcholine and chlorophyll a have been investigated via 1H- and 31P-NMR. Measurements as a function of temperature and composition support the basic interpretation of the phase diagram for this mixed bilayer system advanced in the preceding report. The 31P-NMR spectrum of mixed vesicles above the solidus temperature of the phase diagram shows a single resonance, but below the solidus two peaks are observed. Observation of two distinct 31P resonances from the phospholipid at 46¬∞C conclusively demonstrates that phase separation occurs at temperatures below the solidus. Observation of a 5.8 ppm upfield shift for one of the 31P resonances at low temperature provides strong evidence for an interaction between the phospholipid headgroup and chlorophyll a in one of the low-temperature phases. This conclusion is supported by the observation of increased 1H linewidths for the lipid and a longer 1H T1 for the choline N-methyl resonance of the lipid below the solidus temperature, indicating that headgroups of lipid molecules in at least one of the phases are motionally restricted. The observation of an interaction between chlorophyll a and lipid molecules in a bilayer membrane lends considerable support to the idea that chlorophyll molecules in the chloroplast antenna are physically separated from each other by strongly coordinating lipid molecules. ¬© 1982.</t>
  </si>
  <si>
    <t>Chlorophyll-lipid interaction | Differential thermal analysis | Lipid bilayer | NMR | Photosynthetic membrane model</t>
  </si>
  <si>
    <t>['¬© 1982', 'temperature phases', 'solidus temperature', 'single resonance', 'preceding report', 'physically separated', 'phospholipid headgroup', 'phase diagram', 'nmr spectrum', 'motionally restricted', 'mixed vesicles', 'methyl resonance', 'lipid molecules', 'least one', 'composition support', 'choline n', 'chloroplast antenna', 'chlorophyll molecules', 'basic interpretation', '31p resonances']</t>
  </si>
  <si>
    <t>2-s2.0-0010714080</t>
  </si>
  <si>
    <t>10.1016/0005-2728(82)90158-X</t>
  </si>
  <si>
    <t>0005-2728(82)90158-X</t>
  </si>
  <si>
    <t>The dependence of reaction center and antenna triplets on the redox state of Photosystem I</t>
  </si>
  <si>
    <t>McLean M.</t>
  </si>
  <si>
    <t>McLean, Mary Blackwell;Sauer, Kenneth</t>
  </si>
  <si>
    <t>7202353565;7102209179</t>
  </si>
  <si>
    <t>384-392</t>
  </si>
  <si>
    <t>The formation of chlorophyll triplet states during illumination of Photosystem I reaction center samples depends upon the redox state of P-700, X and ferredoxin Centers A and B. When the reaction centers are in the states P-700+A1XFdBFd-A and P-700 A1XFd-BFd-A prior to illumination, we observe electron paramagnetic resonance (EPR) spectra from a triplet species which has zero-field splitting parameters (|D| and |E|) larger than those of either the chlorophyll a or chlorophyll b monomer triplet, and a polarization which results from population of the triplet spin sublevels by an intersystem crossing mechanism. We interpret this triplet as arising from photoexcited chlorophyll antenna species associated with reaction centers in the states P-700+Fd-A and P-700+X-, respectively, which undergo de-excitation via intersystem crossing. When the reaction centers are in the states P-700A1XFd-BFd-A and P-700A1X-Fd-BFd-A prior to illumination, we observe a triplet EPR signal with a polarization which results from population of the triplet spin sublevels by radical pair recombination, and which has a |D| value similar to that of chlorophyll a monomer. We interpret this triplet (the radical pair-polarized triplet) as arising from 3P-700 which has been populated by the process P-700+A-1 ‚Üí 3P-700A1. We observe both the radical pair-polarized triplet and the chlorophyll antenna triplet when the reaction centers are in the state P-700 A1XFd-BFd-A, presumably because the processes P-700+A-1X ‚Üí P-700+A1X- and P-700+A-1X ‚Üí 3P-700 A1X have similar rate constants when Centers A and B are reduced, i.e., the forward electron transfer time from A-1 to X is apparently much slower in the redox state P-700 A1XFd-BFd-A than it is in state P-700 A1XFdBFdA. The amplitude of the radical pair-polarized triplet EPR signal does not decrease in the presence of a 13.5-G-wide EPR signal centered at g 2.0 which was recorded in the dark prior to triplet measurements in samples previously frozen under intense illumination. This g 2.0 signal, which has been attributed to phototrapped A-1 (Heathcote, P., Timofeev, K.N. and Evans, M.C.W. (1979) FEBS Lett. 101, 105-109), corresponds to as many as 12 spins per P-700 and can be photogenerated during freezing without causing any apparent attenuation of the radical pair-polarized triplet amplitude. We conclude that species other than A-1 contribute to the g 2.0 signal. ¬© 1982.</t>
  </si>
  <si>
    <t>(Spinach chloroplast) | ESR | Photosystem I | Reaction center | Redox state | Triplet state</t>
  </si>
  <si>
    <t>['¬© 1982', 'value similar', 'undergo de', 'triplet species', 'triplet measurements', 'states p', 'state p', 'redox state', 'reaction centers', 'radical pair', 'processes p', 'process p', 'polarized triplet', 'intense illumination', 'g 2', 'ferredoxin centers', 'febs lett', 'e .,', 'dark prior', 'apparent attenuation', '700 a1xfdbfda', '700 a1xfd', '700 a1x', '1 contribute', '0 signal']</t>
  </si>
  <si>
    <t>PCM 79-11251</t>
  </si>
  <si>
    <t>2-s2.0-0000426562</t>
  </si>
  <si>
    <t>10.1016/0005-2728(82)90164-5</t>
  </si>
  <si>
    <t>Orientation of pigments in the thylakoid membrane and in the isolated chlorophyll-protein complexes of higher plants. I. Determination of optimal conditions for linear dichroism measurement</t>
  </si>
  <si>
    <t>Haworth P.</t>
  </si>
  <si>
    <t>CEA Saclay</t>
  </si>
  <si>
    <t>Gif-sur-Yvette</t>
  </si>
  <si>
    <t>Haworth, Philip;Arntzen, Charles J.;Tapie, Pierre;Breton, Jacques</t>
  </si>
  <si>
    <t>24500037600;7004449268;24520620200;24310010600</t>
  </si>
  <si>
    <t>60019615;60019615;60019615;60019615</t>
  </si>
  <si>
    <t>428-435</t>
  </si>
  <si>
    <t>The nature and possible causes of polarized light-scattering artefacts in linear dichroism measurements are investigated. Using criteria described in this article, the available orientation techniques have been critically assessed in order to obtain the linear dichroism spectra of thylakoids and of pigment-protein complexes isolated from pea. It is demonstrated here that the polyacrylamide gel squeezing technique of Abdourakhmanov et al. (Abdourakhmanov, I.A., Ganago, A.O., Erokhim, Yu.E., Solov'ev, A.A. and Chugunov, V.A. (1979) Biochim. Biophys. Acta 546, 183-186) does not lead to pigment degradation and that the linear dichroism spectra obtained in these conditions are essentially free of scattering artefacts. The linear dichroism spectra of light-harvesting complex isolated in different states of aggregation or incorporated into phospholipid vesicles are compared to the spectra of thylakoids. This comparison indicates: (1) that the isolation procedure of Burke et al. (Burke, J.J., Ditto, C.L. and Arntzen, C.J. (1978) Arch. Biochem. Biophys. 187, 252-263) leads to light-harvesting complex in which the in vivo orientation of pigments is preserved; (2) that the antenna chlorophyll a molecules of this complex have a significant degree of orientation with respect to the plane of the thylakoid. ¬© 1982.</t>
  </si>
  <si>
    <t>(Pea chloroplast) | Chlorophyl-protein complex | Linear dichroism | Pigment orientation | Polarized light | Thylakoid membrane</t>
  </si>
  <si>
    <t>['¬© 1982', 'vivo orientation', 'significant degree', 'scattering artefacts', 'possible causes', 'polarized light', 'pigment degradation', 'phospholipid vesicles', 'isolation procedure', 'harvesting complex', 'essentially free', 'different states', 'critically assessed', 'comparison indicates', 'antenna chlorophyll', 'acta 546', '., ganago', '., erokhim']</t>
  </si>
  <si>
    <t>PCM 7718953</t>
  </si>
  <si>
    <t>2-s2.0-0020474594</t>
  </si>
  <si>
    <t>10.1049/el:19820132</t>
  </si>
  <si>
    <t>Study on ellipticity properties of single-feed-type circularly polarised microstrip antennas</t>
  </si>
  <si>
    <t>Haneishi M.</t>
  </si>
  <si>
    <t>Saitama University</t>
  </si>
  <si>
    <t>Saitama</t>
  </si>
  <si>
    <t>Japan</t>
  </si>
  <si>
    <t>Haneishi, M.;Nambara, T.;Yoshida, S.</t>
  </si>
  <si>
    <t>6603687544;57197053526;7406244797</t>
  </si>
  <si>
    <t>60028263;60028263;60028263</t>
  </si>
  <si>
    <t>191-193</t>
  </si>
  <si>
    <t>The letter presents the basic method for the design of single-feed-type circularly polarised microstrip antennas (SCPA). An SCPA designed to operate under condition of circular polarisation (OCCP) proved to produce an axial ratio below 0-5 dB at the boresight. Moreover, the measured and calculated axial ratios for SCPA agreed well within the effective range. These results indicate the use of the design method reported in the letter for construction of SCPA with excellent directivity. ¬© 1982, The Institution of Electrical Engineers. All rights reserved.</t>
  </si>
  <si>
    <t>Antennas | Microstrips</t>
  </si>
  <si>
    <t>['¬© 1982', 'scpa designed', 'scpa ).', 'rights reserved', 'results indicate', 'letter presents', 'excellent directivity', 'electrical engineers', 'effective range', 'circular polarisation', 'basic method', 'axial ratio', '5 db']</t>
  </si>
  <si>
    <t>2-s2.0-0020474569</t>
  </si>
  <si>
    <t>10.1049/el:19820141</t>
  </si>
  <si>
    <t>Effect of antenna polarisation on rain scattering</t>
  </si>
  <si>
    <t>Awaka J.</t>
  </si>
  <si>
    <t>118839943;100385533</t>
  </si>
  <si>
    <t>Radio Research Laboratories;Radio Research Laboratories</t>
  </si>
  <si>
    <t>Ibaraki;Kashima</t>
  </si>
  <si>
    <t>Japan;Japan</t>
  </si>
  <si>
    <t>Awaka, J.;Shimada, M.;Isobe, T.;Ouchi, E.</t>
  </si>
  <si>
    <t>7003434877;57216217633;7201874966;7004561920</t>
  </si>
  <si>
    <t>100385533;100385533;118839943;118839943</t>
  </si>
  <si>
    <t>205-206</t>
  </si>
  <si>
    <t>The effect of the polarisations of antennas on the received power from rain scattering was examined at 34.8 GHz by rotating the œÄ/2 polariser in the receiving antenna system. It is found that the experimental result is explained satisfactorily by the scattering theory. ¬© 1982, The Institution of Electrical Engineers. All rights reserved.</t>
  </si>
  <si>
    <t>Antennas | Polarisation | Scattering</t>
  </si>
  <si>
    <t>['¬© 1982', 'scattering theory', 'rights reserved', 'received power', 'rain scattering', 'explained satisfactorily', 'experimental result', 'electrical engineers', '8 ghz', '2 polariser']</t>
  </si>
  <si>
    <t>2-s2.0-0020474565</t>
  </si>
  <si>
    <t>10.1049/el:19820157</t>
  </si>
  <si>
    <t>Correlation of 6 and 4 GHz depolarisation on slant paths</t>
  </si>
  <si>
    <t>Ogawa A.</t>
  </si>
  <si>
    <t>INTELSAT</t>
  </si>
  <si>
    <t>Washington, D.C.</t>
  </si>
  <si>
    <t>Ogawa, A.;Allnutt, J. E.</t>
  </si>
  <si>
    <t>7402000133;7003842304</t>
  </si>
  <si>
    <t>60004541;60004541</t>
  </si>
  <si>
    <t>230-232</t>
  </si>
  <si>
    <t>Good correlation between simultaneous 6 and 4 GHz depolarisation, and several additional statistical results, were obtained from a 6 month measurement programme in a heavy-rainfall equatorial region. These results show the feasibility of implementing up-link depolarisation precompensation using the coincident down-link depolarisation as the sole control parameter. ¬© 1982, The Institution of Electrical Engineers. All rights reserved.</t>
  </si>
  <si>
    <t>Antennas | Rain and ice depolarisation | Satellite relay systems</t>
  </si>
  <si>
    <t>['¬© 1982', 'simultaneous 6', 'rights reserved', 'results show', 'link depolarisation', 'good correlation', 'electrical engineers']</t>
  </si>
  <si>
    <t>2-s2.0-34250228126</t>
  </si>
  <si>
    <t>10.1007/BF00989634</t>
  </si>
  <si>
    <t>Sex pheromone communication in the odd beetle, Thylodrias contractes motschulsky (Coleoptera: Dermestidae)</t>
  </si>
  <si>
    <t>Mertins J.W.</t>
  </si>
  <si>
    <t>Iowa State University</t>
  </si>
  <si>
    <t>Ames</t>
  </si>
  <si>
    <t>Mertins, James W.</t>
  </si>
  <si>
    <t>653-661</t>
  </si>
  <si>
    <t>Adult virgin females of the odd beetle, Thylodrias contractus, produce a volatile sex pheromone that influences the behavior of conspecific males and attracts them in laboratory olfactometer tests. The active substance can be collected by allowing virgin females to walk on absorbent paper disks. Disks exposed to mated females do not elicit a response from males. The male odd beetle repeatedly rubs the antennae, head, and thorax of a female with a setate glandular area on his second abdominal sternum during courtship, probably secreting a reciprocally active aphrodisiac substance. ¬© 1982 Plenum Publishing Corporation.</t>
  </si>
  <si>
    <t>aphrodisiac | behavior | bioassay | Coleoptera | Dermestidae | exocrine gland | Motschulsky | odd beetle | Sex pheromone | Thylodrias contractus</t>
  </si>
  <si>
    <t>['thylodrias contractus', 'probably secreting', 'odd beetle', 'mated females', 'disks exposed', 'conspecific males', 'active substance']</t>
  </si>
  <si>
    <t>2-s2.0-0020104716</t>
  </si>
  <si>
    <t>10.1007/BF02997114</t>
  </si>
  <si>
    <t>A method for the calculation of properties of wire antennas</t>
  </si>
  <si>
    <t>Lewin L.</t>
  </si>
  <si>
    <t>IMT Atlantique</t>
  </si>
  <si>
    <t>Nantes</t>
  </si>
  <si>
    <t>Lewin, L√©onard</t>
  </si>
  <si>
    <t>Annales Des T√©l√©communications</t>
  </si>
  <si>
    <t>129-136</t>
  </si>
  <si>
    <t>A symmetrically-fed dipole antenna is considered in the paper. The rigorous integral equation is usually resolved by approximating the kernel, assuming a deltafunction feed, and iterating. To obtain consistent solutions, the sinusoidal current approximation needs to be modified (¬´rounded¬ª) at the feed. A modified transmission line approach is equivalent to firstorder iteration by taking a certain value of characteristic impedance. The radiation impedance for a dipole contains the expression for the line reactance within it, and if this term is separated out, the remainder remains finite as the wire radius approaches zero. The iteration approach is equivalent to the usual induced EMF method result if a certain current amplitude is selected, but the result is unsuitable for the full wave dipole. An improved choice is indicated, and is suitable for any dipole length. ¬© 1982 Springer-Verlag.</t>
  </si>
  <si>
    <t>Approximation | Dipole antenna | Integral equation | Iteration | Wire antenna</t>
  </si>
  <si>
    <t>['usually resolved', 'radiation impedance', 'iteration approach', 'improved choice', 'firstorder iteration', 'dipole length', 'dipole contains', 'deltafunction feed', 'characteristic impedance', 'certain value']</t>
  </si>
  <si>
    <t>2-s2.0-0020099153</t>
  </si>
  <si>
    <t>10.1007/BF01007102</t>
  </si>
  <si>
    <t>Focused aperture microwave antennas operating in the near field zone</t>
  </si>
  <si>
    <t>Moresco M.</t>
  </si>
  <si>
    <t>Universit√† degli Studi di Padova</t>
  </si>
  <si>
    <t>Padua</t>
  </si>
  <si>
    <t>Italy</t>
  </si>
  <si>
    <t>Moresco, M.;Zilli, E.</t>
  </si>
  <si>
    <t>6602738436;6603873865</t>
  </si>
  <si>
    <t>60000481;60000481</t>
  </si>
  <si>
    <t>International Journal of Infrared and Millimeter Waves</t>
  </si>
  <si>
    <t>279-293</t>
  </si>
  <si>
    <t>Focusing a microwave antenna is often convenient in order to produce a Fraunhofer-type pattern at short distance from the aperture. The characteristics of the radiation patterns produced by some specimens were experimentally tested and compared with theoretical predictions. Basic criteria are given to design focused antennas, once their radiation pattern characteristics are specified. ¬© 1982 Plenum Publishing Corporation.</t>
  </si>
  <si>
    <t>focusing | lenses | microwave antennas | millimeter waves | reflector antennas</t>
  </si>
  <si>
    <t>['type pattern', 'theoretical predictions', 'short distance', 'often convenient', 'microwave antenna', 'experimentally tested', 'basic criteria']</t>
  </si>
  <si>
    <t>2-s2.0-0020097764</t>
  </si>
  <si>
    <t>10.1007/BF01034776</t>
  </si>
  <si>
    <t>Absolute calibration of radio telescopes with a periscopic reflector</t>
  </si>
  <si>
    <t>Pelyushenko S.A.</t>
  </si>
  <si>
    <t>Pelyushenko, S. A.;Chernyshev, V. I.</t>
  </si>
  <si>
    <t>6602495658;57217751141</t>
  </si>
  <si>
    <t>180-184</t>
  </si>
  <si>
    <t>2-s2.0-0020090670</t>
  </si>
  <si>
    <t>10.1049/el:19820106</t>
  </si>
  <si>
    <t>Effect of disc reflectors on radiation impedance of short-backfire antenna</t>
  </si>
  <si>
    <t>Marougi S.</t>
  </si>
  <si>
    <t>University of Basrah</t>
  </si>
  <si>
    <t>Basra</t>
  </si>
  <si>
    <t>Iraq</t>
  </si>
  <si>
    <t>Marougi, S. D.</t>
  </si>
  <si>
    <t>154-156</t>
  </si>
  <si>
    <t>Using near-field analysis, the influence of large and small disc reflectors used in short-backfire antennas on the radiation impedance of a dipole feed element has been investigated. The effect of each reflector is evaluated separately, and the overall change in the radiation impedance of the dipole is predicted. ¬© 1982, The Institution of Electrical Engineers. All rights reserved.</t>
  </si>
  <si>
    <t>Antenna radiation patterns | Antennas</t>
  </si>
  <si>
    <t>['¬© 1982', 'using near', 'rights reserved', 'radiation impedance', 'overall change', 'field analysis', 'evaluated separately', 'electrical engineers', 'backfire antennas']</t>
  </si>
  <si>
    <t>2-s2.0-0020087967</t>
  </si>
  <si>
    <t>10.1049/el:19820109</t>
  </si>
  <si>
    <t>Tapered backfire helical antenna with loaded termination</t>
  </si>
  <si>
    <t>Nakano H.</t>
  </si>
  <si>
    <t>Hosei University</t>
  </si>
  <si>
    <t>Tokyo</t>
  </si>
  <si>
    <t>Nakano, H.;Yamauchi, J.;Iio, S.</t>
  </si>
  <si>
    <t>55633340100;57220533028;36819908500</t>
  </si>
  <si>
    <t>60030526;60030526;60030526</t>
  </si>
  <si>
    <t>158-159</t>
  </si>
  <si>
    <t>In order to improve the radiation characteristics of a backfire bifilar helical antenna, a means of terminating the arm ends with a resistor is numerically and experimentally investigated. Owing to the reduction of reflected current, the present backfire helix realises an excellent front-to-back ratio and axial ratio, while maintaining inherent absolute gain. ¬© 1982, The Institution of Electrical Engineers. All rights reserved.</t>
  </si>
  <si>
    <t>['¬© 1982', 'rights reserved', 'reflected current', 'radiation characteristics', 'experimentally investigated', 'excellent front', 'electrical engineers', 'back ratio', 'axial ratio', 'arm ends']</t>
  </si>
  <si>
    <t>2-s2.0-49049137377</t>
  </si>
  <si>
    <t>10.1016/0005-2728(82)90306-1</t>
  </si>
  <si>
    <t>Preparation of O&lt;inf&gt;2&lt;/inf&gt;-evolving Photosystem-II subchloroplasts from spinach</t>
  </si>
  <si>
    <t>Yamamoto Y.</t>
  </si>
  <si>
    <t>Kyushu University</t>
  </si>
  <si>
    <t>Fukuoka</t>
  </si>
  <si>
    <t>Yamamoto, Yasusi;Ueda, Tetsuya;Shinkai, Hiroshi;Nishimura, Mitsuo</t>
  </si>
  <si>
    <t>7405516662;56318442900;24489816400;35411511800</t>
  </si>
  <si>
    <t>60011047;60011047;60011047;60011047</t>
  </si>
  <si>
    <t>347-350</t>
  </si>
  <si>
    <t>An O2-evolving Photosystem II subchloroplast preparation was obtained from spinach chloroplasts, using low concentrations of digitonin and Triton X-100. The preparation showed an O2 evolution activity equivalent to 20% of the uncoupled rate of fresh broken chloroplasts, but had no significant Photosystem-I-dependent O2 uptake activity. The preparation showed a chlorophyll a b ratio of 1.9 and a P-700 chlorophyll ratio of 1 2400. Absorption spectra at room temperature and fluorescence emission spectra of chlorophyll at 77 K suggested a significant decrease in Photosystem I antenna chlorophylls in the O2-evolving Photosystem II preparation. ¬© 1982.</t>
  </si>
  <si>
    <t>(Spinach chloroplast) | Oxygen evolution | Photosystem II | Subchloroplast particle</t>
  </si>
  <si>
    <t>['¬© 1982', 'uncoupled rate', 'triton x', 'spinach chloroplasts', 'significant photosystem', 'significant decrease', 'room temperature', 'preparation showed', 'b ratio', 'antenna chlorophylls', 'absorption spectra', '1 2400']</t>
  </si>
  <si>
    <t>Monbusho</t>
  </si>
  <si>
    <t>Ministry of Education, Culture, Sports, Science and Technology</t>
  </si>
  <si>
    <t>2-s2.0-0011200018</t>
  </si>
  <si>
    <t>10.1016/0005-2728(82)90304-8</t>
  </si>
  <si>
    <t>Bacteriochlorophyll a-protein interactions in a complex from Prosthecochloris aestuarii. A Resonance Raman study</t>
  </si>
  <si>
    <t>Lutz M.</t>
  </si>
  <si>
    <t>60019615;60003878</t>
  </si>
  <si>
    <t>CEA Saclay;Sterrewacht Leiden</t>
  </si>
  <si>
    <t>Gif-sur-Yvette;Leiden</t>
  </si>
  <si>
    <t>France;Netherlands</t>
  </si>
  <si>
    <t>Lutz, Marc;Hoff, Arnold J.;Brehamet, Lionel</t>
  </si>
  <si>
    <t>7201814095;7103325525;24513301300</t>
  </si>
  <si>
    <t>60019615;60003878;60019615</t>
  </si>
  <si>
    <t>331-341</t>
  </si>
  <si>
    <t>Raman spectra of bacteriochlorophyll a (BChl) bound to the soluble protein complex from Prosthecochloris aestuarii have been obtained at low temperature, using the resonance effect on their Qx for Soret electronic bands. These spectra show that the acetyl carbonyls of at least four of the seven molecules bound to the monomer subunit of the complex and the ketone carbonyls of at least five of them are oriented close to the mean plane of the conjugated part of the dihydrophorbin macrocycle. Up to three bacteriochlorophyll molecules may have their ketone carbonyls free from hydrogen-bonding and up to two may have their acetyl carbonyls similarly free. Several of the binding sites of the remaining conjugated carbonyls are probably the same as those binding the conjugated carbonyls of bacteriochlorophyll (and of bacteriopheophytin) in reaction centers and in antenna structures of purple bacteria and as those binding chlorophyll in the antenna of higher plants and algae. The present resonance Raman spectra confirm that the magnesium atoms of most of the seven bacteriochlorophylls are pentacoordinated. They also show that polarisation effects from their local environments induce changes in the groundstate structures of the dihydrophorbin skeletons of the complexed molecules with respect to those of isolated, monomeric bacteriochlorophyll. These changes are quasi-identical for the seven molecules. These environmental effects predominate over any structural change brought about by intermolecular bonding of the conjugated carbonyls or of the magnesium atoms. The dihydrophorbin rings of the seven molecules thus appear to be immersed in a nearly homogeneous medium of low permittivity, although specific van der Waals interactions may polarise the free carbonyls to quite different extents. The possible implications of these observations on the interpretation of the electronic spectrum of the set of complexed bacteriochlorophylls are discussed. ¬© 1982.</t>
  </si>
  <si>
    <t>(Prosthecochloris aestuarii) | Bacteriochlorophyll a | Chlorophyll-protein complex | Resonance Raman spectroscopy</t>
  </si>
  <si>
    <t>['¬© 1982', 'two may', 'spectra show', 'seven molecules', 'seven bacteriochlorophylls', 'resonance effect', 'reaction centers', 'raman spectra', 'purple bacteria', 'prosthecochloris aestuarii', 'possible implications', 'polarisation effects', 'oriented close', 'monomeric bacteriochlorophyll', 'monomer subunit', 'mean plane', 'magnesium atoms', 'low temperature', 'low permittivity', 'least four', 'least five', 'ketone carbonyls', 'intermolecular bonding', 'higher plants', 'groundstate structures', 'free carbonyls', 'electronic spectrum', 'dihydrophorbin skeletons', 'dihydrophorbin rings', 'dihydrophorbin macrocycle', 'conjugated part', 'conjugated carbonyls', 'complexed molecules', 'complexed bacteriochlorophylls', 'binding sites', 'binding chlorophyll', 'antenna structures', 'also show', 'acetyl carbonyls']</t>
  </si>
  <si>
    <t>2-s2.0-0040135868</t>
  </si>
  <si>
    <t>10.1016/0014-5793(82)80386-4</t>
  </si>
  <si>
    <t>Minor component B-905 of light-harvesting antenna in Rhodospirillum rubrum chromatophores and the mechanism of singlet-singlet annihilation as studied by difference selective picosecond spectroscopy</t>
  </si>
  <si>
    <t>Borisov A.</t>
  </si>
  <si>
    <t>Borisov, A. Yu;Gadonas, R. A.;Danielius, R. V.;Piskarskas, A. S.;Razjivin, A. P.</t>
  </si>
  <si>
    <t>15049241600;23121768400;7003895031;7006569102;6603794637</t>
  </si>
  <si>
    <t>60007457;60059987;60059987;60059987;60007457</t>
  </si>
  <si>
    <t>25-28</t>
  </si>
  <si>
    <t>2-s2.0-0020090967</t>
  </si>
  <si>
    <t>10.1007/BF01034267</t>
  </si>
  <si>
    <t>Radiation pattern of vibration at no load in infinitely large plane array</t>
  </si>
  <si>
    <t>Aizenberg A.</t>
  </si>
  <si>
    <t>Aizenberg, A. L.</t>
  </si>
  <si>
    <t>165-171</t>
  </si>
  <si>
    <t>2-s2.0-0020085984</t>
  </si>
  <si>
    <t>10.1007/BF01945086</t>
  </si>
  <si>
    <t>The antennae and mating behaviour of Drosophila females</t>
  </si>
  <si>
    <t>Singh B.N.</t>
  </si>
  <si>
    <t>Banaras Hindu University</t>
  </si>
  <si>
    <t>Varanasi</t>
  </si>
  <si>
    <t>India</t>
  </si>
  <si>
    <t>Singh, B. N.;Singh, O. P.;Gupta, J. P.</t>
  </si>
  <si>
    <t>35599827100;57207807888;36762073100</t>
  </si>
  <si>
    <t>60008721;60008721;60008721</t>
  </si>
  <si>
    <t>Experientia</t>
  </si>
  <si>
    <t>237-238</t>
  </si>
  <si>
    <t>The females of Drosophila bipectinata and D. malerkotliana are able to discriminate between their own and alien males in the absence of antennae. Thus mate recognition seems to depend on contact chemoreceptors in these 2 species. ¬© 1982 Birkh√§user Verlag.</t>
  </si>
  <si>
    <t>['drosophila bipectinata', 'contact chemoreceptors', 'alien males', '2 species']</t>
  </si>
  <si>
    <t>2-s2.0-0020027858</t>
  </si>
  <si>
    <t>10.1007/BF00221496</t>
  </si>
  <si>
    <t>Freeze-fracture characteristics of insect gustatory and olfactory sensilla - I. A comparison with vertebrate olfactory receptor cells with special reference to ciliary components</t>
  </si>
  <si>
    <t>Menco B.</t>
  </si>
  <si>
    <t>60019816;60007989</t>
  </si>
  <si>
    <t>Leiden University;Utrecht University</t>
  </si>
  <si>
    <t>Leiden;Utrecht</t>
  </si>
  <si>
    <t>Netherlands;Netherlands</t>
  </si>
  <si>
    <t>Menco, B. Ph M.;van der Wolk, F. M.</t>
  </si>
  <si>
    <t>7003443407;6506277775</t>
  </si>
  <si>
    <t>60007989;60019816</t>
  </si>
  <si>
    <t>Freeze-fracture data on antennal olfactory and labellar gustatory sensilla of the blowfly Calliphora vicina were compared with those of vertebrate olfactory organs. Insect antennal and vertebrate olfactory axons have similar diameters and show vesicular expansions; insect labellar axons are on average twice as thick and show no vesicular expansions. Vertebrate olfactory and insect labellar and antennal axons display similar intramembranous particle densities. Antennal axons show particle arrangements, resembling tight-junctions. The few extremely thick axons found in labella and antennae show particle arrangements resembling gap-junctions. In regions, proximal to the pores in the insect sensillar hairs, P-faces of olfactory and gustatory cilia show about 200 particles/Œºm2. The most proximal and distal portions of the sensory cilia, necklaces and regions in the vicinity of the hair pores respectively, were only encountered in antennal sensilla. P-faces of the ciliary membranes underneath these pores display 1,000-1,200 particles/ Œºm2 in unbranched and branched cilia. These values agree with values found in vertebrate olfactory cilia. It is suggested that these high particle densities are related to entities involved in chemoreceptive activities. Accessory cell micropliae have P-face densities of 2,000-3,000 particles/ Œºm2, values similar to those found in vertebrate supportive cell microvilli. The membranes of the accessory cells display septate-junctions in areas where these cells overlap themselves, each other and in places where they adhere to the exoskeleton or the basement membrane. ¬© 1982 Springer-Verlag.</t>
  </si>
  <si>
    <t>Cilia | Comparison with vertebrates | Freeze-fracture | Gustatory | Olfactory | Sensilla (insects)</t>
  </si>
  <si>
    <t>['vesicular expansions', 'vertebrate olfactory', 'values similar', 'values found', 'values agree', 'similar diameters', 'sensory cilia', 'resembling tight', 'insect labellar', 'insect antennal', 'fracture data', 'face densities', 'entities involved', 'distal portions', 'chemoreceptive activities', 'cells overlap', 'branched cilia', 'basement membrane', 'average twice', 'antennal sensilla', 'antennal olfactory', '200 particles', '000 particles']</t>
  </si>
  <si>
    <t>2-s2.0-0001059370</t>
  </si>
  <si>
    <t>10.1007/BF00987804</t>
  </si>
  <si>
    <t>Nasonov pheromone of the honeybee. Apis mellifera L. (Hymenoptera, Apidae) - IV. Comparative electroantennogram responses</t>
  </si>
  <si>
    <t>Williams I.</t>
  </si>
  <si>
    <t>Rothamsted Research</t>
  </si>
  <si>
    <t>Harpenden</t>
  </si>
  <si>
    <t>Williams, I. H.;Pickett, J. A.;Martin, A. P.</t>
  </si>
  <si>
    <t>7201818792;7101754379;55708419100</t>
  </si>
  <si>
    <t>60002793;60002793;60002793</t>
  </si>
  <si>
    <t>567-574</t>
  </si>
  <si>
    <t>Electroantennogram (EAG) responses from worker honeybee antennae were obtained for each Nasonov component. Response amplitudes to 10 Œºg of components correlated well with reported relative abilities to attract foragers in the field. EAG responses of worker, queen, and drone antennae to natural pheromone were consistently greater than to synthetic pheromone, a difference only partly explained by enzymic conversion of geraniol to (E)-citral during preparation of natural extracts. ¬© 1982 Plenum Publishing Corporation.</t>
  </si>
  <si>
    <t>Apidae | Apis mellifera | behavior | electro-antennography | enzymic oxidation | foraging | Honeybee | Hymenoptera | multicomponent pheromone | Nasonov pheromone</t>
  </si>
  <si>
    <t>['synthetic pheromone', 'response amplitudes', 'partly explained', 'natural pheromone', 'natural extracts', 'nasonov component', 'enzymic conversion', 'eag responses', 'drone antennae', 'consistently greater', 'attract foragers', '10 œºg']</t>
  </si>
  <si>
    <t>2-s2.0-0000102870</t>
  </si>
  <si>
    <t>10.1007/BF00987796</t>
  </si>
  <si>
    <t>Responses of the olfactory receptors of Scolytus scolytus (F.) (Coleoptera: Scolytidae) to the stereoisomers of 4-methyl-3-heptanol</t>
  </si>
  <si>
    <t>Wadhams L.</t>
  </si>
  <si>
    <t>60025858;60017317</t>
  </si>
  <si>
    <t>ETH Zurich;University of Sussex</t>
  </si>
  <si>
    <t>Zurich ZH,;Brighton</t>
  </si>
  <si>
    <t>Switzerland;United Kingdom</t>
  </si>
  <si>
    <t>Wadhams, L. J.;Angst, M. E.;Blight, Margaret M.</t>
  </si>
  <si>
    <t>7003829798;36800047300;7004737350</t>
  </si>
  <si>
    <t>60017317;60025858;60017317</t>
  </si>
  <si>
    <t>477-492</t>
  </si>
  <si>
    <t>Electroantennogram (EAG) and single-cell recording techniques have been used to demonstrate the presence of separate receptors for (-)-threo- and (-)-erythro-4-methyl-3-heptanol on the antenna of S. scolytus. The majority of single-cell recordings showed spikes of two different amplitudes. The cell giving spikes of larger amplitude responded to the (-)-threo stereoisomer while the cell with the small-amplitude spikes responded to (-)-erythro-4-methyl-3-heptanol. It is suggested that in most recordings the two cells are associated with a single sensillum basiconicum. ¬© 1982 Plenum Publishing Corporation.</t>
  </si>
  <si>
    <t>4-methyl-3-heptanol stereoisomer | Coleoptera | electrophysiology | olfaction | pheromone | Scolytidae | Scolytus scolytus</t>
  </si>
  <si>
    <t>['two cells', 'separate receptors', '(-)- threo', '(-)- erythro']</t>
  </si>
  <si>
    <t>2-s2.0-0019926663</t>
  </si>
  <si>
    <t>10.1049/el:19820064</t>
  </si>
  <si>
    <t>Comparison of modal analysis and equivalent circuit representation of E-plane arm of the jerusalem cross</t>
  </si>
  <si>
    <t>Hamdy S.</t>
  </si>
  <si>
    <t>Hamdy, S. M.A.;Parker, E. A.</t>
  </si>
  <si>
    <t>7004104010;7201840709</t>
  </si>
  <si>
    <t>94-95</t>
  </si>
  <si>
    <t>Transmission coefficients predicted by modal analysis agree well with measurements, but an LC equivalent circuit gives satisfactory results for normal incidence only. The two methods predict similar phases for the induced currents. The modal method's account of the current distribution is illustrated for two resonant frequencies in the E-plane. ¬© 1982, The Institution of Electrical Engineers. All rights reserved.</t>
  </si>
  <si>
    <t>Electromagnetic waves | Frequency selective surfaces | Jerusalem cross | Reflector antennas</t>
  </si>
  <si>
    <t>['¬© 1982', 'rights reserved', 'normal incidence', 'modal method', 'induced currents', 'electrical engineers', 'current distribution']</t>
  </si>
  <si>
    <t>2-s2.0-0019910930</t>
  </si>
  <si>
    <t>10.1049/el:19820042</t>
  </si>
  <si>
    <t>Fast integration techniques for reflector antenna pattern analysis</t>
  </si>
  <si>
    <t>Craig A.</t>
  </si>
  <si>
    <t>BAE Systems plc</t>
  </si>
  <si>
    <t>Farnborough</t>
  </si>
  <si>
    <t>Craig, A. D.;Simms, P. D.</t>
  </si>
  <si>
    <t>7201507980;7004420837</t>
  </si>
  <si>
    <t>60018829;60018829</t>
  </si>
  <si>
    <t>60-62</t>
  </si>
  <si>
    <t>The letter describes the application of fast integration techniques, based on the FFT algorithm, to the evaluation of the far-field radiation integral for aperture plane, surface electric current and surface magnetic current theory. Results are presented comparing patterns derived by these three theoretical approaches. ¬© 1982, The Institution of Electrical Engineers. All rights reserved.</t>
  </si>
  <si>
    <t>Antennas | Fourier transforms</t>
  </si>
  <si>
    <t>['¬© 1982', 'rights reserved', 'letter describes', 'fft algorithm', 'electrical engineers', 'aperture plane']</t>
  </si>
  <si>
    <t>2-s2.0-85040501216</t>
  </si>
  <si>
    <t>PARABOLIC ANTENNAS: WIND LOADING. PART 1: MEAN FORCES AND MOMENTS.</t>
  </si>
  <si>
    <t>Anon</t>
  </si>
  <si>
    <t xml:space="preserve">Anon, </t>
  </si>
  <si>
    <t>Dec</t>
  </si>
  <si>
    <t>Engineering Sciences Data Unit, Data Items</t>
  </si>
  <si>
    <t>ESDU 82031 provides force and moment coefficients for use primarily in estimating mean wind loading on stationary or slow moving paraboloidal reflectors such as are used for microwave communications antennas, radio telescopes and solar energy concentrators. The data may also be used to estimate the mean loading induced by other gas or liquid flows over paraboloidal shapes. The data apply for solid- or perforated-surfaced paraboloidal antennas with focal length/diameter ratios between 0. 15 and 0. 5 and with minimal backup and support structures. The effects of backup and support structures and of other nearby antennas are discussed briefly. Also discussed are the effects of turbulence, shear flow and hysteresis of the flow. A Calculation Sheet provides a step-by-step procedure for calculating the basic forces and moments in a body-axis system and a method and equations for conversion to other axis systems are provided in an Appendix.</t>
  </si>
  <si>
    <t>['use primarily', 'support structures', 'step procedure', 'shear flow', 'radio telescopes', 'paraboloidal shapes', 'nearby antennas', 'moment coefficients', 'minimal backup', 'liquid flows', 'focal length', 'discussed briefly', 'diameter ratios', 'data apply', 'basic forces', 'axis systems', 'axis system', 'also discussed']</t>
  </si>
  <si>
    <t>2-s2.0-85040497943</t>
  </si>
  <si>
    <t>EMERGENCY LOCATOR TRANSMITTER (ELT) EQUIPMENT INSTALLATION AND PERFORMANCE.</t>
  </si>
  <si>
    <t>Thomson R.G.</t>
  </si>
  <si>
    <t>Thomson, R. G.;Jago, R. J.;Akers, P. J.;Altman, W. H.;Anderson, J. R.;Anderson, N. R.;Applegarth, A. R.;Barr, H. S.;Barrett, J.;Beam, C. J.;Belderok, H. C.;Bell, L. A.;Benedict, N.;Beseke, K.;Bierach, K. F.</t>
  </si>
  <si>
    <t>7201360154;7005868510;57167828300;7003521640;7406785362;7402523795;6506138752;7102182311;7403498679;7005998499;6504230045;57206130221;57217930806;6508195851;6507306945</t>
  </si>
  <si>
    <t>;;;;;;;;;;;;;;</t>
  </si>
  <si>
    <t>Radio Technical Commission for Aeronautics, Document</t>
  </si>
  <si>
    <t>Technical problems of the emergency locator transmitter (ELT) are considered and the results of an investigation is reported that was performed by a special committee selected to address these problems. The three major areas of investigation were: a. Analysis of field data on ELT performance, which include: False alarms, ELT deactivation and post-crash evaluation of ELT effectiveness. b. ELT placement, which includes mounting and activation studies. c. ELT system performance, which includes the crash force sensor, batteries, electronics, antenna and the performance of the search aircraft's receiver. Specific recommendations resulting from these investigations are presented.</t>
  </si>
  <si>
    <t>['technical problems', 'search aircraft', 'includes mounting', 'field data', 'false alarms', 'elt placement', 'elt performance', 'elt effectiveness', 'elt deactivation', 'crash evaluation', 'activation studies']</t>
  </si>
  <si>
    <t>2-s2.0-85040294944</t>
  </si>
  <si>
    <t>USE OF THE AURORA FLASH X-RAY MACHINE AS A SOURCE-REGION EMP SIMULATOR AND ANTENNA COUPLING ANALYSIS FACILITY.</t>
  </si>
  <si>
    <t>Merkel G.</t>
  </si>
  <si>
    <t>Merkel, George;Scharf, William D.;Spohn, Daniel J.</t>
  </si>
  <si>
    <t>7005577451;7006983682;6603800397</t>
  </si>
  <si>
    <t>Oct</t>
  </si>
  <si>
    <t>Harry Diamond Laboratories (Technical Report) HDL-TR</t>
  </si>
  <si>
    <t>HDL-TR</t>
  </si>
  <si>
    <t>In the AURORA flash x-ray machine, a bremsstrahlung spectrum is produced in four thick tantalum targets by four synchronous 10-Mev electron beams. The bremsstrahlung then produces an electromagnetic pulse (EMP) signal through the same mechanism as does a nuclear bomb. It induces Compton electron currents in the AURORA test cell chamber (20 multiplied by 15 multiplied by 5 m). As the Compton electrons are slowed down, they ionize the air and also produce an electromagnetic field in the chamber. However, the Compton current is confined to a relatively small volume so that a relatively small electromagnetic field is produced, rendering the unmodified AURORA machine unsuitable as a source-region EMP (SREMP) simulator. A large parallel-plate transmission line has been designed to produce a ‚Ä≥threat-like‚Ä≥ EMP pulse. This transmission-line simulator can be placed in the AURORA test cell. When AURORA and the line are fired synchronously, an SREMP-like environment is produced, with AURORA providing the time-varying air conductivity. The configuration described above has been used to study the behavior of antennas in a time-varying conductive medium. Experimental data are presented. Also presented are equivalent circuit models used in the analysis of the data.</t>
  </si>
  <si>
    <t>['region emp', 'ray machine', 'nuclear bomb', 'line simulator', 'like environment', 'large parallel', 'fired synchronously', 'experimental data', 'electromagnetic pulse', 'electromagnetic field', 'configuration described', 'compton electrons', 'compton current', 'bremsstrahlung spectrum', 'aurora providing', 'also produce', 'also presented', '20 multiplied', '15 multiplied']</t>
  </si>
  <si>
    <t>2-s2.0-85040292816</t>
  </si>
  <si>
    <t>CONCEPT FOR ADVANCED SATELLITE COMMUNICATIONS AND REQUIRED TECHNOLOGIES.</t>
  </si>
  <si>
    <t>Ramler J.</t>
  </si>
  <si>
    <t>Ramler, James R.;Salzman, Jack A.</t>
  </si>
  <si>
    <t>6602321831;7004770731</t>
  </si>
  <si>
    <t>NASA Technical Memorandum</t>
  </si>
  <si>
    <t>NASA is currecntly engage in an Advanced Communications Technology Satellite (ACTS) Program aimed at the development of high risk technologies that will enable exploiting higher frequency bands and techniques for improving frequency reuse. The technologies under development include multiple beam spacecraft antennas, on-board switching and processing, RF devices and components, and advanced earth stations. The technology program is focused on the Ka-band (30/20 GHz) as the implementing frequency which has five time the bandwidth than either the C- or Ku-bands. However, the technology being developed is applicable to other frequecny bands as well and will support a wide range of future communications systems. This paper provides an overview of an operational 30/20 GHz satellite system that may evolve, a discussion of how it addresses service requirements, and a brief overview of the technology required and being developed under NASA'S ACTS Program.</t>
  </si>
  <si>
    <t>['wide range', 'technology required', 'technology program', 'rf devices', 'program aimed', 'paper provides', 'operational 30', 'may evolve', 'implementing frequency', 'frequecny bands', 'five time', 'currecntly engage', 'brief overview', 'board switching', 'acts program', '20 ghz']</t>
  </si>
  <si>
    <t>2-s2.0-85040284902</t>
  </si>
  <si>
    <t>FEED SYSTEM DESIGN AND EXPERIMENTAL RESULTS IN THE UHF MODEL STUDY FOR THE PROPOSED URBANA PHASED ARRAY.</t>
  </si>
  <si>
    <t>Loane J.</t>
  </si>
  <si>
    <t>Loane, J. T.;Bowhill, S. A.;Mayes, P. E.</t>
  </si>
  <si>
    <t>6601966872;6701768609;7006767012</t>
  </si>
  <si>
    <t>Aeronomy report</t>
  </si>
  <si>
    <t>The observable effects of atmospheric turbulence and the basis for the coherent-scatter radar technique are discussed. The reasons are given for upgrading the present Urbana Radar system to a larger steerable array. Phased-array theory pertinent to the system design is reviewed, along with approximations for maximum directive gain and blind angles due to mutual coupling. The methods and construction techniques employed in the UHF model study are explained. The antenna range is described, with a block diagram for the mode of operation used. Suggestions for a feasible full-scale switching network are given for a proposed 25 ace array.</t>
  </si>
  <si>
    <t>['system design', 'operation used', 'observable effects', 'mutual coupling', 'feasible full', 'block diagram', 'atmospheric turbulence', 'antenna range']</t>
  </si>
  <si>
    <t>2-s2.0-85040284828</t>
  </si>
  <si>
    <t>ADVANCED 30/20 GHz MULTIPLE-BEAM ANTENNAS FOR COMMUNICATIONS SATELLITES.</t>
  </si>
  <si>
    <t>Myhre R.</t>
  </si>
  <si>
    <t>Myhre, Royce W.</t>
  </si>
  <si>
    <t>Advanced offset-fed spacecraft antenna systems are being developed that will provide multiple radiating fixed spot-beams and regional coverage scanning beams for use on communications satellites operating in the 30/20 GHz frequency bands. Design concepts under development utilize two separate spacecraft antenna systems, one uplink at 30 GHz and the other a downlink at 20 GHz, where each antenna provides multiple fixed and scanning beams. The new technology development areas discussed include: offset Cassegrain and shaped reflector systems for narrow beams with low sidelodes and wideangle off-axis scan; diplexed beam-forming networks for dual polarization, low sidelobes, and fixed and scan-beam operation; fast switching networks for scanning beams; fabrication of precision feed components and large offset reflectors. 2 refs.</t>
  </si>
  <si>
    <t>['scanning beams', 'one uplink', 'offset cassegrain', 'narrow beams', 'low sidelodes', 'low sidelobes', 'forming networks', 'dual polarization', 'diplexed beam', 'design concepts', 'beam operation', 'axis scan', 'advanced offset', '30 ghz', '20 ghz', '2 refs']</t>
  </si>
  <si>
    <t>2-s2.0-85040284169</t>
  </si>
  <si>
    <t>SERVICEABILITY AND RELIABILITY OF ANTENNA STRUCTURES - PART 2: APPLICATION.</t>
  </si>
  <si>
    <t>Wang S.H.</t>
  </si>
  <si>
    <t>Wang, S. H.;Yao, J. T.P.;Chen, W. F.</t>
  </si>
  <si>
    <t>7410349641;55478535600;57034358400</t>
  </si>
  <si>
    <t>Purdue University, School of Civil Engineering, Structural Engineering (Technical Report) CE-STR</t>
  </si>
  <si>
    <t>A detailed description of the numerical implementation and the utilization of the computer programs are given, and numerical results are presented with emphasis on finding the effects of various tolerances on the reliability of antenna structures, and the effectiveness of these approaches. A procedure is developed to solve the problem of allocating tolerances in the design of antenna structures using the numerical results obtained as well as optimization studies.</t>
  </si>
  <si>
    <t>['various tolerances', 'optimization studies', 'numerical results', 'numerical implementation', 'detailed description', 'computer programs', 'antenna structures', 'allocating tolerances']</t>
  </si>
  <si>
    <t>2-s2.0-85040284114</t>
  </si>
  <si>
    <t>APPLICATION OF MMIC MODULES IN FUTURE MULTIPLE BEAM SATELLITE ANTENNA SYSTEMS.</t>
  </si>
  <si>
    <t>Smetana J.</t>
  </si>
  <si>
    <t>Smetana, Jerry</t>
  </si>
  <si>
    <t>Sep 22- 24</t>
  </si>
  <si>
    <t>This paper describes NASA's program for investigating and developing future array-fed dual reflector antenna systems in which monolithic microwave integrated circuit (MMIC) phase shift and amplifier modules are used with each radiating element of the feed array for beam pointing and power gain. The objectives of this work are to demonstrate the feasibility of distributed power amplification and beam pointing with MMIC modules in the elements of an array and to develop a data base for future development. The technical discussion centers around the potential advantages of 'monolithic' antennas for specific applications as compared to systems using high powered TWT's.</t>
  </si>
  <si>
    <t>['specific applications', 'radiating element', 'power gain', 'potential advantages', 'phase shift', 'mmic modules', 'future development', 'feed array', 'data base', 'beam pointing', 'amplifier modules']</t>
  </si>
  <si>
    <t>2-s2.0-85040283595</t>
  </si>
  <si>
    <t>PHASED ARRAY DESIGN INCLUDING CONSIDERATION OF MUTUAL COUPLING WITH APPLICATION TO THE URBANA COHERENT-SCATTER RADAR.</t>
  </si>
  <si>
    <t>Tanner D.</t>
  </si>
  <si>
    <t>Tanner, D. R.;Mayes, P. E.;Bowhill, S. A.</t>
  </si>
  <si>
    <t>7202558212;7006767012;6701768609</t>
  </si>
  <si>
    <t>The coherent-scatter radar technique as a tool for the measurement of internal atmospheric gravity waves is reviewed. The deficiencies of the present coherent-scatter radar antennas at Urbana, Illinois are discussed. The specifications for a new antenna system with steerability and a ten-fold increase in gain over the present fixed beam array are given. General theories are developed for the description of multiport antennas and for the design of discrete-scanning arrays based on the ‚Ä≥interlaced array‚Ä≥ principle. Two dipole array designs meeting the proposed specifications are developed using the above theories. For the purpose of feed-system design, a general theory is also developed for the description of systems of coupled transmission lines. This theory is used to design appropriate feed systems that help assure a uniform cophasal excitation of each interlaced array regardless of the existence of coupling between array elements. Formulas for the design of coupled open-wire line structures are developed for this purpose.</t>
  </si>
  <si>
    <t>['system design', 'proposed specifications', 'present coherent', 'multiport antennas', 'help assure', 'general theory', 'general theories', 'fold increase', 'developed using', 'coupled open', 'array elements', 'also developed']</t>
  </si>
  <si>
    <t>2-s2.0-85040265947</t>
  </si>
  <si>
    <t>Microwave Time Transmission System.</t>
  </si>
  <si>
    <t>Hounam D.</t>
  </si>
  <si>
    <t>Hounam, David;Poetzsch, Winfried;Schwimmer, Wilhelm</t>
  </si>
  <si>
    <t>56615735000;6507255523;6602441491</t>
  </si>
  <si>
    <t>Apr</t>
  </si>
  <si>
    <t>Forschungsbericht - Deutsche Forschungs-und Versuchsanstalt fuer Luft-und Raumfahrt</t>
  </si>
  <si>
    <t>The report describes a time transmission system, intended for sychronizing time stations. The timing signal is a pseudo noise code, modulated on a carrier in L-Band. Coherent reception means small system bandwidth and high sensitivity. A transmitter power of only 1 W and omnidirectional antennas results in a range of over 1000 km. An accuracy of 10 ns for the time measurements was aimed for. The transmission system is also suitable for measuring group delay times.</t>
  </si>
  <si>
    <t>['transmitter power', 'transmission system', 'timing signal', 'time measurements', 'report describes', 'high sensitivity', 'also suitable', '1000 km', '10 ns', '1 w']</t>
  </si>
  <si>
    <t>2-s2.0-85024425764</t>
  </si>
  <si>
    <t>10.1541/ieejpes1972.102.110</t>
  </si>
  <si>
    <t>Prevention of Electric Shock in a Large Crane Near Radio Broadcasting Antenna</t>
  </si>
  <si>
    <t>Kasashima Y.</t>
  </si>
  <si>
    <t>Kajima Inst of Construction Technology</t>
  </si>
  <si>
    <t>Chofu</t>
  </si>
  <si>
    <t>Kasashima, Yoshinori;Kohsaka, Shuichi</t>
  </si>
  <si>
    <t>7004061075;7103245676</t>
  </si>
  <si>
    <t>100377481;100377481</t>
  </si>
  <si>
    <t>IEEJ Transactions on Power and Energy</t>
  </si>
  <si>
    <t>110-114</t>
  </si>
  <si>
    <t>2-s2.0-85024359393</t>
  </si>
  <si>
    <t>10.1049/ree.1982.0061</t>
  </si>
  <si>
    <t>The UOSAT microwave beacons</t>
  </si>
  <si>
    <t>Brown A.</t>
  </si>
  <si>
    <t>University of Surrey</t>
  </si>
  <si>
    <t>Guildford</t>
  </si>
  <si>
    <t>Brown, A. K.</t>
  </si>
  <si>
    <t>Radio and Electronic Engineer</t>
  </si>
  <si>
    <t>412-416</t>
  </si>
  <si>
    <t>The paper discusses the design and construction of the UOSA T microwave beacons. Several interesting design features are apparent, and these have been employed in an attempt to provide space-borne microwave transmissions for use with low-cost ground stations. In particular, difficulties due to excessive range loss have been partially overcome by the use of sophisticated design techniques, without the need for high power consumption from the satellite. ¬© 1982, The Institution of Electronic and Radio Engineers. All rights reserved.</t>
  </si>
  <si>
    <t>Antennas | Antennas | helical | Satellite | slot | Transmitters</t>
  </si>
  <si>
    <t>['¬© 1982', 'rights reserved', 'radio engineers', 'provide space', 'partially overcome', 'paper discusses', 'microwave beacons', 'difficulties due']</t>
  </si>
  <si>
    <t>2-s2.0-85024306914</t>
  </si>
  <si>
    <t>10.1049/ip-f-1.1982.0012</t>
  </si>
  <si>
    <t>Conference report: Second international conference on antennas and propagation</t>
  </si>
  <si>
    <t>Bradley P.</t>
  </si>
  <si>
    <t>Bradley, P. A.;Lane, J. A.</t>
  </si>
  <si>
    <t>57194927488;57194932709</t>
  </si>
  <si>
    <t>IEE Proceedings F: Communications Radar and Signal Processing</t>
  </si>
  <si>
    <t>69-71</t>
  </si>
  <si>
    <t>2-s2.0-85007929757</t>
  </si>
  <si>
    <t>10.1303/aez.17.32</t>
  </si>
  <si>
    <t>Mating Behaviour of the Braconid Wasp, Apanteles glomeratus L. (Hymenoptera Braconidae) Mating Sequence and the Factor for Correct Orientation of Male to Female</t>
  </si>
  <si>
    <t>Tagawa J.</t>
  </si>
  <si>
    <t>60028385;60011001</t>
  </si>
  <si>
    <t>Okayama University of Science;Kyoto University</t>
  </si>
  <si>
    <t>Okayama;Kyoto</t>
  </si>
  <si>
    <t>Tagawa, Jun;Hidaka, Toshitaka</t>
  </si>
  <si>
    <t>6602100550;16453106800</t>
  </si>
  <si>
    <t>Applied Entomology and Zoology</t>
  </si>
  <si>
    <t>1347605X</t>
  </si>
  <si>
    <t>32-39</t>
  </si>
  <si>
    <t>Mating behaviour of Apanteles glomeratus was investigated. Mating sequence of the male consisted of wing vibration, approach to the female, visual recognition of the female, antennal contact to female wings, mounting and copulation. Female was passive throughout the sequence. To ensure successful mating, there existed a simple factor which determined a correct orientation of male to female. It was the position of the female wings prior to male's mounting. When mounting, the male was supposed to get the information of his direction from the female wings at the time of antenna! contact, because most of the males mounted the female with inversely fixed wings from the front. The fact suggested that the correct orientation of male to female in mounting was determined by the female wings. ¬© 1982, JAPANESE SOCIETY OF APPLIED ENTOMOLOGY AND ZOOLOGY. All rights reserved.</t>
  </si>
  <si>
    <t>['¬© 1982', 'wing vibration', 'visual recognition', 'simple factor', 'rights reserved', 'passive throughout', 'mating sequence', 'mating behaviour', 'males mounted', 'male consisted', 'japanese society', 'female wings', 'fact suggested', 'correct orientation', 'applied entomology', 'apanteles glomeratus', 'antennal contact']</t>
  </si>
  <si>
    <t>2-s2.0-85007911882</t>
  </si>
  <si>
    <t>10.1303/aez.17.60</t>
  </si>
  <si>
    <t>Experimental Analysis of Mating Behavior in Œ§enebrio molitor L. (Coleoptera : Tenebrionidae)</t>
  </si>
  <si>
    <t>Obata S.</t>
  </si>
  <si>
    <t>Kyoto University</t>
  </si>
  <si>
    <t>Kyoto</t>
  </si>
  <si>
    <t>Obata, Shohko;Hidaka, Toshitaka</t>
  </si>
  <si>
    <t>7006134549;16453106800</t>
  </si>
  <si>
    <t>60011001;60011001</t>
  </si>
  <si>
    <t>60-66</t>
  </si>
  <si>
    <t>The mating behavior of the male Tenebrio molitor to individual female was experimentally analyzed. Male attractance of the female increased according to her age after adult emergence. The position of the male relative to the female's body axis was random, at least at the time of mounting, and the rate of successful copulation was low in spite of frequent copulatory attempts. Simultaneous removal of both antennae and maxillary palpi completely inhibited male mating behavior, but removal of either the antennae or the palpi was compensated by the others. Some characteristics of the mating behavior of T. molitor are not as disadvantageous as they seem, considering the crowded state in which this species lives. ¬© 1982, JAPANESE SOCIETY OF APPLIED ENTOMOLOGY AND ZOOLOGY. All rights reserved.</t>
  </si>
  <si>
    <t>['¬© 1982', 'successful copulation', 'species lives', 'simultaneous removal', 'rights reserved', 'mating behavior', 'male relative', 'male attractance', 'japanese society', 'individual female', 'experimentally analyzed', 'crowded state', 'body axis', 'applied entomology', 'adult emergence']</t>
  </si>
  <si>
    <t>2-s2.0-85007899393</t>
  </si>
  <si>
    <t>10.1303/aez.17.350</t>
  </si>
  <si>
    <t>Host Selection Behavior of Anicetus bene ficus ishiiet yasumatsu (Hymenoptera : Encyrtidae) I. Ovipositional Behavior for the Natural Host Ceroplastes rubens maskell (Hemiptera : Coccidae)</t>
  </si>
  <si>
    <t>Noda T.</t>
  </si>
  <si>
    <t>60023370;60011001</t>
  </si>
  <si>
    <t>Japan Ministry of Agriculture, Forestry and Fisheries;Kyoto University</t>
  </si>
  <si>
    <t>Tokyo;Kyoto</t>
  </si>
  <si>
    <t>Noda, Takashi;Kitamura, Chikayoshi;Takahashi, Shozo;Takagi, Kazuo;Kashio, Tomotoshi;Tanaka, Manabu</t>
  </si>
  <si>
    <t>35395884400;7004150878;7407711021;57192766352;6506732027;57192758512</t>
  </si>
  <si>
    <t>60011001;60011001;60011001;60023370;60023370;60023370</t>
  </si>
  <si>
    <t>350-357</t>
  </si>
  <si>
    <t>Ovipositional behavior of the encyrtid parasitoid Anicetus beneficus ishii and yasumatsutoward its natural host Ceroplastes rubens maskell was observed as well as its behavior on host scales of different sizes. The parasitoid female showed distinct recognition behavior to the host scale by touching the scale covering with her antennae. The antennae of the female were observed by scanning electron microscopy and characteristic sensilla were found on the surface. These were supposed to be related to the contact chemoreception. After the host recognition behavior, the parasitoid female inserted her ovipositor above the anal tubercle of the smaller hosts and anterior to the apex of the contour of the larger hosts. The observation study was initiated to analyze the host finding and host selection mechanism of the parasitoid. ¬© 1982, JAPANESE SOCIETY OF APPLIED ENTOMOLOGY AND ZOOLOGY. All rights reserved.</t>
  </si>
  <si>
    <t>['¬© 1982', 'smaller hosts', 'scale covering', 'rights reserved', 'ovipositional behavior', 'observation study', 'larger hosts', 'japanese society', 'host scales', 'host scale', 'host finding', 'different sizes', 'contact chemoreception', 'characteristic sensilla', 'applied entomology', 'anal tubercle']</t>
  </si>
  <si>
    <t>2-s2.0-85007843869</t>
  </si>
  <si>
    <t>10.1303/aez.17.480</t>
  </si>
  <si>
    <t>Mating behavior of the limabean pod borer, etiella zinckenella treitschke(Lepidoptera : Pyralidae)</t>
  </si>
  <si>
    <t>Hirai K.</t>
  </si>
  <si>
    <t>Tohoku Agricultural Research Center, NARO</t>
  </si>
  <si>
    <t>Morioka</t>
  </si>
  <si>
    <t>Hirai, Kazuo</t>
  </si>
  <si>
    <t>480-485</t>
  </si>
  <si>
    <t>The mating behavior of Etiella zinckenella treitschke was photographed and broken down into its major steps. Some females started to copulate after 22:00 on the day after emergence. The number of females calling and copulating were maximum at two days after adult eclosion. A female adopts the calling position, exposing her pheromone gland, with her wings slightly elevating along the dorsal side, and with her abdomen bent out at a ca. 90¬∞ angle above the normal body position. A receptive male approaches the female from her rear with vigorous wing 5 ‚Äòfiluttering and touches her abdomen or wings with his antennae or maxillary palpi. Then the male walks around the female to take a head-to-position. In an acceptance sequence the female remains stationary, and allows the male to move forward and to put his head under hers. Then the male extrudes his brush organ and seizes or contacts her maxillary palpi and antenna. While assuming this behavior the male ceases wing vibration and starts to assume a tail-to-tail position. The male covers the females wings in the final position. ¬© 1982, JAPANESE SOCIETY OF APPLIED ENTOMOLOGY AND ZOOLOGY. All rights reserved.</t>
  </si>
  <si>
    <t>['¬© 1982', 'two days', 'tail position', 'rights reserved', 'pheromone gland', 'move forward', 'maxillary palpi', 'mating behavior', 'male extrudes', 'male covers', 'major steps', 'japanese society', 'final position', 'females wings', 'females started', 'females calling', 'female adopts', 'dorsal side', 'calling position', 'brush organ', 'applied entomology', 'adult eclosion', 'acceptance sequence', 'abdomen bent']</t>
  </si>
  <si>
    <t>2-s2.0-85005411395</t>
  </si>
  <si>
    <t>10.1111/j.1570-7458.1982.tb03157.x</t>
  </si>
  <si>
    <t>THE EFFECT OF ANTENNAL AMPUTATION ON OOGENESIS IN THE BEAN WEEVIL (ACANTHOSCELIDES OBTECTUS)</t>
  </si>
  <si>
    <t>POUZAT J.</t>
  </si>
  <si>
    <t>Institut de Recherche sur la Biologie de l'Insecte</t>
  </si>
  <si>
    <t>Tours</t>
  </si>
  <si>
    <t>POUZAT, J.</t>
  </si>
  <si>
    <t>Entomologia Experimentalis et Applicata</t>
  </si>
  <si>
    <t>333-338</t>
  </si>
  <si>
    <t>Complete amputation of both antennae results in an increase of oogenesis in virgin females of the Bean weevil. Acanthoscelides obtectus (Bruchidae). This effect seems independent of all known external stimuli and especially from specific ones, such as host plant. This is best explained by the possible existence of spontaneous activity in some sensory receptors of the antenna which may inhibit the oogenesis in the intact females (unknown unspecific stimuli may also be involved). This idea is supported by the results of unilateral amputations: the increase in oogenesis is directly related to the number of antennal receptors removed. Parts of the host plant have a stimulating effect on oogenesis in the intact females. This is the consequence of a taste perception. Antennal amputation does not prevent this HP effect. But the observed effect caused by these two stimulating factors, HP and antennal amputation, is less than the calculated sum of the two separate effects. This may be explained by assuming that the virgin females have a certain maximum intrinsic rate of oocyte production which is reached here. The observed variability, thought to be of genetic origin, is discussed. It is stressed that this phenomenon is often ignored or underestimated. Les effets d'amputations antennaires sur l'ovogen√®se de la bruche du haricot Chez la Bruche du Haricot Acanthoscelides obtectus, maintenue en absence de plante‚Äêh√¥te. l'antennectomie compl√®te et bilat√©rale provoque une augmentation de l'ovogen√®se chez les femelles vierges isol√©es, elles fabriquent davantage d'ovocytes m√ªrs stock√©s dans les oviductes lat√©raux, que les t√©moins intacts. Cet effect parait compl√®tement ind√©pendant de tout stimulus externe et particuli√®rement de stimulus sp√©cifiques comme la plante‚Äêh√¥te. L'interpr√©tation la plus simple est de supposer qu'il existe, au niveau de certains r√©cepteurs antennaires, une activit√© spontan√©e qui inhiberait en partie l'ovogen√®se des femelles intactes (l'intervention de stimulus non sp√©cifiques et non identifi√©s ne peut √™tre formellement exclue). Cette hypoth√®se est confort√©e par les r√©sultats d'amputations unilat√©rales: l'augmentation de l'ovogen√®se est li√©e pr√©cis√©ment √† la quantit√© de r√©cepteurs antennaires supprim√©s. Diff√©rentes parties (gousses, graines, feuilles) de la plante‚Äêh√¥te ont un effet stimulateur sur l'ovogen√®se des femelles intactes. Ceci est la cons√©quence d'un perception gustative (et non d'une alimentation aux d√©pens des parties de la plante‚Äêh√¥te: la femelle adulte ne les consomme pas). L'amputation des antennes n'emp√®che pas cette influence stimulatrice. Cependant, l'effect r√©el de ces deux facteurs stimulants: plante‚Äêh√¥te et antennectomie, est moindre que la somme calcul√©e des 2 effets s√©par√©s. Cela peut s'expliquer en admettant que les femelles vierges ont une certaine vitesse intrins√®que maximum dans leur production d'ovocytes et que cette limite serait atteinte chez les femelles antennectomis√©es avec plante‚Äêh√¥te. Le polymorphisme observ√©, ici entre les g√©n√©rations d'une m√©me souche s√©lectionn√©e, suppos√© √™tre en partie d'origine g√©n√©tique, est discut√©. Il est soulign√© que ce ph√©nom√®ne est souvent ignor√© ou √† tout le moins, largement sous‚Äêestim√©. 1982 The Netherlands Entomological Society</t>
  </si>
  <si>
    <t>Acanthoscelides obtectus | Antennectomy | Bean weevil | Oogenesis | Polymorphism | Spontaneous activity in receptors | Unspecific stimuli</t>
  </si>
  <si>
    <t>['virgin females', 'unilateral amputations', 'taste perception', 'stimulating effect', 'spontaneous activity', 'specific ones', 'sensory receptors', 'que les', 'possible existence', 'oocyte production', 'often ignored', 'observed variability', 'may inhibit', 'les effets', 'involved ).', 'intact females', 'il existe', 'hp effect', 'host plant', 'genetic origin', 'et non', 'directly related', 'complete amputation', 'cela peut', 'calculated sum', 'bruchidae ).', 'best explained', 'bean weevil', 'antennal amputation', 'antennae results', 'acanthoscelides obtectus']</t>
  </si>
  <si>
    <t>2-s2.0-85005402630</t>
  </si>
  <si>
    <t>10.1111/j.1570-7458.1982.tb03175.x</t>
  </si>
  <si>
    <t>ELECTROPHYSIOLOGICAL ASSAY OF SYNTHETIC AND NATURAL SEX PHEROMONES IN THE AFRICAN ARMYWORM MOTH, SPODOPTERA EXEMPTA</t>
  </si>
  <si>
    <t>STEINBRECHT R.</t>
  </si>
  <si>
    <t>60051492;60005460</t>
  </si>
  <si>
    <t>International Centre of Insect Physiology and Ecology Nairobi;Max Planck Institute for Ornithology</t>
  </si>
  <si>
    <t>Nairobi;Pocking</t>
  </si>
  <si>
    <t>Kenya;Germany</t>
  </si>
  <si>
    <t>STEINBRECHT, RUDOLF ALEXANDER</t>
  </si>
  <si>
    <t>60051492-60005460</t>
  </si>
  <si>
    <t>13-22</t>
  </si>
  <si>
    <t>Sensilla trichodea, with porous walls and two receptor cells, are the most abundant sensilla on the antennae of male Spodoptera exempta. Two synthetic pheromone components, Z‚Äê9‚Äêtetradecen‚Äêl‚Äêyl acetate (Z‚Äê9‚ÄêTDA) and Z‚Äê9,E‚Äê12‚Äêtetradecadien‚Äêl‚Äêyl acetate (Z‚Äê9,E‚Äê12‚ÄêTDDA), produced identical electroantennogram (EAG) responses with male antennae, and strong stimuli of either compound were found to adapt the response to the other compound. When nerve impulses were recorded from single sensilla trichodea, Z‚Äê9,E‚Äê12‚ÄêTDDA usually was the key stimulus, Z‚Äê9‚ÄêTDA being over hundred times less effective, but some receptor cells were equally sensitive to both compounds. The female pheromone gland was located in the ventral intersegmental membrane between the 8th and 9th abdominal segment. Measured by male EAG responses, the crude hexane extract of one female gland, on the average, was equivalent to 5 ng of Z‚Äê9‚ÄêTDA or Z‚Äê9,E‚Äê12‚ÄêTDDA. Individual variation, however, was extreme even between females of the same lot and age, and there were no significant differences in pheromone content between females of different age and physiological conditions. Zum Vorkommen von Erbsenblattl√§usen, Acyrthosiphon pisum, mit Resistenz gegen St√§mme des pathogenen Pilzes Erynia neoaphidis Eine Laboratoriumskolonie von Acyrthosiphon pisum (Harris) bestand aus zwei Biotypen, die sich in ihrer Anf√§lligkeit auf ein Isolat des pathogenen Pilzes Erynia neoaphidis Remaudi√®re &amp; Hennebert unterschieden. Dosierungen, die durchschnittlich 94% des ‚Äúanf√§lligen‚Äù Biotyps zum Absterben brachten, t√∂teten keine einzige ‚Äúresistente‚Äù Blattlaus. Klone wurden begr√ºndet und √ºber 25 Generationen auf Pferdebohne und √ºber 16 Generationen auf Luzerne gez√ºchtet. Sieben von acht untersuchten Freilandpopulationen enthielten den ‚Äúresistenten‚Äù Biotyp. Elf Isolate von E. neoaphidis wurden an zwei Klonen gepr√ºft; zwei St√§mme befielen den ‚Äúresistenten‚Äù Biotyp ebenso leicht wie den ‚Äúanf√§lligen‚Äù. Dies ist der erste Bericht, dass Freilandpopulationen von Blattl√§usen einen Biotyp enthalten, der resistent gegen eine Pilzkrankheit ist. Es ist auch der erste Bericht, dass St√§mme eines Krankheitserregers gefunden wurden, die einen anderweitig resistenten Biotyp befallen k√∂nnen. 1982 The Netherlands Entomological Society</t>
  </si>
  <si>
    <t>Electroantennogram | Lepidoptera | Noctuidae | Pheromone gland | Sensilla trichodea | Sex pheromone | Spodoptera exempta</t>
  </si>
  <si>
    <t>['strong stimuli', 'significant differences', 'sensilla trichodea', 'receptor cells', 'porous walls', 'physiological conditions', 'pheromone content', 'nerve impulses', 'neoaphidis wurden', 'male antennae', 'key stimulus', 'individual variation', 'hennebert unterschieden', 'extreme even', 'equally sensitive', 'either compound', 'different age', 'die sich', 'acyrthosiphon pisum', 'abundant sensilla', '5 ng']</t>
  </si>
  <si>
    <t>2-s2.0-85005301204</t>
  </si>
  <si>
    <t>10.1111/j.1570-7458.1982.tb03153.x</t>
  </si>
  <si>
    <t>Comparison of pheromone hydrolysis by the antennae with other tissues after adult eclosion in the cabbage looper moth, Trichoplusia ni</t>
  </si>
  <si>
    <t>Ferkovich S.M.</t>
  </si>
  <si>
    <t>Ferkovich, S. M.;Oliver, J.;Dillard, C.</t>
  </si>
  <si>
    <t>327-328</t>
  </si>
  <si>
    <t>Antennae | Cabbage looper Moth | Eclosion | Olfaction | Pheromone catabolism | Trichoplusia ni</t>
  </si>
  <si>
    <t>2-s2.0-85004635891</t>
  </si>
  <si>
    <t>10.3147/jsfp.16.157</t>
  </si>
  <si>
    <t>Humphrey sia hoi sp. nov, (Copepoda: Poecilostomatoida, Chondracanthidae) Parasitic on the Gills of Parapercis sexfasciata (Temminck &amp; Schlegel) (Pisces: Teleostei, Parapercidae), with Description of First Male of the Genus</t>
  </si>
  <si>
    <t>Do T.T.</t>
  </si>
  <si>
    <t>Hiroshima University</t>
  </si>
  <si>
    <t>Higashihiroshima</t>
  </si>
  <si>
    <t>Do, Tran The;Kasahara, Shogoro</t>
  </si>
  <si>
    <t>57192329994;16477264600</t>
  </si>
  <si>
    <t>60030788;60030788</t>
  </si>
  <si>
    <t>Fish Pathology</t>
  </si>
  <si>
    <t>0388788X</t>
  </si>
  <si>
    <t>157-162</t>
  </si>
  <si>
    <t>Humphreysia hoi sp. nov. is described based on the specimens collected from the gill filaments of Parapercis sexfasciata (Temminck &amp; Schlegel), caught in Kojima Bay, Japan. It can be easily differentiated from the type-species, H. floreata Leigh-Sharpe, 1934, on the body shape, first antenna, and oral appendages. The male is described for the first time in the genus, its claw-less maxilliped is unique in the Chondracanthidae. ¬© 1982, The Japanese Society of Fish Pathology. All rights reserved.</t>
  </si>
  <si>
    <t>['¬© 1982', 'specimens collected', 'rights reserved', 'parapercis sexfasciata', 'oral appendages', 'less maxilliped', 'kojima bay', 'japanese society', 'gill filaments', 'floreata leigh', 'fish pathology', 'first time', 'first antenna', 'easily differentiated', 'described based', 'body shape']</t>
  </si>
  <si>
    <t>2-s2.0-85004205760</t>
  </si>
  <si>
    <t>10.1303/jjaez.26.194</t>
  </si>
  <si>
    <t>Fine Structure and Odor Responses of Olfactory Sensilla of the Japanese Dung Beetle, Copris Pecuarius (Coleoptera: Scarabaeidae)</t>
  </si>
  <si>
    <t>Shibuya T.</t>
  </si>
  <si>
    <t>University of Tsukuba</t>
  </si>
  <si>
    <t>Tsukuba</t>
  </si>
  <si>
    <t>Shibuya, Tatsuaki;Inouchi, Jun</t>
  </si>
  <si>
    <t>7201367564;6505938061</t>
  </si>
  <si>
    <t>60014256;60014256</t>
  </si>
  <si>
    <t>Japanese Journal of Applied Entomology and Zoology</t>
  </si>
  <si>
    <t>194-195</t>
  </si>
  <si>
    <t>The Japanese dung beetle, Copris pecuarius, has a large number of olfactory sensilla in the periphery of the 7th and 8th segments of the antennae. The length of each sensillum ranges from 12 to 23 Œºm and the diameter from 2.5 to 3 Œºm at the base. The number of sensilla on the 7th segment varies from 1, 600 to 1, 900. Small olfactory pores are distributed on the surface of the sensilla. Olfactory cells in a sensillum reacted well to odor of cow dung and 2-butanone. Unitary impulses were 1 to10mV in height and 2 to 2. 5 msec in duration. ¬© 1982, JAPANESE SOCIETY OF APPLIED ENTOMOLOGY AND ZOOLOGY. All rights reserved.</t>
  </si>
  <si>
    <t>['¬© 1982', 'unitary impulses', 'sensillum ranges', 'rights reserved', 'olfactory sensilla', 'olfactory cells', 'large number', 'japanese society', 'cow dung', 'copris pecuarius', 'applied entomology', '8th segments', '5 msec', '3 œºm', '23 œºm', '1 to10mv']</t>
  </si>
  <si>
    <t>2-s2.0-84989695168</t>
  </si>
  <si>
    <t>10.1111/j.1751-1097.1982.tb04350.x</t>
  </si>
  <si>
    <t>DECONVOLUTION OF THE RED P700 DIFFERENCE SPECTRUM BASED ON A SET OF THREE GAUSSIAN COMPONENTS: FURTHER EVIDENCE FROM LITERATURE SPECTRA</t>
  </si>
  <si>
    <t>Schaffernicht H.</t>
  </si>
  <si>
    <t>Universit√§t Osnabr√ºck</t>
  </si>
  <si>
    <t>Osnabruck</t>
  </si>
  <si>
    <t>Schaffernicht, H.;Junge, W.</t>
  </si>
  <si>
    <t>7003910685;10241088300</t>
  </si>
  <si>
    <t>60009731;60009731</t>
  </si>
  <si>
    <t>Photochemistry and Photobiology</t>
  </si>
  <si>
    <t>111-115</t>
  </si>
  <si>
    <t>Abstract Literature data on the light induced difference spectrum of the photosynthetic reaction centre complex P700 were analysed in the spectral region from 670‚Äê700 nm. In accordance to our previous Gaussian deconvolution of the flash induced difference spectrum and the linear dichroism spectrum of photosystem I particles from green plants, we present here fits of three representative difference spectra that were recorded at room temperature and at low temperature conditions, respectively. These fits are generated by using the same set of only three Gaussian components that we specified previously: (1) a disappearing wide band around 695 nm representing the absorption of the reduced special‚Äêpair of chlorophyll‚Äêa; (2) an appearing narrower band at slightly shorter wavelength (In agreement with our previous results, this band shows half the oscillatory strength of the former band. It is therefore attributed to the non‚Äêoxidized chlorophyll‚Äêa in the special pair); and (3) a bathochromic bandshift centered around 688 nm, which indicates the local electrochromic response of chlorophyll‚Äêa antennae molecule(s) close to the site of the primary donor. Among the reports by several authors we attribute the variation of the difference spectra of P700 in the region from 670‚Äê720 nm mainly to a variation in the magnitude of the third component, the local electrochromic one. We can also account for the peculiar shape of the low temperature spectra, mainly by alteration of the extent of the electrochromic component. It seems reasonable that the electrochromic component reacts most sensitively against structural changes of the reaction centre protein complex (brought forth by different degrees of depletion from antennae or by variation of the temperature). Copyright ¬© 1982, Wiley Blackwell. All rights reserved</t>
  </si>
  <si>
    <t>['wiley blackwell', 'third component', 'therefore attributed', 'temperature ).', 'structural changes', 'spectral region', 'specified previously', 'several authors', 'seems reasonable', 'room temperature', 'rights reserved', 'primary donor', 'previous results', 'peculiar shape', 'oscillatory strength', 'green plants', 'former band', 'electrochromic component', 'different degrees', 'difference spectra', 'brought forth', 'also account']</t>
  </si>
  <si>
    <t>2-s2.0-84989665720</t>
  </si>
  <si>
    <t>10.1111/j.1751-1097.1982.tb02655.x</t>
  </si>
  <si>
    <t>EXCITON MIGRATION AND TRAPPING IN PHOTOSYNTHESIS</t>
  </si>
  <si>
    <t>Pearlstein R.</t>
  </si>
  <si>
    <t>Battelle</t>
  </si>
  <si>
    <t>Columbus</t>
  </si>
  <si>
    <t>Pearlstein, Robert M.</t>
  </si>
  <si>
    <t>835-844</t>
  </si>
  <si>
    <t>Abstract‚Äî Mobile electronic excited states, excitons, undergo random walks through the antenna chlorophyll arrays of photosynthetic organisms. The time interval from exciton creation, by photon absorption, until its first arrival at a reaction center (RC) is called the ‚Äúfirst passage time‚Äù (FPT) of the random walk. A theory of exciton migration and trapping presented here predicts that the exciton lifetime, as measured from chlorophyll fluorescence decay in chromatophores or P700 complexes, is a linear function of the fractional number of quanta absorbed directly by the antenna, not by the RC. The slope of this line is the FPT, and its intercept is the exciton's lifetime as limited only by photoconversion at the RC. This photoconversion‚Äêlimited lifetime is simply related to the in situ photoconversion rate constant via two parameters, each of which is experimentally accessible. It is also possible to obtain values of individual FoUrster rate constants, at least approximately, from measurements of exciton lifetime as functions of temperature and excitation wavelength. This new theory, based on lattice random walk models, receives some support from fluorescence measurements done on Rhodopseudomonas sphaeroides R26 chromatophores. In its present form the theory is only applicable to one‚Äêantenna‚Äêcomponent systems, like Rp. sphaeroides R26 or Rhodospirillum rubrum chromatophores or P700 complexes, but should be readily extendible to multi‚Äêantenna‚Äêcomponent systems including whole chloroplasts. Copyright ¬© 1982, Wiley Blackwell. All rights reserved</t>
  </si>
  <si>
    <t>['wiley blackwell', 'trapping presented', 'time interval', 'sphaeroides r26', 'simply related', 'rights reserved', 'readily extendible', 'reaction center', 'random walk', 'present form', 'photosynthetic organisms', 'photon absorption', 'p700 complexes', 'obtain values', 'new theory', 'linear function', 'like rp', 'least approximately', 'fractional number', 'first arrival', 'experimentally accessible', 'exciton migration', 'exciton lifetime', 'exciton creation', 'excitation wavelength', 'also possible']</t>
  </si>
  <si>
    <t>2-s2.0-84986721378</t>
  </si>
  <si>
    <t>10.1002/jmor.1051710305</t>
  </si>
  <si>
    <t>Fine structure of maxillary sensilla of larval Toxorhynchites brevipalpis (Diptera: Culicidae) with comments on the role of sensilla in behavior</t>
  </si>
  <si>
    <t>McIver S.</t>
  </si>
  <si>
    <t>University of Toronto</t>
  </si>
  <si>
    <t>Toronto</t>
  </si>
  <si>
    <t>Canada</t>
  </si>
  <si>
    <t>McIver, Susan;Siemicki, Roman</t>
  </si>
  <si>
    <t>7004055931;24497665200</t>
  </si>
  <si>
    <t>60016849;60016849</t>
  </si>
  <si>
    <t>Journal of Morphology</t>
  </si>
  <si>
    <t>293-303</t>
  </si>
  <si>
    <t>Each maxilla of fourth instar Toxorhynchites brevipalpis bears nine sensilla: Four are located at the tip of the maxillary palp and five on the maxillary body. At the palp tip are three tapered pegs on bulbous bases (MS1, MS2, MS6) that are innervated by four, two, and two neurons, respectively, and probably function in chemoreception. Also at the palp tip is a sturdy, cuticular rod with a lumen (MS5) that opens distally to the exterior. The proximal end of the rod is closed by a cuticular base to which a single unbranched dendrite containing only a few microtubules is attached. The function of MS5 is enigmatic; possibilities include mechanoreception and detection of infrared radiation. On the maxillary body are two tapered pegs on a common bulbous base (GS1, GS2) that are each innervated by three neurons, and probably are chemosensory. Three setae also occur on the maxillary body. They arise from prominent sockets and are each innervated by a neuron terminating at the hair base as a tubular body, a characteristic of cuticular mechanosensilla. The maxillary sensilla are innervated by a total of 18 neurons: 14 are probably chemosensory, three mechanosensory, and one is of unknown function. These results, combined with those from a previous study on antennal sensilla (Jez and McIver, '80), indicate that the mechanosensitive neurons of the antennae and maxillae are a relatively small percentage of the total mechanosensilla on the entire larva. In contrast the chemosensitive neurons of the antennae and maxillae provide most of the information about the chemical environment of the larva. T. brevipalpis has three less than the maximum of seven maxillary palpal sensilla found in larval mosquitoes so far studied. This difference may reflect a lesser need for sensory information about the acceptability of potential food in predators compared to browsers and filter‚Äêfeeders. Copyright ¬© 1982 Wiley‚ÄêLiss, Inc.</t>
  </si>
  <si>
    <t>['unknown function', 'two neurons', 'tubular body', 'total mechanosensilla', 'three neurons', 'three mechanosensory', 'three less', 'sensory information', 'proximal end', 'prominent sockets', 'probably function', 'probably chemosensory', 'previous study', 'predators compared', 'potential food', 'palp tip', 'opens distally', 'neuron terminating', 'mechanosensitive neurons', 'maxillary sensilla', 'maxillary palp', 'maxillary body', 'maxillae provide', 'lesser need', 'larval mosquitoes', 'infrared radiation', 'hair base', 'far studied', 'entire larva', 'cuticular rod', 'cuticular mechanosensilla', 'cuticular base', 'chemosensitive neurons', 'chemical environment', 'bulbous bases', 'antennal sensilla', '18 neurons']</t>
  </si>
  <si>
    <t>2-s2.0-84986522858</t>
  </si>
  <si>
    <t>10.1002/jez.1402220113</t>
  </si>
  <si>
    <t>Direct determination of the growth rate of Drosophila imaginal discs</t>
  </si>
  <si>
    <t>Martin P.</t>
  </si>
  <si>
    <t>60010588;60007278</t>
  </si>
  <si>
    <t>Waksman Institute of Microbiology;University of California, Irvine</t>
  </si>
  <si>
    <t>Piscataway;Irvine</t>
  </si>
  <si>
    <t>Martin, Presley F.</t>
  </si>
  <si>
    <t>60007278-60010588</t>
  </si>
  <si>
    <t>Journal of Experimental Zoology</t>
  </si>
  <si>
    <t>0022104X</t>
  </si>
  <si>
    <t>1097010X</t>
  </si>
  <si>
    <t>97-102</t>
  </si>
  <si>
    <t>A simple technique is described which allows the number of cells in the imaginal discs of Drosophila melanogaster to be determined directly, by dissociation of the tissue into single cells. This technique was used to determine the growth rates for the eye‚Äêantenna, wing, leg, and haltere discs during the second and third larval instars. The results obtained for the number of cells present at particular stages and for the growth rates during this period are similar to those determined previously using either indirect or more tedious procedures. Copyright ¬© 1982 Wiley‚ÄêLiss, Inc., A Wiley Company</t>
  </si>
  <si>
    <t>['wiley company', 'tedious procedures', 'single cells', 'simple technique', 'results obtained', 'particular stages', 'inc .,', 'imaginal discs', 'haltere discs', 'growth rates', 'drosophila melanogaster', 'determined directly', 'cells present']</t>
  </si>
  <si>
    <t>2-s2.0-84985483625</t>
  </si>
  <si>
    <t>10.1111/j.1751-1097.1982.tb02580.x</t>
  </si>
  <si>
    <t>REVERSIBLE OXIDATION OF ANTENNA BACTERIOCHLOROPHYLL IN TWO PHOTOREACTION CENTERLESS MUTANTS OF RHODOSPIRILLVM RUBRUM</t>
  </si>
  <si>
    <t>Institute de Bioiogia Celular</t>
  </si>
  <si>
    <t>Gomez, I.;PICOREL, R.;RAMIREZ, J. M.;PEREZ, R.;F.delCAMPOt, F.</t>
  </si>
  <si>
    <t>55427390000;56259745200;24434990900;56234994600;57191006238</t>
  </si>
  <si>
    <t>117289560;;117289560;117289560;</t>
  </si>
  <si>
    <t>399-403</t>
  </si>
  <si>
    <t>Abstract‚Äî Reversible oxidation of bacteriochlorophyll in two independent mutants of Rhodospirillum rubrum lacking photoreaction center has been studied to obtain further information about the antenna system of that bacterium. Oxidation of antenna bacteriochlorophyll with ferricyanide is accompanied by three distinct absorbance changes in the near infrared: the appearance of a new band at 1230 nm (B1230) and the bleaching of two bands, a major one at 882 nm (B882) and a minor one at 888 nm (B888). The three absorbance changes take place at potentials higher than those required for complete oxidation of photoreaction‚Äêcenter bacteriochlorophyll in wild‚Äêtype strains. On the other hand, the B882 bleaching and the B1230 appearance occur under similar redox conditions. The above data suggest, first, that in Rds. rubrum, contrary to the current generalized idea, antenna bacteriochlorophyll exhibits at least two absorption bands, B888 and B882; second, that B882 and B1230 correspond to the same bacteriochlorophyll component. In addition, the appearance of B1230 may indicate that antenna bacteriochlorophyll can be partially arranged in an oligomeric fashion, for bands in that spectral region are not exhibited by oxidized monomeric bacteriochlorophyll. Copyright ¬© 1982, Wiley Blackwell. All rights reserved</t>
  </si>
  <si>
    <t>['wiley blackwell', 'two bands', 'spectral region', 'rights reserved', 'potentials higher', 'partially arranged', 'oligomeric fashion', 'new band', 'near infrared', 'minor one', 'major one', 'data suggest', 'complete oxidation', 'bacteriochlorophyll component', 'b888 ).', 'b882 bleaching', 'b1230 correspond', 'antenna system', 'antenna bacteriochlorophyll', '888 nm', '882 nm', '1230 nm']</t>
  </si>
  <si>
    <t>2-s2.0-84984394201</t>
  </si>
  <si>
    <t>10.1002/ecja.4410650710</t>
  </si>
  <si>
    <t>An optimization method of super‚Äêsynthesis observation by ‚Äúnumber of weighted holes‚Äù</t>
  </si>
  <si>
    <t>Morita K.‚Äê.</t>
  </si>
  <si>
    <t>60025272;60000264</t>
  </si>
  <si>
    <t>The University of Tokyo;Nagoya University</t>
  </si>
  <si>
    <t>Tokyo;Nagoya</t>
  </si>
  <si>
    <t>Morita, Koh‚ÄêIchiro ‚ÄêI;Ishiguro, Masato</t>
  </si>
  <si>
    <t>35552169300;56252992000</t>
  </si>
  <si>
    <t>60000264;60025272</t>
  </si>
  <si>
    <t>Electronics and Communications in Japan (Part I: Communications)</t>
  </si>
  <si>
    <t>74-83</t>
  </si>
  <si>
    <t>In radio astronomy by a super‚Äêsynthesis array the element antennas are rearranged and the rotation of earth is also used. By such arrangement, the spatial frequency components of radio source distributions are measured and are subsequently Fourier transformed for radio photographs. Spatial frequency components detected are determined by the element arrangement. Therefore, the element arrangement is important for effective tive use of the array. This paper discusses the number of weighted holes, which is proposed as a criterion for evaluation of the characteristics of element arrangement. As a method for analysis, we use random number trial experiments by computer and show from the results that the number of weighted holes becomes a good indication of the peak sidelobe level under an appropriate condition. Further, we propose a method of optimizing the element arrangement using this evaluation criterion. Its usefulness is confirmed by a simulation of super‚Äêsynthesis. Copyright ¬© 1982 Wiley Periodicals, Inc., A Wiley Company</t>
  </si>
  <si>
    <t>['wiley company', 'weighted holes', 'radio photographs', 'radio astronomy', 'paper discusses', 'inc .,', 'good indication', 'evaluation criterion', 'element arrangement', 'element antennas', 'appropriate condition', 'also used']</t>
  </si>
  <si>
    <t>2-s2.0-84981648543</t>
  </si>
  <si>
    <t>10.1111/j.1365-3032.1982.tb00303.x</t>
  </si>
  <si>
    <t>The articulation of cricket palps: morphology and movement patterns in behaviour</t>
  </si>
  <si>
    <t>KLEIN U.</t>
  </si>
  <si>
    <t>Max Planck Institute for Ornithology</t>
  </si>
  <si>
    <t>Pocking</t>
  </si>
  <si>
    <t>KLEIN, ULLA</t>
  </si>
  <si>
    <t>Physiological Entomology</t>
  </si>
  <si>
    <t>297-314</t>
  </si>
  <si>
    <t>ABSTRACT. The morphology of the palp joints in Gryllus bimaculatus DeGeer is described in the context of their use in various behavioural situations. Two patterns of movements are distinguished: the goal‚Äêdirected movement of each individual palp, as seen during grooming and food intake actions, and the rhythmic probing movement of the two maxillary palps together during exploratory behaviour and walking. Their details were studied by single frame analysis of video and cine records. The functional characteristics of the maxillary palps with regard to the dimensions of space within which they move in these patterns (‚Äòoperational space‚Äô) and the potential sensory stimuli they receive (‚Äòreception space‚Äô) are compared with those of the antennae and discussed from the viewpoint of division of labour. Copyright ¬© 1982, Wiley Blackwell. All rights reserved</t>
  </si>
  <si>
    <t>articulation | behaviour | cricket | film analysis | Gryllus bimaculatus | morphology | movement | palps</t>
  </si>
  <si>
    <t>['wiley blackwell', 'two patterns', 'space within', 'rights reserved', 'palp joints', 'maxillary palps', 'individual palp', 'functional characteristics', 'exploratory behaviour', 'cine records']</t>
  </si>
  <si>
    <t>2-s2.0-84981635011</t>
  </si>
  <si>
    <t>10.1111/j.1365-3032.1982.tb00672.x</t>
  </si>
  <si>
    <t>Grasshopper sexual pheromone: a component of the defensive secretion in Taeniopoda eques</t>
  </si>
  <si>
    <t>WHITMAN D.W.</t>
  </si>
  <si>
    <t>WHITMAN, DOUGLAS W.</t>
  </si>
  <si>
    <t>ABSTRACT. Both male and female Taeniopoda eques (Burmeister) emit a defensive secretion from their thoracic spiracles. The secretion from mature females was found to act as a sex pheromone, eliciting mating behaviour in males. Females became chemically attractive to males about 16‚Äì18 days after eclosion. The antennae are shown to be the site of pheromone reception in males. Feeding upon natural host plants was not a prerequisite for pheromone production. Copyright ¬© 1982, Wiley Blackwell. All rights reserved</t>
  </si>
  <si>
    <t>Acrididae | defensive gland | defensive secretion | grasshopper | sex pheromone | sexual behaviour | Taeniopoda eques</t>
  </si>
  <si>
    <t>['wiley blackwell', 'thoracic spiracles', 'sex pheromone', 'rights reserved', 'pheromone reception', 'pheromone production', 'mature females', 'defensive secretion']</t>
  </si>
  <si>
    <t>2-s2.0-84981626552</t>
  </si>
  <si>
    <t>10.1111/j.1365-3032.1982.tb00315.x</t>
  </si>
  <si>
    <t>Transfer of pheromone from immature queen honeybees, Apis mellifera</t>
  </si>
  <si>
    <t>FREE J.</t>
  </si>
  <si>
    <t>FREE, J. B.;FERGUSON, A. W.</t>
  </si>
  <si>
    <t>7003303063;7402053782</t>
  </si>
  <si>
    <t>60002793;60002793</t>
  </si>
  <si>
    <t>401-406</t>
  </si>
  <si>
    <t>ABSTRACT. Immediately after visiting cells containing immature queens, workers of Apis mellifera L. were observed to engage in prolonged cleaning, particularly of their tongues when they had visited larvae, and of their antennae when they had visited pupae. Thereafter other workers usually initiated and made antennal contacts with them. During such antennal contact the bee that had visited the queen larva often donated food. The implication of these findings on the distribution of pheromone produced by immature queens is discussed. Workers were stimulated to make antennal contact with the excised heads of bees from a queen's court, providing further evidence that queen pheromone is transferred between workers' antennae. Copyright ¬© 1982, Wiley Blackwell. All rights reserved</t>
  </si>
  <si>
    <t>Apis mellifera | behaviour | Honey bee | pheromone | queen substance</t>
  </si>
  <si>
    <t>['wiley blackwell', 'visited pupae', 'visited larvae', 'rights reserved', 'queen pheromone', 'prolonged cleaning', 'pheromone produced', 'immature queens', 'excised heads', 'antennal contact']</t>
  </si>
  <si>
    <t>2-s2.0-84975987855</t>
  </si>
  <si>
    <t>10.4039/Ent114751-8</t>
  </si>
  <si>
    <t>The epiphysis of the gypsy moth, lymantria dispar (lepidoptera: lymantriidae): Structure and function</t>
  </si>
  <si>
    <t>Mastro V.</t>
  </si>
  <si>
    <t>60032280;60020547</t>
  </si>
  <si>
    <t>United States Department of Agriculture;Texas A&amp;M University</t>
  </si>
  <si>
    <t>Washington, D.C.;College Station</t>
  </si>
  <si>
    <t>Mastro, V. C.;Shields, K. S.;Odell, T. M.</t>
  </si>
  <si>
    <t>6602550459;7005475547;6701442234</t>
  </si>
  <si>
    <t>60032280-60020547;60032280;60032280</t>
  </si>
  <si>
    <t>The Canadian Entomologist</t>
  </si>
  <si>
    <t>0008347X</t>
  </si>
  <si>
    <t>751-761</t>
  </si>
  <si>
    <t>The external structure, cellular structure, and function of the tibial epiphysis of the gypsy moth, Lymantria dispar (L.), are described. Scanning electron micrographs and histological preparations indicate that the epiphysis of the male gypsy moth is an efficient antenna! comb, but behavioral studies indicate it is not required for either precopulatory stimulation or for orientation to sex pheromones. The acanthae covering the inner surface of the epiphysis appear to have only a mechanical function. ¬© 1982, Entomological Society of Canada. All rights reserved.</t>
  </si>
  <si>
    <t>['¬© 1982', 'tibial epiphysis', 'sex pheromones', 'rights reserved', 'mechanical function', 'lymantria dispar', 'l .),', 'inner surface', 'gypsy moth', 'external structure', 'epiphysis appear', 'entomological society', 'efficient antenna', 'cellular structure', 'acanthae covering']</t>
  </si>
  <si>
    <t>USDA</t>
  </si>
  <si>
    <t>U.S. Department of Agriculture</t>
  </si>
  <si>
    <t>2-s2.0-84966110512</t>
  </si>
  <si>
    <t>10.1163/156854082X00858</t>
  </si>
  <si>
    <t>Les Glandes Cephaliques De Paragnathia Formica (Hesse, 1864) (Isopoda, Gnathiidae): Localisation Et Ultrastructure</t>
  </si>
  <si>
    <t>Charmantier G.</t>
  </si>
  <si>
    <t>Universit√© de Montpellier</t>
  </si>
  <si>
    <t>Montpellier</t>
  </si>
  <si>
    <t>Charmantier, Guy</t>
  </si>
  <si>
    <t>Crustaceana</t>
  </si>
  <si>
    <t>0011216X</t>
  </si>
  <si>
    <t>179-193</t>
  </si>
  <si>
    <t>Two pairs of cephalic endocrine glands are observed in larvae of Para.gnath.ia formica. The antennary glands, near the base of the antennae, are connected by a plexus with the antennary nerves, and by nerves with the infra-oesophageal ganglion. Their cells contain a large nucleus, and numerous mitochondria, Golgi apparatus, and free ribosomes. The antennary glands begin to degenerate before the end of the male metamorphosis: the possible meaning of this fact is discussed. The Y organs, located behind the base of the maxilla and the opening of the excretory organ, present afferent axons. Their cells contain a mean nucleus, numerous mitochondria, and sometimes groups of little vesicles. Some differences in the density of organelles are observed between neighbouring cells and these increase with the age of the larvae. The degeneration of Y organs does not start before the metamorphosis. ¬© 1982, E. J. Brill. All rights reserved.</t>
  </si>
  <si>
    <t>['¬© 1982', 'two pairs', 'sometimes groups', 'rights reserved', 'possible meaning', 'oesophageal ganglion', 'numerous mitochondria', 'neighbouring cells', 'mean nucleus', 'male metamorphosis', 'located behind', 'little vesicles', 'large nucleus', 'ia formica', 'golgi apparatus', 'free ribosomes', 'excretory organ', 'cells contain', 'antennary nerves', 'antennary glands']</t>
  </si>
  <si>
    <t>2-s2.0-84956255965</t>
  </si>
  <si>
    <t>10.1088/0029-5515/22/6/002</t>
  </si>
  <si>
    <t>Plasma heating at twice the ion cyclotron frequency in a quadrupole minimum-b mirror</t>
  </si>
  <si>
    <t>Golovato S.</t>
  </si>
  <si>
    <t>60032179;60026175;60022717</t>
  </si>
  <si>
    <t>University of Wisconsin-Madison;Lawrence Livermore National Laboratory;Plasma Science and Fusion Center</t>
  </si>
  <si>
    <t>Madison;Livermore;Cambridge</t>
  </si>
  <si>
    <t>United States;United States;United States</t>
  </si>
  <si>
    <t>Golovato, S. N.;Scharer, J. E.;Breun, R. A.;Yujiri, L.;McVey, B. D.;Smith, D. K.;Yugo, J.</t>
  </si>
  <si>
    <t>6603994341;7005335418;6603739347;57204229141;7004076618;22972885000;6603244244</t>
  </si>
  <si>
    <t>60032179;60032179;60032179;60032179;60022717;60022717;60026175</t>
  </si>
  <si>
    <t>Nuclear Fusion</t>
  </si>
  <si>
    <t>841-850</t>
  </si>
  <si>
    <t>Plasma heating experiments have been carried out at twice the ion cyclotron frequency in a single quadrupole minimum- B end plug mirror of the Phaedrus tandem mirror. The application of 23 kW of RF power increased the average ion energy by a factor of five and doubled the electron temperature. The ion heating was characterized by strong tail heating and a concentration of the hot-ion population between the two resonance zones of the mirror. Best ion heating was observed with the resonance zone located 11.5 ¬± 2 cm from the midplane this being approximately halfway between the antenna and the midplane. Electron heating was observed even under conditions where little ion heating was seen. ¬© 1982 IOP Publication Ltd.</t>
  </si>
  <si>
    <t>['observed even', 'ion population', 'ion heating', 'electron temperature', 'electron heating', 'approximately halfway', '23 kw']</t>
  </si>
  <si>
    <t>2-s2.0-84952221248</t>
  </si>
  <si>
    <t>10.1080/02726348208915155</t>
  </si>
  <si>
    <t>Mutual coupling analysis in a finite planar rectangular waveguide antenna array</t>
  </si>
  <si>
    <t>Luzwick J.</t>
  </si>
  <si>
    <t>Syracuse University</t>
  </si>
  <si>
    <t>Syracuse</t>
  </si>
  <si>
    <t>Luzwick, J.;Harrington, R. F.</t>
  </si>
  <si>
    <t>6507412984;7201653432</t>
  </si>
  <si>
    <t>60030551;60030551</t>
  </si>
  <si>
    <t>Electromagnetics</t>
  </si>
  <si>
    <t>1532527X</t>
  </si>
  <si>
    <t>25-42</t>
  </si>
  <si>
    <t>The small aperture coupling theory is improved by introducing the radiation reaction fields as part of the polarizing field acting on the aperture. The principles of power conservation and reciprocity are used to determine the dipole strengths for radiation on either side of the aperture with the aperture closed. The theory thus enables coupling between dis-similar regions to be treated in a straightforward manner. The theory leads to physically meaningful equivalent circuits for describing small aperture coupling. Cavity coupling and radiation into free space are treated as examples. ¬© 1982 Taylor &amp; Francis Group, LLC.</t>
  </si>
  <si>
    <t>['theory leads', 'straightforward manner', 'similar regions', 'power conservation', 'free space', 'francis group', 'either side', 'dipole strengths', 'cavity coupling', 'aperture closed']</t>
  </si>
  <si>
    <t>2-s2.0-84950848473</t>
  </si>
  <si>
    <t>10.1080/02726348208915163</t>
  </si>
  <si>
    <t>The effect of probe directivity in spherical near-field antenna measurements</t>
  </si>
  <si>
    <t>Narasimhan M.</t>
  </si>
  <si>
    <t>Indian Institute of Technology Madras</t>
  </si>
  <si>
    <t>Chennai</t>
  </si>
  <si>
    <t>Narasimhan, M. S.;Ravishankar, S.</t>
  </si>
  <si>
    <t>7006389495;57202125888</t>
  </si>
  <si>
    <t>60025757;60025757</t>
  </si>
  <si>
    <t>169-179</t>
  </si>
  <si>
    <t>In this paper a criterion is established for the minimum distance of separation between the probe antenna and the test antenna that would result in accurate spherical near-field antenna measurements possible without probe correction. This criterion is arrived at by considering two different types of test antennas and calculating their near-fields with and without directivity of the scanning probe. ¬© 1982 Taylor &amp; Francis Group, LLC.</t>
  </si>
  <si>
    <t>['would result', 'without directivity', 'test antennas', 'test antenna', 'scanning probe', 'probe antenna', 'minimum distance', 'francis group']</t>
  </si>
  <si>
    <t>2-s2.0-84943732176</t>
  </si>
  <si>
    <t>10.1109/TAP.1982.1142901</t>
  </si>
  <si>
    <t>A Geometrical Construction for Chebyshev Z-Plane Zeros</t>
  </si>
  <si>
    <t>Feuerstein E.</t>
  </si>
  <si>
    <t>MITRE Corporation</t>
  </si>
  <si>
    <t>McLean</t>
  </si>
  <si>
    <t>Feuerstein, E.</t>
  </si>
  <si>
    <t>IEEE Transactions on Antennas and Propagation</t>
  </si>
  <si>
    <t>0018926X</t>
  </si>
  <si>
    <t>1023-1025</t>
  </si>
  <si>
    <t>Chebyshev-sense equi-ripple response zeros for uniformly sampled antenna and digital-filter apertures may be obtained through means of a simple geometrical construction. This construction affords insight into the behavior of mapped Chebyshev polynomial zeros in the z-plane for both normal and oversampled, equi-ripple stop-band, ‚Äúsuper-resolution‚Äù responses. Copyright ¬© 1982 by The Institute of Electrical and Electronics Engineers, Inc.</t>
  </si>
  <si>
    <t>['‚ äúsuper', 'sense equi', 'ripple stop', 'electronics engineers']</t>
  </si>
  <si>
    <t>2-s2.0-84939705388</t>
  </si>
  <si>
    <t>10.1109/TAP.1982.1142954</t>
  </si>
  <si>
    <t>A Wide-Band Omnidirectional Vertical Shaped-Beam Collinear Array</t>
  </si>
  <si>
    <t>Wong J.</t>
  </si>
  <si>
    <t>Aerospace Corporation, USA</t>
  </si>
  <si>
    <t>El Segundo</t>
  </si>
  <si>
    <t>Wong, Jimmy L.;King, Howard E.</t>
  </si>
  <si>
    <t>7404435969;7201415361</t>
  </si>
  <si>
    <t>60029575;60029575</t>
  </si>
  <si>
    <t>1263-1265</t>
  </si>
  <si>
    <t>The electrical and physical characteristics of a shaped-beam vertical collinear array antenna are described. The array was designed for operation in two principal 20-MHz bands centered at approximately 1227 and 1575 MHz. The patterns are omnidirectional in azimuth and shaped to provide near-constant gain coverage in the elevation sector from 5¬∞ to 30¬∞. Measured voltage standing-wave ratio (VSWR), gain, and pattern characteristics are presented. Copyright ¬© 1982 by The Institute of Electrical and Electronics Engineers. Inc.</t>
  </si>
  <si>
    <t>['wave ratio', 'provide near', 'physical characteristics', 'pattern characteristics', 'elevation sector', 'electronics engineers', 'approximately 1227', '5 ¬∞', '30 ¬∞.', '1575 mhz']</t>
  </si>
  <si>
    <t>2-s2.0-84939046388</t>
  </si>
  <si>
    <t>10.1109/MAP.1982.27639</t>
  </si>
  <si>
    <t>Antenna Systems at Raytheon ESD</t>
  </si>
  <si>
    <t>Thomas D.T.</t>
  </si>
  <si>
    <t>Raytheon</t>
  </si>
  <si>
    <t>Waltham</t>
  </si>
  <si>
    <t>Thomas, David T.</t>
  </si>
  <si>
    <t>IEEE Antennas and Propagation Society Newsletter</t>
  </si>
  <si>
    <t>2-s2.0-84879883096</t>
  </si>
  <si>
    <t>10.1130/0016-7606(1982)93&lt;57:TCFAIA&gt;2.0.CO;2</t>
  </si>
  <si>
    <t>The Chixoy- Polochic fault and its associated fractures in western Guatemala.</t>
  </si>
  <si>
    <t>Erdlac R.J.</t>
  </si>
  <si>
    <t>Gulf Oil Corporation</t>
  </si>
  <si>
    <t>Midland</t>
  </si>
  <si>
    <t>Erdlac, R. J.;Anderson, T. H.</t>
  </si>
  <si>
    <t>8346958900;24438949900</t>
  </si>
  <si>
    <t>100521246;100521246</t>
  </si>
  <si>
    <t>Geological Society of America Bulletin</t>
  </si>
  <si>
    <t>57-67</t>
  </si>
  <si>
    <t>In W Guatemala, post-Cretaceous volcanic and sedimentary rocks locally cover the trace of the Chixoy-Polochic fault. No single throughgoing fault cuts these units. However, a complicated series of en echelon lineations identified from aerial photographs and field mapping represent the accommodations of displacements along the underlying fault. Comparison of fracture trends in the Chixoy-Polochic fault zone with models from experimental studies and field examples of strike-slip faults suggest that left-lateral displacement along the Chixoy-Polochic fault in this area is probably no more than a few km, since the accumulation of the overlying beds of probable post mid-Tertiary age. Earlier lateral displacements of large magnitude are not precluded, although none have been documented by field study.-Authors</t>
  </si>
  <si>
    <t>['w guatemala', 'underlying fault', 'tertiary age', 'polochic fault', 'overlying beds', 'large magnitude', 'fracture trends', 'field examples', 'experimental studies', 'displacements along', 'cretaceous volcanic', 'complicated series', 'although none', 'aerial photographs']</t>
  </si>
  <si>
    <t>2-s2.0-84864328179</t>
  </si>
  <si>
    <t>10.1080/03749444.1982.10736661</t>
  </si>
  <si>
    <t>Studi sui crostacei anfipodi. 92. nuovi anfipodi di acque sotterranee della somalia</t>
  </si>
  <si>
    <t>Ruffo S.</t>
  </si>
  <si>
    <t>101374227;100543357</t>
  </si>
  <si>
    <t>Museo Civico di Storia Naturale;Museo Civico di Storia Naturale di Verona</t>
  </si>
  <si>
    <t>Verona;Verona</t>
  </si>
  <si>
    <t>Italy;Italy</t>
  </si>
  <si>
    <t>Ruffo, Sandro</t>
  </si>
  <si>
    <t>100543357-101374227</t>
  </si>
  <si>
    <t>Monitore Zoologico Italiano, Supplemento</t>
  </si>
  <si>
    <t>97-113</t>
  </si>
  <si>
    <t>Hadzia pachypoda n. sp., which inhabits the interstitial and phreatical freshwaters of northern Somalia is described. According to the morphology of this new species it results that (i) the genus Hadzia S. Karaman, 1932 must divided into the subgenera Hadzia s. str. and Metaniphargus Stephensen, 1933, and (ii) the genera Liagoceradocus J. L. Barnard, 1965 and Metahadzia Stock, 1977 are synonymous with Hadzia s. str. This is the first time that Hadzia has been recorded in Africa. New data on the genus Afridiella G. S. Karaman &amp; J. L. Barnard, 1979 are also given. Afridiella somala (Ruffo, 1970) has been found in wells located midway in the Uebi Scebeli basin (right side), 50-130 km north of the typical locality. Afridiella pectinicauda n. sp. has been discovered on the left side of the Uebi Scebeli river. It is easily distinguished from other Afridiella by the longer and thinner legs and antennae, and other aspects of the buccal apparatus. ¬© Taylor &amp; Francis Group, LLC.</t>
  </si>
  <si>
    <t>['¬© taylor', 'typical locality', 'thinner legs', 'subgenera hadzia', 'sp .,', 'phreatical freshwaters', 'northern somalia', 'new species', 'new data', 'metaniphargus stephensen', 'metahadzia stock', 'left side', 'genus hadzia', 'francis group', 'first time', 'easily distinguished', 'buccal apparatus', 'also given', 'afridiella somala']</t>
  </si>
  <si>
    <t>2-s2.0-8044249651</t>
  </si>
  <si>
    <t>10.1016/0300-9629(82)90230-4</t>
  </si>
  <si>
    <t>The crayfish second antennae. II-motoneuron structure as revealed by cobalt chloride backfilling</t>
  </si>
  <si>
    <t>Habig C.</t>
  </si>
  <si>
    <t>University of Georgia</t>
  </si>
  <si>
    <t>Athens</t>
  </si>
  <si>
    <t>Habig, Clifford;Taylor, Robert C.</t>
  </si>
  <si>
    <t>24517800200;56910537000</t>
  </si>
  <si>
    <t>60029747;60029747</t>
  </si>
  <si>
    <t>Comparative Biochemistry and Physiology -- Part A: Physiology</t>
  </si>
  <si>
    <t>349-358</t>
  </si>
  <si>
    <t>1. 1. The location of both the crayfish antennal motoneuron somata, and dendrites were determined using a cobalt chloride backfilling technique. The cobalt technique is especially useful in analysing unstructured neuropile. 2. 2. The antennal motoneuron somata (AMS) occur in several distinct regions of the brain. A majority of the somata belong to the angular cell group (Helm, 1928) located posterio-laterally in the tritocerebrum. Another prominent group of AMS form an extension of Helm's superior, lateral cell group. 3. 3. Most of these cells occur over the posterio-medial portion of the accessory neuropile, with a few cells located along the medial edge of the accessory neuropile. One cell body is located between the circumesophageal connectives. 4. 4. All the motoneurons are unipolar, with the somata being located ipsilaterally and dorsally in the brain. Most of the somata are 40 Œºm long by 30 Œºm wide. 5. 5. The antennal motoneuron dendrites form a dorsal, diffuse motoneuron neuropile that overlies the medial portion of the antennal neuropile and the lateral part of the tegumentary neuropile. 6. 6. The dendritic structure of individual motoneurons is highly complex. The motoneurons exhibit profuse branching, with primary, secondary and higher order branches being easily distinguished. 7. 7. In addition, there are alternating thick and thin diameter segments along the larger individual dendritic branches. 8. 8. The potential effects of this structural complexity on integration are discussed. ¬© 1982.</t>
  </si>
  <si>
    <t>['¬© 1982', 'tegumentary neuropile', 'structural complexity', 'somata belong', 'potential effects', 'medial portion', 'medial edge', 'located posterio', 'located ipsilaterally', 'lateral part', 'individual motoneurons', 'highly complex', 'especially useful', 'easily distinguished', 'determined using', 'dendritic structure', 'cobalt technique', 'circumesophageal connectives', 'cells occur', 'antennal neuropile', 'ams form', 'alternating thick', 'accessory neuropile']</t>
  </si>
  <si>
    <t>2-s2.0-65749312468</t>
  </si>
  <si>
    <t>The effect of antennal amputation on oogenesis in the Bean weevil (Acanthoscelides obtectus)</t>
  </si>
  <si>
    <t>Pouzat J.</t>
  </si>
  <si>
    <t>Pouzat, J.</t>
  </si>
  <si>
    <t>Complete amputation of both antennae results in an increase of oogenesis in virgin females of the Bean weevil. Acanthoscelides obtectus (Bruchidae). This effect seems independent of all known external stimuli and especially from specific ones, such as host plant. This is best explained by the possible existence of spontaneous activity in some sensory receptors of the antenna which may inhibit the oogenesis in the intact females (unknown unspecific stimuli may also be involved). This idea is supported by the results of unilateral amputations: the increase in oogenesis is directly related to the number of antennal receptors removed. Parts of the host plant have a stimulating effect on oogenesis in the intact females. This is the consequence of a taste perception. Antennal amputation does not prevent this HP effect. But the observed effect caused by these two stimulating factors. HP and antennal amputation, is less than the calculated sum of the two separate effects. This may be explained by assuming that the virgin females have a certain maximum intrinsic rate of oocyte production which is reached here. The observed variability, thought to be of genetic origin, is discussed. It is stressed that this phenomenon is often ignored or underestimated. ¬© 1982 Springer-Verlag.</t>
  </si>
  <si>
    <t>['virgin females', 'unilateral amputations', 'taste perception', 'stimulating effect', 'spontaneous activity', 'specific ones', 'sensory receptors', 'possible existence', 'oocyte production', 'often ignored', 'observed variability', 'may inhibit', 'involved ).', 'intact females', 'hp effect', 'host plant', 'genetic origin', 'directly related', 'complete amputation', 'calculated sum', 'bruchidae ).', 'best explained', 'bean weevil', 'antennal amputation', 'antennae results', 'acanthoscelides obtectus']</t>
  </si>
  <si>
    <t>2-s2.0-65749312338</t>
  </si>
  <si>
    <t>Electrophysiological assay of synthetic and natural sex pheromones in the african armyworm moth, Spodoptera exempta</t>
  </si>
  <si>
    <t>Steinbrecht R.A.</t>
  </si>
  <si>
    <t>Steinbrecht, Rudolf Alexander</t>
  </si>
  <si>
    <t>Sensilla trichodea, with porous walls and two receptor cells, are the most abundant sensilla on the antennae of male Spodoptera exempta. Two synthetic pheromone components, Z-9-tetradecen-1-yl acetate (Z-9-TDA) and Z-9,E-12-tetradecadien-1-yl acetate (Z-9,E-12-TDDA), produced identical electroantennogram (EAG) responses with male antennae, and strong stimuli of either compound were found to adapt the response to the other compound. When nerve impulses were recorded from single sensilla trichodea, Z-9,E-12-TDDA usually was the key stimulus, Z-9-TDA being over hundred times less effective, but some receptor cells were equally sensitive to both compounds. The female pheromone gland was located in the ventral intersegmental membrane between the 8th and 9th abdominal segment. Measured by male EAG responses, the crude hexane extract of one female gland, on the average, was equivalent to 5 ng of Z-9-TDA or Z-9,E-12-TDDA. Individual variation, however, was extreme even between females of the same lot and age, and there were no significant differences in pheromone content between females of different age and physiological conditions. ¬© 1982 Springer-Verlag.</t>
  </si>
  <si>
    <t>['yl acetate', 'tdda usually', 'strong stimuli', 'significant differences', 'sensilla trichodea', 'receptor cells', 'porous walls', 'physiological conditions', 'pheromone content', 'nerve impulses', 'male antennae', 'key stimulus', 'individual variation', 'extreme even', 'equally sensitive', 'either compound', 'different age', 'abundant sensilla', '5 ng']</t>
  </si>
  <si>
    <t>2-s2.0-49049139358</t>
  </si>
  <si>
    <t>10.1016/0021-9169(82)90027-7</t>
  </si>
  <si>
    <t>VLF receiving directivity pattern of electric and magnetic dipoles in magnetoactive plasma</t>
  </si>
  <si>
    <t>Likhter J.</t>
  </si>
  <si>
    <t>Pushkov Institute of Terrestrial Magnetism, Ionosphere and Radiowave Propagation, Russian Academy of Sciences</t>
  </si>
  <si>
    <t>Troitsk</t>
  </si>
  <si>
    <t>Russian Federation</t>
  </si>
  <si>
    <t>Likhter, Ja I.</t>
  </si>
  <si>
    <t>Journal of Atmospheric and Terrestrial Physics</t>
  </si>
  <si>
    <t>217-225</t>
  </si>
  <si>
    <t>The directivity of receiving electric and magnetic VLF dipoles in a magnetoactive environment is characterized by the ratio of the output e.m.f. modulus to field strength modulus of the corresponding wave component or in other words, the modulus of a quantity proportional to the effective length. The antenna patterns with regard to a plane monochromatic wave are analyzed in terms of the dipole orientation in the steady magnetic field B ÃÑo and the direction of wave propagation. The antenna patterns are symmetrical figures whose symmetry axes (zero directions) coincide with the direction of the wave vector for the magnetic dipole and with the normal to thee-plane of the wave in which the E ÃÑ polarization ellipselies for the electric dipole. The E ÃÑ vector and the normal to the e-plane in a magnetoactive environment possess different orientations with respect to the magnetic field as, accordingly, do the antenna patterns of the electric and the magnetic dipole. In a magnetoactive plasma the antenna patterns differ from those in an isotropic medium due to different wave field structures in these media. In random fields the minima of the antenna patterns are well pronounced even if the wave vector orientation shows considerable fluctuations (up to ¬± 20¬∞). ¬© 1982.</t>
  </si>
  <si>
    <t>['¬© 1982', 'zero directions', 'wave vector', 'wave propagation', 'receiving electric', 'random fields', 'quantity proportional', 'output e', 'magnetoactive plasma', 'magnetoactive environment', 'magnetic field', 'magnetic dipole', 'electric dipole', 'effective length', 'dipole orientation', 'antenna patterns']</t>
  </si>
  <si>
    <t>2-s2.0-49049137675</t>
  </si>
  <si>
    <t>10.1016/0022-2313(82)90063-1</t>
  </si>
  <si>
    <t>Model for photosynthetic light harvesting system: Energy transfer in anthracene- and biphenyl-cholorophyll derivatives</t>
  </si>
  <si>
    <t>Sarkar H.</t>
  </si>
  <si>
    <t>60021285;60013682</t>
  </si>
  <si>
    <t>Texas Tech University;Seoul National University</t>
  </si>
  <si>
    <t>Lubbock;Seoul</t>
  </si>
  <si>
    <t>United States;South Korea</t>
  </si>
  <si>
    <t>Sarkar, Hemanta K.;Song, Pill Soon;Park, Sang Chul;Lee, Eun</t>
  </si>
  <si>
    <t>57214575728;7201918197;57191671153;7406967788</t>
  </si>
  <si>
    <t>60021285;60021285;60013682;60013682</t>
  </si>
  <si>
    <t>April 1982/May 1982</t>
  </si>
  <si>
    <t>Journal of Luminescence</t>
  </si>
  <si>
    <t>347-358</t>
  </si>
  <si>
    <t>An intramolecular energy transfer from the ultraviolet absorbing donor to the pyro-pheophorbide a moiety occurs with high efficiency in model antenna compounds composed of 4-phenylbenzoic acid or anthracenecarboxylic acid and pyropheophorbide a. The energy transfer mechanism involves a F√∂rster tyoe dipole-dipole coupling between the donor transition dipole(s) and the acceptor transition dipole(s) represented by the Soret band of the pyropheophorbide a moiety. ¬© 1982.</t>
  </si>
  <si>
    <t>['¬© 1982', 'soret band', 'phenylbenzoic acid', 'moiety occurs', 'high efficiency', 'dipole coupling', 'anthracenecarboxylic acid']</t>
  </si>
  <si>
    <t>D-182</t>
  </si>
  <si>
    <t>2-s2.0-49049134572</t>
  </si>
  <si>
    <t>10.1016/0273-1177(82)90293-9</t>
  </si>
  <si>
    <t>The Giotto mission to Halley's comet</t>
  </si>
  <si>
    <t>Reinhard R.</t>
  </si>
  <si>
    <t>ESTEC - European Space Research and Technology Centre</t>
  </si>
  <si>
    <t>Noordwijk aan Zee</t>
  </si>
  <si>
    <t>Reinhard, R.</t>
  </si>
  <si>
    <t>Advances in Space Research</t>
  </si>
  <si>
    <t>97-107</t>
  </si>
  <si>
    <t>ESA's Giotto mission to Halley's comet is a fast flyby in March 1986, about four weeks after the comet's perihelion passage when it is most active. The scientific payload comprises 10 experiments with a total mass of about 60 kg: a camera for imaging the comet nucleus, three mass spectrometers for analysis of the elemental and isotopic composition of the cometary gas and dust environment, various dust impact detectors, a photopolarimeter for measurements of the coma brightness, and a set of plasma instruments for studies of the solar wind/comet interaction. In view of the high flyby velocity of 68 km/s the experiment active time is very short (only 4 hours) and all data are transmitted back to Earth in real time at a rate of 40 kbps. The Giotto spacecraft is spin-stabilised with a despun high gain parabolic dish antenna inclined at 44.3¬∞ to point at the Earth during the encounter while a specially designed dual-sheet bumper shield at the other end protects the spacecraft from being destroyed by hypervelocity dust impacts. The mission will probably end near the point of closest approach to the nucleus when the spacecraft attitude will be severely perturbed by impacting dust particles leading to a loss of the telecommunications link. ¬© 1983.</t>
  </si>
  <si>
    <t>['¬© 1983', 'transmitted back', 'total mass', 'telecommunications link', 'spacecraft attitude', 'solar wind', 'severely perturbed', 'real time', 'plasma instruments', 'perihelion passage', 'march 1986', 'isotopic composition', 'giotto spacecraft', 'giotto mission', 'four weeks', 'fast flyby', 'end protects', 'dust environment', 'cometary gas', 'comet nucleus', 'comet interaction', 'coma brightness', 'closest approach', '68 km', '60 kg', '40 kbps', '4 hours', '3 ¬∞']</t>
  </si>
  <si>
    <t>2-s2.0-36749105949</t>
  </si>
  <si>
    <t>10.1063/1.525722</t>
  </si>
  <si>
    <t>Real axis integration of Sommerfeld integrals with applications to printed circuit antennas</t>
  </si>
  <si>
    <t>Katehi P.B.</t>
  </si>
  <si>
    <t>University of California, Los Angeles</t>
  </si>
  <si>
    <t>Los Angeles</t>
  </si>
  <si>
    <t>Katehi, P. B.;Alexopoulos, N. G.</t>
  </si>
  <si>
    <t>7004624580;7004468161</t>
  </si>
  <si>
    <t>60027550;60027550</t>
  </si>
  <si>
    <t>Journal of Mathematical Physics</t>
  </si>
  <si>
    <t>527-533</t>
  </si>
  <si>
    <t>Printed circuit antennas are becoming an integral part of imaging arrays in microwave, millimeter, and submillimeter wave frequencies. The electrical characteristics of such antennas can be analyzed by solving integral equations of the Fredholm first kind. The kernel involves Sommerfeld integrals which are particularly difficult to solve when source and field points lie on an electrical discontinuity, as it occurs in the determination of the characteristics of printed circuit antennas. An analytic-numeric real axis integration technique has been developed for such integrals and it is combined with piece-wise sinusoidal expansions to solve the Fredholm integral equation for the unknown current density. ¬© 1983 American Institute of Physics.</t>
  </si>
  <si>
    <t>['particularly difficult', 'integral part', 'imaging arrays', 'electrical discontinuity', 'electrical characteristics']</t>
  </si>
  <si>
    <t>2-s2.0-36749105022</t>
  </si>
  <si>
    <t>10.1063/1.863660</t>
  </si>
  <si>
    <t>Beat excitation of whistler waves</t>
  </si>
  <si>
    <t>Shoucri M.</t>
  </si>
  <si>
    <t>Shoucri, Merit M.;Morales, G. J.;Maggs, J. E.</t>
  </si>
  <si>
    <t>7006438241;7102711643;7005855506</t>
  </si>
  <si>
    <t>60027550;60027550;60027550</t>
  </si>
  <si>
    <t>Physics of Fluids</t>
  </si>
  <si>
    <t>1824-1829</t>
  </si>
  <si>
    <t>A detailed calculation is made of the nonlinear excitation of a low-frequency whistler due to the beat of two high-frequency electromagnetic waves. The whistler is excited near the reflection layers of the high-frequency pumps where an effective antenna is generated by the beat ponderomotive force acting on electrons. Results relevant to ionospheric and laboratory experiments are obtained. ¬© 1982 American Institute of Physics.</t>
  </si>
  <si>
    <t>['two high', 'results relevant', 'reflection layers', 'nonlinear excitation', 'laboratory experiments', 'frequency pumps', 'excited near', 'effective antenna', 'detailed calculation']</t>
  </si>
  <si>
    <t>2-s2.0-35949019866</t>
  </si>
  <si>
    <t>10.1103/PhysRevA.25.1247</t>
  </si>
  <si>
    <t>Nonlocal plasma edge density reduction due to lower hybrid waves</t>
  </si>
  <si>
    <t>McWilliams R.</t>
  </si>
  <si>
    <t>60024664;60007278</t>
  </si>
  <si>
    <t>Dickinson College;University of California, Irvine</t>
  </si>
  <si>
    <t>Carlisle;Irvine</t>
  </si>
  <si>
    <t>McWilliams, R.;Wolf, N. S.</t>
  </si>
  <si>
    <t>8626327200;57197163511</t>
  </si>
  <si>
    <t>60007278;60007278-60024664</t>
  </si>
  <si>
    <t>Physical Review A</t>
  </si>
  <si>
    <t>1247-1249</t>
  </si>
  <si>
    <t>Temporal evolution of a depression of plasma edge density was observed near and away from a phased-array antenna launching lower-hybrid waves in a nearly fully ionized plasma. When equilibrium is reached, the magnitude of the depression is in agreement with ponderomotive theory. ¬© 1982 The American Physical Society.</t>
  </si>
  <si>
    <t>['¬© 1982', 'temporal evolution', 'ponderomotive theory', 'observed near', 'hybrid waves']</t>
  </si>
  <si>
    <t>2-s2.0-34250233424</t>
  </si>
  <si>
    <t>10.1007/BF00032258</t>
  </si>
  <si>
    <t>Protein identification of purified particles isolated from spinach thylakoids by deoxycholate electrophoresis</t>
  </si>
  <si>
    <t>Acker S.</t>
  </si>
  <si>
    <t>Acker, S.;Lagoutte, B.;Picaud, A.;Duranton, J.</t>
  </si>
  <si>
    <t>7004142660;6602486257;57195389397;6603260408</t>
  </si>
  <si>
    <t>Photosynthesis Research</t>
  </si>
  <si>
    <t>215-225</t>
  </si>
  <si>
    <t>Three thylakoid complexes were isolated by deoxycholate preparative electrophoresis. The protein composition of each fraction was analyzed by SDS analytical electrophoresis. No protein of the PS 1 enriched fraction (fraction 1) was found in the PS 2 enriched fraction (fraction 2) and inversely. The antenna complex (fraction 3) did not have any contamination by proteins of fraction 1 or fraction 2. Fraction 1 was mainly composed of the CP1, the reaction center complex of the PS1, and by low molecular weight proteins, previously found in other PS 1 preparations. Tentative assignments of these proteins are presented; among them are iron sulfur proteins. After analytical SDS electrophoresis of fraction 2, the reaction center complex was dissociated. Nevertheless three proteins of 50 kD, 42 kD and 35 kD were assigned to this complex. Fraction 2 contained also the three cytochromes of the thylakoid membranes: cyt f, cyt b6, cyt b559. Fraction 3 was exclusively composed of one protein pigment complex, CP2. ¬© 1982 Martinus Nijhoff/Dr W. Junk Publishers.</t>
  </si>
  <si>
    <t>chlorophyll protein complexes | cytochromes | non-heme iron proteins | thylakoid membrane proteins</t>
  </si>
  <si>
    <t>['thylakoid membranes', 'three cytochromes', 'tentative assignments', 'protein composition', 'previously found', 'mainly composed', 'junk publishers', 'fraction 3', 'fraction 2', 'fraction 1', 'exclusively composed', 'dr w', 'cyt f', 'cyt b6', 'cyt b559', 'antenna complex', '50 kd', '42 kd', '35 kd']</t>
  </si>
  <si>
    <t>2-s2.0-34250226593</t>
  </si>
  <si>
    <t>10.1007/BF02371941</t>
  </si>
  <si>
    <t>Host-finding behavior of Patasson lameerei [Hym., Chalcidoidea], a parasitoid of Sitona eggs [Col., Curculionidae]</t>
  </si>
  <si>
    <t>Bloem K.A.</t>
  </si>
  <si>
    <t>University of Kentucky</t>
  </si>
  <si>
    <t>Lexington</t>
  </si>
  <si>
    <t>Bloem, K. A.;Yeargan, K. V.</t>
  </si>
  <si>
    <t>57217892493;6603756270</t>
  </si>
  <si>
    <t>60015941;60015941</t>
  </si>
  <si>
    <t>Entomophaga</t>
  </si>
  <si>
    <t>93-97</t>
  </si>
  <si>
    <t>Patasson lameereiDebauche females showed significant positive responses in olfactometer studies to chewed or damaged alfalfa and red clover plant material and to the feces of adult Sitona hispidulus (Fabricius) weevils. No significant responses were obtained for the host eggs or the adult weevils themselves. Intact females produced an average of 12.8 offspring when exposed to 16 S. hispidulus eggs for 12 h under light. Intact females under dark conditions and females with antennae removed and under light and dark conditions produced an average of 0.8, 0.4 and 0.0 offspring, respectively. A sequence of host finding by P. lameerei females is suggested. ¬© 1982 Balthazar Publications.</t>
  </si>
  <si>
    <t>['significant responses', 'olfactometer studies', 'lameerei females', 'intact females', 'host finding', 'host eggs', 'hispidulus eggs', 'dark conditions', 'damaged alfalfa', 'antennae removed', 'adult weevils', '8 offspring', '12 h', '0 offspring']</t>
  </si>
  <si>
    <t>2-s2.0-33646536265</t>
  </si>
  <si>
    <t>10.1016/0021-9169(82)90021-6</t>
  </si>
  <si>
    <t>HF produced ionospheric electron density irregularities diagnosed by UHF radio star scintillations</t>
  </si>
  <si>
    <t>Frey A.</t>
  </si>
  <si>
    <t>Rice University</t>
  </si>
  <si>
    <t>Houston</t>
  </si>
  <si>
    <t>Frey, A.;Gordon, W. E.</t>
  </si>
  <si>
    <t>7102846659;14062280800</t>
  </si>
  <si>
    <t>60005286;60005286</t>
  </si>
  <si>
    <t>1101-1111</t>
  </si>
  <si>
    <t>High frequency waves incident on an overdense ionosphere (i.e. HF &lt; penetration frequency) are known to produce large-scale irregularities with scale sizes of several hundred meters in the F-region of the ionosphere. Three observations of radio star intensity fluctuations at UHF are reported for HF ionospheric modification experiments performed at the Arecibo Observatory. Two observations at 430 MHz and one observation at 1400 MHz indicate that the thin phase screen theory is a good approximation to the observed power spectra. However, the theory has to be extended to include antenna filtering. Such filtering is important for UHF radio star scintillations since the antenna usually has a narrow beam width. HF power densities of less than 37 ŒºW m-2 incident on the ionosphere produce electron density irregularities larger than 13% of the ambient density (at 260 km) having scale sizes of ~510 m perpendicular to the geomagnetic field. The irregularities form within 20-25 s after the HF power is turned on. From the observed power spectra driftvelocities of the irregularities can be estimated. ¬© 1982.</t>
  </si>
  <si>
    <t>['¬© 1982', 'two observations', 'three observations', 'scale sizes', 'scale irregularities', 'produce large', 'penetration frequency', 'overdense ionosphere', 'one observation', 'hf power', 'good approximation', 'geomagnetic field', 'arecibo observatory', 'antenna usually', 'ambient density', '430 mhz', '37 œºw', '260 km', '2 incident']</t>
  </si>
  <si>
    <t>4-N49-2701K-1</t>
  </si>
  <si>
    <t>2-s2.0-33645937576</t>
  </si>
  <si>
    <t>10.1016/0300-9629(82)90229-8</t>
  </si>
  <si>
    <t>The crayfish second antennae. I-muscles, innervation patterns and movements of antennal segments</t>
  </si>
  <si>
    <t>339-347</t>
  </si>
  <si>
    <t>1. 1. The musculature and innervation patterns of the second antennae of several species of North American crayfish were investigated using an Eosin-Fast Green-Naphthol Yellow stain. In addition, voluntary movements of the antennal segments, along with imposed movements, were utilized to study the movements of the antennal joints in live animals. 2. 2. The antennal circulatory system was observed by injecting India ink into the heart of a live animal. 3. 3. Five previously undescribed antennal motor nerves and their innervation patterns are described. Three of these nerves are distinctly separate from the antennal nerve. 4. 4. All the movements of individual antennal segments are detailed, with emphasis on rotations of the meropodite, carpopodite and flagellum caused by movements of more proximal antennal segments. 5. 5. Vessels of the circulatory system ramify extensively throughout both the antennal endopodite and exopodite. ¬© 1982.</t>
  </si>
  <si>
    <t>['¬© 1982', 'voluntary movements', 'several species', 'second antennae', 'live animals', 'live animal', 'investigated using', 'innervation patterns', 'imposed movements', 'flagellum caused', 'fast green', 'distinctly separate', 'antennal segments', 'antennal nerve', 'antennal joints', 'antennal endopodite']</t>
  </si>
  <si>
    <t>2-s2.0-2642637142</t>
  </si>
  <si>
    <t>10.1016/0304-4211(82)90030-X</t>
  </si>
  <si>
    <t>030442118290030X</t>
  </si>
  <si>
    <t>Polypeptide patterns of the thylakoid membranes of bryophytes</t>
  </si>
  <si>
    <t>Aro E.M.</t>
  </si>
  <si>
    <t>Turun yliopisto</t>
  </si>
  <si>
    <t>Turku</t>
  </si>
  <si>
    <t>Finland</t>
  </si>
  <si>
    <t>Aro, Eva Mari</t>
  </si>
  <si>
    <t>Plant Science Letters</t>
  </si>
  <si>
    <t>335-345</t>
  </si>
  <si>
    <t>The polypeptide profiles of the chloroplast thylakoid membranes of three bryophytes, two mosses (Ceratodon purpureus protonemata and Pleurozium schreberi) and a liverwort (Marchantia polymorpha), were analyzed by polyacrylamide gel electrophoresis and compared with those of the higher plants, especially Tetragonia expansa. The polypeptide composition had many similarities in the three bryophytes and showed more differences between the bryophytes and the higher plants. The main differences were observed in the 41-48-kdalton region, 32-34-kdalton region and 21-25-kdalton region. Those in the first region contain the apoproteins of the two chlorophyll a-protein complexes probably associated with photosystem II. The quantity of these apoproteins was the opposite in bryophytes and higher plants. The polypeptide(s) in the 32-34-kdalton region, also suggested to belong to photosystem II, seemed to be lacking in the bryophytes, as also largely the polypeptides of 21-25 kdaltons, which may be connected with the lack of the peripheral antenna of photosystem I. The molecular weight of cytochrome f, analyzed by staining the gels for heme associated peroxidase activity, was of the same molecular weight range in bryophytes and higher plants. ¬© 1982.</t>
  </si>
  <si>
    <t>['¬© 1982', 'two mosses', 'two chlorophyll', 'three bryophytes', 'polypeptide profiles', 'polypeptide composition', 'pleurozium schreberi', 'photosystem ii', 'peripheral antenna', 'molecular weight', 'many similarities', 'main differences', 'kdalton region', 'higher plants', 'cytochrome f', 'also suggested', 'also largely', '25 kdaltons']</t>
  </si>
  <si>
    <t>2-s2.0-24644443541</t>
  </si>
  <si>
    <t>10.1007/BF00032257</t>
  </si>
  <si>
    <t>A single step separation of PS 1, PS 2 and chlorophyll-antenna particles from spinach chloroplasts</t>
  </si>
  <si>
    <t>Picaud A.</t>
  </si>
  <si>
    <t>Picaud, A.;Acker, S.;Duranton, J.</t>
  </si>
  <si>
    <t>57195389397;7004142660;6603260408</t>
  </si>
  <si>
    <t>60019615;60019615;60019615</t>
  </si>
  <si>
    <t>203-213</t>
  </si>
  <si>
    <t>After solubilization of photosynthetic membranes by digitonin, three main protein pigment complexes were isolated by electrophoresis with deoxycholate as detergent. The band with the slowest mobility, fraction 1, had PS 1 activity and was devoid of PS 2 activity. This fraction was four times enriched in P700 when compared with chloroplasts. Fraction 1 had little chl b, a long wavelength absorption maximum in the red, a maximum of low temperature emission fluorescence at 730nm, and a circular dichroism spectrum characteristic of PS 1 enriched fraction. Fraction 2 exhibited a PS 2 activity and no PS 1 activity. It was enriched five times in PS 2 reaction centre and had little chl b and carotenoids. The absorption maximum was at 674 nm and the low temperature fluorescence emission maximum was at 700 nm. Fraction 2 might be useful PS 2 enriched particle because of the great stability of this fraction with regard to photochemical activity and also rapidity and simplicity of its preparation. Fraction 3, which had the fastest migration, was devoid of photochemical activities; It was rich in chl b and had the fluorescence and the circular dichroism spectrum characteristic of an antenna complex. ¬© 1982 Martinus Nijhoff/Dr W. Junk Publishers.</t>
  </si>
  <si>
    <t>chlorophyll protein complex | deoxycholate | electrophoresis</t>
  </si>
  <si>
    <t>['slowest mobility', 'photosynthetic membranes', 'photochemical activity', 'photochemical activities', 'junk publishers', 'great stability', 'fraction 3', 'fraction 1', 'fastest migration', 'dr w', 'chl b', 'antenna complex', 'also rapidity', 'absorption maximum', '700 nm', '674 nm']</t>
  </si>
  <si>
    <t>2-s2.0-1642527394</t>
  </si>
  <si>
    <t>10.1111/j.1463-6409.1982.tb00517.x</t>
  </si>
  <si>
    <t>Flagellar Sensilla of Sphecodes Bees (Hymenoptera, Halictidae)</t>
  </si>
  <si>
    <t>√ÖGREN L.</t>
  </si>
  <si>
    <t>Uppsala Universitet</t>
  </si>
  <si>
    <t>Uppsala</t>
  </si>
  <si>
    <t>Sweden</t>
  </si>
  <si>
    <t>√ÖGREN, LENNART;SVENSSON, BO G.</t>
  </si>
  <si>
    <t>6602503809;24323086300</t>
  </si>
  <si>
    <t>60003858;60003858</t>
  </si>
  <si>
    <t>Zoologica Scripta</t>
  </si>
  <si>
    <t>45-54</t>
  </si>
  <si>
    <t>The antenna of Sphecodes bees were investigated as regards the type and distribution of the sensilla. Eleven species originating from Sweden were used. Totally 325 specimens were studied. The distribution of sensilla placodea and sensilla trichodea on the antennal segments were studied in the light stereomicroscope. One to three antennae per species were also examined by SEM. The following types of sensilla were found: s. placodea; pit organs; s. campaniformia; s. basiconica; s. trichodea A, B and CD; and setae. The distribution of sensilla, especially s. placodea and s. trichodea A, was found to be species‚Äêspecific in the male sex and their diagnostic value in taxonomy is stressed. In the female sex no specific characteristics were found, although two groups could be distinguished. Copyright ¬© 1982, Wiley Blackwell. All rights reserved</t>
  </si>
  <si>
    <t>['wiley blackwell', 'sphecodes bees', 'specific characteristics', 'sensilla trichodea', 'sensilla placodea', 'rights reserved', 'pit organs', 'male sex', 'light stereomicroscope', 'following types', 'female sex', 'diagnostic value', 'antennal segments', 'also examined']</t>
  </si>
  <si>
    <t>2-s2.0-11144234204</t>
  </si>
  <si>
    <t>10.1080/00222938200770271</t>
  </si>
  <si>
    <t>A comparison of the environmental adaptations of the intertidal carabids aepus robini (Laboulbene) and aepus marinus strom</t>
  </si>
  <si>
    <t>King P.</t>
  </si>
  <si>
    <t>Swansea University</t>
  </si>
  <si>
    <t>Swansea</t>
  </si>
  <si>
    <t>King, P. E.;Fordy, M. R.;Elliott, P.</t>
  </si>
  <si>
    <t>16215929900;6507250410;7202244793</t>
  </si>
  <si>
    <t>60004572;60004572;60004572</t>
  </si>
  <si>
    <t>May-June 1982</t>
  </si>
  <si>
    <t>Journal of Natural History</t>
  </si>
  <si>
    <t>335-343</t>
  </si>
  <si>
    <t>The adaptations of Aepus robini and Aepus marinus to the littoral environment are compared. A. robini lives in crevices containing two distinct zones of deposit, and A. marinus under stones. Morphological differences include arrangement of seta‚Äù, shape of elytra, length of antennae. A. marinus recovers more quickly following submergence and its elytra are better suited to carry an air store. The structure of the legs of A. robini is better suited to attachment to smooth moist surfaces than that of A. marinus. ¬© 1982 Taylor &amp; Francis Group, LLC.</t>
  </si>
  <si>
    <t>['robini lives', 'marinus recovers', 'littoral environment', 'francis group', 'better suited', 'air store', 'aepus robini', 'aepus marinus']</t>
  </si>
  <si>
    <t>2-s2.0-0442274363</t>
  </si>
  <si>
    <t>10.1063/1.863840</t>
  </si>
  <si>
    <t>Nonlinear radiation by an electron beam in the whistler range: A tentative theoretical model</t>
  </si>
  <si>
    <t>Lavergnat J.</t>
  </si>
  <si>
    <t>60104081;60005768;105236416</t>
  </si>
  <si>
    <t>Orange Labs;Centre de Physique Theorique de l' Ecole Polytechnique;Laboratoire de G√©ophysique Externe</t>
  </si>
  <si>
    <t>Issy-les-Moulineaux;Palaiseau;Saint-Maur</t>
  </si>
  <si>
    <t>France;France;France</t>
  </si>
  <si>
    <t>Lavergnat, J.;Le Queau, D.;Pellat, R.;Roux, A.</t>
  </si>
  <si>
    <t>7003424811;6603457482;6701740046;7101858037</t>
  </si>
  <si>
    <t>60005768-105236416;60005768;60005768;60005768-60104081</t>
  </si>
  <si>
    <t>1073-1082</t>
  </si>
  <si>
    <t>During injection into the ionospheric plasma of an electron beam, very low-frequency electrostatic noise has been detected far away from that beam. Owing to the characteristics of this emission a direct generation mechanism based, for instance, on a linear instability seems irrelevant. A different interpretation is proposed where the observed very low-frequency noise is related to a nonlinear antenna mechanism. Large-amplitude plasma waves which are strongly confined inside the beam, at frequencies close to the plasma frequency, are nonlinearly coupled and the corresponding beating produces a lower-frequency wave which can freely escape from the beam. A detailed comparison with observations is made to support this model. ¬© 1982 American Institute of Physics.</t>
  </si>
  <si>
    <t>['plasma frequency', 'nonlinearly coupled', 'ionospheric plasma', 'frequency wave', 'frequency noise', 'frequencies close', 'freely escape', 'electron beam', 'different interpretation', 'detailed comparison']</t>
  </si>
  <si>
    <t>2-s2.0-0347843193</t>
  </si>
  <si>
    <t>10.1063/1.863770</t>
  </si>
  <si>
    <t>Electrostatic electron cyclotron radiation from a point source</t>
  </si>
  <si>
    <t>Thiel J.</t>
  </si>
  <si>
    <t>60104081;60008134</t>
  </si>
  <si>
    <t>Orange Labs;CNRS Centre National de la Recherche Scientifique</t>
  </si>
  <si>
    <t>Issy-les-Moulineaux;Paris</t>
  </si>
  <si>
    <t>France;France</t>
  </si>
  <si>
    <t>Thiel, J.;Lemb√®ge, B.</t>
  </si>
  <si>
    <t>57190101935;6602351867</t>
  </si>
  <si>
    <t>60008134;60104081</t>
  </si>
  <si>
    <t>551-565</t>
  </si>
  <si>
    <t>Electrostatic radiation from a monopole antenna in a magnetoplasma is studied theoretically in the frequency range between the electron gyrofrequency and its second harmonic. The scalar potential created by a point source is calculated numerically using the least-damped-root approximation, which involves considering only two roots of the dispersion equation, corresponding to the oblique mode and to the cyclotron harmonic mode. The potential distribution can be understood as being due both to interference between these two modes and to diffraction of the cyclotron harmonic mode alone. Theoretical spatial distribution fit the experimental data. In particular, the theory confirms that cyclotron harmonic waves should be detectable in all directions from the source, as was observed experimentally. A good agreement with experimental data is shown by theoretical curves of constant phase and of constant amplitude. An approximate analytical model of the potential distribution is presented, and is compared with the numerical model and with experimental data. Finally, it is shown how such data can be interpreted to yield the electron density and temperature. ¬© 1982 American Institute of Physics.</t>
  </si>
  <si>
    <t>['two roots', 'two modes', 'theory confirms', 'theoretical curves', 'studied theoretically', 'second harmonic', 'root approximation', 'potential distribution', 'point source', 'observed experimentally', 'oblique mode', 'numerical model', 'monopole antenna', 'involves considering', 'good agreement', 'frequency range', 'experimental data', 'electrostatic radiation', 'electron gyrofrequency', 'electron density', 'dispersion equation', 'constant phase', 'constant amplitude']</t>
  </si>
  <si>
    <t>2-s2.0-0347189776</t>
  </si>
  <si>
    <t>DESIGN AND DEVELOPMENT OF AN OMNIDIRECTIONAL ANTENNA WITH A COLLINEAR ARRAY OF SLOTS.</t>
  </si>
  <si>
    <t>Volta P.</t>
  </si>
  <si>
    <t>Volta, P.</t>
  </si>
  <si>
    <t>Microwave journal</t>
  </si>
  <si>
    <t>This report describes the design and experimental results of an omnidirectional antenna invertical polarization, at a frequency centered at 1030 MHz, realized with a collinear series fed array of annular slots. These slots extend outside as skirts forming half wave dipoles. Mutual coupling between elements is low for two reasons. Free space radiation coupling is minimized by the fact that the axis on which collinear array dipoles lay is the same of their radiation nulls. Also mutual coupling originated by surface waves running on external conductors is attenuated by quarter wavelength chokes inside the dipoles or at array extremities.</t>
  </si>
  <si>
    <t>['two reasons', 'report describes', 'radiation nulls', 'mutual coupling', 'frequency centered', 'external conductors', 'experimental results', 'array extremities', 'annular slots', '1030 mhz']</t>
  </si>
  <si>
    <t>2-s2.0-0346670753</t>
  </si>
  <si>
    <t>10.1080/01650428209361098</t>
  </si>
  <si>
    <t>Saetheriella amplicristata gen. n., sp. n., a new Orthocladiinae (Diptera: Chironomidae) from Tennessee.</t>
  </si>
  <si>
    <t>Halvorsen G.</t>
  </si>
  <si>
    <t>Universitetet i Bergen</t>
  </si>
  <si>
    <t>Bergen</t>
  </si>
  <si>
    <t>Norway</t>
  </si>
  <si>
    <t>Halvorsen, Godtfred A.</t>
  </si>
  <si>
    <t>Aquatic Insects</t>
  </si>
  <si>
    <t>131-136</t>
  </si>
  <si>
    <t>The generic diagnosis of the male imago of a new genus of the subfamily Orthocladiinae (Chironomidae), Saetheriella is given. The genus is characterized by protruding, hairy eyes; antenna with straight, apical seta; antepronotum reduced; squama without setae; Cu1 distinctly downcurved; and anal point short, triangular, covered with microtrichia and with two strong, lateral setae. The genus is close to Gynnidocldius Sublette &amp; Wirth, Unniella Saether and Parakiefferiella Thienemann. The distribution of the genera shows evidence of a Gondwanian connection. The male imago of the only included species S. amplicristata sp. n. is described. ¬© 1982, Taylor &amp; Francis Group, LLC. All rights reserved.</t>
  </si>
  <si>
    <t>['¬© 1982', 'unniella saether', 'two strong', 'subfamily orthocladiinae', 'rights reserved', 'parakiefferiella thienemann', 'new genus', 'male imago', 'lateral setae', 'included species', 'hairy eyes', 'gynnidocldius sublette', 'gondwanian connection', 'generic diagnosis', 'francis group', 'apical seta', 'antepronotum reduced', 'amplicristata sp']</t>
  </si>
  <si>
    <t>2-s2.0-0342990073</t>
  </si>
  <si>
    <t>10.1088/0031-8949/1982/T2B/024</t>
  </si>
  <si>
    <t>Density fluctuation measurement by far infrared light scattering</t>
  </si>
  <si>
    <t>Gr√©sillon D.</t>
  </si>
  <si>
    <t>60013425;116292629</t>
  </si>
  <si>
    <t>√âcole polytechnique;D√©partement de Recherches sur la Fusion Controle√© Centre d'Etudes Vuclea√≠res</t>
  </si>
  <si>
    <t>Palaiseau;Fontenay-aux-Roses</t>
  </si>
  <si>
    <t>Gr√©sillon, D.;Stern, C.;H√©mon, A.;Truc, A.;Lehner, T.;Olivain, J.;Qu√©meneur, A.;Gervais, F.;Lapierre, Y.</t>
  </si>
  <si>
    <t>6602759452;55995904600;57084052000;6603636427;7102788256;22994681800;6603207335;55411303300;57217478592</t>
  </si>
  <si>
    <t>60013425;60013425;60013425;60013425;60013425;116292629;116292629;116292629;116292629</t>
  </si>
  <si>
    <t>Physica Scripta</t>
  </si>
  <si>
    <t>T2B</t>
  </si>
  <si>
    <t>459-466</t>
  </si>
  <si>
    <t>Density fluctuation observation can be obtained by scattering of electromagnetic radiation. New developments and applications are presented. By heterodyne detection the scattered signal is shown to be the time variation of a space Fourier transform of the density. The antenna beam, that especially defines the sensitivity, is experimentally investigated. The time variation is used in two occurrences, to check quantum efficiency uniformity on detectors area, and in an air turbulence where the interspectrum is obtained between two scattering devices looking at different regions. Calibration formulas are given for quantitative measurement of density fluctuation spectrum. Observations are also reported on a tokamak plasma, on the drift wave spectrum, and on a new second order group of oscillations that were observed during ion cyclotron radio-frequency heating. The analysis shows this new group is a forced oscillation by beating of the drift waves with the high-frequency heating wave, and its amplitude provides a measurement of the HF wave electric field. ¬© 1982 IOP Publishing Ltd.</t>
  </si>
  <si>
    <t>['two occurrences', 'tokamak plasma', 'time variation', 'scattered signal', 'quantitative measurement', 'new group', 'new developments', 'heterodyne detection', 'frequency heating', 'forced oscillation', 'experimentally investigated', 'especially defines', 'electromagnetic radiation', 'drift waves', 'different regions', 'detectors area', 'calibration formulas', 'antenna beam', 'analysis shows', 'amplitude provides', 'also reported', 'air turbulence']</t>
  </si>
  <si>
    <t>2-s2.0-0142049308</t>
  </si>
  <si>
    <t>10.1016/0021-9169(82)90051-4</t>
  </si>
  <si>
    <t>A theoretical and experimental investigation of antenna near-field effects as applied to incoherent backscatter measurements at Arecibo</t>
  </si>
  <si>
    <t>Breakall J.</t>
  </si>
  <si>
    <t>Case Western Reserve University</t>
  </si>
  <si>
    <t>Cleveland</t>
  </si>
  <si>
    <t>Breakall, J. K.;Mathews, J. D.</t>
  </si>
  <si>
    <t>6701384134;24488613600</t>
  </si>
  <si>
    <t>60000305;60000305</t>
  </si>
  <si>
    <t>449-454</t>
  </si>
  <si>
    <t>The 'near-field' (or Fresnel zone) properties of the Arecibo spherical reflector and 430 MHz line feed have been investigated along with the influence of these properties on incoherent backscatter determinations of lower ionosphere electron concentrations. Previous attempts to measure or estimate these effects have been plagued by either inaccurate techniques or lack of clear documentation regarding the procedures employed. We thus review the form of the classical radar equation used for incoherent backscatter measurements and relate this form of the equation with range dependent gain to experimentally accessible far-field beam pattern measurements. Near-field characteristics are investigated from a theoretical viewpoint which is justified via far-field agreement between a theoretical antenna model and experiment. We conclude that in the Arecibo case the 'near-field correction' to the appropriate far-field radar equation is no more than 20% at a range of 50 km. We also comment on beam patterns which are optimum for incoherent backscatter applications. ¬© 1982.</t>
  </si>
  <si>
    <t>['¬© 1982', 'thus review', 'theoretical viewpoint', 'procedures employed', 'previous attempts', 'investigated along', 'fresnel zone', 'field correction', 'field characteristics', 'field agreement', 'beam patterns', 'arecibo case', 'appropriate far', 'also comment', '50 km']</t>
  </si>
  <si>
    <t>CWRU</t>
  </si>
  <si>
    <t>2-s2.0-0042495309</t>
  </si>
  <si>
    <t>10.1063/1.863892</t>
  </si>
  <si>
    <t>Electron cyclotron heating experiments on the JFT-2 tokamak using an inside launch antenna</t>
  </si>
  <si>
    <t>Moeller C.P.</t>
  </si>
  <si>
    <t>60015658;60013901</t>
  </si>
  <si>
    <t>Japan Atomic Energy Agency;General Atomics</t>
  </si>
  <si>
    <t>Kashiwa;San Diego</t>
  </si>
  <si>
    <t>Japan;United States</t>
  </si>
  <si>
    <t>Moeller, C. P.;Chan, V. S.;La Haye, R. J.;Prater, R.;Yamamoto, T.;Funahashi, A.;Hoshino, K.;Yamouchi, T.</t>
  </si>
  <si>
    <t>7006111874;55580883900;7005732967;7004204756;55703205600;16218767100;57209192153;23032729800</t>
  </si>
  <si>
    <t>60013901;60013901;60013901;60013901;60015658;60015658;60015658;60015658</t>
  </si>
  <si>
    <t>1211-1216</t>
  </si>
  <si>
    <t>An electron cyclotron heating experiment is described in which 28 GHz microwave power is launched from the high field side (inside) of a tokamak discharge from a steerable phased array antenna exciting the extraordinary mode. The central temperature was doubled (from 600 eV to 1200 eV) with a power at the antenna approximately two-thirds the Ohmic input. An oblique launch of the extraordinary mode was found to heat more efficiently and to a higher density than either the perpendicularly launched extraordinary mode or the ordinary mode launched from the outside. ¬© 1982 American Institute of Physics.</t>
  </si>
  <si>
    <t>['tokamak discharge', 'ohmic input', 'oblique launch', 'higher density', 'extraordinary mode', 'central temperature', '600 ev', '1200 ev']</t>
  </si>
  <si>
    <t>2-s2.0-0042264267</t>
  </si>
  <si>
    <t>10.1016/0021-9169(82)90032-0</t>
  </si>
  <si>
    <t>Some direct comparisons of mesospheric winds observed at Kyoto and Adelaide</t>
  </si>
  <si>
    <t>Aso T.</t>
  </si>
  <si>
    <t>60011001;60009512</t>
  </si>
  <si>
    <t>Kyoto University;The University of Adelaide</t>
  </si>
  <si>
    <t>Kyoto;Adelaide</t>
  </si>
  <si>
    <t>Japan;Australia</t>
  </si>
  <si>
    <t>Aso, T.;Vincent, R. A.</t>
  </si>
  <si>
    <t>7102596798;7202620125</t>
  </si>
  <si>
    <t>267-280</t>
  </si>
  <si>
    <t>Direct comparisons have been made of the prevailing and tidal wind fields observed in the 80-100 km height region using data obtained with a meteor radar at Kyoto (35¬∞N, 136¬∞E) and a partial reflection spaced antenna system at Adelaide (35¬∞S, 138¬∞E). Data taken with a partial reflection system at Townsville (19¬∞S, 147¬∞E) has also been included so that the latitudinal variations of the tidal structures could be taken into account. The comparisons extend over periods of up to one month duration centered on the equinoxes of 1979 and the January solstice of 1980. They show that there are often significant differences in the tidal amplitudes and phases observed at Kyoto and Adelaide, despite their near geographic conjugacy, probably indicating the presence of antisymmetrical tidal modes. The diurnal tide is appreciably stronger at Adelaide on the average, than at Kyoto, whereas the semi-diurnal amplitudes are on the average greater at Kyoto. ¬© 1982.</t>
  </si>
  <si>
    <t>['¬© 1982', 'tidal amplitudes', 'probably indicating', 'phases observed', 'meteor radar', 'latitudinal variations', 'january solstice', 'diurnal tide', 'diurnal amplitudes', 'direct comparisons', 'data taken', 'comparisons extend', 'average greater', 'appreciably stronger', '35 ¬∞', '19 ¬∞']</t>
  </si>
  <si>
    <t>2-s2.0-0042005833</t>
  </si>
  <si>
    <t>10.1002/ecja.4410650806</t>
  </si>
  <si>
    <t>Four‚Äêterminal circularly polarized self‚Äêcomplementary antennas</t>
  </si>
  <si>
    <t>Kasahara T.</t>
  </si>
  <si>
    <t>60008435;101741957</t>
  </si>
  <si>
    <t>Tohoku University;Sendai Radio Technical College</t>
  </si>
  <si>
    <t>Sendai;Miyagi</t>
  </si>
  <si>
    <t>Kasahara, Takeshi;Mushiake, Yasuto</t>
  </si>
  <si>
    <t>36939433100;7004205007</t>
  </si>
  <si>
    <t>101741957;60008435</t>
  </si>
  <si>
    <t>38-46</t>
  </si>
  <si>
    <t>Circularly‚Äêpolarized high gain antennas are needed for communication via broadcast or maritime satellites. With a view to developing a wideband circularly‚Äêpolarized antenna, we discuss experimental results for a structure consisting of a planar four‚Äêterminal self‚Äêcomplementary antenna on a core. The four conductors have a toothed shape which improves linear polarizability. The entire antenna structure is such that the sizes of the gaps and conductors are either equal or slightly modified. First, coupling between two opposing plates is qualitatively studied by measurement of the impedance and the radiated electric field. The self‚Äêcomplementary nature of the antenna is confirmed. Next, the directivity, beam width and axial ratio of the circular polarization are studied. When the sizes of the conductors and gaps on the core are identical, the coupling between two orthogonal terminal pairs is small and the self‚Äêcomplementary nature is practically preserved. This antenna has highly constant impedance and excellent directivity. The axial ratio of the antenna system, including the hybrid feed structure, is less than 0.8 dB over a large bandwidth. Copyright ¬© 1982 Wiley Periodicals, Inc., A Wiley Company</t>
  </si>
  <si>
    <t>['wiley company', 'toothed shape', 'structure consisting', 'slightly modified', 'qualitatively studied', 'practically preserved', 'maritime satellites', 'large bandwidth', 'inc .,', 'four conductors', 'excellent directivity', 'either equal', 'circular polarization', 'beam width', 'axial ratio', 'antenna system', '8 db']</t>
  </si>
  <si>
    <t>2-s2.0-0040808656</t>
  </si>
  <si>
    <t>10.1111/j.1439-0418.1982.tb03571.x</t>
  </si>
  <si>
    <t>Bionomics of Trioxys (Binodoxys) indicus Subba Rao &amp; Sharma, an aphidiid parasitoid of Aphis craccivora Koch: XIII. Host selection by the parasitoid</t>
  </si>
  <si>
    <t>Singh R.</t>
  </si>
  <si>
    <t>Deen Dayal Upadhyay Gorakhpur University India</t>
  </si>
  <si>
    <t>Gorakhpur</t>
  </si>
  <si>
    <t>Singh, R.;Sinha, T. B.</t>
  </si>
  <si>
    <t>55496947600;16455878900</t>
  </si>
  <si>
    <t>60006596;60006596</t>
  </si>
  <si>
    <t>January/December 1982</t>
  </si>
  <si>
    <t>Zeitschrift f√ºr Angewandte Entomologie</t>
  </si>
  <si>
    <t>64-75</t>
  </si>
  <si>
    <t>Trioxys (Binodoxys) indicus parasitises mostly Aphis craccivora and A. gossypii and does not show any significant affinity for others. The parasitoid, at first, attracted towards certain plants that harbour the acceptable host species and she does it irrespective of the presence of host. The observation confirms that it is the chemical clue ‚Äî allomone ‚Äî that helps the parasitoid in search for host‚Äêhabitat. The parasitoid is attracted towards hosts (aphids) by sensing their kairomonal secretions. The olfactory receptors are located in the antennae of the parasitoid. Gustation of the honeydew excreted by the aphid helps the parasitoid by reducing the hostapproaching period. Sight is helpful in proper orientation with respect to the host after she has recognised them. Host‚Äêacceptance has largely been attributed to a number of factors. The third instar nymph of A. craccivora is most acceptable for parasitisation. Aphid‚Äêmovement and coloured light have nothing to do in host acceptance by T. indicus. The aphid ist not paralysed during parasitisation. Laterals of the body of the aphid are most preferred sites for pricking. Abdomen of the host is maximally pricked and also received the maximum number of eggs of the parasitoid. Zur Bionomie von Trioxys (Binodoxys) indicus Subba Rao &amp; Sharma, einem Parasitoiden der Blattlaus Aphis craccivora Koch. XIII. Wirtswahl des Parasitoiden Trioxys indicus paraisitiert vor allem Aphis craccivora und A. gossypii und zeigt keine deutliche Bindung an andere Wirte. Der Parasitoid wird erst durch die Wirtspflanzen, auch ohne Anwesenheit der Wirte, angelockt. Es zeigte sich, da√ü chemische Faktoren, Allomone, dem Parasitoiden bei seiner Suche nach dem Wirt‚ÄêHabitat helfen. Duftausscheidungen, Kairomone, vom Wirt ausgeschieden, f√ºhren den Parasitoiden zu diesem hin. Die Geruchsrezeptoren liegen in den Antennen. Die Ern√§hrung mit dem von den Blattl√§usen ausgeschiedenen Honigtau hilft dem Parasitoiden die Ann√§herungszeit an den Wirt zu vermindern. Sobald der Wirt wahrgenommen ist, setzt bei dem Parasitoiden die Sichtorientierung ein. Die Wirtsannahme ist von einer Anzahl Faktoren abh√§ngig. Am geeignetsten zur Parasitierung sind die L3 der Blattl√§use. Bewegung der Blattl√§use und farbiges Licht spielen bei der Wirtsannahme durch T. indicus keine Rolle. Die Blattlaus wird durch die Parasitierung nicht paralysiert. Die K√∂rperseiten der Blattlaus sind die bevorzugten Stellen f√ºr den Anstich des Parasitoiden. Die gr√∂√üte Zahl an Anstichen und abgelegten Eiern befanden sich im Abdomen des Wirtes. 1982 Blackwell Verlag GmbH</t>
  </si>
  <si>
    <t>['significant affinity', 'proper orientation', 'preferred sites', 'olfactory receptors', 'observation confirms', 'maximum number', 'maximally pricked', 'kairomonal secretions', 'hostapproaching period', 'host acceptance', 'honeydew excreted', 'den antennen', 'coloured light', 'aphid ist', 'aphid helps', 'andere wirte', 'also received']</t>
  </si>
  <si>
    <t>2-s2.0-0040555690</t>
  </si>
  <si>
    <t>10.1021/ja00376a011</t>
  </si>
  <si>
    <t>Design of an Antenna System for the Collection of Singlet Excitation Energy. Exciton Diffusion among Concentrated 9,10-Diphenylanthracene Centers in Polystyrene</t>
  </si>
  <si>
    <t>Renschler C.</t>
  </si>
  <si>
    <t>University of Illinois Urbana-Champaign</t>
  </si>
  <si>
    <t>Urbana</t>
  </si>
  <si>
    <t>Renschler, Clifford L.;Faulkner, Larry R.</t>
  </si>
  <si>
    <t>7004685365;7103404727</t>
  </si>
  <si>
    <t>60000745;60000745</t>
  </si>
  <si>
    <t>Journal of the American Chemical Society</t>
  </si>
  <si>
    <t>3315-3320</t>
  </si>
  <si>
    <t>Fluorescence decay kinetics of 9,10-diphenylanthracene (DPA) were examined at [DPA] = 16‚Äì181 mM in spin-cast polystyrene films of ‚àº2000-√Ö thickness. Exponential decays with lifetimes ranging from 6.94 ns at low concentration to 6.34 ns at 180 mM were observed in unquenched systems. In the presence of tetrabromo-o-benzoquinone (TBBQ), added at 12.0 mM as a quenching probe, the decay kinetics were modified. At very low concentrations of DPA, nearly pure F√∂rster kinetics were observed. Extrapolation of behavior to [DPA] = 0 gave a critical transfer radius for F√∂rster transfer from DPA to TBBQ of 28 √Ö. Calculations from spectral data gave 29 √Ö. As the concentration of DPA increased, quenching became progressively more efficient and the time dependence of decay showed evidence of excitation diffusion by hopping from DPA site to DPA site. Diffusion coefficients were evaluated by two-parameter fits of decays to curves predicted from the Yokota-Tanimoto theory based on a Pad√© approximant. Values of the diffusion coefficient increased with [DPA] to 7.9 √ó 10‚àí6 cm2/s at [DPA]= 180 mM. The corresponding diffusion length is 55 √Ö. The meaning of the results to the construction of an antenna system for collection of photonic energy into photochemical reaction centers is discussed. ¬© 1982, American Chemical Society. All rights reserved.</t>
  </si>
  <si>
    <t>['¬© 1982', 'unquenched systems', 'time dependence', 'rights reserved', 'quenching probe', 'photonic energy', 'parameter fits', 'low concentrations', 'low concentration', 'lifetimes ranging', 'exponential decays', 'excitation diffusion', 'dpa site', 'dpa increased', 'diffusion coefficients', 'decay kinetics', 'curves predicted', 'antenna system', '94 ns', '34 ns', '180 mm', '0 mm', '0 gave']</t>
  </si>
  <si>
    <t>2-s2.0-0040173127</t>
  </si>
  <si>
    <t>10.1021/ma00234a006</t>
  </si>
  <si>
    <t>Studies of the Antenna Effect in Polymer Molecules. 4. Energy Migration and Transfer in 2-Naphthyl Methacrylate-Aryl Vinyl Ketone Copolymers</t>
  </si>
  <si>
    <t>Holden D.A.</t>
  </si>
  <si>
    <t>Holden, David A.;Shephard, Sarah E.;Guillet, James E.</t>
  </si>
  <si>
    <t>7102251187;15620715100;7102379256</t>
  </si>
  <si>
    <t>60016849;60016849;60016849</t>
  </si>
  <si>
    <t>Macromolecules</t>
  </si>
  <si>
    <t>1481-1485</t>
  </si>
  <si>
    <t>The low-temperature luminescence of poly(2-naphthyl methacrylate) (P2NMA) in 2-methyltetrahydrofuran glasses was compared with those of small-molecule model compounds and two 2-naphthyl methacrylate-aryl vinyl ketone copolymers. Phosphorescence spectra of photodegraded P2NMA confirm that the low-energy triplet traps in the degraded polymer consist of bound acylnaphthol chromophores, formed by a photo-Fries reaction of the naphthyl ester. Copolymerized aromatic ketones quench the naphthalene singlet and are themselves quenched by triplet energy transfer back to the naphthalene chromophore. Studies of fluorescence depolarization and delayed fluorescence show that both singlet and triplet energy migrate between the naphthalene chromophores of P2NMA, although the range of singlet energy migration in this polymer is relatively small. ¬© 1982, American Chemical Society. All rights reserved.</t>
  </si>
  <si>
    <t>['¬© 1982', 'two 2', 'temperature luminescence', 'rights reserved', 'relatively small', 'phosphorescence spectra', 'naphthyl methacrylate', 'naphthyl ester', 'naphthalene singlet', 'naphthalene chromophores', 'naphthalene chromophore', 'methyltetrahydrofuran glasses', 'fries reaction', 'fluorescence depolarization']</t>
  </si>
  <si>
    <t>2-s2.0-0039956134</t>
  </si>
  <si>
    <t>10.1016/0022-1910(82)90031-2</t>
  </si>
  <si>
    <t>Location, morphology and histology of sex pheromone glands of the female gypsy moth, Lymantria dispar (L.)</t>
  </si>
  <si>
    <t>Hollander A.L.</t>
  </si>
  <si>
    <t>60091302;60014313</t>
  </si>
  <si>
    <t>USDA Animal and Plant Health Inspection Service (APHIS);University of Massachusetts Amherst</t>
  </si>
  <si>
    <t>Riverdale;Amherst MA</t>
  </si>
  <si>
    <t>Hollander, Andrew L.;Yin, Chih Ming;Schwalbe, Charles P.</t>
  </si>
  <si>
    <t>24378729000;7201995632;7005602252</t>
  </si>
  <si>
    <t>60014313;60014313;60091302</t>
  </si>
  <si>
    <t>Journal of Insect Physiology</t>
  </si>
  <si>
    <t>513-518</t>
  </si>
  <si>
    <t>Scanning electron microscopy, histology and a male wing fanning bioassay were used in this study to locate the sex pheromone-producing glands of the female gypsy moth, Lymantria dispar. When exposed to female sex pheromone, adult males exhibit a strong wing fanning behaviour prior to take off. We found that adult males showed positive response to calling females and to tissue extract from both dorsal and ventral portions of the intersegmental membrane between 8th and 9th-abdominal segments. A typical male response usually starts with elevation of antennae, movement of head in different directions, walking, wing fanning and onset of search flight. Histological and scanning electron microscopic studies suggested that the sex pheromone glands are located on the dorsal and ventral aspects of the intersegmental membrane. The glands appear as two highly convoluted integumentary areas with hypertrophied glandular epidermal cells. ¬© 1982.</t>
  </si>
  <si>
    <t>gypsy moth | Lymantria dispar | pheromone bioassay | Sex pheromone gland</t>
  </si>
  <si>
    <t>['¬© 1982', 'wing fanning', 'ventral portions', 'ventral aspects', 'tissue extract', 'sex pheromone', 'search flight', 'producing glands', 'lymantria dispar', 'intersegmental membrane', 'glands appear', 'different directions', 'calling females', 'abdominal segments']</t>
  </si>
  <si>
    <t>2-s2.0-0039576967</t>
  </si>
  <si>
    <t>10.1103/PhysRevD.26.1209</t>
  </si>
  <si>
    <t>Results of a 440-day search for gravitational radiation</t>
  </si>
  <si>
    <t>Brown B.L.</t>
  </si>
  <si>
    <t>Nokia Bell Labs</t>
  </si>
  <si>
    <t>Murray</t>
  </si>
  <si>
    <t>Brown, B. L.;Mills, A. P.;Tyson, J. A.</t>
  </si>
  <si>
    <t>56216409500;16198226600;7201986023</t>
  </si>
  <si>
    <t>60021378;60021378;60021378</t>
  </si>
  <si>
    <t>Physical Review D</t>
  </si>
  <si>
    <t>1209-1218</t>
  </si>
  <si>
    <t>We report the results of a 440-day search for gravitational waves with a single 3.6√ó106-g aluminum 710-Hz room-temperature detector. The detector output was analyzed in real time using a microcomputer system. With the exception of a single large event, not observed by the much more sensitive antenna at Stanford University, the spectrum of events was thermal with an effective temperature Te 6.0 K. This data implies a 90%-confidence-level upper limit of 5√ó10-3 events per day above 114 GPU for an average gravitational-wave orientation and polarization (one gravitational pulse unit =105 erg cm-2Hz-1). This is the lowest limit set on the rate of gravitational radiation bursts to date. ¬© 1982 The American Physical Society.</t>
  </si>
  <si>
    <t>['¬© 1982', 'wave orientation', 'temperature detector', 'stanford university', 'single 3', 'sensitive antenna', 'microcomputer system', 'hz room', 'gravitational waves', 'detector output', 'day search', 'data implies', 'average gravitational', '114 gpu', '1 ).', '0 k']</t>
  </si>
  <si>
    <t>2-s2.0-0020905836</t>
  </si>
  <si>
    <t>10.1016/0273-1177(82)90165-X</t>
  </si>
  <si>
    <t>027311778290165X</t>
  </si>
  <si>
    <t>Radio aurora magnetic and streaming aspect sensitivities on 6 simultaneous links at 50 MHz</t>
  </si>
  <si>
    <t>Sofko G.J.</t>
  </si>
  <si>
    <t>60191856;60009839</t>
  </si>
  <si>
    <t>Institute of Space and Atmospheric Studies;National Research Council Canada</t>
  </si>
  <si>
    <t>Saskatoon;Ottawa ON,</t>
  </si>
  <si>
    <t>Canada;Canada</t>
  </si>
  <si>
    <t>Sofko, G. J.;Koehler, J. A.;Gilmer, J.;McNamara, A. G.;McDiarmid, D. R.</t>
  </si>
  <si>
    <t>35492471900;7102769446;7003863121;7005284980;6601949780</t>
  </si>
  <si>
    <t>60191856;60191856;60191856;60009839;60009839</t>
  </si>
  <si>
    <t>149-152</t>
  </si>
  <si>
    <t>During August 1981, a 50 MHz c.w. radar system was operated in central Canada to measure auroral scatter amplitudes and Doppler spectra from a scattering region centered near 66¬∞ magnetic invariant latitude (L ‚âà 6.0). Narrow beams from 3 transmitters, differing in frequency by 1 KHz, were directed to cover a common volume of the ionosphere over a ground location at 56.3¬∞N, 103.5¬∞W. The scattered signals were received on narrow beam antennas at two receiving sites, and recorded in analog form on magnetic tape under the control of an AIM65 microcomputer. The analog tapes were digitized later and FFT-processed to obtain Doppler spectra and amplitudes. The 6 transmission paths were designed to provide several magnetic aspect angles varying by 1.5¬∞-7¬∞ from perpendicularity with the earth's field B and two streaming aspect angles differing by ‚àº38¬∞. The objective was to employ controlled geometric factors to study the functional dependency of signal amplitudes and Doppler shifts on magnetic and streaming aspect angles. Several hundred hours of excellent data were obtained in continuous operation during the month of August 1981. Preliminary results will be reported. ¬© 1983.</t>
  </si>
  <si>
    <t>['¬© 1983', 'signal amplitudes', 'scattered signals', 'radar system', 'preliminary results', 'narrow beams', 'magnetic tape', 'ground location', 'functional dependency', 'field b', 'excellent data', 'doppler spectra', 'doppler shifts', 'digitized later', 'continuous operation', 'common volume', 'central canada', 'august 1981', 'analog tapes', 'analog form', 'aim65 microcomputer', '3 transmitters', '1 khz', '0 ).']</t>
  </si>
  <si>
    <t>2-s2.0-0020872274</t>
  </si>
  <si>
    <t>10.1163/002829683X00200</t>
  </si>
  <si>
    <t>Antennal Damage and Regeneration in Springtails (Collembola) in Relation to Predation</t>
  </si>
  <si>
    <t>Ernsting G.</t>
  </si>
  <si>
    <t>60010023;60008734</t>
  </si>
  <si>
    <t>University of Groningen;Vrije Universiteit Amsterdam</t>
  </si>
  <si>
    <t>Groningen;Amsterdam</t>
  </si>
  <si>
    <t>Ernsting, G.;Fokkema, D. S.</t>
  </si>
  <si>
    <t>6603813341;6603532193</t>
  </si>
  <si>
    <t>60008734;60010023</t>
  </si>
  <si>
    <t>Netherlands Journal of Zoology</t>
  </si>
  <si>
    <t>476-484</t>
  </si>
  <si>
    <t>(1) A significant proportion of unsuccessful attacks by the predator Notiophilus biguttatus (Carabidae) on Orchesella cincta (Collembola) results in damage to the springtails‚Äô antennae. (2) Regeneration of the loss occurs at several moults following the amputation, and is attended with an increase in moulting frequency. (3) The regenerated antenna is shorter and always less segmented than normal. (4) The frequency of 0. cincta with damaged or regenerated antennae in the field depends on the size (i.e. age) of the springtails. (5) Use of these frequencies in evaluating the role of predators in the dynamics of the springtail population is discussed. ¬© 1982, Brill. All rights reserved.</t>
  </si>
  <si>
    <t>['¬© 1982', 'unsuccessful attacks', 'springtail population', 'significant proportion', 'rights reserved', 'regenerated antennae', 'regenerated antenna', 'orchesella cincta', 'moulting frequency', 'loss occurs', 'field depends']</t>
  </si>
  <si>
    <t>2-s2.0-0020462002</t>
  </si>
  <si>
    <t>10.1016/0270-0255(82)90028-8</t>
  </si>
  <si>
    <t>0270-0255(82)90028-8</t>
  </si>
  <si>
    <t>A small radiogoniometric antenna</t>
  </si>
  <si>
    <t>Meritet A.</t>
  </si>
  <si>
    <t>INRIA Institut National de Recherche en Informatique et en Automatique</t>
  </si>
  <si>
    <t>Le Chesnay</t>
  </si>
  <si>
    <t>Meritet, Alain</t>
  </si>
  <si>
    <t>Mathematical Modelling</t>
  </si>
  <si>
    <t>241-258</t>
  </si>
  <si>
    <t>In a previous paper, we have discussed the calculation of the electric field at large distances radiated by an antenna made of two strands symetrically disposed, when it is fed by two currents which are in opposition with a known distribution. From these results, using a Fourier analysis, we can determine antennas of small size so that the radiated field is zero in one or several direction. Then, by means of a numerical exploration, we determine explicitly, for a given frequency range, the shape of such an antenna trying to obtain the best compromise between the directivity and the size of the antenna. ¬© 1982.</t>
  </si>
  <si>
    <t>['¬© 1982', 'two currents', 'small size', 'several direction', 'radiated field', 'previous paper', 'numerical exploration', 'known distribution', 'fourier analysis', 'electric field', 'determine explicitly', 'determine antennas', 'best compromise', 'antenna trying', 'antenna made']</t>
  </si>
  <si>
    <t>2-s2.0-0020452344</t>
  </si>
  <si>
    <t>10.1007/978-1-4684-4388-2_9</t>
  </si>
  <si>
    <t>Results of a phase I/II clinical trial of fractionated hyperthermia in combination with low dose ionizing radiation.</t>
  </si>
  <si>
    <t>Bicher H.I.</t>
  </si>
  <si>
    <t>Bicher, H. I.;Hetzel, F. W.;Sandhu, T. S.</t>
  </si>
  <si>
    <t>7006721008;35482169700;7004426259</t>
  </si>
  <si>
    <t>Advances in experimental medicine and biology</t>
  </si>
  <si>
    <t>87-97</t>
  </si>
  <si>
    <t>This paper addresses, in part, the current status of hyperthermia as a new clinical modality and reports the results of a large, prospective clinical trial employing microwave hyperthermia in combination with low doses of ionizing radiation. In the protocol employed, each treated area received 8 hyperthermia treatments of 1.5 hour combined with 1600 rad over a total period of 5 weeks. Patients were heated with microwaves of 915 or 300 MHz employing external applicators or internal intracavitary antennas. The results of this fractionation scheme are encouraging since in 121 fields that were treated completely according to protocol and were available for follow-up for at least 2 months, complete responses were observed in 65% of all cases, partial response in 30% and no response in only 5%. It is also important to note that toxicity was minimal throughout the study.</t>
  </si>
  <si>
    <t>['total period', 'protocol employed', 'partial response', 'paper addresses', 'minimal throughout', 'low doses', 'ionizing radiation', 'fractionation scheme', 'encouraging since', 'current status', 'complete responses', 'also important', '5 weeks', '5 %.', '1600 rad', '121 fields']</t>
  </si>
  <si>
    <t>2-s2.0-0020444341</t>
  </si>
  <si>
    <t>10.1002/bem.2250030404</t>
  </si>
  <si>
    <t>Evidence for electrostatic enhancement of odor receptor function by worker honeybee antennae</t>
  </si>
  <si>
    <t>Erickson E.</t>
  </si>
  <si>
    <t>University of Wisconsin-Madison</t>
  </si>
  <si>
    <t>Madison</t>
  </si>
  <si>
    <t>Erickson, Eric H.</t>
  </si>
  <si>
    <t>Bioelectromagnetics</t>
  </si>
  <si>
    <t>1521186X</t>
  </si>
  <si>
    <t>413-420</t>
  </si>
  <si>
    <t>Pore plates (placoid chemosensillae) on the antennae of dead worker honeybees (Apis mellifera L.) apparently retained a static electric charge that was significantly different from that of the surrounding cuticle. Residual charge resulted in the concentration of airborne particulate matter over the rim of exposed pore plates to the virtual exclusion of such deposition on surrounding cuticle. Postmortem integrity of polar lipids associated with the pore plate and adjacent sense cells is hypothesized as the source of the static potential. Such a lipoidal matrix, if functioning as an electret and if attracting odorous molecules to receptor cells from outside the odor stream of individual receptors, would greatly enhance receptor efficiency of living bees. Copyright ¬© 1982 Wiley‚ÄêLiss, Inc., A Wiley Company</t>
  </si>
  <si>
    <t>chemosensillae | electret | electrostatics | honeybee | olfaction</t>
  </si>
  <si>
    <t>['wiley company', 'virtual exclusion', 'surrounding cuticle', 'static potential', 'significantly different', 'receptor cells', 'postmortem integrity', 'pore plates', 'pore plate', 'placoid chemosensillae', 'odor stream', 'living bees', 'lipoidal matrix', 'individual receptors', 'inc .,']</t>
  </si>
  <si>
    <t>2-s2.0-0020442563</t>
  </si>
  <si>
    <t>10.1111/j.1751-1097.1982.tb09484.x</t>
  </si>
  <si>
    <t>MIMICRY OF CAROTENOID FUNCTION IN PHOTOSYNTHESIS: SYNTHESIS AND PHOTOPHYSICAL PROPERTIES OF A CAROTENOPYROPHEOPHORBIDE</t>
  </si>
  <si>
    <t>Liddeli P.A.</t>
  </si>
  <si>
    <t>60028311;60003892</t>
  </si>
  <si>
    <t>Museum National d'Histoire Naturelle;Arizona State University</t>
  </si>
  <si>
    <t>Paris;Tempe</t>
  </si>
  <si>
    <t>France;United States</t>
  </si>
  <si>
    <t>Liddeli, Paul A.;Nemeth, Gregory A.;Lehman, William R.;Joy, Anna M.;Moore, Ana L.;Bensasson, Ren√© V.;Moore, Thomas A.;Gust, Devens</t>
  </si>
  <si>
    <t>57191395086;7103014417;56265347100;23046874200;35598466200;57202750332;7403336040;26643239600</t>
  </si>
  <si>
    <t>60003892;60003892;60003892;60003892;60003892;60028311;60003892;60003892</t>
  </si>
  <si>
    <t>641-645</t>
  </si>
  <si>
    <t>Abstract‚Äî A new molecule consisting of a carotenoid polyene covalently linked to a pyropheophorbide has been prepared. This molecule exists in solution in an extended conformation with the carotenoid moiety relatively far from the tetrapyrrole œÄ‚Äêelectron system. The compound shows negligible antenna function (singlet energy transfer from carotenoid to pyropheophorbide), but substantial photoprotection from singlet oxygen production (due to rapid triplet energy transfer from pyropheophorbide to carotenoid). The photochemical properties of this molecule parallel those of conformationally similar carotenoporphyrins. Thus, carotenoporphyrins appear to be valid synthetic systems for modeling in vivo carotenoid‚Äêchlorophyll interactions. Copyright ¬© 1982, Wiley Blackwell. All rights reserved</t>
  </si>
  <si>
    <t>['wiley blackwell', 'substantial photoprotection', 'rights reserved', 'pyropheophorbide ),', 'photochemical properties', 'molecule parallel', 'molecule exists', 'extended conformation', 'carotenoporphyrins appear', 'carotenoid ).']</t>
  </si>
  <si>
    <t>2-s2.0-0020440869</t>
  </si>
  <si>
    <t>Microwave thermography - Characteristics of waveguide applicators and signatures of thermal structures</t>
  </si>
  <si>
    <t>Robillard M.</t>
  </si>
  <si>
    <t>Universit√© de Lille</t>
  </si>
  <si>
    <t>Lille</t>
  </si>
  <si>
    <t>Robillard, M.;Chive, M.;Leroy, Y.</t>
  </si>
  <si>
    <t>7006311455;7004583077;24299153900</t>
  </si>
  <si>
    <t>60104665;60104665;60104665</t>
  </si>
  <si>
    <t>Journal of Microwave Power</t>
  </si>
  <si>
    <t>98-105</t>
  </si>
  <si>
    <t>In this paper, we study the problem of the interpretation of the signals provided by microwave thermography, which allows the detection of the thermal gradients in living tissues. These signals correspond to the thermal noise measured by a radiometer when the probe scans the surface of the tissue (passive process). We describe how these signals can be computed by means of a new method based on the antenna reciprocity principle. This process requires a knowledge of the electrical field distribution in the lossy medium when the applicator is radiating a microwave signal (active process). Examples of computations of the thermal signals and experimental verifications are presented. Then, we introduce a new concept of 'thermal signature' and show how it is possible to reach a quantitative interpretation of the thermal signals such as those obtained in clinical investigations (thermal pattern recognition).</t>
  </si>
  <si>
    <t>['thermal signature', 'thermal signals', 'thermal gradients', 'signals provided', 'signals correspond', 'quantitative interpretation', 'process requires', 'probe scans', 'new concept', 'microwave thermography', 'microwave signal', 'lossy medium', 'living tissues', 'experimental verifications', 'clinical investigations']</t>
  </si>
  <si>
    <t>2-s2.0-0020435275</t>
  </si>
  <si>
    <t>DIFFERENCE PATTERNS OF ARRAY ANTENNAS.</t>
  </si>
  <si>
    <t>Pavlyuk V.A.</t>
  </si>
  <si>
    <t>Pavlyuk, V. A.;Rybalko, A. M.</t>
  </si>
  <si>
    <t>7005030448;7004856096</t>
  </si>
  <si>
    <t>Radio Engineering and Electronic Physics (English translation of Radiotekhnika i Elektronika)</t>
  </si>
  <si>
    <t>72-77</t>
  </si>
  <si>
    <t>A method is proposed for suppression of sidelobes of the difference pattern of an array antenna, which takes into consideration the fluctuations of the aperture field. An optimum current distribution is derived for an array of passive elements which forms a difference directive pattern.</t>
  </si>
  <si>
    <t>['passive elements', 'difference pattern', 'array antenna', 'aperture field']</t>
  </si>
  <si>
    <t>2-s2.0-0020432227</t>
  </si>
  <si>
    <t>VHF TRANSMIT/RECEIVE ANTENNA HX 101 UNDERGOES TRIALS IN SWITZERLAND.</t>
  </si>
  <si>
    <t>Heller B.</t>
  </si>
  <si>
    <t>Heller, Bruno</t>
  </si>
  <si>
    <t>News from Rohde &amp; Schwarz</t>
  </si>
  <si>
    <t>24-27</t>
  </si>
  <si>
    <t>Commissioned by Switzerland's Defense Technology and Procurement Group (DTPG), Rohde &amp; Schwarz developed an antenna one meter in length for vehicle installation and service in the frequency range 30 to 76 MHz. Author reports on the rf tests carried out on this new development in the laboratory and under realistic environmental conditions and describes the computer-aided measurements made by the DTPG. The HX 101 is judged to be suitable for tactical operations and can replace the center-fed, three-meter antennas previously used.</t>
  </si>
  <si>
    <t>['vehicle installation', 'tactical operations', 'schwarz developed', 'procurement group', 'new development', 'hx 101', 'defense technology', 'author reports', '76 mhz']</t>
  </si>
  <si>
    <t>2-s2.0-0020421840</t>
  </si>
  <si>
    <t>Microwave and radiofrequency radiation Nonionizing radiation protection</t>
  </si>
  <si>
    <t>Michaelson S.</t>
  </si>
  <si>
    <t>University of Rochester</t>
  </si>
  <si>
    <t>Rochester</t>
  </si>
  <si>
    <t>Michaelson, S. M.</t>
  </si>
  <si>
    <t>WHO REG. PUBL. EUR. SER.</t>
  </si>
  <si>
    <t>No. 10</t>
  </si>
  <si>
    <t>97-174</t>
  </si>
  <si>
    <t>The proliferation of sources of MW/RF energies over much of the world has given rise to substantial interest and concern at the international level. Sources of MW/RF energy include installations used for military applications and equipment used for radar, for communications (as broadcasting antennas for AM, FM, VHF and UHF transmissions) and for MW/RF heating. All of these, except the last named, are likely to be located in areas of high population density. Sources are used in industrial and medical applications, and by consumers in the home. Applications are being contemplated which could benefit inhabitants of one country, but could potentially elevate levels of environmental exposure for those of other countries. These considerations lead to the following conclusions and recommendations. 1. The development of new and additional sources of MW/RF exposure should be carefully followed and monitored. Consistent with conservative public health practice, effects should be made to minimize the impact of these sources on man and his environment. 2. Similar attention should be given to efforts to minimize the impact of existing sources on the environment. Voluntary action in this direction may avoid the necessity for mandatory regulation. 3. Continued attention should be given to the development of instrumentation and to the standardization of measurement techniques for the evaluation and monitoring of MW and RF fields. 4. Greater attention should be given to the investigation of fundamental interactions of MW/RF energy with biological systems. 5. Our understanding of the biological effects and health implications of MW radiation is not complete. While knowledge has expanded substantially in recent years, we are still limited because information is available only for a limited range of frequencies and is lacking on the effects of repetitive and chronic exposure, and on the dose and frequency dependence of effects in biological systems. 6. A multidisciplinary approach to research is essential, and appropriate training should be encouraged. 7. With respect to RF radiation, as defined here, our knowledge of the biological effects and health implications is very limited. Greater international efforts to increase knowledge in these areas is urgently needed. 8. Public concern throughout the world has steadily mounted over exposure to MW/RF energy. Conflicting approaches to the control and regulation of MW/RF devices, and sources of exposure in the environment, have been adopted in various countries. Very few countries have promulgated exposure standards for occupational and general population exposure, or emission standards for sources of exposure. Where such standards exist, they differ widely from one country to another. The scientific basis and rationale for the development of standards should be developed and made available. 9. International scientific exchange, cooperation and interaction at all levels must be promoted. Authoritative, prompt and complete translations of scientific literature should be made generally available. 10. International cooperation in the development of compatible standards should be encouraged.</t>
  </si>
  <si>
    <t>['voluntary action', 'various countries', 'urgently needed', 'uhf transmissions', 'substantial interest', 'still limited', 'steadily mounted', 'standards exist', 'similar attention', 'scientific literature', 'scientific basis', 'rf radiation', 'rf heating', 'rf fields', 'rf exposure', 'rf energy', 'rf energies', 'rf devices', 'recent years', 'one country', 'mw radiation', 'multidisciplinary approach', 'military applications', 'medical applications', 'measurement techniques', 'mandatory regulation', 'made available', 'limited range', 'levels must', 'last named', 'international level', 'international cooperation', 'increase knowledge', 'health implications', 'greater attention', 'given rise', 'fundamental interactions', 'frequency dependence', 'following conclusions', 'expanded substantially', 'existing sources', 'equipment used', 'environmental exposure', 'emission standards', 'differ widely', 'continued attention', 'considerations lead', 'conflicting approaches', 'complete translations', 'compatible standards', 'chronic exposure', 'carefully followed', 'broadcasting antennas', 'biological systems', 'biological effects', 'appropriate training', 'additional sources']</t>
  </si>
  <si>
    <t>2-s2.0-0020419548</t>
  </si>
  <si>
    <t>10.1016/0040-8166(82)90039-8</t>
  </si>
  <si>
    <t>Contacts of pore tubules and sensory dendrites in antennal chemosensilla of a silkmoth: Demonstration of a possible pathway for olfactory molecules</t>
  </si>
  <si>
    <t>Keil T.</t>
  </si>
  <si>
    <t>Keil, Thomas A.</t>
  </si>
  <si>
    <t>Tissue and Cell</t>
  </si>
  <si>
    <t>451-462</t>
  </si>
  <si>
    <t>Antennal olfactory hairs of Antheraea polyphemus were investigated by means of transmission electron microscopy. Adequate preservation of dendrites and extracellular pore tubules is obtained by mechanical opening of the hair lumen and subsequent chemical fixation. The dendritic membrane has a cell coat. The dendrites contain microfilamentous structures in addition to their cytoplasmatic microtubules. The extracellular pore tubules traverse the hair cuticle and reach into the hair lumen for maximally 350 nm. Their diameter varies between 20 and 40 nm, depending on the preparation method. They consist of an electron-dense wall and an electron-lucent core. The wall has a helical substructure and is covered with a fuzzy coat. Contacts of pore tubules and dendritic membranes occur wherever dendrites are near the inner surface of the hair cuticle. Some of the pore tubules terminate approximately at right angles on the dendritic membrane, others lie against the membrane. The contact seems to be made via the surface coats of the tubules and the membrane. The structure of pore tubules which had been negatively stained with uranyl acetate is similar to the conventionally thin-sectioned material. The observations provide support for earlier assumptions that pore tubules are the pathways by which odor molecules reach the dendritic membrane. ¬© 1982.</t>
  </si>
  <si>
    <t>olfactory sensilla | pore tubules | Silkmoth</t>
  </si>
  <si>
    <t>['¬© 1982', 'uranyl acetate', 'surface coats', 'sectioned material', 'right angles', 'preparation method', 'pore tubules', 'others lie', 'negatively stained', 'mechanical opening', 'made via', 'lucent core', 'inner surface', 'helical substructure', 'hair lumen', 'hair cuticle', 'fuzzy coat', 'earlier assumptions', 'diameter varies', 'dense wall', 'dendritic membrane', 'cytoplasmatic microtubules', 'conventionally thin', 'contact seems', 'cell coat', 'antheraea polyphemus', 'adequate preservation', '40 nm']</t>
  </si>
  <si>
    <t>2-s2.0-0020408196</t>
  </si>
  <si>
    <t>10.11280/gee1973b.24.1526</t>
  </si>
  <si>
    <t>Endoscopic microwave-tissue-coagulation method</t>
  </si>
  <si>
    <t>Tabuse K.</t>
  </si>
  <si>
    <t>Wakayama Medical University</t>
  </si>
  <si>
    <t>Wakayama</t>
  </si>
  <si>
    <t>Tabuse, Katsuyoshi;Katsumi, Masaharu;Kobayashi, Yasuhito;Nagai, Yugo;Noguchi, Hiroyuki;Egawa, Hiromu;Aoyama, Osamu</t>
  </si>
  <si>
    <t>7003718456;7006551578;35395131800;35419810000;55525607400;7103002868;6508020737</t>
  </si>
  <si>
    <t>60024116;60024116;60024116;60024116;60024116;60024116;60024116</t>
  </si>
  <si>
    <t>Gastroenterological Endoscopy</t>
  </si>
  <si>
    <t>1526-1535</t>
  </si>
  <si>
    <t>We studied to explore the possibility of combining our technique of microwave tissue coagulation (MTC) with endoscopy and applying this combined technique clinically for treatment of upper gastrointestinal bleeding and gastric cancer. The findings of the experiment using mongrel are briefly described as follows: 1) The maximum diameter of blood vessels that could be coagulated was 2 mm. 2) Vascular tissues were not carbonized by MTC. 3) The coagulated perivascular zone was within 3 mm in width. 4) A coagulation necrosis or thermal wound of 3 mm in width produced by MTC in the gastric wall healed in two weeks. 5) A similar wound of less than 8 mm produced in the focal area of ULII (ulcer involving the submucosa) de in four weeks. Our experiences with MTC suggest that a combination of MTC and endoscopy is useful for ceasing hemorrhage from the upper digestive tract or malignant tumors of the stomach by means of coagulating and necrotizing the involved tissues. Our microwave tissue coagulator has distinctive characteristics which permit clear distinction from an electrocautery or a laser coagulator in its usage: the tip of its monopolar antenna is punctioned into the tissue. Therefore, the target tissue can be coagulated accurately with our tissue coagulator as compared with either an electrocautery which is applied decumbently or a laser which does not contact with the target tissue. The characteristics of our device are brief as follows: 1) The lenght of the antenna is variable. 2) The power output can be modulated. 3) A coaxial cable of suitable thickness can be selected. As stated above, MTC is a new technique that can be easily and safely used in endoscopic surgery. ¬© 1982, Japan Gastroenterological Endoscopy Society. All rights reserved.</t>
  </si>
  <si>
    <t>['¬© 1982', 'width produced', 'vascular tissues', 'ulcer involving', 'two weeks', 'tissue coagulator', 'thermal wound', 'target tissue', 'suitable thickness', 'similar wound', 'safely used', 'rights reserved', 'power output', 'new technique', 'mtc suggest', 'monopolar antenna', 'maximum diameter', 'malignant tumors', 'laser coagulator', 'involved tissues', 'gastric cancer', 'four weeks', 'focal area', 'endoscopic surgery', 'distinctive characteristics', 'coaxial cable', 'coagulation necrosis', 'coagulated accurately', 'ceasing hemorrhage', 'briefly described', 'blood vessels', 'applied decumbently', '3 mm', '2 mm']</t>
  </si>
  <si>
    <t>2-s2.0-0020389506</t>
  </si>
  <si>
    <t>POTENTIAL DIRECTIONAL PROPERTIES AND ATTENUATION OF THE FIELD IN THE UMBRAL ZONE OF AN ANTENNA.</t>
  </si>
  <si>
    <t>Polishchuk I.</t>
  </si>
  <si>
    <t>Polishchuk, I. M.</t>
  </si>
  <si>
    <t>67-72</t>
  </si>
  <si>
    <t>Potential capabilities of an antenna are discussed from the point of view of its directional properties and its electromagnetic compatibility. The antenna is represented by a model which takes into account rigorously its properties as a diffracting system.</t>
  </si>
  <si>
    <t>['potential capabilities', 'electromagnetic compatibility', 'directional properties', 'diffracting system', 'account rigorously']</t>
  </si>
  <si>
    <t>2-s2.0-0020389288</t>
  </si>
  <si>
    <t>Utilization of an NNSS receiver in the explosion on seismic experiments on the Prince Olav coast, east Antarctica. 2. positioning.</t>
  </si>
  <si>
    <t>Shibuya K.</t>
  </si>
  <si>
    <t>Shibuya, K.;Ito, K.;Kaminuma, K.</t>
  </si>
  <si>
    <t>57193979194;57225859701;7003459177</t>
  </si>
  <si>
    <t>Antarctic Record</t>
  </si>
  <si>
    <t>73-88</t>
  </si>
  <si>
    <t>Performance tests of a one-wave (400 MHz) NNSS receiver and a two-wave (150 MHz and 400 MHz) NNSS receiver, made at Showa Station, are reported. In explosion seismic experiments by the 21st Japanese Antarctic Research Expedition, three-dimensional positioning of most of the seismic stations was made within 15 days by receiving 3-25 passes at each station. There was a difference of 20-40 m between the antenna height and the elevation for most of the seismic stations. The difference between the antenna height and the elevation gives the approximate geoid height, and the obtained values in this region of Prince Olav Coast are consistent with the geoid map obtained by the SEASAT altimetry data. In order to obtain convergent procedures of better than 10 m accuracy of the three-dimensional positioning, it is necessary to make more detailed analyses by using a number of broadcasted and/or precise ephemerides. -from Current Antarctic Literature</t>
  </si>
  <si>
    <t>['showa station', 'seismic stations', 'receiving 3', 'precise ephemerides', 'performance tests', 'obtained values', 'nnss receiver', 'elevation gives', 'dimensional positioning', 'detailed analyses', 'antenna height', '400 mhz', '25 passes', '150 mhz']</t>
  </si>
  <si>
    <t>2-s2.0-0020388485</t>
  </si>
  <si>
    <t>ORBITING MOLY ANTENNAS TO TRACK SATELLITES.</t>
  </si>
  <si>
    <t>Molybdenum mosaic</t>
  </si>
  <si>
    <t>The concept of using molybdenum metal as structural material for large space antennas in orbiting satellites has been successfully tested, and the first in a new series of tracking and data relay satellites utilizing these antennas is scheduled for launch. The satellites, four in all, will eventually replace the current ground-based NASA space-tracking network. Their function will be to help keep track of the thousands of satellites and assorted pieces of space debris that orbit the Earth. The new antennas will consist of dishes made from extremely fine gold-plated molybdenum metal mesh, stretched over graphite-epoxy ribs. The high performance of these antennas is demonstrated.</t>
  </si>
  <si>
    <t>['tracking network', 'successfully tested', 'structural material', 'space debris', 'orbiting satellites', 'new series', 'new antennas', 'high performance', 'eventually replace', 'epoxy ribs', 'dishes made', 'current ground', 'assorted pieces']</t>
  </si>
  <si>
    <t>2-s2.0-0020386876</t>
  </si>
  <si>
    <t>TEST RECEIVER ESV AND FIELD-STRENGTH METER HUF COVER 20 TO 1000 MHz.</t>
  </si>
  <si>
    <t>Danzeisen K.</t>
  </si>
  <si>
    <t>Danzeisen, Klaus</t>
  </si>
  <si>
    <t>Rohde &amp; Schwarz has extended its universal test-receiver line with the VHF-UHF Test Receiver ESV, which offers dynamic range well up to current requirements and even beyond. It can be combined with suitable antennas for the frequency range 20 to 1000 MHz to form the Field-strength Meter HUF for standard measurement of signal and interference field strength.</t>
  </si>
  <si>
    <t>['universal test', 'suitable antennas', 'standard measurement', 'receiver line', 'even beyond', 'current requirements', '1000 mhz']</t>
  </si>
  <si>
    <t>2-s2.0-0020354899</t>
  </si>
  <si>
    <t>10.2307/2425392</t>
  </si>
  <si>
    <t>Behavioral and morphological correlates of male dominance and courtship persistence in the blister beetle Epicauta pennsylvania ( Coleoptera: Meloidae).</t>
  </si>
  <si>
    <t>McLain D.</t>
  </si>
  <si>
    <t>Emory University</t>
  </si>
  <si>
    <t>Atlanta</t>
  </si>
  <si>
    <t>McLain, D. K.</t>
  </si>
  <si>
    <t>American Midland Naturalist</t>
  </si>
  <si>
    <t>396-403</t>
  </si>
  <si>
    <t>All encounters between males of E. pennsylvanica involve a fight or chase. Large males generally force smaller males to retreat. Large males are more persistent in courtship and more successful at obtaining mates. Male courtship persistence and success also correlated with the diameter of the antennae, a sexually selected character. There is a positive linear association between male and female weight for mating pairs. -from Author</t>
  </si>
  <si>
    <t>['pennsylvanica involve', 'obtaining mates', 'mating pairs', 'large males', 'female weight']</t>
  </si>
  <si>
    <t>2-s2.0-0020350217</t>
  </si>
  <si>
    <t>USE OF THE BIVARIATE FAST FOURIER TRANSFORM ALGORITHM FOR PROCESS OF INFORMATION RECEIVED FROM A LINEAR ARRAY ANTENNA.</t>
  </si>
  <si>
    <t>Gusev V.</t>
  </si>
  <si>
    <t>Gusev, V. G.;Loskutova, G. V.</t>
  </si>
  <si>
    <t>7202673450;6602488647</t>
  </si>
  <si>
    <t>78-82</t>
  </si>
  <si>
    <t>It is shown that a method for use of the algorithm of a bivariate fast Fourier transform in processing of information received from a linear array antenna follows from the procedure of space-time processing of two-dimensional Fourier images (in time and in space) of the field realization present at the elements of the array. A comparative analysis is made of the methods of determining the directivity characteristic of the antenna in the regions of time, and coordinate of the element; frequency and coordinate of the elements, and frequency and wave numbers.</t>
  </si>
  <si>
    <t>['wave numbers', 'time processing', 'information received', 'directivity characteristic', 'comparative analysis']</t>
  </si>
  <si>
    <t>2-s2.0-0020343613</t>
  </si>
  <si>
    <t>AUTOMATIC VHF AND UHF FILTERS FOR TRANSMITTING AND RECEIVING SYSTEMS.</t>
  </si>
  <si>
    <t>Lange W.</t>
  </si>
  <si>
    <t>Lange, Wolf Ruediger;Lex, Franz</t>
  </si>
  <si>
    <t>7201591009;6506010854</t>
  </si>
  <si>
    <t>28-29</t>
  </si>
  <si>
    <t>With the automatically tunable VHF and UHF filters FU 214 and FD 213 as well as the combined VHF-UHF filter FT 213, Rohde &amp; Schwarz has developed a series of filters for optimal adaptation to different requirements in the low- and medium-power range (50 w AM, 100 w FM). The filters are equally suited for use as transmitting or receiving filters and so they can also be operated in transceivers on a transmitting/receiving antenna.</t>
  </si>
  <si>
    <t>['receiving filters', 'receiving antenna', 'power range', 'optimal adaptation', 'fd 213', 'equally suited', 'different requirements', 'combined vhf', '50 w']</t>
  </si>
  <si>
    <t>2-s2.0-0020343611</t>
  </si>
  <si>
    <t>HF ANTENNA SYSTEM AK 501 FOR MOBILE USE.</t>
  </si>
  <si>
    <t>Stark A.</t>
  </si>
  <si>
    <t>Stark, Axel</t>
  </si>
  <si>
    <t>The HF antenna system AK 501 is optimally tailored to the propagation conditions in the medium- and shortwave range of 1. 5 to 30 MHz. By directed use of ground-wave transmission as well as high-angle and flat-angle radiation, the AK 501 permits radiocommunication to any point of the earth. Since the antenna can be erected or disassembled in ten minutes and requires little storage space, it is suitable for a wide range of applications and can be moved speedily from one location to another.</t>
  </si>
  <si>
    <t>['wide range', 'wave transmission', 'ten minutes', 'shortwave range', 'propagation conditions', 'optimally tailored', 'one location', 'moved speedily', 'directed use', 'angle radiation', '30 mhz']</t>
  </si>
  <si>
    <t>2-s2.0-0020342443</t>
  </si>
  <si>
    <t>ACTIVE ANTENNAS HE013 AND HE015 FOR 10 kHz TO 80 MHz.</t>
  </si>
  <si>
    <t>17-19</t>
  </si>
  <si>
    <t>The new Active Antenna Systems HE013 and H015 receive horizontally and vertically polarized waves in the entire azimuth and elevation ranges over short and worldwide distances and at frequencies from 10 kHz to 80 MHz. The HE013 is primarily intended for operation with a diversity switchover unit; the HE015 guarantees optimal reception without additional equipment due to its broadband 90 degree coupler for the horizontal dipoles.</t>
  </si>
  <si>
    <t>['worldwide distances', 'primarily intended', 'horizontal dipoles', 'entire azimuth', 'elevation ranges', '80 mhz', '10 khz']</t>
  </si>
  <si>
    <t>2-s2.0-0020332179</t>
  </si>
  <si>
    <t>10.1109/TBME.1982.324938</t>
  </si>
  <si>
    <t>Blood Flow Effects on the Temperature Distributions from an Invasive Microwave Antenna Array Used in Cancer Therapy</t>
  </si>
  <si>
    <t>Strohbehn J.</t>
  </si>
  <si>
    <t>60030443;60001844</t>
  </si>
  <si>
    <t>Thayer School of Engineering at Dartmouth;Dartmouth-Hitchcock Medical Center</t>
  </si>
  <si>
    <t>Hanover;Lebanon</t>
  </si>
  <si>
    <t>Strohbehn, John W.;Trembly, B. Stuart;Douple, Evan B.</t>
  </si>
  <si>
    <t>7005534211;7003830659;7003894176</t>
  </si>
  <si>
    <t>60030443;60030443;60001844</t>
  </si>
  <si>
    <t>IEEE Transactions on Biomedical Engineering</t>
  </si>
  <si>
    <t>BME-29</t>
  </si>
  <si>
    <t>649-661</t>
  </si>
  <si>
    <t>In recent years, there has been renewed interest in the use of subtle heating (hyperthermia) in the temperature range of 42-45¬∞C in the cure and control of cancer. This paper studies the effects of blood perfusion rates on the temperature distributions produced by an array of invasive microwave antennas. The antennas are small linear antennas with diameters of less than 1 mm that can be inserted into tumors through hypodermic needles or catheters. The study is based on numerically solving the bioheat equation using the alternating direction implicit method. The numerical study is based on a two-dimensional model and assumes homogeneous tissue properties. The results indicate that if the blood flow rate is equal to or less than that in resting muscle there should not be large differences compared to the case of no blood flow. However, for blood flow rates ten times that in resting muscle, e.g., in brain, kidney, or active muscle, the temperature distributions are significantly altered. The effects of frequency, antenna number ands pacing, and tissue properties are also studied. Copyright ¬© 1982 by The Institute of Electrical and Electronics Engineers, Inc.</t>
  </si>
  <si>
    <t>['tissue properties', 'temperature range', 'temperature distributions', 'subtle heating', 'significantly altered', 'results indicate', 'resting muscle', 'renewed interest', 'recent years', 'paper studies', 'numerically solving', 'numerical study', 'hypodermic needles', 'g .,', 'electronics engineers', 'dimensional model', 'blood flow', 'also studied', 'active muscle', '1 mm']</t>
  </si>
  <si>
    <t>2-s2.0-0020332146</t>
  </si>
  <si>
    <t>10.1080/00050326.1982.10434944</t>
  </si>
  <si>
    <t>Studying The Tectonics Of Australia By Satellite Laser Ranging</t>
  </si>
  <si>
    <t>Stolz A.</t>
  </si>
  <si>
    <t>UNSW Sydney</t>
  </si>
  <si>
    <t>Sydney</t>
  </si>
  <si>
    <t>Australia</t>
  </si>
  <si>
    <t>Stolz, A.;Masters, E. G.</t>
  </si>
  <si>
    <t>7004956528;7003704145</t>
  </si>
  <si>
    <t>60028333;60028333</t>
  </si>
  <si>
    <t>Australian Surveyor</t>
  </si>
  <si>
    <t>34-44</t>
  </si>
  <si>
    <t>To study the tectonic deformation of the earth‚Äôs crust, geophysicists would like intercontinental distances measured with an accuracy of a centimetre. The average movement of the tectonic plates is typically a few centimetres a year ‚Äî or about as fast as your toenails grow. Classical gound-based geodetic surveying methods are impractical for measuring the relative position and movement of points on the earth‚Äôs surface over distances ranging from about 100 km to many thousands of kilometres. Recent developments in very-long-baseline interferometry (VLBI) and laser ranging, using quasars and orbiting satellites, appear to be putting these ultra-modern positionfixing techniques within striking distance of this extraordinary accuracy. Geodetic VLB1 has not been actively pursued in Australia; however, the use of available antennae to form an array for crustal motion and other studies is now being explored. On the other hand, laser ranging is firmly established and this article describes Australian plans for the measurement of tectonic plate motion by laser ranging to the LAGEOS satellite. Surveyors feature prominently in the experiment. ¬© 1982 Taylor &amp; Francis Group, LLC.</t>
  </si>
  <si>
    <t>['using quasars', 'toenails grow', 'tectonic plates', 'tectonic deformation', 'relative position', 'recent developments', 'orbiting satellites', 'many thousands', 'laser ranging', 'lageos satellite', 'geodetic vlb1', 'francis group', 'firmly established', 'extraordinary accuracy', 'distances ranging', 'crustal motion', 'classical gound', 'baseline interferometry', 'average movement', 'available antennae', 'actively pursued', '100 km']</t>
  </si>
  <si>
    <t>ARC</t>
  </si>
  <si>
    <t>Australian Research Council</t>
  </si>
  <si>
    <t>2-s2.0-0020330881</t>
  </si>
  <si>
    <t>10.1109/TMTT.1982.1131359</t>
  </si>
  <si>
    <t>Open-Ended Circular Waveguide with a Curved Corrugated Disk at its Aperture as a Diathermy Applicator</t>
  </si>
  <si>
    <t>Neelakantaswamy P.</t>
  </si>
  <si>
    <t>National University of Singapore</t>
  </si>
  <si>
    <t>Singapore City</t>
  </si>
  <si>
    <t>Singapore</t>
  </si>
  <si>
    <t>Neelakantaswamy, Perambur S.;Rajaratnam, Arthur</t>
  </si>
  <si>
    <t>7005976960;6603044207</t>
  </si>
  <si>
    <t>60017161;60017161</t>
  </si>
  <si>
    <t>IEEE Transactions on Microwave Theory and Techniques</t>
  </si>
  <si>
    <t>2005-2008</t>
  </si>
  <si>
    <t>A direct-contact type of diathermy applicator consisting of an open-ended circular waveguide loaded with a curved (concave) corrugated disk at its aperture is described. The waveguide is dimensioned to support the dominant TE11 mode. Performance characteristics of this applicator are compared with those of an identical structure having a flat corrugated disk at the aperture rim [1]. Also, the superiority of the proposed applicator in respect of improved beam symmetry and reduced edge-diffraction effect (leakage) is indicated. Experimental results on the near-field distributions in the principal planes of a test applicator are presented and are compared with relevant results obtained from a flat-disk loaded applicator [1] of identical dimensions. Also, to get improved input VSWR performance (VSWR less than 1.6), off-setting the corrugated disk (flat or curved) behind the aperture is suggested and is also demonstrated experimentally. Furthermore, as a design flexibility and to simplify fabrication, filling the corrugation grooves with a suitable dielectric material is suggested and explained. Lastly, the feasibility of using a simple corrugated circular waveguide as an alternative direct-contact type of applicator is discussed. Copyright ¬© 1982 by The Institute of Electrical and Electronics Engineers, Inc.</t>
  </si>
  <si>
    <t>['vswr less', 'test applicator', 'simplify fabrication', 'reduced edge', 'proposed applicator', 'principal planes', 'performance characteristics', 'identical structure', 'identical dimensions', 'field distributions', 'experimental results', 'electronics engineers', 'diffraction effect', 'design flexibility', 'corrugation grooves', 'corrugated disk', 'contact type', 'aperture rim', 'alternative direct', '6 ),', '1 ].']</t>
  </si>
  <si>
    <t>2-s2.0-0020330789</t>
  </si>
  <si>
    <t>10.1175/1520-0450(1982)021&lt;1865:ABPADW&gt;2.0.CO;2</t>
  </si>
  <si>
    <t>Antenna beam patterns and dual-wavelength processing.</t>
  </si>
  <si>
    <t>Rinehart R.</t>
  </si>
  <si>
    <t>National Center for Atmospheric Research</t>
  </si>
  <si>
    <t>Boulder</t>
  </si>
  <si>
    <t>Rinehart, R. E.;Tuttle, J. D.</t>
  </si>
  <si>
    <t>7005175585;7102609291</t>
  </si>
  <si>
    <t>60021243;60021243</t>
  </si>
  <si>
    <t>Journal of Applied Meteorology</t>
  </si>
  <si>
    <t>1865-1880</t>
  </si>
  <si>
    <t>The detection of hail with a dual-wavelength radar system can succeed only when the two essentially independent radars used are correctly calibrated, when attenuation is correctly handled, and when the radars sample the same volume in space. The primary point of this paper is to examine the effects of mismatched antenna beam patterns on dual-wavelength processing. We examine and develop techniques to handle calibration problems, range differences, scan-rate-dependent pointing errors, and attenuation.-from Authors</t>
  </si>
  <si>
    <t>['wavelength processing', 'range differences', 'radars sample', 'primary point', 'develop techniques', 'correctly handled', 'correctly calibrated', 'attenuation .-']</t>
  </si>
  <si>
    <t>2-s2.0-0020330552</t>
  </si>
  <si>
    <t>10.1080/16070658.1982.11689281</t>
  </si>
  <si>
    <t>Radiofrequency-induced hyperthermia in the prostate</t>
  </si>
  <si>
    <t>Scheiblich J.</t>
  </si>
  <si>
    <t>Airbus Group SE</t>
  </si>
  <si>
    <t>Leiden</t>
  </si>
  <si>
    <t>Scheiblich, J.;Petrowicz, O.</t>
  </si>
  <si>
    <t>6508304206;6701365740</t>
  </si>
  <si>
    <t>60002286;60002286</t>
  </si>
  <si>
    <t>203-209</t>
  </si>
  <si>
    <t>A high frequency radiator has been developed for the treatment of prostate cancer by hyperthermia. The applicator produces a deep seated hot spot. The radiator has an outer diameter of 20 mm and an insertable length of about 175 mm. A high frequency cylindrical slot antenna inside the applicator is cooled by water. The frequency used is 433.9 MHz, one of the frequencies allowed for medical therapy in the F.R.G. A control system regulating the power output of the radiator avoids damage to the tissue around the prostate, especially the rectum mucosa and the tissue between rectum and prostate. About 60 experiments with male dogs proved that local heating of the prostate is possible with the help of the developed applicator without any damage in the surrounding tissue.</t>
  </si>
  <si>
    <t>['tissue around', 'surrounding tissue', 'rectum mucosa', 'prostate cancer', 'power output', 'outer diameter', 'medical therapy', 'local heating', 'insertable length', 'frequency used', 'frequencies allowed', 'applicator produces', '9 mhz', '60 experiments', '20 mm', '175 mm']</t>
  </si>
  <si>
    <t>2-s2.0-0020330314</t>
  </si>
  <si>
    <t>10.1080/01431168208948411</t>
  </si>
  <si>
    <t>Measurements of ocean surface spectrum from an aircraft using the two-frequency microwave resonance technique</t>
  </si>
  <si>
    <t>Johnson J.W.</t>
  </si>
  <si>
    <t>60029304;60015623;60000854</t>
  </si>
  <si>
    <t>Hofstra University;General Electric Company;NASA Langley Research Center</t>
  </si>
  <si>
    <t>Hempstead;Boston;Hampton</t>
  </si>
  <si>
    <t>Johnson, J. W.;Weissman, D. E.;Jones, W. L.</t>
  </si>
  <si>
    <t>7406818675;7102689456;16499175700</t>
  </si>
  <si>
    <t>60000854;60029304;60015623</t>
  </si>
  <si>
    <t>International Journal of Remote Sensing</t>
  </si>
  <si>
    <t>383-407</t>
  </si>
  <si>
    <t>This paper reports on the results of a two-frequency (‚àÜk) microwave radar experiment for measuring the spectral characteristics of the large-scale ocean surface gravity waves from an aircraft. The experiment was conducted as part of the 1979 Maritime Remote Sensing (MARSEN) project. A coherent K.U-band radar was used to study the Bragg type resonance matching of the electromagnetic wavelength at the difference frequency (‚àÜ∆í) to the length of the surface waves. The spatial spectrum of the surface reflectivity modulation was then computed from the measurements as the value of ‚àÜ∆íwas varied over a matching range of 15-300 m in surface wavelength. The strength and Doppler behaviour of individual resonances has been evaluated and modulation spectra have been produced from two data flights, with different surface conditions, at three altitudes, and for three flight paths-upwave, downwave and crosswave. Aircraft laser measurements of the one-dimensional surface profile spectrum were used in interpreting the radar data. In addition, a one-dimensional theoretical analysis of the M resonance response iliat includes the effects of the antenna gain pattern and surface illumination parameters has been developed. The MARSEN results show strong resonances with consistent Doppler features and modulation spectra that agree well with the theory, surface truth and earlier stationary platform experimental results. ¬© 1982 Taylor &amp; Francis Ltd.</t>
  </si>
  <si>
    <t>['three altitudes', 'surface waves', 'surface wavelength', 'surface truth', 'spectral characteristics', 'spatial spectrum', 'radar data', 'paper reports', 'modulation spectra', 'matching range', 'individual resonances', 'francis ltd', 'electromagnetic wavelength', 'doppler behaviour', 'coherent k', 'band radar', 'agree well']</t>
  </si>
  <si>
    <t>2-s2.0-0020330129</t>
  </si>
  <si>
    <t>10.1080/16070658.1982.11689289</t>
  </si>
  <si>
    <t>LACK OF MUTAGENIC EFFECTS ON CONIDIA OF ASPERGILLUS AMSTELODAMI IRRADIATED BY 8. 7175-GHz cw MICROWAVES.</t>
  </si>
  <si>
    <t>Dhahi S.J.</t>
  </si>
  <si>
    <t>Dhahi, S. J.;Habash, R. W.Y.;Al-Hafid, H. T.</t>
  </si>
  <si>
    <t>7801627095;8052598700;6602547430</t>
  </si>
  <si>
    <t>345-351</t>
  </si>
  <si>
    <t>Conidial suspensions of Aspergillus amstelodami were exposed to 8. 7175-GHz cw microwaves in the near field of a horn antenna. Conidia were irradiated for 3- and 6-hour time intervals and at a temperature ranging between 28 and 30 degree C. The density of microwave power incident on the suspension was 2. 09 mw/cm**2. Two types of mutant, conidial color variants and 8-azaguanine resistant mutants, were looked for. The treatment produced no significant change in the frequencies at which the two classes of mutant were recovered among the survivors as compared with their frequencies from the untreated conidial suspension. Doubling the exposure time did not alter the outcome.</t>
  </si>
  <si>
    <t>['two types', 'two classes', 'treatment produced', 'temperature ranging', 'significant change', 'recovered among', 'near field', 'horn antenna', 'exposure time', 'conidial suspensions', 'aspergillus amstelodami', '09 mw']</t>
  </si>
  <si>
    <t>2-s2.0-0020329569</t>
  </si>
  <si>
    <t>Monitoring microwave and radiofrequency sources in the workplace</t>
  </si>
  <si>
    <t>Repacholi M.</t>
  </si>
  <si>
    <t>Environmental Health Centre Ottawa</t>
  </si>
  <si>
    <t>Ottawa</t>
  </si>
  <si>
    <t>Repacholi, M. H.</t>
  </si>
  <si>
    <t>Giornale Italiano di Medicina del Lavoro</t>
  </si>
  <si>
    <t>43-47</t>
  </si>
  <si>
    <t>Occupational exposure to microwave and radiofrequency (RF) radiation occurs in various industrial processes, commercial operations and clinical procedures. In many cases, exposures take place in the near field, thus measurements of both the electric and magnetic field are necessary. From survey of microwave and radiofrequency equipment used in industry, it would appear that greatest occupational exposure comes from industrial heating devices, predominantly dielectric (RF) heaters. Broadcast towers or radar installations where maintenance personnel must either climb towers close to the antennas or repair equipment while it is operating also constitute a potential problem. Industrial welding devices have received few safety surveys. Much more information is needed on the strengths and extent of fields given off from these devices before any assessment can be made of the exposure received by operators. Operators and maintenance personnel of medical diathermy equipment, operating at frequencies around 27 MHz, are exposed to significant radiofrequency fields from both the diathermy applicators and RF cables. In this presentation is given a brief outline of the basic characteristics of microwave and radiofrequency survey instrumentation needed for studying occupational exposure and an indication of what action can be taken to prevent such exposures.</t>
  </si>
  <si>
    <t>['would appear', 'thus measurements', 'safety surveys', 'rf cables', 'repair equipment', 'radiation occurs', 'radar installations', 'predominantly dielectric', 'potential problem', 'occupational exposure', 'near field', 'many cases', 'maintenance personnel', 'magnetic field', 'fields given', 'exposure received', 'diathermy applicators', 'commercial operations', 'clinical procedures', 'broadcast towers', 'brief outline', 'basic characteristics']</t>
  </si>
  <si>
    <t>2-s2.0-0020329381</t>
  </si>
  <si>
    <t>10.1016/0040-8166(82)90015-5</t>
  </si>
  <si>
    <t>The sarcoplasmic reticulum of an ultrafast lobster muscle: First evidence of a tubular configuration</t>
  </si>
  <si>
    <t>Scales D.</t>
  </si>
  <si>
    <t>60023586;60014653</t>
  </si>
  <si>
    <t>University of the Pacific Arthur A. Dugoni School of Dentistry;University of Maryland, Baltimore (UMB)</t>
  </si>
  <si>
    <t>San Francisco;Baltimore</t>
  </si>
  <si>
    <t>Scales, Donald J.;Kidd, Parris;Yasumura, Thomas;Inesi, Giuseppe</t>
  </si>
  <si>
    <t>7003898571;56353641800;36941873000;7103337976</t>
  </si>
  <si>
    <t>60023586-60014653;60023586;60023586-60014653;60014653</t>
  </si>
  <si>
    <t>163-170</t>
  </si>
  <si>
    <t>The sarcoplasmic reticulum (SR) of the remarkably fast remotor muscle of lobster second antenna was investigated with regard to ultrastructure, calcium uptake and protein composition. The SR of this unique muscle dominates the volume of the cell. We were able to preserve the configuration of the SR in its native state simply by processing the muscle for electron microscopy at 0-4 ¬∞C. For the first time the SR is seen as large (0.1 Œºm diam.) tubules that crowd the space between myofibrils. Previous observations of this organelle have been reported that showed a rather unsatisfying discontinuous vesicular configuration of the SR. This report indicates that these structures were fixation artifacts. The uptake of calcium measured in a microsomal subfraction in the presence of ATP and oxalate does not differ significantly from similar experiments with vertebrate SR. However, gel electrophoresis of lobster SR demonstrates a single intrinsic Ca-ATPase protein of 100,000 mol. wt. with neither of the typical lower molecular weight proteins found in vertebrate SR. ¬© 1982.</t>
  </si>
  <si>
    <t>biochemistry | Lobster | physical fixation | sarcoplasmic reticulum | T system | ultrafast muscle</t>
  </si>
  <si>
    <t>['¬© 1982', 'vertebrate sr', 'similar experiments', 'sarcoplasmic reticulum', 'report indicates', 'protein composition', 'previous observations', 'microsomal subfraction', 'gel electrophoresis', 'fixation artifacts', 'first time', 'electron microscopy', 'differ significantly', 'calcium uptake', 'calcium measured', 'atpase protein', '000 mol']</t>
  </si>
  <si>
    <t>USPHS</t>
  </si>
  <si>
    <t>U.S. Public Health Service</t>
  </si>
  <si>
    <t>2-s2.0-0020318359</t>
  </si>
  <si>
    <t>10.1139/o82-077</t>
  </si>
  <si>
    <t>The structural heterogeneity of the carbohydrate moiety of desialylated human transferrin</t>
  </si>
  <si>
    <t>Marz L.</t>
  </si>
  <si>
    <t>Universitat fur Bodenkultur Wien</t>
  </si>
  <si>
    <t>Vienna</t>
  </si>
  <si>
    <t>Austria</t>
  </si>
  <si>
    <t>Marz, L.;Hatton, M. W.C.;Berry, L. R.;Regoeczi, E.</t>
  </si>
  <si>
    <t>6603941634;7005416355;7102192773;7007020991</t>
  </si>
  <si>
    <t>60024895;60024895;60024895;60024895</t>
  </si>
  <si>
    <t>Canadian Journal of Biochemistry</t>
  </si>
  <si>
    <t>624-630</t>
  </si>
  <si>
    <t>Human transferrin consists of a single chain polypeptide which supports two N-glycosidically linked glycans at sequons a and b. Glycopeptides were released from human transferrin by proteolytic digestion, desialylated by mild acid hydrolysis, and then isolated by chromatographic methods. The structures of the glycans located on each sequon were determined by a combination of analytical techniques including Smith degradation, permethylation, and enzymic degradation. Approximately 79% of the total glycan from sequon a was of the biantennary type as previously described by Dorland and his colleagues (FEBS Lett. 77, 15-20 (1977)). The remaining 21% consisted of a mixture of triantennary and tetraantennary glycans, each amounting to approximately 10% of the total glycan for this sequon. The triantennary structure resembled that described for the N-glucosidic triantennary glycans of bovine fetuin by Nilsson and his colleagues. Of the tetraantennary glycan, approximately half of the structures were incomplete, i.e., one antenna terminated by N-acetylglucosamine. On sequon b, 81% of the glycan was biantennary, identical to those biantennary glycans of sequon a, and the remainder was triantennary, also of the fetuin type. The glycan structures and their locations on the polypeptide are related to the known subpopulations of human transferrin.</t>
  </si>
  <si>
    <t>['total glycan', 'tetraantennary glycans', 'tetraantennary glycan', 'sequon b', 'remaining 21', 'proteolytic digestion', 'previously described', 'known subpopulations', 'human transferrin', 'glycans located', 'glycan structures', 'fetuin type', 'febs lett', 'enzymic degradation', 'chromatographic methods', 'bovine fetuin', 'biantennary type', 'biantennary glycans', 'approximately half', 'approximately 79', 'approximately 10', '1977 )).']</t>
  </si>
  <si>
    <t>2-s2.0-0020313933</t>
  </si>
  <si>
    <t>10.1016/0094-5765(82)90114-X</t>
  </si>
  <si>
    <t>009457658290114X</t>
  </si>
  <si>
    <t>System design and examination of spaceborne microwave rain-scatterometer</t>
  </si>
  <si>
    <t>Okamoto K.</t>
  </si>
  <si>
    <t>60101699;60092258</t>
  </si>
  <si>
    <t>Mitsubishi Electric Corporation;Ministry of Posts and Telecommunications, Japan</t>
  </si>
  <si>
    <t>Tokyo;Koganei</t>
  </si>
  <si>
    <t>Okamoto, Ken'ichi;Ojima, Takeyuki;Yoshikado, Shin;Masuko, Harunobu;Inomata, Hideyuki;Fugono, Nobuyoshi;Sakai, Toshiharu;Okamura, Hiroshi;Tsudo, Masanobu</t>
  </si>
  <si>
    <t>8324800300;7004792965;56265050000;7005158379;7101635472;35605431700;55451733500;7401831848;7003890543</t>
  </si>
  <si>
    <t>60092258;60092258;60092258;60092258;60092258;60092258;60101699;60101699;60101699</t>
  </si>
  <si>
    <t>Acta Astronautica</t>
  </si>
  <si>
    <t>713-721</t>
  </si>
  <si>
    <t>The remote sensing of precipitation, especially rain by the spaceborne weather radar is an important subject which has not been realized. The system design and examination of the spaceborne weather radar which is called as the spaceborne microwave rain-scatterometer are performed by considering user's requirements to observe rain, the restrictions derived from the interface with satellite and the state of the art and the possibility of spaceborne microwave technology. Characteristic parameters for spaceborne microwave rain-scatterometer are determined based on the user's requirements for the system. Functions and performances of each subsystem (antenna, transmitters, receivers and data transmission processor) with the detailed block diagram of the total system of spaceborne microwave rain-scatterometer are shown. All of the critical items of hardware in the development of spaceborne microwave rain-scatterometer are also discussed. ¬© 1982.</t>
  </si>
  <si>
    <t>['¬© 1982', 'total system', 'system design', 'restrictions derived', 'remote sensing', 'observe rain', 'important subject', 'especially rain', 'determined based', 'critical items', 'considering user', 'characteristic parameters', 'also discussed']</t>
  </si>
  <si>
    <t>2-s2.0-0020303292</t>
  </si>
  <si>
    <t>10.1049/ip-h-1.1982.0062</t>
  </si>
  <si>
    <t>MOMENT METHOD ANALYSIS OF A T-SHAPED SLOT RADIATOR IN BIFURCATED WAVEGUIDE.</t>
  </si>
  <si>
    <t>Sangster A.</t>
  </si>
  <si>
    <t>Sangster, A. J.;Lyon, R. W.</t>
  </si>
  <si>
    <t>7007049394;7202865539</t>
  </si>
  <si>
    <t>IEE Proceedings H: Microwaves Optics and Antennas</t>
  </si>
  <si>
    <t>299-306</t>
  </si>
  <si>
    <t>Slot radiators in polarization-selective dual-mode waveguide arrays present an unusual analytical problem in that the apertures may be three dimensional, when a typical slot on the outer face of the waveguide feed is shunted by a perpendicular clearance slot. The paper describes a moment method of analysis of such an aperture and compares the computed results with measurements.</t>
  </si>
  <si>
    <t>['waveguide feed', 'typical slot', 'three dimensional', 'slot radiators', 'selective dual', 'paper describes', 'outer face', 'moment method', 'computed results', 'apertures may']</t>
  </si>
  <si>
    <t>2-s2.0-0020303291</t>
  </si>
  <si>
    <t>10.1049/ip-h-1.1982.0064</t>
  </si>
  <si>
    <t>GEOMETRICAL OPTICAL CHARACTERISTICS OF THE SCHWARZSCHILD SCANNING ANTENNA. COMPARISON WITH THE CASSEGRAIN ANTENNA.</t>
  </si>
  <si>
    <t>Herben M.H.A.J.</t>
  </si>
  <si>
    <t>Herben, M. H.A.J.;van de Sande, J. H.A.W.;Scheeren, P. M.J.;Maanders, E. J.</t>
  </si>
  <si>
    <t>7003821814;7005325778;55911369000;35610223800</t>
  </si>
  <si>
    <t>315-320</t>
  </si>
  <si>
    <t>Possible geometrical configurations of Schwarzschild antenna systems are investigated. Input parameters to a rapid design procedure are the subreflector subtended angle and the blocking ratio. To allow comparison with Cassegrain antennas, simple formulas are developed for the aperture field, the gain factor, co- and crosspolar components of the radiation pattern and the polarization efficiency of the antenna using geometrical optics. The scan properties are investigated for both lateral feed displacement and displacement of the feed over the special locus minimizing the weighted phase error in the aperture plane. Comparison with the focused and defocused properties of the Cassegrain antenna leads to the conclusion that, even without leaving the framework of geometrical optics, there appears to be no reason to prefer the more complicated Schwarzschild antenna system. 19 refs.</t>
  </si>
  <si>
    <t>['simple formulas', 'scan properties', 'radiation pattern', 'polarization efficiency', 'input parameters', 'geometrical optics', 'gain factor', 'defocused properties', 'crosspolar components', 'cassegrain antennas', 'blocking ratio', 'aperture plane', 'aperture field', 'allow comparison', '19 refs']</t>
  </si>
  <si>
    <t>2-s2.0-0020302547</t>
  </si>
  <si>
    <t>QUICK MICROWAVE FIELD MAPPING FOR LARGE ANTENNAS.</t>
  </si>
  <si>
    <t>Collignon G.</t>
  </si>
  <si>
    <t>Collignon, G.;Michel, Y.;Robin, F.;Saint, J.;Bolomey, J. C.</t>
  </si>
  <si>
    <t>6602094297;7005602052;7004564983;6701569139;56796502600</t>
  </si>
  <si>
    <t>129-132</t>
  </si>
  <si>
    <t>In many applications, such as antenna near field probing or microwave imaging, the main problem consists in the measurement of electromagnetic field distributions over large areas. This study deals with the measurement duration and demonstrates fast electromagnetic field recording by using the modulated scattering technique (M. S. T. ). First, the major features of classical solutions are reviewed. These solutions are based mainly on mechanical scan and on an array of probes. Next, the principle of the M. S. T. is given and its particular use for fast probing is considered. The third part is devoted to the description of an S-band experimental set-up and to the discussion of the obtained results. Special attention is given to the measurement speed and accuracy.</t>
  </si>
  <si>
    <t>['third part', 'study deals', 'special attention', 'particular use', 'obtained results', 'microwave imaging', 'mechanical scan', 'measurement speed', 'measurement duration', 'many applications', 'major features', 'large areas', 'fast probing', 'classical solutions', 'based mainly']</t>
  </si>
  <si>
    <t>2-s2.0-0020298349</t>
  </si>
  <si>
    <t>POTENTIAL OF TRANSFER FUNCTION CONTROL OF ROTOR WHIP AND BALANCE.</t>
  </si>
  <si>
    <t>Mahig J.</t>
  </si>
  <si>
    <t>Mahig, Joseph</t>
  </si>
  <si>
    <t>Energia Elettrica</t>
  </si>
  <si>
    <t>The prospect of possibly unexpected problems with non-synchronous whirl in systems designed to have cantilevered rotating masses, such as in helicopter rotors with mast mounted antennas, has created interest in novel methods for controlling shaft whirl. Since these whirl problems occur, even when refined methods are used for mass balancing, it is necessary to consider other design alternatives. This paper examines, for a simple case, the usefulness of obtaining a transfer function for a controller which will actively rebalance the rotor and pedestal while it is operation. This control problem is expected as an application of modern control theory and identification methods which would enable the designer to automatically derive an effective transfer function for such a controller. A procedure, such as this, appears to be a potentially cost effective solution, to what at present appears to be a very difficult design problem.</t>
  </si>
  <si>
    <t>['would enable', 'transfer function', 'systems designed', 'synchronous whirl', 'simple case', 'refined methods', 'present appears', 'paper examines', 'novel methods', 'mass balancing', 'identification methods', 'helicopter rotors', 'design alternatives', 'created interest', 'control problem', 'automatically derive', 'actively rebalance']</t>
  </si>
  <si>
    <t>2-s2.0-0020297010</t>
  </si>
  <si>
    <t>MULTIPLE BEAM MICROWAVE SYSTEMS FOR THE SOLAR POWER SATELLITE.</t>
  </si>
  <si>
    <t>Arndt G.</t>
  </si>
  <si>
    <t>Arndt, G. D.;Kerwin, E. M.</t>
  </si>
  <si>
    <t>7004987262;6602981953</t>
  </si>
  <si>
    <t>Space Solar Power Review</t>
  </si>
  <si>
    <t>301-315</t>
  </si>
  <si>
    <t>This paper describes antenna optimization technique applied to the environmental requirements pertaining to SPS (solar power satellite) systems to create high efficiency, multiple beams from a single antenna. Effects of rectanna spacings, subarray sizing, multiple beam degradations, antenna electrical and mechanical errors, and satellite motion are investigated.</t>
  </si>
  <si>
    <t>['subarray sizing', 'single antenna', 'satellite motion', 'rectanna spacings', 'multiple beams', 'mechanical errors', 'antenna electrical']</t>
  </si>
  <si>
    <t>2-s2.0-0020292439</t>
  </si>
  <si>
    <t>10.1080/00207218208901552</t>
  </si>
  <si>
    <t>MODE CONVERTERS USED IN THE DOUBLET III ECH MICROWAVE SYSTEM.</t>
  </si>
  <si>
    <t>Moeller C.</t>
  </si>
  <si>
    <t>Moeller, Charles</t>
  </si>
  <si>
    <t>International Journal of Electronics</t>
  </si>
  <si>
    <t>587-593</t>
  </si>
  <si>
    <t>Waveguide mode converters are used in the 60 GHz, 200 kw plasma heating system for Doublet III both to convert from the TE//0//2 to the more convenient TE//0//1 mode for transmission and to convert from the TE//0//1 to the TE//1//1 mode to produce a linear polarization at the antenna. Both converters use periodic wall perturbations, the former having circularly symmetric perturbations and the latter periodic curvature (m equals 1) perturbations. The TE//0//2 to TE//0//1 converter shows a conversion efficiency of at least 95% (99% predicted) while the TE//0//1 to TE//1//1 converter has a 90% conversion efficiency (92% predicted).</t>
  </si>
  <si>
    <t>['predicted ).', 'linear polarization', 'least 95', 'equals 1', 'doublet iii', 'conversion efficiency', '60 ghz']</t>
  </si>
  <si>
    <t>USDOE</t>
  </si>
  <si>
    <t>DE-AT03-76ET51011</t>
  </si>
  <si>
    <t>U.S. Department of Energy</t>
  </si>
  <si>
    <t>2-s2.0-0020289088</t>
  </si>
  <si>
    <t>10.1109/TIM.1982.6312487</t>
  </si>
  <si>
    <t>Effect of Shielded Room on Standard Magnetic Field</t>
  </si>
  <si>
    <t>Nakane H.</t>
  </si>
  <si>
    <t>60031701;60025141</t>
  </si>
  <si>
    <t>Electrotechnical Laboratory;Tokyo University of Science</t>
  </si>
  <si>
    <t>Tsukuba;Tokyo</t>
  </si>
  <si>
    <t>Nakane, Hiroshi;Maruyama, Hitoshi;Omori, Shunichi;Yokoshima, Ichiro</t>
  </si>
  <si>
    <t>14320555700;36984581200;7102497816;35576883400</t>
  </si>
  <si>
    <t>60025141;60025141;60025141;60031701</t>
  </si>
  <si>
    <t>IEEE Transactions on Instrumentation and Measurement</t>
  </si>
  <si>
    <t>IM-31</t>
  </si>
  <si>
    <t>269-273</t>
  </si>
  <si>
    <t>The near-zone magnetic field generated by a small loop antenna has been used for sensitivity test of a radio receiver. When external interference fields exist around the antennas, the test must be carried out in a shielded room. The formulas to estimate the effect of the shielded room on the standard magnetic field are derived for the coaxial and the coplanar alignments of the loops. The differences between the values calculated from the formulas and measured ones were within ¬±0.15 dB up to 50 MHz. Copyright ¬© 1982 by The Institute of Electrical and Electronics Engineers, Inc.</t>
  </si>
  <si>
    <t>['values calculated', 'test must', 'shielded room', 'sensitivity test', 'radio receiver', 'measured ones', 'electronics engineers', 'coplanar alignments', '50 mhz', '15 db']</t>
  </si>
  <si>
    <t>2-s2.0-0020288276</t>
  </si>
  <si>
    <t>ANALYSIS OF THE SUITABILITY OF DEMAND ASSIGNMENT TECHNIQUES IN TDMA SATELLITE SYSTEMS.</t>
  </si>
  <si>
    <t>Luvison A.</t>
  </si>
  <si>
    <t>Luvison, Angelo;Preti, Roberto;Tosalli, Alberto</t>
  </si>
  <si>
    <t>7004498448;7004223334;6506168238</t>
  </si>
  <si>
    <t>CSELT Rapporti Tecnici (Centro Studi e Laboratori Telecomunicazioni)</t>
  </si>
  <si>
    <t>425-433</t>
  </si>
  <si>
    <t>The association of Demand-Assignment (DA) techniques with Time-Division-Multiple Access (TDMA) satellite systems is presented and discussed within the framework of a terrestrial network characterized by the presence of Stored-Program-Control (SPC) exchanges and a high degree of digitization. Efficient procedures for the optimal allocation of the satellite capacity among the earth stations are then presented. A particularly attractive extension of the technique in connection with multiple beam antennas is envisaged by using a time division switching device on board the satellite. The performance evaluation problem is then introduced and aspects relevant to both performance criteria and computational complexity are presented. Among the factors that contribute to the model complexity, multiplicity and modularity are emphasized.</t>
  </si>
  <si>
    <t>['satellite systems', 'performance criteria', 'optimal allocation', 'multiple access', 'model complexity', 'high degree', 'efficient procedures', 'earth stations', 'discussed within', 'computational complexity', 'aspects relevant']</t>
  </si>
  <si>
    <t>2-s2.0-0020287438</t>
  </si>
  <si>
    <t>PYRAMIDAL HORN ANTENNA WITH IDENTICAL E- AND H-PLANE PATTERNS.</t>
  </si>
  <si>
    <t>Mouly M.</t>
  </si>
  <si>
    <t>Mouly, M. C.Chandra</t>
  </si>
  <si>
    <t>Journal of the Institution of Engineers. India. Electronics and telecommunication engineering division</t>
  </si>
  <si>
    <t>pt 2</t>
  </si>
  <si>
    <t>81-83</t>
  </si>
  <si>
    <t>A novel design of a pyramidal horn presented enables pattern equality in E- and H-planes, which is a desirable feature in horns used as feeds for paraboloidal reflector antennas. The radiation patterns, computed as well as measured, are presented.</t>
  </si>
  <si>
    <t>['radiation patterns', 'novel design', 'horns used', 'desirable feature']</t>
  </si>
  <si>
    <t>2-s2.0-0020284788</t>
  </si>
  <si>
    <t>10.1007/BF00619156</t>
  </si>
  <si>
    <t>A new type of water vibration receptor on the crayfish antenna - II. Model of receptor function</t>
  </si>
  <si>
    <t>Masters W.</t>
  </si>
  <si>
    <t>Universit√§t Konstanz</t>
  </si>
  <si>
    <t>Konstanz</t>
  </si>
  <si>
    <t>Masters, W. Mitch;Aicher, Bernhard;Tautz, J√ºrgen;Markl, Hubert</t>
  </si>
  <si>
    <t>7003730183;16183401100;7004559400;57208447146</t>
  </si>
  <si>
    <t>60025525;60025525;60025525;60025525</t>
  </si>
  <si>
    <t>409-422</t>
  </si>
  <si>
    <t>1. The flagellum of the second antenna of the crayfish Astacus leptodactylus has two main types of sensory hairs, normal erect hairs and procumbent hairs, which bridge the junction between adjacent segments of the flagellum (Tautz et al. 1981). The upright hairs respond to particle motion or touch, and the procumbent hairs to bending of the flagellar articulation that they span. 2. Their mode of excitation suggests that the procumbent hairs might be able to detect and perhaps also locate nearby moving objects by the underwater disturbances they create. To test this idea we have developed a mathematical model that predicts the stimulation of the procumbent hairs produced by sources of different types, strengths, frequencies and axes of vibration. The model has been tested by measuring underwater antenna motion in response to a dipole source (a vibrating sphere) using laser Doppler vibrometry. The model appears to be adequate up to ‚àº 30 Hz. 3. We have also used a second model, based on the work of Fletcher (1978), to predict the stimulation of the upright hairs. Comparison of results from the two models suggests that the procumbent hairs generally have a larger "receptive field", particularly beyond the tips of the antennae. The procumbent hairs may also be less affected by random background stimulation than upright hairs and would not be influenced by eddies or turbulence created by water flowing across the antennae. 4. Based on our model of antenna bending and on previous neurophysiological work, the angular response threshold of procumbent hair sensilla may be &lt;0.0003 ¬∞ at their best frequency. Thus the procumbent hair sensilla should be capable of detecting fish large enough to be potential predators at least 20 cm away. 5. It is possible that a crayfish, by analyzing the pattern of stimulation produced by a source of underwater disturbances, might also be able to determine its location, restricting its position to within a certain Probable Location Region (PLR). The size and location of PLRs is affected only slightly by the source strength and frequency of vibration, but differences in source type and axis of vibration increase the size of the PLR of an unknown source. A crayfish might also determine the approximate direction to a source by moving its antennae and monitoring the change in procumbent hair stimulation. ¬© 1982 Springer-Verlag.</t>
  </si>
  <si>
    <t>['vibration increase', 'vibrating sphere', 'upright hairs', 'unknown source', 'underwater disturbances', 'turbulence created', 'stimulation produced', 'source type', 'source strength', 'sensory hairs', 'second model', 'second antenna', 'procumbent hairs', 'potential predators', 'plr ).', 'particle motion', 'model appears', 'might also', 'mathematical model', 'less affected', 'flagellar articulation', 'excitation suggests', 'dipole source', 'different types', 'best frequency', 'approximate direction', 'antenna bending', 'also used', 'adjacent segments', '1981 ).', '1978 ),', '0003 ¬∞']</t>
  </si>
  <si>
    <t>2-s2.0-0020281451</t>
  </si>
  <si>
    <t>10.1049/ip-h-1.1982.0061</t>
  </si>
  <si>
    <t>CONTOURED-BEAM SYNTHESIS FOR ARRAY-FED REFLECTOR ANTENNAS BY FIELD CORRELATION.</t>
  </si>
  <si>
    <t>Bird T.</t>
  </si>
  <si>
    <t>Bird, T. S.</t>
  </si>
  <si>
    <t>293-298</t>
  </si>
  <si>
    <t>A method is described for calculating the feed excitations of an array-fed reflector antenna for the production of a desired contoured beam. It is based on field correlation at the nearest reflector between the surface currents from the selected stations in the field of view and the field radiated by the array. Mode coupling in the array is included in the formulation. The feed excitation is derived by satisfying constraints on the envelope of the copolar and crosspolar correlation functions through a minimax optimization. Some preliminary results are presented for a simple contoured beam, which is realized using an open Cassegrain antenna and a 19-element circular-waveguide feed cluster.</t>
  </si>
  <si>
    <t>['surface currents', 'selected stations', 'satisfying constraints', 'realized using', 'preliminary results', 'nearest reflector', 'mode coupling', 'minimax optimization', 'field radiated', 'field correlation', 'feed excitations', 'feed excitation', 'element circular']</t>
  </si>
  <si>
    <t>2-s2.0-0020276622</t>
  </si>
  <si>
    <t>10.1109/TNS.1982.4336459</t>
  </si>
  <si>
    <t>Electronic response of long cylindrical structures and large loops in an inhomogeneous medium with time-varying conductivity</t>
  </si>
  <si>
    <t>Bushell M.</t>
  </si>
  <si>
    <t>60033252;100909244</t>
  </si>
  <si>
    <t>U.S. Army Research Laboratory;Defense Nuclear Agency</t>
  </si>
  <si>
    <t>Adelphi;Washington</t>
  </si>
  <si>
    <t>Bushell, M.;Manriquez, R.;Merkel, G.;Scharf, W. D.;Baker, G.</t>
  </si>
  <si>
    <t>7005745790;35616507900;7005577451;7006983682;57216323758</t>
  </si>
  <si>
    <t>60033252;60033252;60033252;60033252;100909244</t>
  </si>
  <si>
    <t>IEEE Transactions on Nuclear Science</t>
  </si>
  <si>
    <t>1850-1855</t>
  </si>
  <si>
    <t>A series of long metal pipes, both shorted and open-circuited, were irradiated in the AURORA Flash X-ray Facility where they were subject to conductivity and electromagnetic fields resulting from the radiation pulse. Both experimental data and theoretical response predictions (made both with finite-difference calculations and equivalent-circuit models) are presented here. It is felt that, through this work, a greater understanding of SREMP coupling to long antennas and cables has been achieved. Copyright ¬© 1982 by The Institute of Electrical and Electronics Engineers, Inc.</t>
  </si>
  <si>
    <t>['sremp coupling', 'ray facility', 'radiation pulse', 'long antennas', 'greater understanding', 'experimental data', 'electronics engineers', 'difference calculations', 'circuit models']</t>
  </si>
  <si>
    <t>2-s2.0-0020275728</t>
  </si>
  <si>
    <t>SIMPLE EXPRESSIONS MODEL ANTENNA RADIATION PATTERNS.</t>
  </si>
  <si>
    <t>Keen, Keith M.</t>
  </si>
  <si>
    <t>Microwaves and RF</t>
  </si>
  <si>
    <t>Fourier series are employed to describe the main beam regions of antenna radiation patterns. The coefficients of the series can be found from field-strength samples taken from the antenna. Although this method requires the solution of several simultaneous equations, a computer program can handle this chore. The program described in the article can be used for series with as many as 20 terms.</t>
  </si>
  <si>
    <t>['program described', 'method requires', 'fourier series', 'computer program', '20 terms']</t>
  </si>
  <si>
    <t>2-s2.0-0020273762</t>
  </si>
  <si>
    <t>10.1121/1.388672</t>
  </si>
  <si>
    <t>Surface acoustic wave propagation in a biasing electric field</t>
  </si>
  <si>
    <t>Joshi S.</t>
  </si>
  <si>
    <t>Marquette University</t>
  </si>
  <si>
    <t>Milwaukee</t>
  </si>
  <si>
    <t>Joshi, S. G.</t>
  </si>
  <si>
    <t>Journal of the Acoustical Society of America</t>
  </si>
  <si>
    <t>NA</t>
  </si>
  <si>
    <t>1872-1878</t>
  </si>
  <si>
    <t>The influence of a biasing electric field on the propagation of surface acoustic waves in LiNb03, LiTa03, and PbTiOaceramic substrates is experimentally investigated. The 128¬∞ rotated Y-cut, X-propagating orientation of LiNb03 shows a linear and fairly large variation of time delay with the biasing field. Fractional time delay changes greater than 0.12% have been obtained, and values up to 0.16% appear possible in SAW devices fabricated on this material. These changes in time delay are adequate to make the technique useful for several applications. Possible applications of this effect for beam steering in phased array antennas, measurement of high voltages, temperature compensation in SAW devices, and improving the efficiency of SAW convolvers are discussed. ¬© 1982, Acoustical Society of America. All rights reserved.</t>
  </si>
  <si>
    <t>43.35. Cq | 43.35. Pt | 43.35. Ty | 68.25. + j | PACS numbers</t>
  </si>
  <si>
    <t>['¬© 1982', 'time delay', 'temperature compensation', 'technique useful', 'several applications', 'saw devices', 'saw convolvers', 'rights reserved', 'propagating orientation', 'possible applications', 'pbtioaceramic substrates', 'linb03 shows', 'high voltages', 'experimentally investigated', 'biasing field', 'beam steering', 'appear possible', 'acoustical society']</t>
  </si>
  <si>
    <t>2-s2.0-0020271780</t>
  </si>
  <si>
    <t>ANALYSIS, DESIGN AND CHARACTERISTICS OF X-BAND DIELECTRIC WEDGE WAVEGUIDE ANTENNAS.</t>
  </si>
  <si>
    <t>Jamwal K.</t>
  </si>
  <si>
    <t>Jamwal, K. K.S.;Dhar, A.;Vakil, Renu</t>
  </si>
  <si>
    <t>6601988274;16490439600;6701660519</t>
  </si>
  <si>
    <t>This investigation reports the design and analysis of dielectric wedge waveguide antennas and their characteristics in the 8. 5-11. 5 GHz X-band frequencies. The analysis discussed can be successfully utilized in designing high gain, wide null region wedge antennas using various polymers with dielectric constant varying from 2-13.</t>
  </si>
  <si>
    <t>['successfully utilized', 'investigation reports', 'band frequencies', 'analysis discussed']</t>
  </si>
  <si>
    <t>2-s2.0-0020269584</t>
  </si>
  <si>
    <t>10.1049/ip-f-1.1982.0064</t>
  </si>
  <si>
    <t>30-20 GHz domestic satellite communication system experiments</t>
  </si>
  <si>
    <t>Iso A.</t>
  </si>
  <si>
    <t>Nippon Telegraph and Telephone Corporation</t>
  </si>
  <si>
    <t>Iso, Akio</t>
  </si>
  <si>
    <t>418-422</t>
  </si>
  <si>
    <t>Experiments have been carried out on a 30-20 GHz domestic satellite communication system. This system employs both a fixed earth station having an 11.5 m-effective-aperture antenna and a small transportable earth station with a 2.7 m-aperture antenna. It was verified that a fixed earth station installed in a major-city telephone office can provide a transmission capacity of 480 two-way voice channels per transponder using a 65 Mbit/s TDMA system. For the implementation of temporary circuits, it was found that a small transportable earth station can provide 132 FDM muliplexed telephone signals per transponder. ¬© 1982, The Institution of Electrical Engineers. All rights reserved.</t>
  </si>
  <si>
    <t>Satellite links and space communication</t>
  </si>
  <si>
    <t>['¬© 1982', 'transmission capacity', 'temporary circuits', 'tdma system', 'system employs', 'rights reserved', 'electrical engineers', 'aperture antenna', '65 mbit', '480 two']</t>
  </si>
  <si>
    <t>2-s2.0-0020269506</t>
  </si>
  <si>
    <t>10.1109/TBC.1982.266458</t>
  </si>
  <si>
    <t>Statistics of Rain Attenuation and Other Environmental Effects Associated with the BSE Satellite Down-Link at 12 GHz in Japan</t>
  </si>
  <si>
    <t>Ito S.</t>
  </si>
  <si>
    <t>60103907;60092258</t>
  </si>
  <si>
    <t>Nippon Hoso Kyokai;Ministry of Posts and Telecommunications, Japan</t>
  </si>
  <si>
    <t>Ito, Shiro;Fukuchi, Hajime;Ohuchi, Chiharu;Hirano, Hiroshi;Ono, Isao</t>
  </si>
  <si>
    <t>55458674800;7005147454;6603006700;7202172484;7103097500</t>
  </si>
  <si>
    <t>60103907;60092258;60092258;60103907;60103907</t>
  </si>
  <si>
    <t>IEEE Transactions on Broadcasting</t>
  </si>
  <si>
    <t>BC-28</t>
  </si>
  <si>
    <t>131-138</t>
  </si>
  <si>
    <t>Propagation measurements were carried out at 12 GHz on the down-link of the Japan's Medium-scale Broadcasting Satellite for Experimental Purpose (BSE), launched in 1978. Analyses of the measurements have revealed the statistics of rain attenuation and duration of fade at 12 GHz in various parts and climates of Japan, as well as other environmental effects such as degradation of reception quality due to snowfall on receiving antennae, reduction in carrier-to-noise ratio by solar noise interference and diffraction attenuation by obstacles. This paper describes the results which are useful for planning and operation of satellite broadcasting systems. Copyright 1982 by The Institute of Electrical and Electronics Engineers, Inc.</t>
  </si>
  <si>
    <t>['various parts', 'receiving antennae', 'rain attenuation', 'propagation measurements', 'paper describes', 'noise ratio', 'experimental purpose', 'environmental effects', 'electronics engineers', 'diffraction attenuation', 'copyright 1982', '12 ghz']</t>
  </si>
  <si>
    <t>2-s2.0-0020268257</t>
  </si>
  <si>
    <t>PHYSICAL TESTING OF RIGID URETHANE FOAM AS USED IN ANTENNA HOUSINGS.</t>
  </si>
  <si>
    <t>Haferkamp H.</t>
  </si>
  <si>
    <t>Haferkamp, Heinz;Winkler, Thees</t>
  </si>
  <si>
    <t>57224773318;7102464390</t>
  </si>
  <si>
    <t>Cellular Polymers</t>
  </si>
  <si>
    <t>143-159</t>
  </si>
  <si>
    <t>This paper reports on the testing of the physical properties, the manufacturing inspections, the testing of surface coatings on, and joints between, PUR (polyurethane) panels, and finally on installation tests and status checks carried out on radomes in central European sea and mountain areas. Though the performance of PUR as a construction material is still incomplete, the positive data being gained from more than 10 years of practical experience are encouraging the increasing use and application of PUR in antenna housings.</t>
  </si>
  <si>
    <t>['surface coatings', 'still incomplete', 'practical experience', 'positive data', 'physical properties', 'paper reports', 'mountain areas', 'manufacturing inspections', 'installation tests', 'increasing use', 'construction material', 'antenna housings', '10 years']</t>
  </si>
  <si>
    <t>2-s2.0-0020267175</t>
  </si>
  <si>
    <t>LOW-LOSS SIRAL WAVEGUIDES FOR DIGITAL RADIO RELAY AND RADAR SYSTEMS.</t>
  </si>
  <si>
    <t>Doehr P.</t>
  </si>
  <si>
    <t>Doehr, Peter;Loew, Wolfgang;Poellmann, Hans</t>
  </si>
  <si>
    <t>6507459491;57175928400;6602460991</t>
  </si>
  <si>
    <t>Telcom Report (English Edition)</t>
  </si>
  <si>
    <t>283-286</t>
  </si>
  <si>
    <t>A low-loss antenna feeder using waveguide technology was developed for radio relay and radar systems. It was designed for applications in the frequency range of 10 GHz and 15 GHz.</t>
  </si>
  <si>
    <t>['radio relay', 'radar systems', 'frequency range', '15 ghz', '10 ghz']</t>
  </si>
  <si>
    <t>2-s2.0-0020256491</t>
  </si>
  <si>
    <t>10.1049/ip-h-1.1982.0063</t>
  </si>
  <si>
    <t>DUEL OFFSET REFLECTORS SHAPED FOR ZERO CROSSPOLARISATION WITH ASYMMETRIC FEED PATTERN.</t>
  </si>
  <si>
    <t>Westcott B.</t>
  </si>
  <si>
    <t>Westcott, B. S.;Brickell, F.</t>
  </si>
  <si>
    <t>7004261323;6602206040</t>
  </si>
  <si>
    <t>307-314</t>
  </si>
  <si>
    <t>The design of shaped dual offset reflectors to produce a zero crosspolarized parallel beam is re-examined. Geometrical optics is used to show that the shaping can compensate not only for system asymmetry but also for a limited amount of source-pattern asymmetry. An analytical method is presented which enables constraints to be applied, to guarantee single-valued reflectors. 3 refs.</t>
  </si>
  <si>
    <t>['valued reflectors', 'system asymmetry', 'pattern asymmetry', 'limited amount', 'guarantee single', 'geometrical optics', 'enables constraints', 'analytical method', '3 refs']</t>
  </si>
  <si>
    <t>2-s2.0-0020253963</t>
  </si>
  <si>
    <t>ELECTROMAGNETIC PLANE WAVE DIFFRACTION BY A BODY OF REVOLUTION.</t>
  </si>
  <si>
    <t>Ciarkowski A.</t>
  </si>
  <si>
    <t>Ciarkowski, Adam</t>
  </si>
  <si>
    <t>Bulletin de l'Academie Polonaise des Sciences. Serie des Sciences Techniques</t>
  </si>
  <si>
    <t>21-30</t>
  </si>
  <si>
    <t>The problem of electromagnetic plane wave diffraction by a perfectly conducting, convex body of revolution with a rim is considered. The analysis is based on P. Ya. Ufimtsev's method of edge waves. A high-frequency approximation to the scattered field is constructed.</t>
  </si>
  <si>
    <t>['scattered field', 'perfectly conducting', 'frequency approximation', 'edge waves', 'convex body']</t>
  </si>
  <si>
    <t>2-s2.0-0020253798</t>
  </si>
  <si>
    <t>10.1049/ip-h-1.1982.0060</t>
  </si>
  <si>
    <t>EUROPEAN OTS SATELLITE TRANSMIT ANTENNA PATTERNS.</t>
  </si>
  <si>
    <t>Daly P.</t>
  </si>
  <si>
    <t>Daly, P.</t>
  </si>
  <si>
    <t>285-292</t>
  </si>
  <si>
    <t>Comprehensive antenna performance measurements on OTS 2 were performed for the first time in October 1978. The method relied on the use of a large number of ground stations, and was supported by spacecraft depointing. The new method relies on wide-angle spacecraft depointing and needs support of only one earth station. A test was implemented for the spotbeam antenna pattern, demonstrating that the revised method could perform mapping very efficiently. The effect of antenna beam depointing through thermal deformation has been determined to demonstrate the validity of the revised method. The data-processing system has been streamlined so that results can now be obtained in 24 hours following completion of the test, which normally takes about 48 hours.</t>
  </si>
  <si>
    <t>['thermal deformation', 'spacecraft depointing', 'revised method', 'processing system', 'ots 2', 'october 1978', 'normally takes', 'needs support', 'method relied', 'large number', 'ground stations', 'first time', '48 hours']</t>
  </si>
  <si>
    <t>2-s2.0-0020253301</t>
  </si>
  <si>
    <t>GRATING LOBE CHARACTERISTICS AND ASSOCIATED IMPACTS UPON THE SOLAR POWER SATELLITE MICROWAVE SYSTEM.</t>
  </si>
  <si>
    <t>Kerwin E.</t>
  </si>
  <si>
    <t>Kerwin, E. M.;Arndt, G. D.</t>
  </si>
  <si>
    <t>6602981953;7004987262</t>
  </si>
  <si>
    <t>255-280</t>
  </si>
  <si>
    <t>This paper determines the grating lobe characteristics for the SPS (solar power satellite) microwave power beam. Using techniques of Fourier array decomposition, equations, and numerical results are given for the complete SPS microwave antenna pattern (main beam plus grating lobes). Two conditions, phase control to the subarray level and to the power module (tube) level, are analyzed as to their effects upon grating lobes.</t>
  </si>
  <si>
    <t>['using techniques', 'two conditions', 'subarray level', 'power module', 'phase control', 'paper determines', 'numerical results']</t>
  </si>
  <si>
    <t>2-s2.0-0020250259</t>
  </si>
  <si>
    <t>ANTENNA OPTIMIZATION OF SINGLE BEAM MICROWAVE SYSTEMS FOR THE SOLAR POWER SATELLITE.</t>
  </si>
  <si>
    <t>Kerwin, E. M.;Jezewski, D. J.;Arndt, G. D.</t>
  </si>
  <si>
    <t>6602981953;6701527401;7004987262</t>
  </si>
  <si>
    <t>281-299</t>
  </si>
  <si>
    <t>This paper describes a generalized antenna design technique applied to the unique environmental requirements pertaining to solar power satellite (SPS) systems. Optimal illumination tapers and antenna/rectenna sizings are generated which allow increased transmit powers and lower electricity costs while minimizing sidelobe levels to meet an environmental standard.</t>
  </si>
  <si>
    <t>['rectenna sizings', 'paper describes', 'environmental standard']</t>
  </si>
  <si>
    <t>2-s2.0-0020248745</t>
  </si>
  <si>
    <t>10.1109/TBC.1982.266460</t>
  </si>
  <si>
    <t>Measurements of K-Band Antenna Patterns</t>
  </si>
  <si>
    <t>Kozu T.</t>
  </si>
  <si>
    <t>60103907;60022990;100636309</t>
  </si>
  <si>
    <t>Nippon Hoso Kyokai;Japan Aerospace Exploration Agency;Radio Research Laboratories</t>
  </si>
  <si>
    <t>Tokyo;Chofu;Ibaraki</t>
  </si>
  <si>
    <t>Japan;Japan;Japan</t>
  </si>
  <si>
    <t>Kozu, Toshiaki;Murakami, Hidetoshi;Arai, Katsuyoshi;Mochizuki, Ryo</t>
  </si>
  <si>
    <t>7006711251;7402080252;57201111927;8440417200</t>
  </si>
  <si>
    <t>100636309;100636309;60022990;60103907</t>
  </si>
  <si>
    <t>145-149</t>
  </si>
  <si>
    <t>Methods and results of on-board antenna pattern measurements of Medium-scale Broadcasting Satellite for Experimental Purpose (BSE) are described in this paper. The measurements were carried out by means of satellite attitude offsets about the pitch and roll axes. Measured antenna patterns at both up- and down-link frequencies (14 and 12GHz) agree with the pre-launch data in the eastwards of the patterns, while they have more gentle gain slopes in the westwards. Further, antenna pattern deformation is observed along with the change in the antenna temperature. The whole appearance of the deformation seems to be complicated, however, in the center regions of the patterns which almost covers Honshu island, the dominant behavior of the deformation looks like antenna beam shift of 0.10 to 0.20 in the east-west direction. Copyright 1982 by The Institute of Electrical and Electronics Engineers, Inc.</t>
  </si>
  <si>
    <t>['whole appearance', 'west direction', 'roll axes', 'observed along', 'link frequencies', 'launch data', 'experimental purpose', 'electronics engineers', 'dominant behavior', 'deformation seems', 'copyright 1982', 'center regions', 'antenna temperature']</t>
  </si>
  <si>
    <t>2-s2.0-0020245608</t>
  </si>
  <si>
    <t>UNIFYING CONCEPT FOR FUTURE FIXED SATELLITE SERVICE PAYLOADS FOR EUROPE.</t>
  </si>
  <si>
    <t>Lopriore M.</t>
  </si>
  <si>
    <t>Lopriore, M.;Saitto, A.;Smith, G. K.</t>
  </si>
  <si>
    <t>6603660231;6603814793;7406742704</t>
  </si>
  <si>
    <t>ESA Journal (European Space Agency)</t>
  </si>
  <si>
    <t>371-396</t>
  </si>
  <si>
    <t>This paper discusses the problems of designing communications-satellite systems for trunk telephony, TV services, and specialized services in a European context for the late 1980s and the 1990s. Estimates of required capacity are very uncertain for this time frame, implying a range of very different payload concepts. The paper briefly compares some system and payload designs suggested by various authors and proposes an antenna concept that can adapt to most of these. This permits a payload design easily adaptable to different traffic needs. In particular, very efficient exploitation of the 14/12/11 GHz bands with good frequency reuse is theoretically obtainable, whilst also providing high-density traffic routes at 30/20 GHz, if required.</t>
  </si>
  <si>
    <t>['various authors', 'tv services', 'trunk telephony', 'time frame', 'theoretically obtainable', 'specialized services', 'satellite systems', 'required capacity', 'paper discusses', 'late 1980s', 'european context', 'efficient exploitation', 'designing communications', 'antenna concept', '20 ghz']</t>
  </si>
  <si>
    <t>2-s2.0-0020243633</t>
  </si>
  <si>
    <t>10.1109/TIM.1982.6312480</t>
  </si>
  <si>
    <t>Microwave Interferometer for Measurements of Small Displacements</t>
  </si>
  <si>
    <t>Thansandote A.</t>
  </si>
  <si>
    <t>60028897;60017592</t>
  </si>
  <si>
    <t>University of Ottawa;Carleton University</t>
  </si>
  <si>
    <t>Ottawa;Ottawa</t>
  </si>
  <si>
    <t>Thansandote, Artnarong;Stuchly, Stanislaw S.;Wight, James S.</t>
  </si>
  <si>
    <t>6603879078;56803516700;57191680887</t>
  </si>
  <si>
    <t>60028897;60028897;60017592</t>
  </si>
  <si>
    <t>227-232</t>
  </si>
  <si>
    <t>Two microwave interferometer systems developed for noncontact measurements of small displacements in an electromagnetically semitransparent medium are described. Arrangements for testing the instruments and experimental results are presented. The principal characteristics of the systems, e.g., the output signal versus the displacement of the scattering object, are linear for the two-way losses in the medium between the antenna and the object below 60 dB. The maximum displacement of the object is limited to a half-wavelength in the test medium by the interference between the signal backscattered by the test object and the signal reflected from the antenna. Copyright ¬© 1982 by The Institute of Electrical and Electronics Engineers, Inc.</t>
  </si>
  <si>
    <t>['way losses', 'test object', 'test medium', 'small displacements', 'signal reflected', 'signal backscattered', 'scattering object', 'principal characteristics', 'noncontact measurements', 'maximum displacement', 'g .,', 'experimental results', 'electronics engineers', '60 db']</t>
  </si>
  <si>
    <t>2-s2.0-0020237245</t>
  </si>
  <si>
    <t>10.1002/ecja.4400651210</t>
  </si>
  <si>
    <t>Radiation characteristics of ring antennas for electron plasma waves</t>
  </si>
  <si>
    <t>Egashira S.</t>
  </si>
  <si>
    <t>Saga University</t>
  </si>
  <si>
    <t>Saga</t>
  </si>
  <si>
    <t>Egashira, Shigeru;Morita, Yuzuru;Yoshida, Yoshinori</t>
  </si>
  <si>
    <t>35608208100;7402316805;55226995200</t>
  </si>
  <si>
    <t>60019983;60019983;60019983</t>
  </si>
  <si>
    <t>74-82</t>
  </si>
  <si>
    <t>A theoretical analysis and experiments on one‚Äê and two‚Äêelement ring antennas in an isotropic compressible plasma are repeated. First, a two‚Äêelement ring antenna connected to the inner and outer conductors of a coaxial feeder is analyzed by decomposing the system into a zero phase type and a positive phase type. The analysis uses Fourier series expansion. Numerical results reveal that in both one‚Äê and two‚Äêelement systems the current is approximated by a triangular distribution, i.e., a charge with a uniform distribution, if the ring diameter is much smaller than the free space wavelength. In the case of two‚Äêelement systems, the charge distributions of elements #1 and #2 are out of phase. The input impedance of the two‚Äêelement ring is much smaller than that of the one‚Äêelement system. The measured and calculated radiation patterns of a one‚Äêelement ring for the electron plasma wave agree well except near Œ∏ = 90¬∞. The side‚Äêlobe level of the two‚Äêelement ring is much lower than that of the one‚Äêelement ring and the radiation characteristics are much improved. It is theoretically and experimentally confirmed that the radiation efficiency of the two‚Äêelement ring is much better than that of the one‚Äêelement ring for electron plasma waves. Copyright ¬© 1982 Wiley Periodicals, Inc., A Wiley Company</t>
  </si>
  <si>
    <t>['wiley company', 'uniform distribution', 'triangular distribution', 'theoretical analysis', 'ring diameter', 'radiation efficiency', 'radiation characteristics', 'outer conductors', 'much smaller', 'much lower', 'much improved', 'much better', 'input impedance', 'inc .,', 'experimentally confirmed', 'e .,', 'coaxial feeder', 'charge distributions', '90 ¬∞.']</t>
  </si>
  <si>
    <t>2-s2.0-0020231706</t>
  </si>
  <si>
    <t>DYNAMIC PROGRAMMING IN PROBLEMS OF SYNTHESIZING MULTICHANNEL PHASING DEVICES.</t>
  </si>
  <si>
    <t>Kakhanovich V.</t>
  </si>
  <si>
    <t>Kakhanovich, V. A.;Tsaryuk, D. A.</t>
  </si>
  <si>
    <t>6507804884;6508299985</t>
  </si>
  <si>
    <t>Telecommunications and Radio Engineering (English translation of Elektrosvyaz and Radiotekhnika)</t>
  </si>
  <si>
    <t>36-37</t>
  </si>
  <si>
    <t>87-89</t>
  </si>
  <si>
    <t>When developing many modern multifunctional radio systems and devices, particularly in radar and microwave techniques, it is often necessary to produce different amplitude-phase distributions of the electromagnetic fields or signals in a certain group of components (receiving or transmitting antennas, input or output terminals, at certain points in the printed plates of microwave components, etc. ), and each of these distributions must correspond to its own input (channel). The problem of synthesizing optimum multichannel phasing devices with the help of dynamic programming is solved.</t>
  </si>
  <si>
    <t>['transmitting antennas', 'printed plates', 'phase distributions', 'output terminals', 'often necessary', 'microwave techniques', 'microwave components', 'electromagnetic fields', 'dynamic programming', 'channel ).', 'certain points', 'certain group']</t>
  </si>
  <si>
    <t>2-s2.0-0020231705</t>
  </si>
  <si>
    <t>NEW MODULATION SYSTEM FOR TV TRANSMITTERS WITH COMBINED AMPLIFICATION OF THE PICTURE AND ACCOMPANYING SOUND SIGNALS.</t>
  </si>
  <si>
    <t>Glazman E.</t>
  </si>
  <si>
    <t>Glazman, E. S.;Popov, A. A.</t>
  </si>
  <si>
    <t>6602146525;57196115031</t>
  </si>
  <si>
    <t>15-23</t>
  </si>
  <si>
    <t>The principle of the combined amplification of the picture and accompanying sound signals in a common channel is becoming more and more widely used in TV-transmitter technology. The application of this principle makes it possible to eliminate the separate channel for the accompanying sound (or its part of the power) and the high power filter (the diplexer), which adds both signals in a common antenna feeder system, thereby simplifying the transmitter. The modulation system described in this paper makes it possible to realize completely the advantages of combined amplification without any kind of additional measures for both new transmitters and those already in operation, and enables their characteristics with respect to power requirements to be improved.</t>
  </si>
  <si>
    <t>['widely used', 'transmitter technology', 'thereby simplifying', 'separate channel', 'realize completely', 'principle makes', 'power requirements', 'paper makes', 'new transmitters', 'diplexer ),', 'common channel', 'combined amplification', 'additional measures', 'accompanying sound']</t>
  </si>
  <si>
    <t>2-s2.0-0020230602</t>
  </si>
  <si>
    <t>RECEIVING ANTENNA SYSTEMS CONSISTING OF INDEPENDENTLY LOADED DIPOLES.</t>
  </si>
  <si>
    <t>Boyakhchyan G.</t>
  </si>
  <si>
    <t>Boyakhchyan, G. P.;Vanke, V. A.;Lesota, S. K.</t>
  </si>
  <si>
    <t>6603418988;7004652700;6603472575</t>
  </si>
  <si>
    <t>Moscow University Physics Bulletin (English Translation of Vestnik Moskovskogo Universiteta, Fizik</t>
  </si>
  <si>
    <t>103-105</t>
  </si>
  <si>
    <t>A study has been made of the physical features of systems which consist of independently loaded dipoles. An example of such a system is rectenna (rectifying antenna). It is shown that the characteristics of these systems coincide with the transmitting characteristics of a system of the same dipoles with mutually incoherent excitation. The system of dipoles with independent loads has a relatively low directionality because of the absence of coherent amplification or reduction of the field in the appropriate directions, which is typical for systems with coherent excitation of the dipoles.</t>
  </si>
  <si>
    <t>['transmitting characteristics', 'systems coincide', 'physical features', 'independent loads', 'coherent excitation', 'coherent amplification', 'appropriate directions']</t>
  </si>
  <si>
    <t>2-s2.0-0020229003</t>
  </si>
  <si>
    <t>DECOUPLING OF ANTENNAS USING PLANE ELEMENTS.</t>
  </si>
  <si>
    <t>Lomukhin Y.</t>
  </si>
  <si>
    <t>Lomukhin, Yu L.;Volkovysskiy, Yu I.;Chimitdorzhiyev, N. B.;Badmayev, S. D.</t>
  </si>
  <si>
    <t>6602853323;6505606430;6603272834;6505690310</t>
  </si>
  <si>
    <t>84-86</t>
  </si>
  <si>
    <t>To reduce undesirable coupling between slot antennas ribbed structures, dielectric plates, rod elements, thin diaphragms, etc. , in the conducting plane surface are widely used. Additional decoupling of the radiators in the shadow zone of convex bodies can be achieved by compensating the initial diffraction field using plane structures. The results are presented of an investigation of the possibility of reducing the coupling between antennas in the region of a plane conducting surface by means of diffracting elements oriented both perpendicular and along the coupling line.</t>
  </si>
  <si>
    <t>['widely used', 'thin diaphragms', 'shadow zone', 'rod elements', 'dielectric plates', 'coupling line', 'convex bodies', 'additional decoupling']</t>
  </si>
  <si>
    <t>2-s2.0-0020223646</t>
  </si>
  <si>
    <t>CONTROLLING THE POLARIZATION OF THE RADIATION FROM A SYSTEM OF TWO COHERENTLY EXCITED PLANE LOGARITHMIC HELICES.</t>
  </si>
  <si>
    <t>Yatsuk K.</t>
  </si>
  <si>
    <t>Yatsuk, K. P.;Krivokhizha, V. P.;Boiko, S. N.</t>
  </si>
  <si>
    <t>6505919136;6505774502;7004978288</t>
  </si>
  <si>
    <t>82-84</t>
  </si>
  <si>
    <t>Plane logarithmic helices can be used to increase the bandwidth of antennas with controlled polarization. However, the well-known versions of such antennas have certain drawbacks which can be eliminated by using two coaxial active helices that are excited from a common source but with controlled phase shift between them. The system investigated consisted of two helices with pitch angles psi //1 and psi //2 and a screen located in the planes z equals 0, minus a, minus (a plus b) of a cyclindrical system of coordinates rho , phi , z. The helices were simulated by anisotropically conducting infinite planes and the sources were simulated by nonsymmetric fields of the rings of delta -generators. Thus, the model employed reliably describes the polarization properties of the fields radiated by two uniaxially combined active helices with a screen.</t>
  </si>
  <si>
    <t>['two helices', 'screen located', 'polarization properties', 'plus b', 'nonsymmetric fields', 'known versions', 'fields radiated', 'cyclindrical system', 'coordinates rho', 'controlled polarization', 'common source', 'certain drawbacks']</t>
  </si>
  <si>
    <t>2-s2.0-0020222004</t>
  </si>
  <si>
    <t>NUMERICAL TECHNIQUES FOR THE SOLUTION OF ANTENNA PROBLEMS.</t>
  </si>
  <si>
    <t>Hassan M.A.</t>
  </si>
  <si>
    <t>Hassan, Mohamed A.</t>
  </si>
  <si>
    <t>Journal of engineering sciences</t>
  </si>
  <si>
    <t>135-142</t>
  </si>
  <si>
    <t>An outline is given of the various numerical methods that have been employed in the solution of antenna problems. The salient features and computational procedure of each approach are outlined. Also studied are the different analyses used, in antenna solution, depending on whether the current expansion functions are defined over antenna subregions or over the whole antenna.</t>
  </si>
  <si>
    <t>['whole antenna', 'salient features', 'computational procedure', 'antenna subregions', 'antenna solution', 'antenna problems', 'also studied']</t>
  </si>
  <si>
    <t>2-s2.0-0020216423</t>
  </si>
  <si>
    <t>10.1002/j.1460-2075.1982.tb01255.x</t>
  </si>
  <si>
    <t>Further studies of the engrailed phenotype in Drosophila.</t>
  </si>
  <si>
    <t>Lawrence P.A.</t>
  </si>
  <si>
    <t>Lawrence, P. A.;Struhl, G.</t>
  </si>
  <si>
    <t>26643129900;7005408553</t>
  </si>
  <si>
    <t>The EMBO journal</t>
  </si>
  <si>
    <t>827-833</t>
  </si>
  <si>
    <t>Although most mutations at the engrailed locus of Drosophila cause embryonic death when homozygous, they are viable in clones of cells. We describe the phenotype of such clones in the eye-antenna, proboscis, humerus, wing, legs, and terminalia. When in anterior compartments the clones are normal, but in most posterior compartments they are abnormal and fail to respect the anteroposterior compartment boundary. We find that the yield of engrailed-lethal clones in posterior compartments is often significantly lower than expected, indicating that these clones are lost during development. Mutant clones are abnormal in the analia and rare in the humerus, suggesting that both structures are of posterior provenance. These results support the hypothesis that the engrailed+ gene is required exclusively in cells of posterior compartments to specify their characteristic cell affinities and pattern.</t>
  </si>
  <si>
    <t>['results support', 'required exclusively', 'posterior provenance', 'posterior compartments', 'mutant clones', 'lethal clones', 'engrailed locus', 'anterior compartments']</t>
  </si>
  <si>
    <t>2-s2.0-0020213118</t>
  </si>
  <si>
    <t>10.1016/0012-1606(82)90065-3</t>
  </si>
  <si>
    <t>Genetically displaced sensory neurons in the head of Drosophila project via different pathways into the same specific brain regions</t>
  </si>
  <si>
    <t>Stocker R.</t>
  </si>
  <si>
    <t>University of Fribourg</t>
  </si>
  <si>
    <t>Fribourg</t>
  </si>
  <si>
    <t>Switzerland</t>
  </si>
  <si>
    <t>Stocker, Reinhard F.</t>
  </si>
  <si>
    <t>Developmental Biology</t>
  </si>
  <si>
    <t>31-40</t>
  </si>
  <si>
    <t>The sensory projection pattern of homoeotic antennal or leg tissue in the proboscis of the mutant proboscipedia in Drosophila melanogaster was studied using orthograde diffusion of cobalt chloride. Both kinds of ectopic nerve fibers terminate in the normal center of the proboscis and in the antennal glomerulus of the brain. These centers are attained by axons which may pass via four different peripheral nerves. In contrast, wild-type proboscis fibers use only one pathway. Depending on the site of entrance into the brain, homoeotic axons may project into the proboscis center first, and then into the antennal glomerulus, or vice versa. Consequently, the tract between these two brain regions may be followed in opposite directions. Ectopic leg axons extending into normal leg centers in the thoracic ganglion have not been found. Projection patterns in proboscipedia are discussed together with those of the leg-like antenna in spineless-aristapedia (R. F. Stocker and P. A. Lawrene, 1981, Dev. Biol. 82, 224-237). The fact that displaced antennal and leg neurons project specifically into normal proboscis and antennal centers may reflect the serial homology of antennal, leg, and proboscis neurons, and similar homology of the corresponding centers. ¬© 1982.</t>
  </si>
  <si>
    <t>['¬© 1982', 'vice versa', 'thoracic ganglion', 'similar homology', 'serial homology', 'projection patterns', 'proboscis neurons', 'opposite directions', 'one pathway', 'normal proboscis', 'normal center', 'mutant proboscipedia', 'like antenna', 'leg tissue', 'homoeotic antennal', 'drosophila melanogaster', 'displaced antennal', 'discussed together', 'corresponding centers', 'cobalt chloride', 'antennal glomerulus', '237 ).']</t>
  </si>
  <si>
    <t>SNF</t>
  </si>
  <si>
    <t>3.541-0.79</t>
  </si>
  <si>
    <t>Schweizerischer Nationalfonds zur F√∂rderung der Wissenschaftlichen Forschung</t>
  </si>
  <si>
    <t>2-s2.0-0020212437</t>
  </si>
  <si>
    <t>ANTENNA SYNTHESIS FOR MAXIMUM DIRECTIVE GAIN.</t>
  </si>
  <si>
    <t>Fel'd Y.</t>
  </si>
  <si>
    <t>Fel'd, Ya N.</t>
  </si>
  <si>
    <t>Nov</t>
  </si>
  <si>
    <t>26-33</t>
  </si>
  <si>
    <t>A distribution of current or field on the antenna aperture is synthesized for maximum directive gain in a specified direction. Various additional conditions for existence of this maximum are derived in order to ensure the solvability of the problem.</t>
  </si>
  <si>
    <t>['specified direction', 'antenna aperture']</t>
  </si>
  <si>
    <t>2-s2.0-0020210904</t>
  </si>
  <si>
    <t>10.1016/0003-9861(82)90152-7</t>
  </si>
  <si>
    <t>0003-9861(82)90152-7</t>
  </si>
  <si>
    <t>Functional subunit structure of photosystem 1 reaction center in Synechococcus sp</t>
  </si>
  <si>
    <t>Takahashi Y.</t>
  </si>
  <si>
    <t>The University of Tokyo</t>
  </si>
  <si>
    <t>Takahashi, Yuichiro;Katoh, Sakae</t>
  </si>
  <si>
    <t>35434054000;7202864511</t>
  </si>
  <si>
    <t>60025272;60025272</t>
  </si>
  <si>
    <t>Archives of Biochemistry and Biophysics</t>
  </si>
  <si>
    <t>219-227</t>
  </si>
  <si>
    <t>Photochemical activities of six different P700-chlorophyll a-proteins (CP1-a, -b1, -b2, -c, -d, and -e) separated by sodium dodecyl sulfate-polyacrylamide gel electrophoresis from digitonin particles of a thermophilic cyanobacterium Synechococcus sp. were examined. CP1-a, -b1, -b2, and -c contain the competent reaction center of photosystem 1: They were highly active in photooxidation of cytochrome c-553, the physiological electron donor to P700 in the organism, with methyl viologen as electron acceptor and showed flash-induced absorption changes indicating the charge separation between P700 and the secondary electron acceptors, P430 and A2. The cytochrome photooxidation and P430 and A2 photoresponses were significantly suppressed in CP1-d. CP1-e which lacks P430 and A2 was least active in the cytochrome photooxidation. A1, the primary electron acceptor of P700, is present in CP1-e as well as in other CP1 complexes. Comparison of the results with the polypeptide composition of CP1 complexes (Y. Takahashi, H. Koike, and S. Katoh, 1982, Arch. Biochem. Biophys.219, 209-218). indicates that CP1-c which contains four polypeptides with molecular weights of 62,000, 60,000, 14,000, and 10,000 represents the functional core of the photosystem 1 reaction center. P700, A1, and antenna chlorophyll are associated with 62,000- and 60,000-dalton polypeptides, whereas 14,000- and 10,000-dalton polypeptides are assumed to carry P430 and A2. The 13,000-dalton polypeptide which is associated with CP1-a, -b1, and -b2 is not required for the functioning of the reaction center. ¬© 1982.</t>
  </si>
  <si>
    <t>['¬© 1982', 'whereas 14', 'significantly suppressed', 'showed flash', 'reaction center', 'polypeptide composition', 'photosystem 1', 'photochemical activities', 'molecular weights', 'methyl viologen', 'least active', 'lacks p430', 'highly active', 'functional core', 'electron acceptor', 'digitonin particles', 'dalton polypeptides', 'dalton polypeptide', 'cytochrome photooxidation', 'cytochrome c', 'cp1 complexes', 'charge separation', 'carry p430', 'c contain', 'antenna chlorophyll', 'a2 photoresponses', '218 ).', '000 represents']</t>
  </si>
  <si>
    <t>ITSF</t>
  </si>
  <si>
    <t>Indonesia Toray Science Foundation</t>
  </si>
  <si>
    <t>2-s2.0-0020210394</t>
  </si>
  <si>
    <t>SIMULTANEOUS DETECTION, RESOLUTION AND MEASUREMENT OF THE PARAMETERS OF SIGNALS BURIED IN INTERFERENCE AT THE OUTPUT OF AN ANTENNA ARRAY. SYNTHESIS OF THE ALGORITHM.</t>
  </si>
  <si>
    <t>Shinakov Y.</t>
  </si>
  <si>
    <t>Shinakov, Yu S.;Speranskii, V. S.</t>
  </si>
  <si>
    <t>6603467414;7003496277</t>
  </si>
  <si>
    <t>102-107</t>
  </si>
  <si>
    <t>An algorithm is given for spatial-temporal processing of signals at the outputs of an antenna array which ensures the detection of signals, estimation of their numbers, measurement of signal strength, as well as estimation of the angular coordinates of sources of these signals. The synthesis was carried out on the basis of the maximum likelihood method under the assumption that the interference represents an additive Gaussian isotropic field that is delta-correlated in time and space. The algorithm is given in a form that is convenient for simulating it using a computer or realizing using a specialized processor.</t>
  </si>
  <si>
    <t>['temporal processing', 'specialized processor', 'signal strength', 'realizing using', 'interference represents', 'antenna array', 'angular coordinates']</t>
  </si>
  <si>
    <t>2-s2.0-0020210277</t>
  </si>
  <si>
    <t>ANTENNAS IN CONDUCTING MEDIA. (REVIEW).</t>
  </si>
  <si>
    <t>Karnishin V.</t>
  </si>
  <si>
    <t>Karnishin, V. V.;Akindinov, V. V.</t>
  </si>
  <si>
    <t>57213100078;6603779009</t>
  </si>
  <si>
    <t>Recent publications devoted to theoretical and experimental research on linear and frame antennas placed in electrically conducting media are reviewed. The effects of the electrical properties of the medium and of the antenna insulating jackets on its characteristics are investigated as functions of excitation frequency and antenna dimensions. Characteristics of antenna measurements in absorptive media are also discussed.</t>
  </si>
  <si>
    <t>['experimental research', 'excitation frequency', 'electrical properties', 'antenna measurements', 'antenna dimensions', 'also discussed', 'absorptive media']</t>
  </si>
  <si>
    <t>2-s2.0-0020208911</t>
  </si>
  <si>
    <t>10.1002/j.1538-7305.1982.tb03420.x</t>
  </si>
  <si>
    <t>A Statistical Model of Multipath Fading on a Space‚ÄêDiversity Radio Channel</t>
  </si>
  <si>
    <t>Rummler W.</t>
  </si>
  <si>
    <t>Rummler, W. D.</t>
  </si>
  <si>
    <t>Bell System Technical Journal</t>
  </si>
  <si>
    <t>2185-2219</t>
  </si>
  <si>
    <t>The joint probability of occurrence of frequency‚Äêselective fades on a pair of spatially separated receiving antennas is modeled for a typical line‚Äêof‚Äêsight microwave radio path in the 6‚ÄêGHz band. The model was developed from observations of the transmission in a 24.2‚ÄêMHz band during all multipath‚Äêfading occurrences in a 30‚Äêday period on a 26.4‚Äêmile path. By fitting the observations of every scan on both antennas with a simplified three‚Äêray channel modeling function, the joint transmission at each observation is characterized by six parameters, three for each antenna. The joint occurrence of these six parameters is described by simple statistical distribution functions, allowing one to associate with any pair of channel transmission shapes the fraction of a year, or number of seconds in a year, that such a channel state will be encountered. The model represents the frequency selectivity or shape of the fades on the two antennas as statistically independent. Only the average fade levels on the two antennas are statistically related. Either antenna is more likely to experience a fade deeper than the median when selectivity is observed on it or when the other antenna is experiencing deeper fading than the median. The (marginal) statistics of fading on each of the antennas separately, as derived from the diversity model, are essentially the same as those described by a nondiversity statistical fading model, which has been used successfully to predict the multipath outage of digital radio systems. The model developed here will allow performance to be estimated in a diversity configuration. ¬© 1982 The Bell System Technical Journal</t>
  </si>
  <si>
    <t>['¬© 1982', 'used successfully', 'two antennas', 'statistically related', 'statistically independent', 'six parameters', 'multipath outage', 'model represents', 'model developed', 'joint transmission', 'joint probability', 'joint occurrence', 'frequency selectivity', 'fade deeper', 'every scan', 'either antenna', 'diversity model', 'diversity configuration', 'channel state', 'antennas separately', 'allowing one', 'allow performance']</t>
  </si>
  <si>
    <t>2-s2.0-0020208877</t>
  </si>
  <si>
    <t>10.1109/TAP.1982.1142950</t>
  </si>
  <si>
    <t>A Hybrid MM-Geometrical Optics Technique for the Treatment of Wire Antennas Mounted on a Curved Surface</t>
  </si>
  <si>
    <t>Henderson L.</t>
  </si>
  <si>
    <t>60008609;60003500</t>
  </si>
  <si>
    <t>University of Dayton;The Ohio State University</t>
  </si>
  <si>
    <t>Dayton;Columbus</t>
  </si>
  <si>
    <t>Henderson, Lee W.</t>
  </si>
  <si>
    <t>60003500-60008609</t>
  </si>
  <si>
    <t>1257-1261</t>
  </si>
  <si>
    <t>The method of moments (MM) and geometrical optics (GO) can be formally combined into a hybrid MM-GO technique. Wire-type antennas are treated by the method of moments, and their interaction with a large curved surface is accounted for through geometrical optics. Thus, in this communication, geometrical optics is used to account for the interaction of a monopole antenna with the curved surface on which it is mounted. Two hybrid MM-GO technique formulations for doing this are discussed. Results are shown for the impedance of a monopole on a circular cylinder as the radius of the cylinder is varied. Some of these results are compared with experimental measurements and good agreement is shown between the calculated and measured results. Copyright ¬© 1982 by The Institute of Electrical and Electronics Engineers. Inc.</t>
  </si>
  <si>
    <t>['type antennas', 'monopole antenna', 'measured results', 'hybrid mm', 'good agreement', 'go technique', 'geometrical optics', 'formally combined', 'experimental measurements', 'electronics engineers', 'curved surface', 'circular cylinder']</t>
  </si>
  <si>
    <t>2-s2.0-0020208710</t>
  </si>
  <si>
    <t>10.1109/TAP.1982.1142940</t>
  </si>
  <si>
    <t>Multifocal Three-Dimensional Bootlace Lenses</t>
  </si>
  <si>
    <t>Rao J.</t>
  </si>
  <si>
    <t>Naval Research Laboratory</t>
  </si>
  <si>
    <t>Rao, Jaganmohan B.L.</t>
  </si>
  <si>
    <t>1050-1056</t>
  </si>
  <si>
    <t>It is well known that a two-dimensional (parallel plate configuration) bootlace lens can be designed to have more than one focal point. Wide angle scanning capabilities of these lenses in two dimensions is well established, being larger for higher number of focal points. However, no three-dimensional bootlace lens having more than one focal point has been reported. It is the purpose of this paper to report on three-dimensional bootlace lenses having two, three, and four perfect focal points. Equations for lens surfaces are obtained for all three cases. The results of the aperture phase error analysis show that a lens with a larger number of focal points can be scanned to much larger angles in one plane at the expense of the scanning capability in the orthogonal plane. Copyright ¬© 1982 by The Institute of Electrical and Electronics Engineers. Inc.</t>
  </si>
  <si>
    <t>['well known', 'well established', 'two dimensions', 'three cases', 'scanning capability', 'orthogonal plane', 'one plane', 'lens surfaces', 'larger number', 'higher number', 'focal points', 'electronics engineers', 'bootlace lens']</t>
  </si>
  <si>
    <t>2-s2.0-0020208709</t>
  </si>
  <si>
    <t>10.1109/TAP.1982.1142928</t>
  </si>
  <si>
    <t>Narrow Multibeam Satellite Ground Station Antenna Employing a Linear Array with a Geosynchronous Arc Coverage of 60¬∞‚ÄîPart I: Theory</t>
  </si>
  <si>
    <t>Amitay N.</t>
  </si>
  <si>
    <t>Amitay, Noach;Gans, Michael J.</t>
  </si>
  <si>
    <t>7003808036;7006813926</t>
  </si>
  <si>
    <t>60021378;60021378</t>
  </si>
  <si>
    <t>1063-1067</t>
  </si>
  <si>
    <t>The feasibility of using an appropriately squinted linear scan in narrow multibeam satellite ground station antennas employing phased arrays is demonstrated. This linear scan has the potential of reducing the complexity of a narrow-beam planar array to that of a linear array. Calculations for such antennas placed at cities throughout the U.S. show tht the peak beam pointing error in covering the 70&lt;sup&gt;√ã≈°&lt;/sup&gt;W to 130&lt;sup&gt;√ã≈°&lt;/sup&gt;W geosynchronous equatorial arc (GEA) is under 5/ 1000th of a degree. Communication at a 300 MBd rate in the 12/14 GHz band can be made feasible, for a grating lobe-free scan and 0.5&lt;sup&gt;√ã≈°&lt;/sup&gt; beamwidth antenna, by using a relatively simple time equalization. Copyright ¬© 1982 by The Institute of Electrical and Electronics Engineers. Inc.</t>
  </si>
  <si>
    <t>['show tht', 'made feasible', 'linear scan', 'linear array', 'grating lobe', 'free scan', 'electronics engineers', 'cities throughout', 'beamwidth antenna', 'antennas placed']</t>
  </si>
  <si>
    <t>2-s2.0-0020208707</t>
  </si>
  <si>
    <t>10.1109/TAP.1982.1142959</t>
  </si>
  <si>
    <t>Analytic Determination of the Transient Response of a Thin-Wire Antenna Based upon an SEM Representation</t>
  </si>
  <si>
    <t>Hoorfar A.</t>
  </si>
  <si>
    <t>University of Colorado Boulder</t>
  </si>
  <si>
    <t>Hoorfar, Ahmad;Chang, David C.</t>
  </si>
  <si>
    <t>7004169306;7403319959</t>
  </si>
  <si>
    <t>60000221;60000221</t>
  </si>
  <si>
    <t>1145-1152</t>
  </si>
  <si>
    <t>Based upon an analytical expression for the frequency-domain current induced on a thin-wire antenna, a theory for determining the singular expansion method (SEM) representation of the transient response of an unloaded transmitting as well as a receiving antenna is presented. An analytical expression for the SEM poles is derived, and the explicit expressions for the associated coefficients, natural mode current, and coupling coefficient, are uncovered. A theoretical explanation for some of the physical processes related to the SEM representation of the transient current on a thin-wire antenna is also provided. Excellent agreement with the numerical results for both the transmitting and receiving antennas is obtained. Copyright ¬© 1982 by The Institute of Electrical and Electronics Engineers. Inc.</t>
  </si>
  <si>
    <t>['wire antenna', 'unloaded transmitting', 'transient response', 'transient current', 'theoretical explanation', 'sem representation', 'sem poles', 'receiving antennas', 'receiving antenna', 'numerical results', 'explicit expressions', 'excellent agreement', 'electronics engineers', 'coupling coefficient', 'based upon', 'associated coefficients', 'analytical expression', 'also provided']</t>
  </si>
  <si>
    <t>2-s2.0-0020208706</t>
  </si>
  <si>
    <t>10.1109/TAP.1982.1142945</t>
  </si>
  <si>
    <t>Effects of Phase and Amplitude Quantization Errors on Hybrid Phased-Array Reflector Antennas</t>
  </si>
  <si>
    <t>Mrstik V.</t>
  </si>
  <si>
    <t>General Research Corporation</t>
  </si>
  <si>
    <t>Santa Barbara</t>
  </si>
  <si>
    <t>Mrstik, Vincent</t>
  </si>
  <si>
    <t>1233-1236</t>
  </si>
  <si>
    <t>The tolerance of hybrid array/reflector antennas to feed element phase and amplitude quantization errors is examined. The effects of quantization errors on the peak and root mean square (rms) sidelobes are derived for an example parabolic reflector. Copyright ¬© 1982 by The Institute of Electrical and Electronics Engineers. Inc.</t>
  </si>
  <si>
    <t>['reflector antennas', 'quantization errors', 'hybrid array', 'electronics engineers']</t>
  </si>
  <si>
    <t>2-s2.0-0020208301</t>
  </si>
  <si>
    <t>10.1109/PROC.1982.12477</t>
  </si>
  <si>
    <t>Circularly Polarized UHF-TV Transmission</t>
  </si>
  <si>
    <t>George D.</t>
  </si>
  <si>
    <t>Imagineering Limited</t>
  </si>
  <si>
    <t>Don Mills</t>
  </si>
  <si>
    <t>George, David L.;Hiatt, John F.</t>
  </si>
  <si>
    <t>54779632600;7006691496</t>
  </si>
  <si>
    <t>116025114;116025114</t>
  </si>
  <si>
    <t>Proceedings of the IEEE</t>
  </si>
  <si>
    <t>1300-1303</t>
  </si>
  <si>
    <t>The reasons for choosing circularly polarized transmission for two new high-power UHF-tele vision-transmitting stations are described and the results of the data so far obtained are summarized. Subscription television (STY) applications permitted the use of circularly polarized receiving antennas at subscriber locations, thus maintaining the circularly polarized nature of the system. Copyright ¬© 1982 by The Institute of Electronics and Electronics Engineers, Inc.</t>
  </si>
  <si>
    <t>['transmitting stations', 'thus maintaining', 'tele vision', 'subscription television', 'subscriber locations', 'power uhf', 'far obtained', 'electronics engineers', 'applications permitted']</t>
  </si>
  <si>
    <t>2-s2.0-0020208288</t>
  </si>
  <si>
    <t>10.1109/TAP.1982.1142952</t>
  </si>
  <si>
    <t>Real Excitation Coefficients Suffice for Sidelobe Control in a Linear Array</t>
  </si>
  <si>
    <t>Lewis J.</t>
  </si>
  <si>
    <t>US Naval Underwater Systems Center</t>
  </si>
  <si>
    <t>New London</t>
  </si>
  <si>
    <t>Lewis, James T.</t>
  </si>
  <si>
    <t>1262-1263</t>
  </si>
  <si>
    <t>Minimax design of a linear antenna array with arbitrary fixed elements leads to the following mathematical problem. [formula Omitted] subject to T(0) = 1 [formula Omitted] and d &lt;inf&gt;k&lt;/inf&gt;are real numbers. It is proven that this problem has a solution with real excitation coefficients w&lt;inf&gt;k&lt;/inf&gt;. In the antenna application this shows that there is no need to allow phasing at the individual elements of the array; amplitude control alone will achieve all the sidelobe reduction possible. An analogous result can be proved for a more general complex approximation problem. Copyright ¬© 1982 by The Institute of Electrical and Electronics Engineers. Inc.</t>
  </si>
  <si>
    <t>['real numbers', 'minimax design', 'individual elements', 'formula omitted', 'electronics engineers', 'antenna application', 'analogous result', 'allow phasing']</t>
  </si>
  <si>
    <t>2-s2.0-0020208179</t>
  </si>
  <si>
    <t>10.1029/RS017i006p01598</t>
  </si>
  <si>
    <t>Theoretical determination of the effects of multiple scattering by hydrometeors in monopulse systems at millimeter wavelengths</t>
  </si>
  <si>
    <t>Capsoni C.</t>
  </si>
  <si>
    <t>Capsoni, Carlo;Mauri, Mario;Paraboni, Aldo</t>
  </si>
  <si>
    <t>7003739192;7103045989;7006221170</t>
  </si>
  <si>
    <t>November-December 1982</t>
  </si>
  <si>
    <t>Radio Science</t>
  </si>
  <si>
    <t>1944799X</t>
  </si>
  <si>
    <t>1598-1606</t>
  </si>
  <si>
    <t>The incoherent radiation incident on a receiving antenna after having been scattered by raindrops can cause some problems in the case of a monopulse system whose directive pattern presents a deep null toward the coherent incoming wave. This null is then filled with incoherent radiation, therefore giving rise to a degradation of the performances of the measuring equipment. In this paper this degradation is theoretically assessed assuming a simplified geometry (a rain cell embedded in stratified rain); the drops are assumed to be of spherical shape, and typical system configurations for the earth station are considered. Copyright 1982 by the American Geophysical Union.</t>
  </si>
  <si>
    <t>['spherical shape', 'simplified geometry', 'receiving antenna', 'measuring equipment', 'incoherent radiation', 'earth station', 'copyright 1982']</t>
  </si>
  <si>
    <t>2-s2.0-0020208178</t>
  </si>
  <si>
    <t>10.1029/RS017i006p01607</t>
  </si>
  <si>
    <t>VHF parabolic cylinder antenna for incoherent scatter radar research</t>
  </si>
  <si>
    <t>Hagfors T.</t>
  </si>
  <si>
    <t>Hagfors, T.;Kildal, P. S.;K√§rcher, H. J.;Liesenk√∂tter, B.;Schr√∂er, G.</t>
  </si>
  <si>
    <t>7003641531;7101988263;56914785300;56914928600;56914929100</t>
  </si>
  <si>
    <t>1607-1621</t>
  </si>
  <si>
    <t>A parabolic cylinder reflector antenna has been designed for high‚Äêpower radar observations of signals scattered from the ionospheric plasma at a frequency of 224 MHz. The antenna is constructed with an offset feed system to reduce aperture blockage. Efficient illumination for circular polarization using crossed dipoles is achieved by means of primary beam forming, which amounts to the construction of a polarization sensitive corner reflector. The measured aperture efficiency is 64%, and the gain 43.6 dB. The antenna can be mechanically steered through 90¬∞ in the meridian plane, and the beam can be offset from this plane by ¬±21.3¬∞ by manual phase steering of the 128‚Äêelement line feed. The width of the aperture is 40 m, and the length 120 m. The reflector is constructed in four 30‚Äêm‚Äêlong sections which can be individually steered. The RF distribution system is such that the two antenna halves can be operated and pointed completely independently. The paper describes the design considerations, the construction, and the testing of the performance of the completed antenna. Copyright 1982 by the American Geophysical Union.</t>
  </si>
  <si>
    <t>['¬± 21', 'signals scattered', 'paper describes', 'meridian plane', 'mechanically steered', 'length 120', 'ionospheric plasma', 'individually steered', 'gain 43', 'efficient illumination', 'design considerations', 'copyright 1982', 'completed antenna', '90 ¬∞', '64 %,', '6 db', '3 ¬∞', '224 mhz']</t>
  </si>
  <si>
    <t>2-s2.0-0020207977</t>
  </si>
  <si>
    <t>10.1109/TMAG.1982.1062037</t>
  </si>
  <si>
    <t>Microwave Tunable Filter Using Ultra-Thin Magnetic Film</t>
  </si>
  <si>
    <t>Chanq N.S.</t>
  </si>
  <si>
    <t>Osaka Electro-Communication University</t>
  </si>
  <si>
    <t>Neyagawa</t>
  </si>
  <si>
    <t>Chanq, N. S.</t>
  </si>
  <si>
    <t>IEEE Transactions on Magnetics</t>
  </si>
  <si>
    <t>1604-1606</t>
  </si>
  <si>
    <t>The filter characteristics of magnetostatic surface wave propagating in a structure consisting of the stripline antenna and a relatively thin YIG film are described. The performance theory of filter proposed here utilizes a peculiarity such as it is to be explained only in the passband characteristics of magnetostatic surface wave, when the external magnetic field and saturation magnetization of YIG film are given in the system. It was found that the loaded Q-value of filter on an ordinary magnetostatic surface wave transmission system composed of a stripline antenna with 200Œºm width and a YIG film with 0.79 ym thick is about 1620 at s-band frequency. ¬© 1982 IEEE</t>
  </si>
  <si>
    <t>['yig film', 'structure consisting', 'stripline antenna', 'saturation magnetization', 'performance theory', 'passband characteristics', 'loaded q', 'filter proposed', 'filter characteristics', 'band frequency', '200œºm width']</t>
  </si>
  <si>
    <t>2-s2.0-0020207875</t>
  </si>
  <si>
    <t>10.1109/TAES.1982.309295</t>
  </si>
  <si>
    <t>Bandpass Signal Sampling and Coherent Detection</t>
  </si>
  <si>
    <t>Waters W.</t>
  </si>
  <si>
    <t>Waters, W. M.;Jarrett, B. R.</t>
  </si>
  <si>
    <t>7103035615;6701345600</t>
  </si>
  <si>
    <t>60027271;60027271</t>
  </si>
  <si>
    <t>IEEE Transactions on Aerospace and Electronic Systems</t>
  </si>
  <si>
    <t>AES-18</t>
  </si>
  <si>
    <t>731-736</t>
  </si>
  <si>
    <t>Coherent detectors in radar and communications receivers are generally implemented in the form of two parallel baseband channels which form in-phase (I) and quadrature (Q) components of a received RF/IF signal. Phase errors of several degrees due to imperfect matching of these separate channels limit the performance achievable from signal processors such as moving target indicators (MTI), coherent integrators, Doppler filters, antenna array processors, and coherent sidelobe cancellers. Thus methods in which a single analog to digital (A/D) converter samples and digitizes the IF signal directly, eliminating the need for IF to baseband conversion, have been of recent interest and are the subject of this paper. To obtain accurate coherent detection from IF samples taken near the Nyquist rate requires interpolation based upon a number of stored samples. An algorithm derived from sampling theory is defined and used to demonstrate accurate reconstruction of the original IF signal from digitized samples. In-phase and quadrature components of the signal are shown to be available from processed samples with demonstrated phase errors less than 0.2¬∞. Copyright ¬© 1982 by The Institute of Electrical and Electronics Engineers, Inc.</t>
  </si>
  <si>
    <t>['thus methods', 'stored samples', 'single analog', 'signal processors', 'signal directly', 'sampling theory', 'recent interest', 'received rf', 'quadrature components', 'processed samples', 'phase errors', 'performance achievable', 'imperfect matching', 'generally implemented', 'electronics engineers', 'doppler filters', 'digitized samples', 'converter samples', 'communications receivers', 'coherent detectors', 'baseband conversion', 'algorithm derived', '2 ¬∞.']</t>
  </si>
  <si>
    <t>2-s2.0-0020207856</t>
  </si>
  <si>
    <t>10.1109/TAP.1982.1142953</t>
  </si>
  <si>
    <t>A Formulation of the Finite-Length Narrow Slot or Strip Equation</t>
  </si>
  <si>
    <t>Butler C.</t>
  </si>
  <si>
    <t>University of Mississippi</t>
  </si>
  <si>
    <t>University</t>
  </si>
  <si>
    <t>Butler, Chalmers M.</t>
  </si>
  <si>
    <t>1254-1257</t>
  </si>
  <si>
    <t>A formulation of the integro-differential equation for the electric field (or equivalent surface magnetic current) in a finite-length narrow slot in a perfectly conducting planar screen of infinite extent is presented. An analogous developement leads to the dual equation for a finite-length narrow conducting strip. The derivation proceeds from the general aperture equation and incorporates the known field in a narrow slot of infinite extent. The formulation is not based upon the concept of an equivalent radius but, as a by-product, width/4 emerges as the value of the equivalent radius of a strip or a slot. Copyright ¬© 1982 by The Institute of Electrical and Electronics Engineers. Inc.</t>
  </si>
  <si>
    <t>['narrow slot', 'known field', 'infinite extent', 'equivalent radius', 'electronics engineers', 'electric field', 'dual equation', 'differential equation', 'derivation proceeds', 'based upon', '4 emerges']</t>
  </si>
  <si>
    <t>2-s2.0-0020207692</t>
  </si>
  <si>
    <t>10.1080/03772063.1982.11452851</t>
  </si>
  <si>
    <t>NOTE ON THE UGTD ANALYSIS OF THE RADIATION PATTERN OF CONICAL HORNS.</t>
  </si>
  <si>
    <t>Sudhakarrao K.</t>
  </si>
  <si>
    <t>Sudhakarrao, K.</t>
  </si>
  <si>
    <t>IETE Journal of Research</t>
  </si>
  <si>
    <t>608-609</t>
  </si>
  <si>
    <t>The Uniform Geometrical Theory of Diffraction (UGTD) (Kouyoumjian &amp; Pathak 1974) has been employed successfully for analysing the radiation patterns of microwave antennae (Hansen 1981). The validity of the UGTD analysis for predicting the complex radiation patterns (amplitude and phase) in the principal planes of conical horns is verified by giving further results to those reported earlier.</t>
  </si>
  <si>
    <t>['ugtd analysis', 'reported earlier', 'radiation patterns', 'principal planes', 'pathak 1974', 'microwave antennae', 'employed successfully', 'conical horns']</t>
  </si>
  <si>
    <t>2-s2.0-0020207336</t>
  </si>
  <si>
    <t>10.1109/TMTT.1982.1131370</t>
  </si>
  <si>
    <t>Nonresonant Semiconductor Phase Shifter</t>
  </si>
  <si>
    <t>Novick G.</t>
  </si>
  <si>
    <t>60074055;60029216</t>
  </si>
  <si>
    <t>U.S. Army Research, Development and Engineering Command;Monmouth University</t>
  </si>
  <si>
    <t>Aberdeen;West Long Branch</t>
  </si>
  <si>
    <t>Novick, Gabriel;Locasio, Charles M.;Londono, Jaime;Jacobs, Harold</t>
  </si>
  <si>
    <t>36817781900;6508079925;7006272647;55636318766</t>
  </si>
  <si>
    <t>60029216;60029216;60029216;60074055</t>
  </si>
  <si>
    <t>2034-2036</t>
  </si>
  <si>
    <t>Distributed p-i-n diodes were appended to the sidewalls of dielectric waveguides in order to produce phase shifters and line-scanning antennas since a change in conductivity of the bulk semiconductor material will change the wavelength in the dielectric guide. RF losses have been reported when the p-i-n modulators are used in this manner. One of the mechanisms of loss can be resonance absorption at specific frequencies. In order to eliminate resonant effects, the p-i-n diode modulator has been redesigned into small periodic segments where each modulator chip is much smaller than one half wavelength. Copyright ¬© 1982 by The Institute of Electrical and Electronics Engineers, Inc.</t>
  </si>
  <si>
    <t>['specific frequencies', 'rf losses', 'resonance absorption', 'n modulators', 'n diodes', 'much smaller', 'modulator chip', 'electronics engineers', 'distributed p', 'dielectric waveguides', 'dielectric guide']</t>
  </si>
  <si>
    <t>2-s2.0-0020207222</t>
  </si>
  <si>
    <t>10.1109/TAP.1982.1142933</t>
  </si>
  <si>
    <t>Properties of Phase Synchronizing Sources for a Radio Camera</t>
  </si>
  <si>
    <t>Steinberg B.D.</t>
  </si>
  <si>
    <t>60102562;60027271</t>
  </si>
  <si>
    <t>School of Engineering and Applied Science;Naval Research Laboratory</t>
  </si>
  <si>
    <t>Philadelphia;Washington, D.C.</t>
  </si>
  <si>
    <t>Steinberg, Bernard D.</t>
  </si>
  <si>
    <t>60102562-60027271</t>
  </si>
  <si>
    <t>1086-1092</t>
  </si>
  <si>
    <t>A distorted phased array can be made to operate as a diffraction-limited aperture if a compensating time delay and/or phase shift is added in each antenna element channel. When the distortion is not known a priori the correction must be based upon phasefront measurements of the radiation from a source external to the array. The ideal adaptive synchronizing source is a point source radiating in free space. The phasefronts of realistic sources are perturbed, however. Three types of practical sources and calculations of the conditions under which their radiation fields are acceptable for adaptive beamforming are discussed. The sources are the passive reflector, the active beacon, and radar ground clutter. Copyright ¬© 1982 by The Institute of Electrical and Electronics Engineers. Inc.</t>
  </si>
  <si>
    <t>['three types', 'source external', 'realistic sources', 'radiation fields', 'practical sources', 'phase shift', 'passive reflector', 'limited aperture', 'free space', 'electronics engineers', 'correction must', 'adaptive beamforming', 'active beacon']</t>
  </si>
  <si>
    <t>2-s2.0-0020206857</t>
  </si>
  <si>
    <t>IMPROVED PATTERN SYNTHESIS FOR EQUISPACED LINEAR ARRAYS.</t>
  </si>
  <si>
    <t>Elliott R.S.</t>
  </si>
  <si>
    <t>Elliott, Robert S.</t>
  </si>
  <si>
    <t>Nov-Dec</t>
  </si>
  <si>
    <t>Alta frequenza</t>
  </si>
  <si>
    <t>296-300</t>
  </si>
  <si>
    <t>A linear perturbation procedure is developed which shifts the roots on a Schelkunoff unit circle in order to synthesize a sum or difference pattern with arbitrary side lobe topography. This procedure is superior to earlier methods because of its fast convergence properties. Typical applications are included which illustrate the technique.</t>
  </si>
  <si>
    <t>['typical applications', 'earlier methods', 'difference pattern']</t>
  </si>
  <si>
    <t>2-s2.0-0020206845</t>
  </si>
  <si>
    <t>10.1109/TAP.1982.1142967</t>
  </si>
  <si>
    <t>TE&lt;inf&gt;11&lt;/inf&gt;-to-HE&lt;inf&gt;11&lt;/inf&gt;Mode Converters for Small Angle Corrugated Horns</t>
  </si>
  <si>
    <t>James G.</t>
  </si>
  <si>
    <t>Comonwealth Scientific and Industrial Research Organization</t>
  </si>
  <si>
    <t>James, Graeme L.</t>
  </si>
  <si>
    <t>1057-1062</t>
  </si>
  <si>
    <t>A theoretical and experimental study of mode conversion from the transverse electric (te11) mode in a circular waveguide to the he11 hybrid mode in a small angle conical corrugated horn is given. Mode conversion is achieved through a transition section where the slots are either ring-loaded or are conventional slots of varying depth. Using varying depth slots the optimum design gives a return loss exceeding 30 dB over a 1.45 bandwidth ratio, with the low frequency limit determined by the deterioration in return loss, and the upper frequency limit determined by the excitation of excessive levels of the unwanted EH12hybrid mode. Using ring-loaded slots a bandwidth ratio of 1.55 is possible, increasing to at least 2.0, if the small amount of of EH12 mode generated (being an order of magnitude less than the case using varying depth slots) is acceptable. Copyright ¬© 1982 by The Institute of Electrical and Electronics Engineers. Inc.</t>
  </si>
  <si>
    <t>['varying depth', 'using ring', 'transverse electric', 'transition section', 'small amount', 'return loss', 'mode conversion', 'magnitude less', 'loaded slots', 'least 2', 'experimental study', 'excessive levels', 'electronics engineers', 'either ring', 'conventional slots', 'circular waveguide', 'bandwidth ratio']</t>
  </si>
  <si>
    <t>2-s2.0-0020206681</t>
  </si>
  <si>
    <t>10.1029/RS017i006p01637</t>
  </si>
  <si>
    <t>Stimulated plasma instability and nonlinear phenomena in the ionosphere</t>
  </si>
  <si>
    <t>Benson R.</t>
  </si>
  <si>
    <t>Benson, Robert F.</t>
  </si>
  <si>
    <t>1637-1659</t>
  </si>
  <si>
    <t>Several hundred topside ionograms, corresponding to both high‚Äê and low‚Äêpower sounder operation, were used to investigate stimulated wave‚Äêparticle interactions in the ionosphere. The investigation combined the benefits of high frequency resolution Alouette 2 analog sounder data with modern digital graphics techniques. One of the main conclusions of the study is that the sounder pulse can cause significant plasma heating when the plasma parameter ∆íN/∆íH is confined to specific ranges, where ∆íN is the plasma frequency and ∆íH is the electron cyclotron frequency. This heating is indicated by a variety of diffuse plasma signal returns that appear to be generated in a plasma which is driven into a state of turbulence by the sounder pulse. The signals are observed primarily in the range of ∆íz ‚â≤ n∆íH ‚â≤ ∆íT where ∆íT is the upper hybrid frequency, ∆íz is the cutoff of the electromagnetic z wave (the lower‚Äêfrequency branch of the extraordinary mode), and n is an integer ‚â• 1. The case n = 1 corresponds to a newly discovered diffuse resonance observed at a frequency designated by ∆íDNT which is confined between ∆íN and ∆íT. It is observed over nearly the complete limits of the above frequency range, i.e.,∆íz ‚â≤ ∆íH ‚â≤ ∆íT. The characteristics of the ∆íDNT resonance reveal a dramatic change as the ambient plasma parameter ∆íN/∆íH increases from ∆íN/∆íH &lt; 1 to ∆íN/∆íH &gt; 1. The phenomena associated with n &gt; 1 (some reported here for the first time) are restricted to narrower frequency limits of n∆íH within the ∆íz to ∆íT range. Such restrictions of the stimulated phenomena to certain ∆íN/∆íH values suggest that the source of the heating is the absorption of energy from slowly propagating sounder‚Äêstimulated plasma waves rather than directly from the RF fields associated with the brief sounder pulse. The sequence of diffuse resonances observed at frequencies below ∆íT and between the n∆íH harmonics has previously been attributed to a sounder‚Äêinitiated instability combined with a nonlinear sustaining mechanism. Several theories have been proposed. The present observations provide strong support for the Harris instability generation process and the nonlinear Landau damping maintaining process for the long‚Äêduration diffuse resonances, and indicate that the nonlinear three‚Äêwave interaction process may be important for the short‚Äêduration diffuse resonances. The so‚Äêcalled Q resonances observed at frequencies above ∆íT and between the n∆íH harmonics have previously been attributed to nearly pure Bernstein mode waves stimulated by the sounder pulse. The present observations, however, indicate that these resonances have some characteristics which imply that generation processes in a sounder‚Äêstimulated plasma turbulence may be involved. These Q resonances, which are often observed to ‚Äòfloat‚Äô away from the zero time delay baseline, are here found to occasionally have nonfloating subsidiary components. The short‚Äêtime‚Äêduration resonances observed at the harmonics and sum and differrence frequencies of the long‚Äêduration plasma resonances at ∆íN, ∆íT, ∆íH, and 2∆íH were found to occur only when ∆íT &lt; 2∆íH. Such a dependence on plasma conditions suggests that they are the result of nonlinear processes taking place in the ambient plasma rather than in the instrumentation. One class of stimulated diffuse signal returns is only observed when ∆íN/∆íH is relatively large ( ‚â≥ 4), suggesting that plasma heating may be more efficient under these conditions. Such conditions are shown to be ideal for exciting high‚Äêorder n∆íH resonances in that they can then be observed even when the antenna deviates considerably from a near‚Äêparallel orientation with respect to the local magnetic field direction. This paper is not subject to U.S. copyright. Published in 1982 by the American Geophysical Union.</t>
  </si>
  <si>
    <t>['∆ íz', '∆ ít', '∆ ín', '∆ íh', '∆ ídnt', 'stimulated phenomena', 'specific ranges', 'sounder pulse', 'several theories', 'relatively large', 'q resonances', 'present observations', 'plasma frequency', 'phenomena associated', 'one class', 'often observed', 'observed primarily', 'observed even', 'main conclusions', 'investigation combined', 'generation processes', 'frequency range', 'frequency designated', 'first time', 'dramatic change', 'differrence frequencies', 'complete limits', 'case n', '1 corresponds']</t>
  </si>
  <si>
    <t>2-s2.0-0020206679</t>
  </si>
  <si>
    <t>10.1109/TAP.1982.1142972</t>
  </si>
  <si>
    <t>E-Plane Performance Trade-Offs in Two-Dimensional Microstrip-Patch Element Phased Arrays</t>
  </si>
  <si>
    <t>Liu C.</t>
  </si>
  <si>
    <t>NYU Tandon School of Engineering</t>
  </si>
  <si>
    <t>Liu, Chung Cytz;Shmoys, Jerry;Hessel, Alexander</t>
  </si>
  <si>
    <t>7409791535;6602805535;7005831705</t>
  </si>
  <si>
    <t>60108318;60108318;60108318</t>
  </si>
  <si>
    <t>1201-1206</t>
  </si>
  <si>
    <t>A systematic analysis of probe-fed microstrip-patch phased arrays is discussed based on an infinite array model. E-plane scan and frequency parametric study of two-dimensional strip arrays show characteristic scan-bandwidth trade-offs. Copyright ¬© 1982 by The Institute of Electrical and Electronics Engineers. Inc.</t>
  </si>
  <si>
    <t>['systematic analysis', 'plane scan', 'fed microstrip', 'electronics engineers', 'discussed based', 'bandwidth trade']</t>
  </si>
  <si>
    <t>2-s2.0-0020206678</t>
  </si>
  <si>
    <t>10.1109/TAP.1982.1142949</t>
  </si>
  <si>
    <t>Regge Poles, Natural Frequencies, and Surface Wave Resonance of a Circular Cylinder with a Constant Surface Impedance</t>
  </si>
  <si>
    <t>Wang N.</t>
  </si>
  <si>
    <t>The Ohio State University</t>
  </si>
  <si>
    <t>Wang, Nan</t>
  </si>
  <si>
    <t>1244-1247</t>
  </si>
  <si>
    <t>The radar cross section (RCS) of an infinitely long circular cylinder with a constant surface impedance is obtained via a high frequency ray solution. The ray solution provides a physical picture of the scattering process in terms of a geometrical optics ray and two surface waves. It is shown that the surface wave resonance phenomenon in the RCS of the cylinder can be predicted in terms of the Regge poles or the natural frequencies of the cylinder. The numerical results for the RCS of the cylinder obtained via the high frequency ray solution show excellent agreement with the eigenfunction results. The condition for predicting the surface wave resonance is also discusse. Copyright ¬© 1982 by The Institute of Electrical and Electronics Engineers. Inc.</t>
  </si>
  <si>
    <t>['scattering process', 'regge poles', 'physical picture', 'obtained via', 'numerical results', 'natural frequencies', 'electronics engineers', 'eigenfunction results', 'also discusse']</t>
  </si>
  <si>
    <t>2-s2.0-0020205910</t>
  </si>
  <si>
    <t>RELATIVE FIELD STRENGTH OF VHF/UHF HORIZONTALLY POLARIZED WAVES IN 5 TO 100-METER RANGE OF PROPAGATION.</t>
  </si>
  <si>
    <t>Kawana T.</t>
  </si>
  <si>
    <t>Kawana, Tatsuichi;Miki, Chihiro</t>
  </si>
  <si>
    <t>7005910499;57214593850</t>
  </si>
  <si>
    <t>Journal of the Radio Research Laboratory</t>
  </si>
  <si>
    <t>201-219</t>
  </si>
  <si>
    <t>The relative field strength of VHF/UHF horizontally polarized waves on the plane ground was calculated in the 5 to 100-meter range of propagation by means of the site attenuation calculation procedures. These theoretical values were compared with some experimental ones. The experiments were carried out within a test site (400 m multiplied by 500 m) where both transmitting dipole antenna and receiving dipole antenna were located on the plane ground at the height of 2 meters. The experimental values at the frequencies of 40 MHz, 150 MHz and 450 MHz show a good coincidence with the theoretical values within plus or minus 1. 5 dB. So, this calculation method will be applicable to the estimation for the suitability of a test site where radiation properties of electrical apparatuses would be measured.</t>
  </si>
  <si>
    <t>['theoretical values', 'test site', 'radiation properties', 'plane ground', 'minus 1', 'meter range', 'good coincidence', 'experimental values', 'experimental ones', 'calculation method', '5 db', '40 mhz', '2 meters', '150 mhz']</t>
  </si>
  <si>
    <t>2-s2.0-0020205806</t>
  </si>
  <si>
    <t>10.1109/TAP.1982.1142939</t>
  </si>
  <si>
    <t>Computing Scattering Amplitudes for Arbitrary Cylinders Under Incident Plane Waves</t>
  </si>
  <si>
    <t>Marin S.</t>
  </si>
  <si>
    <t>General Motors</t>
  </si>
  <si>
    <t>Detroit</t>
  </si>
  <si>
    <t>Marin, Samuel P.</t>
  </si>
  <si>
    <t>1045-1049</t>
  </si>
  <si>
    <t>A numerical method to compute scattering amplitudes for time harmonic waves scattered from infinite cylinders with arbitrary uniform cross section is described. A nonlocal boundary condition is used to develop a variational formulation of the scattering problem, and the finite element method is applied to determine approximations to the near field. Scattering amplitudes are then determined by means of an integral representation obtained from Green‚Äôs formula and properties of the nonlocal boundary operator. Computational results are presented to illustrate the method‚Äôs application. Copyright ¬© 1982 by The Institute of Electrical and Electronics Engineers. Inc.</t>
  </si>
  <si>
    <t>['variational formulation', 'scattering problem', 'scattering amplitudes', 'numerical method', 'near field', 'infinite cylinders', 'electronics engineers', 'determine approximations', 'computational results']</t>
  </si>
  <si>
    <t>2-s2.0-0020205804</t>
  </si>
  <si>
    <t>10.1109/TAP.1982.1142944</t>
  </si>
  <si>
    <t>Peak Gain of a Cassegrain Antenna with Secondary Position Adjustment</t>
  </si>
  <si>
    <t>Zarghamee M.</t>
  </si>
  <si>
    <t>Simpson Gumpertz and Heger, Inc.</t>
  </si>
  <si>
    <t>Zarghamee, Mehdi S.</t>
  </si>
  <si>
    <t>1228-1233</t>
  </si>
  <si>
    <t>For an enclosed Cassegrain antenna, the loss of peak gain and beam deviation due to structural deformations of the primary reflector and rigid body displacements of the secondary reflector and of the feed are computed from the combined changes in the radio frequency (RF) path length. As the antenna moves in elevation, the position of the secondary reflector may be adjusted mechanically to minimize the loss of peak gain; a general method for the computation of the magnitude of such adjustments and of their effects on the gain and pointing of the system is presented. Numerical results are obtained for a particular case of a 45-ft diameter antenna designed for operation at 95.5 GHz RF for which the computed peak gain of the antenna varies significantly with the elevation angle. The results indicate that the loss of peak gain as the antenna moves in elevation can be substantially reduced by mechanical adjustment of the position of the secondary reflector. Copyright ¬© 1982 by The Institute of Electrical and Electronics Engineers. Inc.</t>
  </si>
  <si>
    <t>['substantially reduced', 'structural deformations', 'secondary reflector', 'results indicate', 'radio frequency', 'primary reflector', 'peak gain', 'path length', 'particular case', 'numerical results', 'mechanical adjustment', 'general method', 'elevation angle', 'electronics engineers', 'combined changes', 'antenna moves', 'adjusted mechanically']</t>
  </si>
  <si>
    <t>2-s2.0-0020205540</t>
  </si>
  <si>
    <t>10.1109/TEMC.1982.304053</t>
  </si>
  <si>
    <t>A new method of calculating 3-meter site attenuation</t>
  </si>
  <si>
    <t>Fukuzawa K.</t>
  </si>
  <si>
    <t>60021178;60008435;115568490</t>
  </si>
  <si>
    <t>Sony Corporation;Tohoku University;SONY Consumer Electronics Laboratories</t>
  </si>
  <si>
    <t>Tokyo;Sendai;Paramus</t>
  </si>
  <si>
    <t>Japan;Japan;United States</t>
  </si>
  <si>
    <t>Fukuzawa, Keiji;Tada, Masahiro;Yoshikawa, Takashi;Ouchi, Koji;Sato, Risaburo</t>
  </si>
  <si>
    <t>7102943292;7403302100;7402718411;7203010856;7403248989</t>
  </si>
  <si>
    <t>60021178;115568490;60021178;60021178;60008435</t>
  </si>
  <si>
    <t>IEEE Transactions on Electromagnetic Compatibility</t>
  </si>
  <si>
    <t>1558187X</t>
  </si>
  <si>
    <t>EMC-24</t>
  </si>
  <si>
    <t>389-397</t>
  </si>
  <si>
    <t>A new method of calculating 3-m site attenuation is described. To obtain an accurate site-attenuation curve, the problem of coupling between antennas is formulated in the form of coupled integral equations for the antenna currents, and solved by the method of moments (MOM). The site-attenuation curve thus obtained shows about 1.3-dB larger attenuation than that given in an IEC document. The deviations in the site-attenuation curve due to the impedance mismatch between the coaxial cable and the measuring equipment, and the influence of the antenna conductor radius on the attenuation curve are also considered. Finally, the calculated site attenuation is compared with the measured attenuation data available in the literature. ¬© 1982 by The Institute of Electrical and Electronics Engineers, Inc.</t>
  </si>
  <si>
    <t>3-m test site | calculation method | measured data | Site attenuation</t>
  </si>
  <si>
    <t>['¬© 1982', 'site attenuation', 'new method', 'mom ).', 'measuring equipment', 'impedance mismatch', 'iec document', 'electronics engineers', 'coaxial cable', 'calculating 3', 'attenuation curve', 'antenna currents', 'also considered', 'accurate site']</t>
  </si>
  <si>
    <t>2-s2.0-0020205042</t>
  </si>
  <si>
    <t>10.1109/TAP.1982.1142934</t>
  </si>
  <si>
    <t>Input Impedance and Mutual Coupling of Rectangular Microstrip Antennas</t>
  </si>
  <si>
    <t>Pozar D.M.</t>
  </si>
  <si>
    <t>University of Massachusetts Amherst</t>
  </si>
  <si>
    <t>Amherst MA</t>
  </si>
  <si>
    <t>Pozar, David M.</t>
  </si>
  <si>
    <t>1191-1196</t>
  </si>
  <si>
    <t>A moment method solution to the problem of input impedance and mutual coupling of rectangular microstrip antenna elements is presented. The formulation uses the grounded dielectric slab Green‚Äôs function to account rigorously for the presence of the substrate and surface waves. Both entire basis (EB) and piecewise sinusoidal (PWS) expansion modes are used, and their relative advantages are noted. Calculations of input impedance and mutual coupling are compared with measured data and other calculations. Copyright ¬© 1982 by The Institute of Electrical and Electronics Engineers. Inc.</t>
  </si>
  <si>
    <t>['surface waves', 'relative advantages', 'piecewise sinusoidal', 'mutual coupling', 'measured data', 'input impedance', 'formulation uses', 'expansion modes', 'entire basis', 'electronics engineers', 'account rigorously']</t>
  </si>
  <si>
    <t>2-s2.0-0020204974</t>
  </si>
  <si>
    <t>WIENER-HOPF COMPUTATION OF EDGE ADMITTANCES FOR MICROSTRIP PATCH RADIATORS.</t>
  </si>
  <si>
    <t>Gogoi A.</t>
  </si>
  <si>
    <t>Gogoi, Anup;Gupta, Kuldip C.</t>
  </si>
  <si>
    <t>57198258556;7402592343</t>
  </si>
  <si>
    <t>AEU. Archiv fur Elektronik und Ubertragungstechnik</t>
  </si>
  <si>
    <t>464-467</t>
  </si>
  <si>
    <t>The Wiener-Hopf method has been used for computation of edge admittances for microstrip antennas. Closed-form expressions for radiation conductance, surface-wave conductance and normalized extension of the patch length (to account for the edge reactance) have been obtained by curve fitting of the numerical results.</t>
  </si>
  <si>
    <t>['wave conductance', 'radiation conductance', 'patch length', 'numerical results', 'normalized extension', 'microstrip antennas', 'hopf method', 'form expressions', 'edge reactance', 'edge admittances', 'curve fitting']</t>
  </si>
  <si>
    <t>2-s2.0-0020204908</t>
  </si>
  <si>
    <t>10.1109/TAP.1982.1142970</t>
  </si>
  <si>
    <t>Flanged Parabolic Antennas</t>
  </si>
  <si>
    <t>Bucci O.M.</t>
  </si>
  <si>
    <t>Universit√† degli Studi di Napoli Federico II</t>
  </si>
  <si>
    <t>Naples</t>
  </si>
  <si>
    <t>Bucci, Ovidio M.;Gennarelli, Claudio;Palumbo, Luigi</t>
  </si>
  <si>
    <t>7006499276;7003785247;9276356900</t>
  </si>
  <si>
    <t>60017293;60017293;60017293</t>
  </si>
  <si>
    <t>1081-1085</t>
  </si>
  <si>
    <t>The radiation characteristics of symmetric parabolic antennas with a peripherical flange are examined in detail in order to assess the effectiveness of such a flange in reducing the backward scattered field. It is shown that the best behavior is obtained by using a right-angled flange, which allows achievement of a significant field level reduction in a wide rear angular sector, without affecting the field radiated in the forward directions. Copyright ¬© 1982 by The Institute of Electrical and Electronics Engineers. Inc.</t>
  </si>
  <si>
    <t>['without affecting', 'radiation characteristics', 'peripherical flange', 'forward directions', 'field radiated', 'electronics engineers', 'best behavior', 'angled flange', 'allows achievement']</t>
  </si>
  <si>
    <t>2-s2.0-0020204906</t>
  </si>
  <si>
    <t>10.1109/TAP.1982.1142943</t>
  </si>
  <si>
    <t>Radiation Pattern Computation of a Spherical Lens Using Mie Series</t>
  </si>
  <si>
    <t>Mieras H.</t>
  </si>
  <si>
    <t>Unisys Corporation</t>
  </si>
  <si>
    <t>Blue Bell</t>
  </si>
  <si>
    <t>Mieras, Harry</t>
  </si>
  <si>
    <t>1221-1224</t>
  </si>
  <si>
    <t>The radiation pattern of a spherical layered dielectric lens is computed using eigenfunction expansions. The method is an adaptation of the well-known classical solution for plane wave scattering from a layered sphere but uses the less well-known vector addition theorem for spherical wave functions to represent the offcenter sources. The usefulness of this formulation is that the solution is analytical and ‚Äúexact,‚Äù and is an efficient tool for investigating spherical lens radiation properties. The method is illustrated for a typical Luneburg lens. Copyright ¬© 1982 by The Institute of Electrical and Electronics Engineers. Inc.</t>
  </si>
  <si>
    <t>['radiation pattern', 'offcenter sources', 'less well', 'layered sphere', 'electronics engineers', 'efficient tool']</t>
  </si>
  <si>
    <t>2-s2.0-0020204825</t>
  </si>
  <si>
    <t>10.1109/TAP.1982.1142957</t>
  </si>
  <si>
    <t>Beam Scanning and Focal Surfaces for Parabolic Cylinder Reflectors</t>
  </si>
  <si>
    <t>Whale H.</t>
  </si>
  <si>
    <t>The University of Auckland</t>
  </si>
  <si>
    <t>Auckland</t>
  </si>
  <si>
    <t>New Zealand</t>
  </si>
  <si>
    <t>Whale, H. A.</t>
  </si>
  <si>
    <t>1073-1080</t>
  </si>
  <si>
    <t>The location of the focal surfaces for parabolic cylinder reflectors with Gaussian tapered illumination is investigated and compared with that obtained by numerical simulation. It is found that an idealized surface that holds approximately in most practical cases is the circle described on the vertex-focus line as diameter. Formulas are derived for the change of gain and beamwidth with scan angle. Copyright ¬© 1982 by The Institute of Electrical and Electronics Engineers. Inc.</t>
  </si>
  <si>
    <t>['scan angle', 'practical cases', 'numerical simulation', 'idealized surface', 'holds approximately', 'focus line', 'focal surfaces', 'electronics engineers', 'circle described']</t>
  </si>
  <si>
    <t>2-s2.0-0020204626</t>
  </si>
  <si>
    <t>10.1109/TAP.1982.1142956</t>
  </si>
  <si>
    <t>A Curved-Aperture Corrugated Horn Having Very Low Cross-Polar Performance</t>
  </si>
  <si>
    <t>Thomas B.M.A.</t>
  </si>
  <si>
    <t>Commonwealth Scientific and Industrial Research Organization</t>
  </si>
  <si>
    <t>Melbourne</t>
  </si>
  <si>
    <t>Thomas, Bruce Mac A.;Greene, Kieran J.</t>
  </si>
  <si>
    <t>57217802857;35571713000</t>
  </si>
  <si>
    <t>60029470;60029470</t>
  </si>
  <si>
    <t>1068-1072</t>
  </si>
  <si>
    <t>The design and characteristics of an HE&lt;inf&gt;11&lt;/inf&gt; hybrid mode corrugated horn that has a flared aperture of constant radius of curvature and the design factors relating to the corrugated waveguide mode converter required to feed the horn are described in detail. Provided the radius of curvature is greater than approximately 1.2 wavelengths at the design frequency f&lt;inf&gt;0&lt;/inf&gt;, the cross-polar sidelobe intensity versus frequency characteristic of the horn is well defined and has a minimum which is below -50 dB near f&lt;inf&gt;0&lt;/inf&gt;. This type of horn is therefore suggested for use as a reference where a very low level of cross polarization is desired. Normalized curves are presented showing the cross polarization, the beamwidth, and the position of the phase center as functions of the horn parameters. The bandwidth achieved of 1.36:1 is limited not by the cross-polar performance, but by the rapid deterioration of the return loss near the lower edge of the band. The bandwidth, for a given cross-polar level, increases as the radius of curvature increases. The precautions necessary to achieve the low levels of cross polarization, and the fundamental principles in the design of the mode converter are discussed in detail. Copyright ¬© 1982 by The Institute of Electrical and Electronics Engineers. Inc.</t>
  </si>
  <si>
    <t>['well defined', 'therefore suggested', 'rapid deterioration', 'presented showing', 'precautions necessary', 'polar performance', 'polar level', 'phase center', 'normalized curves', 'mode converter', 'lower edge', 'low levels', 'low level', 'horn parameters', 'given cross', 'fundamental principles', 'flared aperture', 'electronics engineers', 'curvature increases', 'cross polarization', 'constant radius', 'bandwidth achieved', 'approximately 1', '2 wavelengths']</t>
  </si>
  <si>
    <t>2-s2.0-0020204624</t>
  </si>
  <si>
    <t>10.1109/TAP.1982.1142936</t>
  </si>
  <si>
    <t>Scattering by Wires near a Material Half-Space</t>
  </si>
  <si>
    <t>King R.W.P.</t>
  </si>
  <si>
    <t>60009982;60005837</t>
  </si>
  <si>
    <t>Harvard University;University of Houston</t>
  </si>
  <si>
    <t>Cambridge;Houston</t>
  </si>
  <si>
    <t>King, Ronold W.P.</t>
  </si>
  <si>
    <t>60009982-60005837</t>
  </si>
  <si>
    <t>1165-1171</t>
  </si>
  <si>
    <t>The currents in and the field scattered by a thin wire over a material half-space composed of earth, sea water or lake water are determined. Full account is taken of the effect of the half-space on both the currents induced in the wire and on the scattered field. Distributions of current, back-scattering cross sections, and scattering patterns are shown for both normal and nonnormal incidence and with the incident field polarized in and perpendicular to the plane of incidence. Copyright ¬© 1982 by The Institute of Electrical and Electronics Engineers. Inc.</t>
  </si>
  <si>
    <t>['thin wire', 'space composed', 'sea water', 'scattering patterns', 'scattered field', 'nonnormal incidence', 'material half', 'lake water', 'full account', 'field scattered', 'electronics engineers', 'currents induced']</t>
  </si>
  <si>
    <t>2-s2.0-0020204567</t>
  </si>
  <si>
    <t>DIGITAL PROCESSING RESCUES HARDWARE PHASE ERRORS.</t>
  </si>
  <si>
    <t>Kellogg W.C.</t>
  </si>
  <si>
    <t>Kellogg, Willis C.</t>
  </si>
  <si>
    <t>In a radar transmitter, controlled amplitude modulation is precluded by the final amplifier which usually contains a saturating device. The only amplitude modulation present on the transmitted signal results from power supply problems. With AM discounted, phase modulation becomes the only available alternative and the phase of the signal represents a critical parameter. The article considers the ways in which signal processing can compensate for phase distortion in the power amplifier, antenna, RF amplifier, downconverter, and IF amplifier. Two compensation schemes are discussed for Linear FM (chirp) radar waveforms.</t>
  </si>
  <si>
    <t>['usually contains', 'signal represents', 'signal processing', 'saturating device', 'rf amplifier', 'radar waveforms', 'radar transmitter', 'power amplifier', 'phase distortion', 'linear fm', 'final amplifier', 'critical parameter', 'available alternative', 'article considers']</t>
  </si>
  <si>
    <t>2-s2.0-0020203722</t>
  </si>
  <si>
    <t>10.1109/TMTT.1982.1131335</t>
  </si>
  <si>
    <t>Theory and Design of a Ku-Band TE21-Mode Coupler</t>
  </si>
  <si>
    <t>Choung Y.</t>
  </si>
  <si>
    <t>Space Systems Loral</t>
  </si>
  <si>
    <t>Palo Alto</t>
  </si>
  <si>
    <t>Choung, Youn H.;Goudey, Kenneth R.;Bryans, Lawrence G.</t>
  </si>
  <si>
    <t>7004685468;6507025039;6507519630</t>
  </si>
  <si>
    <t>60011688;60011688;60011688</t>
  </si>
  <si>
    <t>1862-1866</t>
  </si>
  <si>
    <t>This paper describes a TE21-mode tracking coupler for satellite earth stations communications antennas which require autotrack capability. The paper covers theoretical coupler designs as well as laboratory test results from Ku-band hardware. Copyright ¬© 1982 by The Institute of Electrical and Electronics Engineers, Inc.</t>
  </si>
  <si>
    <t>['paper describes', 'electronics engineers', 'band hardware']</t>
  </si>
  <si>
    <t>2-s2.0-0020203385</t>
  </si>
  <si>
    <t>10.1109/TAP.1982.1142962</t>
  </si>
  <si>
    <t>An Optimum Inversion Method for the Remote Probing of Defective Phase Shifters in Phased Arrays</t>
  </si>
  <si>
    <t>Bressan M.</t>
  </si>
  <si>
    <t>Universit√† degli Studi di Pavia</t>
  </si>
  <si>
    <t>Pavia</t>
  </si>
  <si>
    <t>Bressan, Marco;Conciauro, Giuseppe</t>
  </si>
  <si>
    <t>7004810498;6603847946</t>
  </si>
  <si>
    <t>60015197;60015197</t>
  </si>
  <si>
    <t>1184-1190</t>
  </si>
  <si>
    <t>The ‚Äúbest-linear estimate‚Äù method for the solution of improperly-posed inverse problems is applied to the remote sensing of defective phase shifters in phased arrays. The experimental data, obtained by measuring a field component in the Fresnel region, are inverted using a matrix operator which is determined taking full advantage of all the available statistical informations on the quantities to be detected and on the error sources affecting the measurements. Numerical simulations, concerning a rectangular array of dipoles scanned in elevation, demonstrate the superiority of the statistical method with respect to other inversion procedures proposed for this application. Copyright ¬© 1982 by The Institute of Electrical and Electronics Engineers. Inc.</t>
  </si>
  <si>
    <t>['‚ äúbest', 'statistical method', 'remote sensing', 'rectangular array', 'phased arrays', 'numerical simulations', 'matrix operator', 'inverted using', 'fresnel region', 'field component', 'experimental data', 'electronics engineers', 'dipoles scanned']</t>
  </si>
  <si>
    <t>2-s2.0-0020203384</t>
  </si>
  <si>
    <t>10.1109/TAP.1982.1142946</t>
  </si>
  <si>
    <t>Radiation from Aperture Antennas Radiating in the Presence of a Dielectric Sphere</t>
  </si>
  <si>
    <t>1237-1240</t>
  </si>
  <si>
    <t>A more systematic and rigorous procedure for analyzing the radiation patterns of an open-ended wavegnide radiating in the presence of a dielectric sphere is presented. The analysis is based on the formula developed earlier [5] for radial translation of the spherical vector wave functions. An experimental program is described which confirms the validity of the analysis presented. Copyright ¬© 1982 by The Institute of Electrical and Electronics Engineers. Inc.</t>
  </si>
  <si>
    <t>['rigorous procedure', 'radiation patterns', 'radial translation', 'experimental program', 'electronics engineers', 'dielectric sphere', 'analysis presented']</t>
  </si>
  <si>
    <t>2-s2.0-0020203328</t>
  </si>
  <si>
    <t>10.1109/TAP.1982.1142971</t>
  </si>
  <si>
    <t>A Wide-Band Electrically Small Superdirective Array</t>
  </si>
  <si>
    <t>Newman E.</t>
  </si>
  <si>
    <t>Newman, Edward H.;Schrote, Mark R.</t>
  </si>
  <si>
    <t>7203066664;6506712920</t>
  </si>
  <si>
    <t>60003500;60003500</t>
  </si>
  <si>
    <t>1172-1176</t>
  </si>
  <si>
    <t>The characteristics and a design procedure for an electrically small superdirective array with a 3-to-1 pattern bandwidth are presented. Theoretical patterns are compared with measurements. Trade-offs between array size, tolerances, directivity, and signal strength are discussed. Copyright ¬© 1982 by The Institute of Electrical and Electronics Engineers. Inc.</t>
  </si>
  <si>
    <t>['theoretical patterns', 'signal strength', 'electronics engineers', 'design procedure', 'array size']</t>
  </si>
  <si>
    <t>2-s2.0-0020203287</t>
  </si>
  <si>
    <t>10.1109/T-VT.1982.23933</t>
  </si>
  <si>
    <t>The Near Field of Omnidirectional Helical Antennas</t>
  </si>
  <si>
    <t>Balzano Q.</t>
  </si>
  <si>
    <t>Motorola</t>
  </si>
  <si>
    <t>Schaumburg</t>
  </si>
  <si>
    <t>Balzano, Quirino;Garay, Oscar;Siwiak, Kazimierz</t>
  </si>
  <si>
    <t>7004723242;6701635946;6603619174</t>
  </si>
  <si>
    <t>60024590;60024590;60024590</t>
  </si>
  <si>
    <t>IEEE Transactions on Vehicular Technology</t>
  </si>
  <si>
    <t>173-185</t>
  </si>
  <si>
    <t>The close near field of helical antennas, radiators widely used in connection with two-way portable communication equipment, is investigated theoretically and experimentally. The investigation has been motivated by safety related considerations. A simplified mathematical model for the radiation from helical antennas with a large number of turns is derived. The near E-field intensity obtained from the theoretical model is compared to the values measured using an accurate E-field probe. The agreement between experimental and theoretical values is excellent. The results show that there is a sub-stantial buildup of static-type electric energy in the close vicinity of helical antennas. The intensity of these electric fields in the vicinity of a helical radiator depends essentially on the Q factor of the antenna. For one experimental helix the far-field power density equivalent (|E|2/377) of the electric field at 1-cm distance from the radiator exceeds some proposed safety standards for less than 250-¬µW radiated power. These values are in complete agreement with the results of previous studies which showed that helical radiators are very ineffective in depositing electromagnetic energy into simulated muscle tissue located in the close vicinity of the antenna. If safety standards of independent or government agencies do not take into account the peculiar nature of the electromagnetic energy in the close vicinity of some radiating devices, it is conceivable that the power of portable two-way communication equipment might be forced down to useless levels. Copyright ¬© 1982 by The Institute of Electrical and Electronics Engineers, Inc.</t>
  </si>
  <si>
    <t>['useless levels', 'theoretical values', 'theoretical model', 'stantial buildup', 'safety standards', 'results show', 'radiator exceeds', 'radiating devices', 'q factor', 'previous studies', 'portable two', 'peculiar nature', 'near e', 'large number', 'investigated theoretically', 'helical radiators', 'helical antennas', 'government agencies', 'field probe', 'electronics engineers', 'electromagnetic energy', 'electric fields', 'electric field', 'complete agreement', 'cm distance', 'close vicinity', 'accurate e']</t>
  </si>
  <si>
    <t>2-s2.0-0020203043</t>
  </si>
  <si>
    <t>10.1109/TAP.1982.1142963</t>
  </si>
  <si>
    <t>The Synthesis of Shaped Patterns with Series-Fed Microstrip Patch Arrays</t>
  </si>
  <si>
    <t>Jones B.B.</t>
  </si>
  <si>
    <t>Interscan Australia Pty. Ltd.</t>
  </si>
  <si>
    <t>Jones, Bevan B.;Chow, Francis Y.M.;Seeto, Anthony W.</t>
  </si>
  <si>
    <t>7404958314;7005264077;6508386783</t>
  </si>
  <si>
    <t>115596933;115596933;115596933</t>
  </si>
  <si>
    <t>1206-1212</t>
  </si>
  <si>
    <t>A method of designing series-fed microstrip patch arrays to produce a shaped pattern is described. The technique is based on a circuit representation of the patches in the array environment with experimentally determined parameters. The positions and widths of the patches are derived from the amplitudes and phases of the elements of a uniform array, which produces the desired pattern and which has the same extent as the patch array. For the array to have high efficiency, the amplitude distribution must not be strongly peaked. An algorithm for obtaining an approximation to the desired far-field amplitude distribution while retaining control over the amplitude of excitation is presented. Very close agreement has been obtained between calculated and measured performance of such arrays. Copyright ¬© 1982 by The Institute of Electrical and Electronics Engineers. Inc.</t>
  </si>
  <si>
    <t>['uniform array', 'strongly peaked', 'shaped pattern', 'retaining control', 'patch array', 'measured performance', 'high efficiency', 'electronics engineers', 'desired pattern', 'desired far', 'designing series', 'close agreement', 'circuit representation', 'array environment']</t>
  </si>
  <si>
    <t>2-s2.0-0020203042</t>
  </si>
  <si>
    <t>10.1109/TAP.1982.1142960</t>
  </si>
  <si>
    <t>Bispherical Constrained Lens Antennas</t>
  </si>
  <si>
    <t>1224-1228</t>
  </si>
  <si>
    <t>A bispherical constrained lens having two surfaces of equal radii has been known to provide multiple beams with true time delay and no feed blockage. A generalized bispherical constrained lens with the radii of its two surfaces being allowed to vary is described. This additional degree of freedom can be used in limited coverage applications to make the lens more compact, in terms of total lens surface, compared to the equal radii case. Copyright ¬© 1982 by The Institute of Electrical and Electronics Engineers. Inc.</t>
  </si>
  <si>
    <t>['two surfaces', 'feed blockage', 'equal radii', 'electronics engineers', 'additional degree']</t>
  </si>
  <si>
    <t>2-s2.0-0020203041</t>
  </si>
  <si>
    <t>10.1109/TAP.1982.1142955</t>
  </si>
  <si>
    <t>Active Antenna Performance Limitation</t>
  </si>
  <si>
    <t>Sainati R.A.</t>
  </si>
  <si>
    <t>Honeywell International Inc.</t>
  </si>
  <si>
    <t>Morris Plains</t>
  </si>
  <si>
    <t>Sainati, Robert A.</t>
  </si>
  <si>
    <t>1265-1267</t>
  </si>
  <si>
    <t>Many amplifier designs have been proposed for use with electrically small antennas in receiving applications. A study of pertinent noise figure and available power gain equations shows that performance is strongly influenced by antenna resistance. Low values of antenna resistance limit noise performance, and a study of antenna Q shows that only a limited increase in resistance can occur. Copyright ¬© 1982 by The Institute of Electrical and Electronics Engineers. Inc.</t>
  </si>
  <si>
    <t>['strongly influenced', 'receiving applications', 'low values', 'limited increase', 'electronics engineers', 'antenna resistance']</t>
  </si>
  <si>
    <t>2-s2.0-0020203001</t>
  </si>
  <si>
    <t>10.1029/RS017i006p01425</t>
  </si>
  <si>
    <t>Multiple scattering calculations of rain effects</t>
  </si>
  <si>
    <t>Ishimaru A.</t>
  </si>
  <si>
    <t>Ishimaru, Akira;Woo, Richard;Armstrong, J. W.;Blackman, Doris C.</t>
  </si>
  <si>
    <t>7005122046;56274140800;7403155808;7005041636</t>
  </si>
  <si>
    <t>1425-1433</t>
  </si>
  <si>
    <t>At millimeter wave frequencies the scattering cross section of raindrops becomes comparable to the absorption cross section, and incoherent intensity due to multiple scattering may become significant. This paper presents calculations of the incoherent intensity at 30, 60, 90, and 120 GHz. The scattering and absorption characteristics of the rain are calculated using the Mie solution and the Laws‚ÄêParsons distribution. Incoherent intensities for the horizontal and vertical polarizations are obtained using the equation of transfer and the Stokes parameters. The obliquely incident wave is linearly polarized. The equation of transfer is solved by using the Gauss quadrature formula and the matrix eigenvalue technique. The matrix elements are calculated using the formulations developed by Sekera, and the vertical and horizontal components and their correlations are used in the Stokes parameter representations. The received incoherent intensity depends on the field of view of the receiving antenna. The ratio of the copolarized incoherent intensity to the copolarized coherent intensity is defined as the incoherent copolarized discrimination I‚ÄêCPD, and the ratio of the cross‚Äêpolarized incoherent intensity to the copolarized coherent intensity is defined as the incoherent cross‚Äêpolarized discrimination I‚ÄêXPD. These are computed in terms of rain rate, field of view, and copolarized attenuation. It is shown that multiple scattering effects may become significant during heavy rains. Backscattering results are also presented. Copyright 1982 by the American Geophysical Union.</t>
  </si>
  <si>
    <t>['‚ äêxpd', '‚ äêcpd', 'vertical polarizations', 'stokes parameters', 'receiving antenna', 'rain rate', 'obtained using', 'mie solution', 'matrix elements', 'linearly polarized', 'incoherent intensity', 'incoherent intensities', 'horizontal components', 'heavy rains', 'formulations developed', 'copyright 1982', 'copolarized attenuation', 'calculated using', 'backscattering results', 'also presented', 'absorption characteristics', '120 ghz']</t>
  </si>
  <si>
    <t>2-s2.0-0020202959</t>
  </si>
  <si>
    <t>10.1109/PROC.1982.12472</t>
  </si>
  <si>
    <t>UHF Television: A Review and Update</t>
  </si>
  <si>
    <t>Gieseler P.</t>
  </si>
  <si>
    <t>Federal Communications Commission</t>
  </si>
  <si>
    <t>Gieseler, Philip B.</t>
  </si>
  <si>
    <t>1254-1263</t>
  </si>
  <si>
    <t>A catalog of improvements to the received signal-to-noise ratio of UHF-television signals is presented, indicating that an overall improvement of 16 dB may be possible. Implementing some or all of the possibilities fot improvement could have major benefits to the reception of UHF signals, although the UHF-television industry appears to be maturing into a successful service in spite of its disadvantages in comparison to VHF television. Copyright ¬© 1982 by The Institute of Electronics and Electronics Engineers, Inc.</t>
  </si>
  <si>
    <t>['vhf television', 'uhf signals', 'television signals', 'successful service', 'received signal', 'overall improvement', 'noise ratio', 'major benefits', 'electronics engineers']</t>
  </si>
  <si>
    <t>2-s2.0-0020202938</t>
  </si>
  <si>
    <t>10.1109/TAP.1982.1142961</t>
  </si>
  <si>
    <t>Planar Array Synthesis with Prescribed Pattern Nulls</t>
  </si>
  <si>
    <t>Laxpati S.</t>
  </si>
  <si>
    <t>60027561;60027271</t>
  </si>
  <si>
    <t>University of Illinois at Chicago;Naval Research Laboratory</t>
  </si>
  <si>
    <t>Chicago;Washington, D.C.</t>
  </si>
  <si>
    <t>Laxpati, Sharad R.</t>
  </si>
  <si>
    <t>60027271-60027561</t>
  </si>
  <si>
    <t>1176-1183</t>
  </si>
  <si>
    <t>A novel synthesis method for planar arrays that is applicable to polygonal arrays with a general triangular lattice is presented. The method fundamentally requires specification of pattern nulls which may be arbitrary and utilizes a two-dimensional convolution process and a four-element canonical array. The design procedure is noniterative and does not require separable illumination, but has at least the same number of degrees of freedom as those methods relying on separable illumination. The method is illustrated through several examples of synthesis which include diamond, regular hexagonal, and stretched hexagonal arrays. The aperture illumination efficiencies of the designs are computed. Although only examples of sum patterns are shown, it may be used to synthesize difference patterns as well. Also the method can be used to synthesize optimal patterns in designated planes. The null synthesis method has an important advantage over other synthesis techniques. The algorithm for determining the array excitations is trivially different for different array boundaries and lattices and can be implemented on a small computer. Copyright ¬© 1982 by The Institute of Electrical and Electronics Engineers. Inc.</t>
  </si>
  <si>
    <t>['trivially different', 'synthesis techniques', 'sum patterns', 'small computer', 'several examples', 'separable illumination', 'regular hexagonal', 'polygonal arrays', 'planar arrays', 'pattern nulls', 'methods relying', 'include diamond', 'important advantage', 'electronics engineers', 'designated planes', 'design procedure', 'array excitations']</t>
  </si>
  <si>
    <t>2-s2.0-0020202721</t>
  </si>
  <si>
    <t>10.1109/PROC.1982.12476</t>
  </si>
  <si>
    <t>UHF Transmitting Facilities Design</t>
  </si>
  <si>
    <t>1293-1299</t>
  </si>
  <si>
    <t>Many factors influence the design of an effective UHF-tele-viaon transmitting plant Site and antenna selection, and their optimization, are particularly critical, while the design of die plant itself has a significant influence on the overall reliability of the system. Several factors relating to die design of an effective transmitting plant are discussed and suggestions offered to minimize installation difficulties and improve operational characteristics. Copyright ¬© 1982 by The Institute of Electronics and Electronics Engineers, Inc.</t>
  </si>
  <si>
    <t>['suggestions offered', 'significant influence', 'particularly critical', 'overall reliability', 'electronics engineers', 'effective uhf', 'die plant', 'die design', 'antenna selection']</t>
  </si>
  <si>
    <t>2-s2.0-0020202654</t>
  </si>
  <si>
    <t>10.1029/RS017i006p01557</t>
  </si>
  <si>
    <t>Radiation patterns of interfacial dipole antennas</t>
  </si>
  <si>
    <t>Engheta N.</t>
  </si>
  <si>
    <t>Engheta, N.;Papas, C. H.;Elachi, C.</t>
  </si>
  <si>
    <t>7005850584;6701353313;7005392498</t>
  </si>
  <si>
    <t>1557-1566</t>
  </si>
  <si>
    <t>The radiation pattern of an infinitesimal electric dipole is calculated for the case where the dipole is vertically located on the plane interface of two dielectric half spaces and for the case where the dipole is lying horizontally along the interface. For the vertical case, it is found that the radiation pattern has nulls at the interface and along the dipole axis. For the horizontal case, it is found that the pattern has a null at the interface; that the pattern in the upper half space, whose index of refraction is taken to be less than that of the lower half space, has a single lobe whose maximum is normal to the interface; and that in the lower half space, in the plane normal to the interface and containing the dipole, the pattern has three lobes, whereas in the plane normal to the interface and normally bisecting the dipole, the pattern has two maxima located symmetrically about a minimum. Interpretation of these results in terms of the Cerenkov effect is given. Copyright 1982 by the American Geophysical Union.</t>
  </si>
  <si>
    <t>['whose index', 'vertically located', 'vertical case', 'three lobes', 'radiation pattern', 'plane normal', 'plane interface', 'normally bisecting', 'horizontal case', 'dipole axis', 'copyright 1982', 'cerenkov effect']</t>
  </si>
  <si>
    <t>2-s2.0-0020202224</t>
  </si>
  <si>
    <t>DEPHASED HORN RADIATOR WITH A MAIN LOBE OF ELLIPTIC CROSS-SECTION.</t>
  </si>
  <si>
    <t>Zhulidova I.</t>
  </si>
  <si>
    <t>Zhulidova, I. I.;Timofeyeva, A. A.</t>
  </si>
  <si>
    <t>6507899989;6602887692</t>
  </si>
  <si>
    <t>Low-gain antennas with a polarization-independent width of the main lobe and very different widths in mutually perpendicular planes, are often needed in practice. Such antennas can be used independently, or as the radiators of mirror antennas with different aperture sizes in different planes. The paper outlines a simple design of the dephased horn with a break in its generator, with different flare angles in its principal planes; it is based on the conical horn with elliptic flare or the pyramidal horn with rectangular flare.</t>
  </si>
  <si>
    <t>['used independently', 'simple design', 'rectangular flare', 'pyramidal horn', 'principal planes', 'paper outlines', 'often needed', 'mirror antennas', 'main lobe', 'independent width', 'gain antennas', 'elliptic flare', 'different widths', 'different planes', 'dephased horn', 'conical horn']</t>
  </si>
  <si>
    <t>2-s2.0-0020195599</t>
  </si>
  <si>
    <t>10.1109/TCOM.1982.1095418</t>
  </si>
  <si>
    <t>Phase-Locked Loop Coherent Combiners for Phased Array Sensor Systems</t>
  </si>
  <si>
    <t>Golliday C.</t>
  </si>
  <si>
    <t>Golliday, C. Leslie;Huff, Ronald J.</t>
  </si>
  <si>
    <t>6603650449;7007025789</t>
  </si>
  <si>
    <t>IEEE Transactions on Communications</t>
  </si>
  <si>
    <t>2329-2340</t>
  </si>
  <si>
    <t>Phase-locked loops (PLL's) may be used to implement signal combiners which coherently sum multiple signals from an array of sensors. In each combiner channel, the sensor signal is simultaneously downconverted to an intermediate frequency (IF) signal and phase-locked to an appropriately generated reference signal by a ‚Äúlong-loop‚Äù PLL. This loop maintains a nominal 90¬∞ phase difference between the IF signal and the reference signal irrespective of phase of the channel input (sensor output) signal. The channel IF signals are summed to generate the combiner output signal. The reference signal may be a locally generated sine wave or a delayed version of the combiner output signal. Imperfect phase control and, thus, imperfect signal combining results when noise voltages are associated with the channel signals. In this paper, a linearized model of a PLL coherent combiner is developed. This model applies when the desired channel signals are equal amplitude and angle modulated; the channel noise voltages are equal level, Gaussian distributed, and independent; and the combiner phase errors are appropriately small. This model is then used to derive equations for the variance of differential phase errors associated with combiner operation and to show the effect of these phase errors on the average power in the combiner output signal. Relevant experimental results from a four-channel combiner are compared with the performance predicted by the linear model. Copyright ¬© 1982 by The Institute of Electrical and Electronics Engineers, Inc.</t>
  </si>
  <si>
    <t>['‚ äúlong', 'simultaneously downconverted', 'sensor signal', 'sensor output', 'phase errors', 'performance predicted', 'noise voltages', 'model applies', 'loop maintains', 'locked loops', 'linearized model', 'linear model', 'intermediate frequency', 'gaussian distributed', 'equal level', 'equal amplitude', 'electronics engineers', 'derive equations', 'delayed version', 'combiner operation', 'combiner channel', 'channel signals', 'channel input', 'channel combiner', 'average power', 'appropriately small', 'angle modulated']</t>
  </si>
  <si>
    <t>2-s2.0-0020195592</t>
  </si>
  <si>
    <t>10.1109/TCOM.1982.1095417</t>
  </si>
  <si>
    <t>Carrier Arraying with Coupled Phase-Locked Loops for Tracking Improvement</t>
  </si>
  <si>
    <t>Divsalar D.</t>
  </si>
  <si>
    <t>Jet Propulsion Laboratory</t>
  </si>
  <si>
    <t>Divsalar, Dariush;Yuen, Joseph H.</t>
  </si>
  <si>
    <t>57207565181;7102620449</t>
  </si>
  <si>
    <t>60009037;60009037</t>
  </si>
  <si>
    <t>2319-2328</t>
  </si>
  <si>
    <t>This paper considers a system that couples several phase-locked loops (PLL's) to improve carrier tracking performance. The system coherently combines the received carrier signals at geo-graphically separated ground antennas to increase the total effective aperture. It automatically aligns the received carrier's phases to enhance received carrier signal-to-noise ratio. The tracking performance of this system is being assessed in terms of rms phase jitter. Copyright ¬© 1982 by The Institute of Electrical and Electronics Engineers, Inc.</t>
  </si>
  <si>
    <t>['tracking performance', 'received carrier', 'paper considers', 'noise ratio', 'locked loops', 'electronics engineers', 'automatically aligns']</t>
  </si>
  <si>
    <t>2-s2.0-0020194860</t>
  </si>
  <si>
    <t>10.1088/0029-5515/22/10/011</t>
  </si>
  <si>
    <t>A slow-wave heating experiment on RFC-XX using an array of phased antennas</t>
  </si>
  <si>
    <t>Watari T.</t>
  </si>
  <si>
    <t>60014901;60014756;60000264</t>
  </si>
  <si>
    <t>Physical Research Laboratory India;Gunma University;Nagoya University</t>
  </si>
  <si>
    <t>Ahmedabad;Maebashi;Nagoya</t>
  </si>
  <si>
    <t>India;Japan;Japan</t>
  </si>
  <si>
    <t>Watari, T.;Adati, K.;Aoki, T.;Hidekuma, S.;Hattori, K.;Hiroe, S.;Ichimura, M.;Kawamoto, T.;Kumazawa, R.;Okubo, Y.;Okamura, S.;Sato, T.;Singh, C. M.;Sugawara, M.</t>
  </si>
  <si>
    <t>7102200764;57214925134;35399273600;57189504422;7401879147;6603067552;7102396365;57214927173;7005502038;7201831834;7202322614;22969111700;7401801581;18635257800</t>
  </si>
  <si>
    <t>60000264;60000264;60000264;60000264;60000264;60000264;60000264;60000264;60000264;60000264;60000264;60000264;60014901;60014756</t>
  </si>
  <si>
    <t>1359-1368</t>
  </si>
  <si>
    <t>Experimental data for ion cyclotron resonance heating in the RFC-XX machine in IPP-Nagoya are presented. The achieved ion temperature is as high as 100 eV at n = 1013 cm-3 and 1 keV at n = 1012 cm-3. The ion energy confinement becomes worse by the application of a longer pulse, which is found to be due to the enhanced charge-exchange loss and/or electron drag. Axially and azimuthally arrayed antennas are used in the heating, and the importance of the phasing is demonstrated. A simple model of the multiple-antenna problem is also given and used to interpret the experimental data. ¬© 1982 IOP Publishing Ltd.</t>
  </si>
  <si>
    <t>['xx machine', 'simple model', 'longer pulse', 'experimental data', 'exchange loss', 'enhanced charge', 'electron drag', 'antenna problem', 'also given', '1013 cm', '1012 cm', '100 ev', '1 kev']</t>
  </si>
  <si>
    <t>2-s2.0-0020194480</t>
  </si>
  <si>
    <t>NEW FEED SYSTEM WITH FREQUENCY REUSE DIPLEXER FOR TERRESTRIAL RADIO LINK ANTENNA.</t>
  </si>
  <si>
    <t>Massaglia P.</t>
  </si>
  <si>
    <t>Massaglia, Piercarlo;Pagana, Enrico;Savini, Dario</t>
  </si>
  <si>
    <t>6701388539;6602149280;6701572321</t>
  </si>
  <si>
    <t>309-312</t>
  </si>
  <si>
    <t>A new Cassegrain antenna feed system with a very compact frequency reuse diplexer for terrestrial radio link application is described. The main design considerations for the horn and the signals combining network are given, in order to achieve a high polarization purity ( greater than 35 db), high efficiency and low input V. S. W. R. ( less than 1. 09) typical of a terrestrial radio link antenna. A diplexer consisting of a suitable arrangement of four longitudinal slots, parallel to the axis of the circular waveguide feeding the horn, allows the electrical requirements to be satisfied with a reduced size structure. The main experimental results obtained with a prototype operating at the frequency bands 7. 11-7. 75 GHz and 10. 7-11. 7 GHz are presented.</t>
  </si>
  <si>
    <t>['suitable arrangement', 'prototype operating', 'electrical requirements', 'diplexer consisting', '75 ghz', '7 ghz']</t>
  </si>
  <si>
    <t>2-s2.0-0020194175</t>
  </si>
  <si>
    <t>CHARACTERISTICS OF THE CROSS-POLARIZED RADIATION FROM DIELECTRIC RADIO LENSES.</t>
  </si>
  <si>
    <t>Narbut V.</t>
  </si>
  <si>
    <t>Narbut, V. P.;Golod, A. P.</t>
  </si>
  <si>
    <t>6603346747;6603453419</t>
  </si>
  <si>
    <t>106-109</t>
  </si>
  <si>
    <t>At the present time there is practically no information available on the cross-polarized radiation from lens antennas, and it is very important to know characteristics of such radiation in order to design direction-finding and polarimetric radio-electronic systems. One of the best known varieties of optical antennas is the focusing dielectric lens antenna (DLA). The paper presents the investigation on dielectric lens antennas using the aperture method and two fundamental concepts of the combined asymptotic method of calculating the vector diagrams of optical antennas: an idealized illuminator and synthesis of the cross-polarization distribution of the field in the antenna aperture from the known main distribution.</t>
  </si>
  <si>
    <t>['vector diagrams', 'present time', 'polarized radiation', 'polarization distribution', 'polarimetric radio', 'paper presents', 'optical antennas', 'lens antennas', 'know characteristics', 'information available', 'idealized illuminator', 'electronic systems', 'dla ).', 'design direction', 'aperture method', 'antenna aperture']</t>
  </si>
  <si>
    <t>2-s2.0-0020193672</t>
  </si>
  <si>
    <t>10.1049/ip-h-1.1982.0046</t>
  </si>
  <si>
    <t>ANTENNA NEAR-FIELD/FAR-FIELD TRANSFORMATION WITH REDUCED DATA ACQUISITION AND PROCESSING REQUIREMENTS.</t>
  </si>
  <si>
    <t>Bennett J.</t>
  </si>
  <si>
    <t>Bennett, J. C.;Muntanga, N. E.</t>
  </si>
  <si>
    <t>7404251432;6508210176</t>
  </si>
  <si>
    <t>229-231</t>
  </si>
  <si>
    <t>A new approach to the prediction of antenna far-field patterns from near-field measurements is proposed which exploits certain attributes of existing techniques and avoids many of their disadvantages. The method offers substantial reductions in data recording and processing requirements and can provide predictions over all space.</t>
  </si>
  <si>
    <t>['provide predictions', 'processing requirements', 'new approach', 'field patterns', 'field measurements', 'existing techniques', 'data recording', 'avoids many', 'antenna far']</t>
  </si>
  <si>
    <t>2-s2.0-0020193479</t>
  </si>
  <si>
    <t>10.1049/ip-h-1.1982.0045</t>
  </si>
  <si>
    <t>RADIATION FROM WIDE FLARE-ANGLE CORRUGATED CONICAL HORNS.</t>
  </si>
  <si>
    <t>Mahmoud S.</t>
  </si>
  <si>
    <t>Mahmoud, S. F.;Clarricoats, P. J.B.</t>
  </si>
  <si>
    <t>35581830600;7006192058</t>
  </si>
  <si>
    <t>221-228</t>
  </si>
  <si>
    <t>A study of the crosspolarization behavior of corrugated conical horns with arbitrary flare angles and constant slot depth is presented. Copolar and crosspolar radiation from the horn is obtained as spherical wave expansions of closed-form terms. Generation of higher-order modes, both at the throat and along the horn, is studied. It is concluded that in a dominant-mode wide flare-angle horn (with a semflare angle theta //1 greater than about 30 degree ) the higher-order EH//1//2 mode generated at the throat is far more important than the mode converted along the horn. The reverse is true for narrow flare horns ( theta //1 less than 20 degree ). It is shown both theoretically and experimentally, that the overall level of crosspolar radiation from a 30 degree ; horn of aperture diameter about 5 wavelengths is less than minus 45 db below the on-axis copolar radiation level, over more than a 20% bandwidth.</t>
  </si>
  <si>
    <t>['overall level', 'order modes', 'form terms', 'crosspolarization behavior', 'crosspolar radiation', 'aperture diameter', 'angle horn', '5 wavelengths', '30 degree']</t>
  </si>
  <si>
    <t>2-s2.0-0020193429</t>
  </si>
  <si>
    <t>10.1049/ip-f-1.1982.0050</t>
  </si>
  <si>
    <t>Maximum-likelihood receiver for low-angle tracking radar:Part 2: The nonsymmetric case</t>
  </si>
  <si>
    <t>Reilly J.P.</t>
  </si>
  <si>
    <t>McMaster University</t>
  </si>
  <si>
    <t>Hamilton</t>
  </si>
  <si>
    <t>Reilly, J. P.;Haykin, S.</t>
  </si>
  <si>
    <t>26645120100;7101764513</t>
  </si>
  <si>
    <t>60031828;60031828</t>
  </si>
  <si>
    <t>331-340</t>
  </si>
  <si>
    <t>In the paper, an asymmetric maximum-likelihood receiver (based on the Gram-Schmidt orthonormalisation procedure) is described for handling the low-angle tracking-radar problem where the direct and specular multipath components of the received signal impinge on the array antenna from arbitrary directions. Also, by means of a simple test based on Fisher'sF-statistic, we are able to determine the most likely number of waves incident on the array. The processor is applicable to the situation where it is desired to track multiple targets present within the radar's scanning volume. Thus the estimator described in the paper is also applicable to the general problem of determining the frequencies of multiple sinusoids that are embedded in white Gaussian noise. ¬© 1982, The Institution of Electrical Engineers. All rights reserved.</t>
  </si>
  <si>
    <t>Radar | radionavigation | Receivers</t>
  </si>
  <si>
    <t>['¬© 1982', 'waves incident', 'scanning volume', 'rights reserved', 'radar problem', 'multiple sinusoids', 'likely number', 'likelihood receiver', 'general problem', 'estimator described', 'electrical engineers', 'asymmetric maximum', 'array antenna', 'arbitrary directions', 'angle tracking', 'also applicable']</t>
  </si>
  <si>
    <t>2-s2.0-0020193244</t>
  </si>
  <si>
    <t>ACCURACY OF ANGULAR-COORDINATE MEASUREMENTS WITH A DISCRETELY SCANNED ANTENNA BEAM.</t>
  </si>
  <si>
    <t>Popov D.</t>
  </si>
  <si>
    <t>Popov, D. I.</t>
  </si>
  <si>
    <t>64-66</t>
  </si>
  <si>
    <t>One of the fundamental methods of direction finding is to scan the antenna beam in one plane. The two possible versions are linear scanning and discrete scanning of the antenna beam. The paper estimates the measurement accuracy for discrete scanning and a coherent signal and compares this accuracy with the result obtained for linear scanning of the antenna beam.</t>
  </si>
  <si>
    <t>['result obtained', 'paper estimates', 'one plane', 'measurement accuracy', 'linear scanning', 'fundamental methods', 'discrete scanning', 'direction finding', 'coherent signal', 'antenna beam']</t>
  </si>
  <si>
    <t>2-s2.0-0020193067</t>
  </si>
  <si>
    <t>10.1049/ip-h-1.1982.0057</t>
  </si>
  <si>
    <t>MUTUAL COUPLING COMPENSATION FOR SMALL, CIRCULARLY SYMMETRIC PLANAR ANTENNA ARRAYS.</t>
  </si>
  <si>
    <t>Davies D.</t>
  </si>
  <si>
    <t>Davies, D. E.N.</t>
  </si>
  <si>
    <t>281-283</t>
  </si>
  <si>
    <t>The paper describes a method for compensating for the effects of mutual coupling in small, circularly symmetric planar antenna arrays such as those used as feeds for parabolic reflector antennas. This is achieved by breaking down the array excitation into a series of orthogonal circularly symmetric phase modes, as used in the case of circular antenna arrays. The compensation may then be achieved by means of fixed compensating impedance matches at the phase-mode excitation ports. Once applied, the compensation is independent of the subsequent aperture excitation. It is also shown how the scheme can apply to 4-element planar arrays used as a monopulse cluster feed for a parabolic reflector. The concept may also be used to compute the correct array excitation needed to achieve this compensation.</t>
  </si>
  <si>
    <t>['parabolic reflector', 'paper describes', 'mutual coupling', 'compensation may', 'array excitation', 'also shown']</t>
  </si>
  <si>
    <t>2-s2.0-0020193028</t>
  </si>
  <si>
    <t>10.1080/03772063.1982.11452817</t>
  </si>
  <si>
    <t>DESIGN OF A STEP-TRACK SYSTEM FOR LOW-COST EARTH STATIONS.</t>
  </si>
  <si>
    <t>Richharia M.</t>
  </si>
  <si>
    <t>Richharia, M.;Verma, Narendra Narayam</t>
  </si>
  <si>
    <t>6603611053;36723572600</t>
  </si>
  <si>
    <t>533-538</t>
  </si>
  <si>
    <t>An auto-track system employing the step-track technique has been developed for tracking geo-synchronous satellites. Continuous tracking employing this technique gives rise to an amplitude modulation (a. m. ) in the transmitted and the received carriers due to a continuous movement of the antenna around the beam maximum. In order to avoid this a. m. and also to avoid an undue strain on the drive system, a provision has been made to switch off the system after the received signal has been maximized. Induction motors have been used for the antenna drive. The system switches on automatically after a specified interval to update the antenna pointing thereby maintaining a carrier-to-noise within 0. 5 db of the maximum throughout.</t>
  </si>
  <si>
    <t>['undue strain', 'tracking geo', 'track technique', 'system switches', 'synchronous satellites', 'specified interval', 'received signal', 'maximum throughout', 'induction motors', 'drive system', 'continuous movement', 'beam maximum', 'antenna drive', 'antenna around', 'amplitude modulation', '5 db']</t>
  </si>
  <si>
    <t>2-s2.0-0020192658</t>
  </si>
  <si>
    <t>NEW OFFSET ANTENNA FOR 4, 5 AND 6 GHz BANDS TERRESTRIAL RADIO-RELAY SYSTEMS.</t>
  </si>
  <si>
    <t>Sango J.</t>
  </si>
  <si>
    <t>Sango, Jun ichi;Segawa, Jun</t>
  </si>
  <si>
    <t>35610386400;7004404587</t>
  </si>
  <si>
    <t>Japan telecommunications review</t>
  </si>
  <si>
    <t>334-337</t>
  </si>
  <si>
    <t>A new offset antenna with three reflectors for 4, 5 and 6 GHz bands has been developed. This antenna has a good copolar and crosspolar radiation pattern and is smaller and lighter in weight than the existing horn reflector antenna. Therefore, this antenna will contribute to the construction of a high density radio-relay network and the efficient utilization of existing towers which do not have enough antenna load support capability to handle horn reflector antennas for space diversity. It will be widely used for 4, 5 and 6 GHz bands terrestrial radio-relay systems.</t>
  </si>
  <si>
    <t>['widely used', 'three reflectors', 'space diversity', 'relay systems', 'relay network', 'good copolar', 'existing towers', 'efficient utilization']</t>
  </si>
  <si>
    <t>2-s2.0-0020192083</t>
  </si>
  <si>
    <t>10.1049/ip-h-1.1982.0048</t>
  </si>
  <si>
    <t>RECEIVING ANALYSIS OF THE SHAPED CYLINDRICAL REFLECTOR ANTENNA.</t>
  </si>
  <si>
    <t>Morris G.</t>
  </si>
  <si>
    <t>Morris, G.</t>
  </si>
  <si>
    <t>238-244</t>
  </si>
  <si>
    <t>Using physical optics a receiving analysis of the shaped cylindrical reflector antenna is presented. Expressions are derived for both parallel and transverse incident wave polarizations, for the scattered field set up by the reflector at a general point lying in the plane containing its central-section curve. The power coupled from the scattered field into an appropriately polarized feed is then used to derive directive gain functions for both polarizations. A more general gain function is also derived where a feed of arbitrary polarization is considered. All of the 'working' equations derived require the evaluation of a single exponential-type integral which must, in general, be evaluated numerically. Three applications of the receiving analysis are described, which illustrate its suitability for analyzing a wide range of reflector-antenna problems. 10 refs.</t>
  </si>
  <si>
    <t>['wide range', 'type integral', 'three applications', 'single exponential', 'section curve', 'scattered field', 'receiving analysis', 'power coupled', 'plane containing', 'evaluated numerically', 'arbitrary polarization', 'antenna problems', 'also derived', '10 refs']</t>
  </si>
  <si>
    <t>2-s2.0-0020192011</t>
  </si>
  <si>
    <t>10.1049/ip-h-1.1982.0047</t>
  </si>
  <si>
    <t>CHARACTERISTICS OF MODIFIED SPIRAL AND HELICAL ANTENNAS.</t>
  </si>
  <si>
    <t>Nakano, H.;Yamauchi, J.</t>
  </si>
  <si>
    <t>55633340100;56405174700</t>
  </si>
  <si>
    <t>232-237</t>
  </si>
  <si>
    <t>Two types of modified antennas radiating circularly polarized waves are analyzed from the viewpoint of improvement in the axial ratio. The outermost arms of a round spiral antenna are transformed to small zigzag sections. It is found that the zigzag sections contribute to the suppression of the standing wave near the arm ends with subsequent improvement in the axial ratio, especially at lower frequencies. In a modified helical antenna which has tapered open end sections, it is revealed that the axial ratio is improved as the tapering cone angle is increased. An axial ratio of less than 0. 5 db is realized over a range of frequencies of 1 to 1. 3.</t>
  </si>
  <si>
    <t>['two types', 'subsequent improvement', 'outermost arms', 'lower frequencies', 'axial ratio', 'arm ends', '5 db']</t>
  </si>
  <si>
    <t>2-s2.0-0020191677</t>
  </si>
  <si>
    <t>ON THE RELATIONSHIP BETWEEN THE GAIN AND THE DIRECTIVITY OF PHASED ARRAY ANTENNAS WITH DISPERSED PARAMETERS.</t>
  </si>
  <si>
    <t>Zaytsev E.</t>
  </si>
  <si>
    <t>Zaytsev, E. F.;Babenko, A. I.</t>
  </si>
  <si>
    <t>6602686170;7006520805</t>
  </si>
  <si>
    <t>148-150</t>
  </si>
  <si>
    <t>This article derived expressions which allow to determine the ratio of the phased array to its directivity in the presence of errors and coupling between the radiators. The consideration of this mutual coupling was used to explain that, in spite of the popular opinion, the errors decrease the radiated power and produce a corresponding decrease of the efficiency or of the ‚Ä≥internal gain‚Ä≥ of a phased array. The errors decrease the gain to a larger extent than they decrease the directivity.</t>
  </si>
  <si>
    <t>['radiated power', 'popular opinion', 'phased array', 'mutual coupling', 'larger extent', 'errors decrease', 'corresponding decrease']</t>
  </si>
  <si>
    <t>2-s2.0-0020191579</t>
  </si>
  <si>
    <t>RADIATION CHARACTERISTICS OF LONGITUDINAL SLOT RADIATORS.</t>
  </si>
  <si>
    <t>Gorobets N.</t>
  </si>
  <si>
    <t>Gorobets, N. N.;Lyashchenko, V. A.</t>
  </si>
  <si>
    <t>7003374031;9432565100</t>
  </si>
  <si>
    <t>146-147</t>
  </si>
  <si>
    <t>Three radiation characteristics of individual slot radiators were studied and the theoretical results were verified experimentally. These characteristics are: the directive pattern, the directivity coefficient and the gain coefficient.</t>
  </si>
  <si>
    <t>['verified experimentally', 'theoretical results', 'gain coefficient', 'directivity coefficient', 'directive pattern']</t>
  </si>
  <si>
    <t>2-s2.0-0020191059</t>
  </si>
  <si>
    <t>10.1109/TGRS.1982.350422</t>
  </si>
  <si>
    <t>The Antenna Phase Center in Satellite Radio-Doppler Geodetic Systems</t>
  </si>
  <si>
    <t>Mani√Å L.</t>
  </si>
  <si>
    <t>Universit√† degli Studi di Trieste</t>
  </si>
  <si>
    <t>Trieste</t>
  </si>
  <si>
    <t>Mani√Å, Lucio</t>
  </si>
  <si>
    <t>IEEE Transactions on Geoscience and Remote Sensing</t>
  </si>
  <si>
    <t>GE-20</t>
  </si>
  <si>
    <t>536-543</t>
  </si>
  <si>
    <t>In this paper, we consider the role of the antenna phase center in geodetic measurements based on satellite systems. to this end, we first of all clarify the mechanism through which errors arise, due to the lack of knowledge of the location of the phase center of the receiving antenna. Then, we recall briefly the procedure which can be used for finding the location of the phase center of a single antenna and we tackle the problem of finding the location of the equivalent phase center in systems consisting of two and three antennas working at different frequencies. These multiple antenna systems seem to be very promising for cutting down the errors due to the ionospheric refraction. The analytical procedure presented in the paper for solving the above-mentioned problem is very general and simple and leads to results which display clearly the geometrical properties characterizing the location of the phase center of multiple antenna systems. Copyright ¬© 1982 by The Institute of Electrical and Electronics Engineers, Inc.</t>
  </si>
  <si>
    <t>['systems consisting', 'single antenna', 'satellite systems', 'receiving antenna', 'recall briefly', 'phase center', 'mentioned problem', 'ionospheric refraction', 'errors due', 'errors arise', 'electronics engineers', 'display clearly', 'different frequencies']</t>
  </si>
  <si>
    <t>2-s2.0-0020190129</t>
  </si>
  <si>
    <t>10.1002/ecja.4400651008</t>
  </si>
  <si>
    <t>Microstrip line slot‚Äêarray antenna with reduced beam‚Äêtilt</t>
  </si>
  <si>
    <t>Nakaoka K.</t>
  </si>
  <si>
    <t>Hokkaido University</t>
  </si>
  <si>
    <t>Sapporo</t>
  </si>
  <si>
    <t>Nakaoka, Kaijiro;Itoh, Kiyohiko</t>
  </si>
  <si>
    <t>7006242283;7404897527</t>
  </si>
  <si>
    <t>60014652;60014652</t>
  </si>
  <si>
    <t>58-66</t>
  </si>
  <si>
    <t>Microstrip line slot‚Äêarray antennas consisting of slots placed on the ground plane on both sides of the microstrip line may be classified into resonant‚Äê and nonresonant‚Äêtypes. Both types exhibit a beamtilt‚Äînamely, the main beam direction shifts as the operating frequency is changed away from the center frequency. This beam‚Äêtilt causes the gain in the specified direction to degrade rapidly, which is a serious drawback in a system for receiving a signal with a given bandwidth from a fixed direction. To overcome this deficiency, a method available for waveguide slot‚Äêarray antennas is used and a design procedure is developed. Further, it is shown experimentally that beam‚Äêtilt is almost nonexistent over a relatively broad frequency range and constant gain is obtained. The gain is higher than that of conventional antennas. Sidelobes are suppressed, especially for nonresonant arrays. The usefulness of the microstrip line slot‚Äêarray antenna with a reduced beam‚Äêtilt is demonstrated. Copyright ¬© 1982 Wiley Periodicals, Inc., A Wiley Company</t>
  </si>
  <si>
    <t>['wiley company', 'types exhibit', 'specified direction', 'slots placed', 'shown experimentally', 'serious drawback', 'operating frequency', 'nonresonant arrays', 'method available', 'inc .,', 'ground plane', 'given bandwidth', 'fixed direction', 'design procedure', 'degrade rapidly', 'conventional antennas', 'constant gain', 'changed away', 'center frequency', 'almost nonexistent']</t>
  </si>
  <si>
    <t>2-s2.0-0020189196</t>
  </si>
  <si>
    <t>10.1109/TAP.1982.1142916</t>
  </si>
  <si>
    <t>Range Distance Requirements for Measuring Low and Ultralow Sidelobe Antenna Patterns</t>
  </si>
  <si>
    <t>Hacker P.</t>
  </si>
  <si>
    <t>Westing-house Electric Corporation</t>
  </si>
  <si>
    <t>Baltimore</t>
  </si>
  <si>
    <t>Hacker, Philip S.;Schrank, Helmut E.</t>
  </si>
  <si>
    <t>7004897704;57189501138</t>
  </si>
  <si>
    <t>115468062;115468062</t>
  </si>
  <si>
    <t>956-966</t>
  </si>
  <si>
    <t>The effects of quadratic phase errors due to finite length pattern ranges on the measurement of low and ultralow sidelobe antennas are considered. The well-known 2D2/Œª rule-of-thumb distance is shown to be adequate only for measuring patterns having moderately low sidelobes (i.e., down to about ‚Äî30 dB). This distance is shown to be inadequate for measuring low (‚Äî30 to ‚Äî40 dB) and ultralow (below ‚Äî40 dB) sidelobe patterns if the near-in sidelobes are to be preserved within reasonable errors (e.g., less than 1 dB). A relationship between sidelobe errors and range distances is derived from calculated patterns for a number of one-dimensional amplitude distributions with various quadratic phase errors. This relationship is plotted on log-paper in terms of the change (error) in the highest sidelobe versus the range distances in multiples of D2/Œª. This plot clearly shows the range distances required for various low sidelobe patterns and measurement tolerances. A corresponding plot of mainlobe directivity errors versus finite range distances is also presented. The results show‚Äô that the effects of quadratic phase error on near-in pattern sidelobes diminishes rapidly with angular distance from the main beam. Thus for a given range length AD2/?, the errors on the second and third sidelobes are significantly less than the error on the first sidelobe. This means that for many low and ultralow sidelobe antennas, practical range distances (such as 2D2/Œª) can still be used to measure wide angle sidelobe levels accurately at the expense of ‚Äúlosing‚Äù the first one or two sidelobes. Copyright ¬© 1982 by The Institute of Electrical and Electronics Engineers, Inc.</t>
  </si>
  <si>
    <t>['œª rule', 'two sidelobes', 'thumb distance', 'third sidelobes', 'significantly less', 'sidelobe patterns', 'sidelobe errors', 'range distances', 'measuring patterns', 'measurement tolerances', 'many low', 'main beam', 'known 2d2', 'first sidelobe', 'first one', 'electronics engineers', 'e .,', 'corresponding plot', 'calculated patterns', 'angular distance', 'also presented']</t>
  </si>
  <si>
    <t>2-s2.0-0020188823</t>
  </si>
  <si>
    <t>10.1109/TAP.1982.1142893</t>
  </si>
  <si>
    <t>The Response of a Two-Wire Transmission Line to Incident Field and Voltage Excitation, Including the Effects of Higher Order Modes</t>
  </si>
  <si>
    <t>Leviatan Y.</t>
  </si>
  <si>
    <t>Leviatan, Yehuda;Adam, Arlon T.</t>
  </si>
  <si>
    <t>7005691179;56898138700</t>
  </si>
  <si>
    <t>998-1003</t>
  </si>
  <si>
    <t>The surface currents on a two-wire transmission line induced by incident field excitations are investigated using the spectral concept. A simple solution is obtained for plane wave excitation. A solution for voltage source excitation, in which the induced current may be given, at least approximately, by means of the so-called leaky-wave concept, is considered. The influence of the electrical dimensions of the structure on the currents and the relative importance of the higher modes are examined by numerical examples. Copyright ¬© 1982 by The Institute of Electrical and Electronics Engineers, Inc.</t>
  </si>
  <si>
    <t>['wave concept', 'surface currents', 'spectral concept', 'simple solution', 'relative importance', 'numerical examples', 'least approximately', 'investigated using', 'higher modes', 'electronics engineers', 'electrical dimensions', 'called leaky']</t>
  </si>
  <si>
    <t>2-s2.0-0020188561</t>
  </si>
  <si>
    <t>10.1109/PROC.1982.12436</t>
  </si>
  <si>
    <t>The Effects of Error in the Adaptive Antenna Reference</t>
  </si>
  <si>
    <t>Charitat J.</t>
  </si>
  <si>
    <t>Lockheed Martin Space Systems Company</t>
  </si>
  <si>
    <t>Boulevard</t>
  </si>
  <si>
    <t>Charitat, J. G.</t>
  </si>
  <si>
    <t>1128-1129</t>
  </si>
  <si>
    <t>The reference which designates the Signal of Interest (SOI) in an adaptive antenna system (whether emitter direction or signal recognition) must do so with sufficient accuracy to prevent designation of a portion of the SOI as unwanted. This would result in suppression of the SOI with the same efficacy as a jammer. Copyright ¬© 1982 by The Institute of Electrical and Electronics Engineers, Inc.</t>
  </si>
  <si>
    <t>['would result', 'sufficient accuracy', 'signal recognition', 'prevent designation', 'electronics engineers']</t>
  </si>
  <si>
    <t>2-s2.0-0020188552</t>
  </si>
  <si>
    <t>10.1109/TAP.1982.1142920</t>
  </si>
  <si>
    <t>Mutual Coupling Between Rectangular Slot Antennas on a Conducting Concave Spherical Surface</t>
  </si>
  <si>
    <t>Inami K.</t>
  </si>
  <si>
    <t>60101699;60008435</t>
  </si>
  <si>
    <t>Mitsubishi Electric Corporation;Tohoku University</t>
  </si>
  <si>
    <t>Tokyo;Sendai</t>
  </si>
  <si>
    <t>Inami, Kazuyoshi;Mushiake, Yasuto</t>
  </si>
  <si>
    <t>7007011951;7004205007</t>
  </si>
  <si>
    <t>60101699-60008435;60008435</t>
  </si>
  <si>
    <t>927-933</t>
  </si>
  <si>
    <t>The surface fields excited by a horizontal magnetic source located on a conducting concave spherical surface have been formulated. The field expressions are obtained as a combination of ray-optical fields and simplified integrals under the condition that the radius of the spherical surface is much greater than the wavelength. Numerical calculations have been performed, and the calculated results for the surface fields have been corroborated with experiments. The results of these basic studies have been used in calculating the mutual coupling between rectangular slot antennas on the conducting concave spherical surface assuming the aperture field as the dominant mode in the wave guides connected with the slots. The numerical results have been compared with those for slots on a convex conducting surface. Experimental investigation of the mutual coupling has also been carried out. Copyright ¬© 1982 by The Institute of Electrical and Electronics Engineers, Inc.</t>
  </si>
  <si>
    <t>['surface fields', 'spherical surface', 'simplified integrals', 'optical fields', 'numerical results', 'numerical calculations', 'mutual coupling', 'much greater', 'field expressions', 'experimental investigation', 'electronics engineers', 'dominant mode', 'calculated results', 'basic studies', 'aperture field']</t>
  </si>
  <si>
    <t>2-s2.0-0020187364</t>
  </si>
  <si>
    <t>SUPPORTING STRUCTURES FOR TELEVISION TRANSMITTING ANTENNA SYSTEMS.</t>
  </si>
  <si>
    <t>Bradac J.</t>
  </si>
  <si>
    <t>Bradac, Jindrich;Holy, Daniel</t>
  </si>
  <si>
    <t>7003693169;6508252980</t>
  </si>
  <si>
    <t>Sep</t>
  </si>
  <si>
    <t>Tesla electronics</t>
  </si>
  <si>
    <t>83-86</t>
  </si>
  <si>
    <t>The article provides information on antenna supports whose exacting technical and economical requirements often tend to be underestimated when planning the installation of television transmitters. The authors discuss the classification of antenna system supports, give examples of standard designs and analyze such issues as criteria for supporting structure design, calculation models, vibrations of supports and their damping, constructional technology and capital expenditure.</t>
  </si>
  <si>
    <t>['television transmitters', 'standard designs', 'give examples', 'constructional technology', 'capital expenditure', 'calculation models', 'authors discuss']</t>
  </si>
  <si>
    <t>2-s2.0-0020186719</t>
  </si>
  <si>
    <t>10.1109/TAP.1982.1142913</t>
  </si>
  <si>
    <t>A Broad-Band Annular-Ring Microstrip Antenna</t>
  </si>
  <si>
    <t>Chew W.</t>
  </si>
  <si>
    <t>Schlumberger-Doll Research Center</t>
  </si>
  <si>
    <t>Cambridge</t>
  </si>
  <si>
    <t>Chew, Weng Cho</t>
  </si>
  <si>
    <t>918-922</t>
  </si>
  <si>
    <t>A heuristic discussion of the radiation properties of the transverse magnetic (TM11) and (TM12) modes of the annular-ring microstrip antenna is presented, indicating the possibility of the TM12 mode as a superior microstrip antenna. Rigorous analyses of the resonant frequency characteristics of the antenna are then performed with the matched asymptotic expansions technique and the perturbation approach. The analyses show that the TM 12 mode is decidedly the best mode for microstrip antenna applications while the TM11mode, having a high (Q-factor, is best reserved for resonator applications. The analyses include the study of the resonant frequencies, band-widths, and radiation pattern of the antenna. The matched asymptotic expansions technique and the perturbation approach are also shown to agree excellently with each other within their domain of validity. Copyright ¬© 1982 by The Institute of Electrical and Electronics Engineers, Inc.</t>
  </si>
  <si>
    <t>['transverse magnetic', 'tm12 mode', 'rigorous analyses', 'resonator applications', 'resonant frequencies', 'radiation properties', 'radiation pattern', 'perturbation approach', 'heuristic discussion', 'electronics engineers', 'best reserved', 'best mode', 'analyses show', 'analyses include', 'also shown', 'agree excellently']</t>
  </si>
  <si>
    <t>2-s2.0-0020186374</t>
  </si>
  <si>
    <t>10.1109/TAP.1982.1142910</t>
  </si>
  <si>
    <t>Theoretical Limitation of the Sea on the Detection of Low Doppler Targets by Over-the-Horizon Radar</t>
  </si>
  <si>
    <t>Maresca J.</t>
  </si>
  <si>
    <t>SRI International</t>
  </si>
  <si>
    <t>Menlo Park</t>
  </si>
  <si>
    <t>Maresca, Joseph W.;Barnum, James R.</t>
  </si>
  <si>
    <t>6701920147;6603881820</t>
  </si>
  <si>
    <t>60000461;60000461</t>
  </si>
  <si>
    <t>837-845</t>
  </si>
  <si>
    <t>A theoretical model for the Doppler spectrum of high frequency (HF) backscatter from ocean waves (sea clutter) is used to determine the limitations that this clutter could impose on the detection of ships by skywave over-the-horizon radar (OTHR). Sea clutter spectra were computed as functions of radio frequency, sea state, radar-to-wind angle, and the amount of coherent integration employed in the processing of these spectra. Target-ship radar cross sections of 30 dBm2 and 50 dBm2 were utilized, and a radar antenna aperture of 2.5 km (yielding a 0.5¬∞ azimuthal resolution at 15 MHz) and a range resolution of 1.5 km were assumed for this study. The results of this analysis are presented in graphical form in terms of target ship detectability as a function of radial velocity, assuming that a minimum signal-to-clutter ratio of 10 dB is required. It is generally concluded that target detection is better at lower sea states, higher radio frequencies, and when coherent integration time is increased. The best computed capability exists at 25 MHz, where positive detection is predicted for both 30 dBm2 and 50 dBm2 targets with radial velocities either near zero or in excess of 10 knots, in any sea state. This capability is typical for daytime ionospheric propagation conditions. At a frequency of 7 MHz‚Äîand for small target ships‚Äîthe detection capability is much more sensitive to the sea state; this capability is quite viable for stationary or transiting ships in sea state 2, but marginal for target ships in sea state 8. Copyright ¬© 1982 by The Institute of Electrical and Electronics Engineers, Inc.</t>
  </si>
  <si>
    <t>['wind angle', 'transiting ships', 'theoretical model', 'target ships', 'target detection', 'sea state', 'sea clutter', 'range resolution', 'radio frequency', 'radial velocity', 'quite viable', 'positive detection', 'othr ).', 'ocean waves', 'minimum signal', 'horizon radar', 'high frequency', 'graphical form', 'generally concluded', 'electronics engineers', 'doppler spectrum', 'clutter ratio', '50 dbm2', '5 km', '30 dbm2', '25 mhz', '15 mhz', '10 knots', '10 db']</t>
  </si>
  <si>
    <t>2-s2.0-0020186207</t>
  </si>
  <si>
    <t>10.1109/TAP.1982.1142909</t>
  </si>
  <si>
    <t>Extremely Low Frequency Quasi-Static Propagation Measurements from a Calibrated Electric Field Source in the Ocean</t>
  </si>
  <si>
    <t>Giannini J.A.</t>
  </si>
  <si>
    <t>Johns Hopkins University</t>
  </si>
  <si>
    <t>Giannini, Judith A.;Thayer, David L.</t>
  </si>
  <si>
    <t>7003312027;7006657339</t>
  </si>
  <si>
    <t>60005248;60005248</t>
  </si>
  <si>
    <t>825-831</t>
  </si>
  <si>
    <t>Experimental data are presented that verify a theoretical model for subsurface-to-subsurface quasi-static propagation from a horizontal electric dipole in a semi-infinite conducting half-space. The data were taken in an ocean environment in a frequency range from 1 to 10 Hz. Horizontal source/sensor separations from 180 to 450 m and depths from 46 to 100 m were used. Comparisons are made between the data and model predictions, relative to range dependence and magnetic field strength. The model predicted magnetic fields were found to agree with the experimentally measured fields approximately within experimental uncertainty. Copyright ¬© 1982 by The Institute of Electrical and Electronics Engineers, Inc.</t>
  </si>
  <si>
    <t>['theoretical model', 'subsurface quasi', 'static propagation', 'sensor separations', 'range dependence', 'ocean environment', 'model predictions', 'horizontal source', 'frequency range', 'experimental data', 'electronics engineers', '10 hz']</t>
  </si>
  <si>
    <t>2-s2.0-0020186035</t>
  </si>
  <si>
    <t>10.1109/TAP.1982.1142897</t>
  </si>
  <si>
    <t>Theory of the Frequency Responses of Uniform and Quasi-Taper Helical Antennas</t>
  </si>
  <si>
    <t>Lee K.F.</t>
  </si>
  <si>
    <t>Chinese University of Hong Kong</t>
  </si>
  <si>
    <t>Hong Kong</t>
  </si>
  <si>
    <t>Lee, Kai Fong;Wong, Ping Fai;Larm, Kang Fong</t>
  </si>
  <si>
    <t>7501501369;7403980210;6507261824</t>
  </si>
  <si>
    <t>60002798;60002798;60002798</t>
  </si>
  <si>
    <t>1017-1021</t>
  </si>
  <si>
    <t>A theory is presented for the frequency responses of uniform and quasi-taper helical antennas radiating in the axial mode. Based on a model assuming a single traveling wave of current, expressions for the far-zone electric field are obtained by summing the contributions of the current elements from one end of the helix to another. These expressions are used to study the variation of the axial electric field with frequency, first assuming the Hansen‚ÄîWoodyard (HW) condition and then assuming Sensiper‚Äôs solution for the phase velocity. It is found that the HW condition leads to the result that the electric field increases monotonically with frequency over the entire axial mode range, which is in violation with the recent experimental measurements of King and Wong. On the other hand Sensiper‚Äôs phase velocity yields frequency response curves that are consistent with King and Wong‚Äôs measurements. Numerical results are given for uniform helices and quasi-taper helices consisting of two uniform sections of different diameters. Copyright ¬© 1982 by The Institute of Electrical and Electronics Engineers, Inc.</t>
  </si>
  <si>
    <t>['uniform helices', 'phase velocity', 'one end', 'numerical results', 'model assuming', 'frequency responses', 'first assuming', 'electronics engineers', 'different diameters', 'current elements', 'axial mode']</t>
  </si>
  <si>
    <t>2-s2.0-0020185851</t>
  </si>
  <si>
    <t>10.1109/TBC.1982.266434</t>
  </si>
  <si>
    <t>Effects of power line re-radiation on the patterns of a dual-frequency MF antenna</t>
  </si>
  <si>
    <t>Silva M.</t>
  </si>
  <si>
    <t>60032912;60016849</t>
  </si>
  <si>
    <t>Independent Broadcasting Authority;University of Toronto</t>
  </si>
  <si>
    <t>London;Toronto</t>
  </si>
  <si>
    <t>United Kingdom;Canada</t>
  </si>
  <si>
    <t>Silva, M. M.;Balmain, K. G.;Ford, E. T.</t>
  </si>
  <si>
    <t>57198412652;7003913442;7201863037</t>
  </si>
  <si>
    <t>60016849;60016849;60032912</t>
  </si>
  <si>
    <t>94-103</t>
  </si>
  <si>
    <t>A detailed computer simulation of AM broadcast re-radiation from a power line is described and the computations compared with measurements. The power line is in the vicinity of the London, England two-frequency directional antenna array of the U.K. Independent Broadcasting Authority. A simplified equivalent computational model is derived for the individual power line towers, and the ground effect due to the tower footings is estimated. The computational model includes the overhead ground wire (skywire) but excludes the power carrying wires. Computations are described for the power line induced currents and for the antenna radiation patterns as modified by the power line currents. The comparison of the computed results with full-scale radiation pattern measurements shows sufficient quantitative agreement to support the utility of computational predictions for power-line re-radiation. The frequency sensitivity of the re-radiation is studied theoretically and found to have a noticeable effect for deviations of ¬± 10 kHz. Copyright ¬© 1982 by The Institute of Electrical and Electronics Engineers, Inc.</t>
  </si>
  <si>
    <t>['tower footings', 'studied theoretically', 'power line', 'noticeable effect', 'frequency sensitivity', 'england two', 'electronics engineers', 'computed results', 'computations compared', 'computational predictions']</t>
  </si>
  <si>
    <t>2-s2.0-0020183157</t>
  </si>
  <si>
    <t>10.1109/TIM.1982.6312556</t>
  </si>
  <si>
    <t>A Phase-Stabilized Local-Oscillator System for a Synthesis Radio Telescope</t>
  </si>
  <si>
    <t>Landecker T.L.</t>
  </si>
  <si>
    <t>60030835;60009839</t>
  </si>
  <si>
    <t>University of Alberta;National Research Council Canada</t>
  </si>
  <si>
    <t>Edmonton;Ottawa ON,</t>
  </si>
  <si>
    <t>Landecker, T. L.;Vaneldik, J. F.</t>
  </si>
  <si>
    <t>7003557448;6602670307</t>
  </si>
  <si>
    <t>60009839-60030835;60009839-60030835</t>
  </si>
  <si>
    <t>185-192</t>
  </si>
  <si>
    <t>A system is described which delivers signals of precisely controllable frequency and phase to remote points. The system is used to provide local-oscillator signals at widely separated antennas in a synthesis radio telescope operating at 1.4 GHz. Phase accuracy is 1.1¬∞ rms. The system is a closed-loop phase-control circuit employing phase-locked loops. A reference signal is supplied to the system, and the phase of an oscillator at the remote location is tied to this reference. A single coaxial cable joins the central and remote components of the system. Feedback is employed to render the phase of the remote oscillator independent of the length of this cable. A detailed analysis of the sideband generators used in the system is presented. Analysis of overall system dynamics shows that stability is easily achieved and is not impaired by the time delay of the transmission path to the remote unit. Copyright ¬© 1982 by The Institute of Electrical and Electronics Engineers, Inc.</t>
  </si>
  <si>
    <t>['transmission path', 'time delay', 'remote unit', 'remote points', 'remote location', 'remote components', 'reference signal', 'provide local', 'phase accuracy', 'oscillator signals', 'loop phase', 'locked loops', 'electronics engineers', 'easily achieved', 'detailed analysis', 'delivers signals', '4 ghz']</t>
  </si>
  <si>
    <t>2-s2.0-0020183034</t>
  </si>
  <si>
    <t>10.1109/TAP.1982.1142914</t>
  </si>
  <si>
    <t>A High-Frequency Analysis of Radome-Induced Radar Pointing Error</t>
  </si>
  <si>
    <t>Burks D.G.</t>
  </si>
  <si>
    <t>60015272;60011754;60008302</t>
  </si>
  <si>
    <t>Texas Instruments;Auburn University;U.S. Army Space and Missile Defense Command</t>
  </si>
  <si>
    <t>Dallas;Auburn;Huntsville</t>
  </si>
  <si>
    <t>Burks, David G.</t>
  </si>
  <si>
    <t>60015272-60011754-60008302</t>
  </si>
  <si>
    <t>947-955</t>
  </si>
  <si>
    <t>An analysis is presented of the effect of a tangent ogive radome on the pointing accuracy of a monopulse radar employing an aperture antenna. The radar is assumed to be operating in the receive mode, and the incident fields at the antenna are found by a ray tracing procedure. Rays entering the antenna aperture by direct transmission through the radome and by single reflection from the radome interior are considered. The radome wall is treated as being locally planar. The antenna can be scanned in two angular directions, and two orthogonal polarization states which produce an arbitrarily polarized incident field are considered. Numerical results are presented for both in-plane and cross-plane errors as a function of scan angle and polarization. Copyright ¬© 1982 by The Institute of Electrical and Electronics Engineers, Inc.</t>
  </si>
  <si>
    <t>['single reflection', 'scan angle', 'receive mode', 'rays entering', 'radome wall', 'radome interior', 'pointing accuracy', 'plane errors', 'numerical results', 'locally planar', 'incident fields', 'electronics engineers', 'direct transmission', 'aperture antenna', 'antenna aperture']</t>
  </si>
  <si>
    <t>2-s2.0-0020183033</t>
  </si>
  <si>
    <t>10.1109/TAP.1982.1142915</t>
  </si>
  <si>
    <t>Low Sidelobe Aperture Distributions for Blocked and Unblocked Circular Apertures</t>
  </si>
  <si>
    <t>Ludwig A.</t>
  </si>
  <si>
    <t>Ludwig, Arthur C.</t>
  </si>
  <si>
    <t>933-946</t>
  </si>
  <si>
    <t>Low sidelobe aperture distributions are investigated for both blocked and unblocked circular apertures. Both peak sidelobe levels and wide-angle sidelobe levels are considered. For unblocked apertures, Taylor‚Äôs circular aperture synthesis technique is generalized to provide control over the wide angle sidelobe decay rate. These distributions are compared to a wide variety of alternative distributions in terms of the beamwidth, aperture efficiency, and radiated power distributions achieved for a given peak sidelobe level. A comparison is also made between the sidelobe envelopes achieved by four different distributions with a fixed beamwidth. For centrally blocked apertures, it is shown that wide angle sidelobes can be reduced by employing aperture distributions with a hole in the blocked central area. Copyright ¬© 1982 by The Institute of Electrical and Electronics Engineers, Inc.</t>
  </si>
  <si>
    <t>['wide variety', 'unblocked apertures', 'provide control', 'fixed beamwidth', 'electronics engineers', 'aperture efficiency', 'alternative distributions', 'also made']</t>
  </si>
  <si>
    <t>2-s2.0-0020182980</t>
  </si>
  <si>
    <t>10.1109/TAP.1982.1142896</t>
  </si>
  <si>
    <t>Experimental Study of Embedded Insulated Antennas</t>
  </si>
  <si>
    <t>Prasad S.</t>
  </si>
  <si>
    <t>60028628;60009982</t>
  </si>
  <si>
    <t>Northeastern University;Harvard University</t>
  </si>
  <si>
    <t>Boston;Cambridge</t>
  </si>
  <si>
    <t>Prasad, Sheila</t>
  </si>
  <si>
    <t>60028628-60009982</t>
  </si>
  <si>
    <t>1013-1017</t>
  </si>
  <si>
    <t>Experimental studies are reported of several coaxial structures useful as embedded antennas and transmission lines. These include the insulated coaxial line with extended inner conductor, the insulated dipole with choke section, and the insulated sleeve dipole. The purpose of the experiments is to confirm theoretical calculations that involve numerous approximations. Copyright ¬© 1982 by The Institute of Electrical and Electronics Engineers, Inc.</t>
  </si>
  <si>
    <t>['transmission lines', 'insulated dipole', 'experimental studies', 'embedded antennas', 'electronics engineers', 'choke section']</t>
  </si>
  <si>
    <t>2-s2.0-0020182979</t>
  </si>
  <si>
    <t>10.1109/TAP.1982.1142898</t>
  </si>
  <si>
    <t>A Note on Utilizing Far-Field Phase Information</t>
  </si>
  <si>
    <t>Winter C.</t>
  </si>
  <si>
    <t>Winter, Charles F.</t>
  </si>
  <si>
    <t>1008-1010</t>
  </si>
  <si>
    <t>The far-field phase information available from an antenna pattern is discarded in most system applications. Making use of such information for an angle-of-arrival estimation application across a relatively wide region of space is discussed in this note. The far-field phase difference response from two simultaneous shaped beam receive patterns generated by a linear array antenna is shown to provide an appropriate relative phase property for making unambiguous angle determinations. Copyright ¬© 1982 by The Institute of Electrical and Electronics Engineers, Inc.</t>
  </si>
  <si>
    <t>['system applications', 'making use', 'electronics engineers', 'antenna pattern']</t>
  </si>
  <si>
    <t>2-s2.0-0020182978</t>
  </si>
  <si>
    <t>10.1109/TAP.1982.1142922</t>
  </si>
  <si>
    <t>Impedance of a Radiating Slot in the Ground Plane of a Microstripline</t>
  </si>
  <si>
    <t>Das B.</t>
  </si>
  <si>
    <t>60015785;60004750</t>
  </si>
  <si>
    <t>Visvesvaraya National Institute of Technology, Nagpur;Indian Institute of Technology Kharagpur</t>
  </si>
  <si>
    <t>Nagpur;Kharagpur</t>
  </si>
  <si>
    <t>Das, B. N.</t>
  </si>
  <si>
    <t>60004750-60015785</t>
  </si>
  <si>
    <t>922-926</t>
  </si>
  <si>
    <t>An expression for the complex admittance of a radiating slot in the ground plane of a microstripline is obtained from the complex radiated power and discontinuity in the modal voltage. The complex radiated power is obtained from the angular spectrum of plane waves. The electric field distribution in the microstripline, required for the determination of the discontinuity in the modal voltage, is determined from the analysis presented by Yamashita and Atsuki. The theoretical results are compared with experimental data. Copyright ¬© 1982 by The Institute of Electrical and Electronics Engineers, Inc.</t>
  </si>
  <si>
    <t>['theoretical results', 'radiating slot', 'plane waves', 'modal voltage', 'ground plane', 'experimental data', 'electronics engineers', 'complex admittance', 'angular spectrum', 'analysis presented']</t>
  </si>
  <si>
    <t>2-s2.0-0020182917</t>
  </si>
  <si>
    <t>10.1109/TAP.1982.1142895</t>
  </si>
  <si>
    <t>Approximate Difference Pattern Response of the Weighted Multibeam Array</t>
  </si>
  <si>
    <t>Hinton J.</t>
  </si>
  <si>
    <t>Hinton, J. H.</t>
  </si>
  <si>
    <t>1025-1027</t>
  </si>
  <si>
    <t>An approximate relationship for the amplitude difference pattern response as a function of angle relative to the boresight plane of an incident electric field for an amplitude-weighted Butler matrix has been given. The expression is valid between the crossover angles of the beams adjacent to the beam chosen as the reference. Idealized difference patterns of a weighted Butler array have been used for comparison and examples indicate that over the angular region of interest, the expression is in agreement within 0.8 percent for a 32-element weighted array and better than 1 percent for an eight-element weighted array. Copyright ¬© 1982 by The Institute of Electrical and Electronics Engineers, Inc.</t>
  </si>
  <si>
    <t>['examples indicate', 'electronics engineers', 'crossover angles', 'boresight plane', 'beams adjacent', 'beam chosen', 'approximate relationship', 'angular region', 'angle relative', '8 percent', '1 percent']</t>
  </si>
  <si>
    <t>2-s2.0-0020182880</t>
  </si>
  <si>
    <t>10.1109/TAP.1982.1142917</t>
  </si>
  <si>
    <t>Beam Shaping Using Nonlinear Phase Distribution in a Uniformly Spaced Array</t>
  </si>
  <si>
    <t>Chakraborty A.</t>
  </si>
  <si>
    <t>Indian Institute of Technology Kharagpur</t>
  </si>
  <si>
    <t>Kharagpur</t>
  </si>
  <si>
    <t>Chakraborty, A.;Sanyal, G. S.</t>
  </si>
  <si>
    <t>57202662632;7005282279</t>
  </si>
  <si>
    <t>60004750;60004750</t>
  </si>
  <si>
    <t>1031-1034</t>
  </si>
  <si>
    <t>The method of determination of the phase distribution of a linear array of discrete sources for a specified radiation pattern and a fixed aperture amplitude function is presented. The finite series representing the array factor is transformed into an infinite series each term of which is in the form of an integral. Synthesis is carried out from asymptotic evaluation of the integral by the stationary phase method. Computed results for sector and cosecant beam are presented. Copyright ¬© 1982 by The Institute of Electrical and Electronics Engineers, Inc.</t>
  </si>
  <si>
    <t>['phase distribution', 'linear array', 'infinite series', 'electronics engineers', 'discrete sources', 'cosecant beam', 'computed results', 'asymptotic evaluation', 'array factor']</t>
  </si>
  <si>
    <t>2-s2.0-0020182851</t>
  </si>
  <si>
    <t>10.1109/TAP.1982.1142903</t>
  </si>
  <si>
    <t>Sidelobe Control in Cylindrical Arrays</t>
  </si>
  <si>
    <t>Sureau J.</t>
  </si>
  <si>
    <t>Lincoln Laboratory</t>
  </si>
  <si>
    <t>Sureau, Jean Claude;Keeping, Kimball J.</t>
  </si>
  <si>
    <t>6701380522;6602922784</t>
  </si>
  <si>
    <t>60024592;60024592</t>
  </si>
  <si>
    <t>1027-1031</t>
  </si>
  <si>
    <t>Low sidelobe patterns in cylindrical arrays are synthesized through the use of an artificially created noise source environment. Pattern/excitation pairs are generated by an exact formal process which optimizes the array performance. For symmetric patterns this process minimizes the signal-to-noise power ratio. For optimum antisymmetric patterns the on-axis boresight error is minimized. Sidelobe levels and rate of decay are controlled by proper selection of the angular variation of the noise amplitude. Copyright ¬© 1982 by The Institute of Electrical and Electronics Engineers, Inc.</t>
  </si>
  <si>
    <t>['symmetric patterns', 'sidelobe levels', 'proper selection', 'process minimizes', 'noise amplitude', 'excitation pairs', 'electronics engineers', 'cylindrical arrays', 'array performance', 'angular variation']</t>
  </si>
  <si>
    <t>2-s2.0-0020182837</t>
  </si>
  <si>
    <t>10.1109/TAP.1982.1142900</t>
  </si>
  <si>
    <t>On an Index for Array Optimization and the Discrete Prolate Spheroidal Functions</t>
  </si>
  <si>
    <t>Indian Institute of Technology Delhi</t>
  </si>
  <si>
    <t>New Delhi</t>
  </si>
  <si>
    <t>Prasad, Surendra</t>
  </si>
  <si>
    <t>1021-1023</t>
  </si>
  <si>
    <t>A class of array optimization problems is considered in which we seek to optimize the array response in a specified angular sector. The optimization of array directivity is shown to be a special limiting case of these problems as the width of the specified angular sector approaches zero. The optimum array patterns are also shown to be related to the well-known prolate-spheroidal functions. Copyright ¬© 1982 by The Institute of Electrical and Electronics Engineers, Inc.</t>
  </si>
  <si>
    <t>['spheroidal functions', 'known prolate', 'electronics engineers', 'array response', 'array directivity', 'also shown']</t>
  </si>
  <si>
    <t>2-s2.0-0020182835</t>
  </si>
  <si>
    <t>10.1109/TAP.1982.1142888</t>
  </si>
  <si>
    <t>A Broad-Band Constant Beamwidth Corrugated Rectangular Horn</t>
  </si>
  <si>
    <t>Electric and Musical Industries Limited</t>
  </si>
  <si>
    <t>London</t>
  </si>
  <si>
    <t>Morris, Geoffrey</t>
  </si>
  <si>
    <t>966-974</t>
  </si>
  <si>
    <t>Using aperture field theory to predict the far-field radiation from a rectangular horn, a horn with substantially constant E-and H-plane beamwidths of 17¬∞ and 10¬∞, respectively, is designed to operate over a 2.4:1 bandwidth. Assuming a cosine aperture field distribution in both the E- and H-planes of the horn, the general conclusion is first made that an aperture phase error of 0.37 wavelengths at the lowest operating frequency produces the least beamwidth variation (3 dB) over the band. A general design curve showing ‚Äúconstant‚Äù beamwidth as a function of horn throat length is produced, furthering the design of such horns with beamwidths in the range approximately 9¬∞ to 27¬∞. The E-plane walls of the horn are corrugated, and to cover the bandwidth corrugations are comprised of ‚ÄúT-section‚Äù slots which are designed from a simple transmission line model. To realize the specified beamwidths, a compound horn configuration is adopted. Some experimental results obtained from a prototype horn are given. Copyright ¬© 1982 by The Institute of Electrical and Electronics Engineers, Inc.</t>
  </si>
  <si>
    <t>['‚ äút', 'specified beamwidths', 'rectangular horn', 'prototype horn', 'plane walls', 'plane beamwidths', 'general conclusion', 'first made', 'field radiation', 'electronics engineers', 'bandwidth corrugations', '37 wavelengths', '3 db', '27 ¬∞.', '17 ¬∞', '1 bandwidth']</t>
  </si>
  <si>
    <t>2-s2.0-0020182834</t>
  </si>
  <si>
    <t>10.1109/TAP.1982.1142907</t>
  </si>
  <si>
    <t>The Thin-Substrate Approximation for Reflection from the End of a Slab-Loaded Parallel-Plate Waveguide with Application to Microstrip Patch Antennas</t>
  </si>
  <si>
    <t>Kuester E.F.</t>
  </si>
  <si>
    <t>60022476;60000221</t>
  </si>
  <si>
    <t>Ball Aerospace;University of Colorado Boulder</t>
  </si>
  <si>
    <t>Boulder;Boulder</t>
  </si>
  <si>
    <t>Kuester, Edward F.;Chang, David C.</t>
  </si>
  <si>
    <t>35588296300;7403319959</t>
  </si>
  <si>
    <t>60000221-60022476;60000221</t>
  </si>
  <si>
    <t>910-917</t>
  </si>
  <si>
    <t>Integrals arising in the Wiener-Hopf solution for wide microstrip antennas are approximated in closed form for the case of an electrically thin substrate. The resulting expressions are used to obtain simple, closed-form expressions for resonant frequency and unloaded radiation Q for rectangular microstrip patch antennas which are valid when commonly used quasi-static formulas no longer hold. Numerical comparisons show significant shifts in resonant frequencies as compared with existing theories. Copyright ¬© 1982 by The Institute of Electrical and Electronics Engineers, Inc.</t>
  </si>
  <si>
    <t>['static formulas', 'resulting expressions', 'resonant frequency', 'resonant frequencies', 'obtain simple', 'longer hold', 'integrals arising', 'hopf solution', 'form expressions', 'existing theories', 'electronics engineers', 'closed form']</t>
  </si>
  <si>
    <t>2-s2.0-0020180903</t>
  </si>
  <si>
    <t>DIRECT BROADCASTING BY SATELLITE.</t>
  </si>
  <si>
    <t>Wooster C.</t>
  </si>
  <si>
    <t>Wooster, C. B.</t>
  </si>
  <si>
    <t>Communication and Broadcasting</t>
  </si>
  <si>
    <t>27-34</t>
  </si>
  <si>
    <t>This article is concerned with direct broadcasting by satellite (d. b. s. ) to low-cost domestic receivers as distinct from television transmission by satellite for distribution by cable. The plan for d. b. s. made by the Broadcast Satellite World Administrative Conference (WARC-BS) in 1977 is discussed, together with regulatory aspects of overspill problems and the question of frequency allocation for up-path feeder links. The characteristics of broadcasting satellites, and the European heavy-satellite development programs for TV-SAT/TDF1 and L-SAT are considered. Potential satellite-broadcasting projects in Europe are reviewed, including the introduction of d. b. s. in the UK by 1986 with the UNISAT satellite, which is to be built by a consortium of GEC-Marconi, British Telecom and British Aerospace. The principles of domestic satellite television receivers and antenna configurations are discussed, as also are the prospects for improved picture and sound quality.</t>
  </si>
  <si>
    <t>['unisat satellite', 'television transmission', 'sound quality', 'regulatory aspects', 'potential satellite', 'overspill problems', 'improved picture', 'frequency allocation', 'european heavy', 'direct broadcasting', 'broadcasting satellites', 'broadcasting projects', 'british telecom', 'british aerospace', 'antenna configurations']</t>
  </si>
  <si>
    <t>2-s2.0-0020180057</t>
  </si>
  <si>
    <t>10.1016/0376-6349(82)90026-8</t>
  </si>
  <si>
    <t>Measurements of the intensity of radiofrequency electromagnetic fields as risk factor in Bulgaria</t>
  </si>
  <si>
    <t>Israel M.</t>
  </si>
  <si>
    <t>Medical University of Sofia</t>
  </si>
  <si>
    <t>Sofia</t>
  </si>
  <si>
    <t>Bulgaria</t>
  </si>
  <si>
    <t>Israel, Michel Salvator</t>
  </si>
  <si>
    <t>Journal of Occupational Accidents</t>
  </si>
  <si>
    <t>The measurement of the intensity of the electromagnetic fields (EMF) in working rooms is connected with many difficulties: EMFs are very intensive, the workplaces are near to grounding metal masses, in the room there are reflected surfaces, etc. There are no apparatuses (serial production) with the necessary characteristics about the purposes for such measurements. The attempt to create and construct devices for measuring the EMFs in the frequency range below 30 MHz is described in the report and also the questions and problems which should be resolved in the future. We construct antennas for measuring the intensities of the EMFs below 30 MHz with an accuracy 10.5-12 %. ¬© 1982.</t>
  </si>
  <si>
    <t>['¬© 1982', 'working rooms', 'serial production', 'reflected surfaces', 'necessary characteristics', 'many difficulties', 'frequency range', 'electromagnetic fields', 'construct devices', 'construct antennas', 'accuracy 10', '30 mhz', '12 %.']</t>
  </si>
  <si>
    <t>2-s2.0-0020179979</t>
  </si>
  <si>
    <t>BEAM SCANNING IN THE OFFSET GREGORIAN ANTENNA.</t>
  </si>
  <si>
    <t>Krichevsky V.</t>
  </si>
  <si>
    <t>Krichevsky, V.;DiFonzo, D. F.</t>
  </si>
  <si>
    <t>6603073501;6601995313</t>
  </si>
  <si>
    <t>Fall</t>
  </si>
  <si>
    <t>COMSAT Technical Review</t>
  </si>
  <si>
    <t>251-269</t>
  </si>
  <si>
    <t>This paper describes analytical solutions for the constant beam direction feed loci (CBDFL) and optimum feed position locus (OFPL) for the offset Gregorian antenna. A 'transit mode' analysis is used to trace rays outward from the feed to an ellipsoidal subreflector whose rim boundary is specified at the outset. Rays are then traced to the main reflector whose rim boundary can be determined after the contributions from all feed positions have been taken into account. The intersection of the constant beam direction feed loci and optimum feed position locus defines the optimum feed positions. The canonical form of the optimum feed position locus was found to be an ellipsoid for the cases investigated.</t>
  </si>
  <si>
    <t>['transit mode', 'feed positions', 'cases investigated', 'canonical form']</t>
  </si>
  <si>
    <t>2-s2.0-0020179531</t>
  </si>
  <si>
    <t>10.1029/RS017i005p01095</t>
  </si>
  <si>
    <t>The image theory electromagnetic fields of a horizontal electric dipole in the presence of a conducting half space</t>
  </si>
  <si>
    <t>Bannister P.</t>
  </si>
  <si>
    <t>Bannister, Peter R.</t>
  </si>
  <si>
    <t>September-October 1982</t>
  </si>
  <si>
    <t>1095-1102</t>
  </si>
  <si>
    <t>The problem considered is a horizontal electric dipole that is located above or below the plane surface of a conducting half space. Expressions for the field components are obtained by employing finitely conducting earth‚Äêimage theory techniques. The formulas developed are of simple form and are valid from the quasi‚Äêstatic to the far‚Äêfield ranges as long as the measurement distance is greater than 3 times the burial depth of the source and/or receiver. This paper is not subject to U.S. copyright. Published in 1982 by the American Geophysical Union.</t>
  </si>
  <si>
    <t>['simple form', 'problem considered', 'plane surface', 'measurement distance', 'formulas developed', 'field components', 'burial depth', '3 times']</t>
  </si>
  <si>
    <t>2-s2.0-0020179380</t>
  </si>
  <si>
    <t>10.1029/RS017i005p01321</t>
  </si>
  <si>
    <t>Excitation of the earth‚Äêionosphere waveguide by an ELF source in the ionosphere</t>
  </si>
  <si>
    <t>Tripathi V.</t>
  </si>
  <si>
    <t>Tripathi, V. K.;Chang, C. L.;Papadopoulos, K.</t>
  </si>
  <si>
    <t>7103015030;7407037410;7102261205</t>
  </si>
  <si>
    <t>1321-1326</t>
  </si>
  <si>
    <t>It is shown that for polar regions, where the conductivity is predominantly reactive, the wave functions for the transverse electromagnetic mode of the earth‚Äêionosphere waveguide are Hankel functions of the first kind with real argument; therefore they extend up to large heights over the polar ionosphere. A Green's function for the excitation of the waveguide by extended current or field sources in the ionosphere is obtained for an exponential ionosphere. The potential of ELF waveguide excitation by wireless antennas is discussed. Copyright 1982 by the American Geophysical Union.</t>
  </si>
  <si>
    <t>['wireless antennas', 'wave functions', 'real argument', 'predominantly reactive', 'polar regions', 'polar ionosphere', 'large heights', 'hankel functions', 'first kind', 'field sources', 'extended current', 'exponential ionosphere', 'copyright 1982']</t>
  </si>
  <si>
    <t>2-s2.0-0020179331</t>
  </si>
  <si>
    <t>COHERENT RADAR SIGNAL PROCESSING AND MATCHED FILTERING.</t>
  </si>
  <si>
    <t>Wardrop B.</t>
  </si>
  <si>
    <t>Wardrop, B.</t>
  </si>
  <si>
    <t>Third Quarter</t>
  </si>
  <si>
    <t>Marconi Review</t>
  </si>
  <si>
    <t>151-164</t>
  </si>
  <si>
    <t>Coherent signal processing enables a radar to maximize the probability of detecting a target. The concept of a matched filter when applied to the reception of single pulse, pulse bursts, and continuous transmission is described. It is shown that such processing can alleviate the effects of ground clutter, weather returns, and chaff. The use of coherent processing in adaptive antennas is described, and current areas of investigation are indicated.</t>
  </si>
  <si>
    <t>['weather returns', 'single pulse', 'pulse bursts', 'matched filter', 'ground clutter', 'current areas', 'continuous transmission', 'coherent processing', 'adaptive antennas']</t>
  </si>
  <si>
    <t>2-s2.0-0020179210</t>
  </si>
  <si>
    <t>10.1029/RS017i05Sp0125S</t>
  </si>
  <si>
    <t>Implantable microwave radiators for clinical hyperthermia</t>
  </si>
  <si>
    <t>Taylor L.S.</t>
  </si>
  <si>
    <t>Taylor, Leonard S.;Samaras, George M.;Cheung, Augustine Y.;Salcman, Michael;Scott, Ralph M.</t>
  </si>
  <si>
    <t>7402701035;36797242400;7401806381;7007030572;56322981600</t>
  </si>
  <si>
    <t>5 S</t>
  </si>
  <si>
    <t>125S-133S</t>
  </si>
  <si>
    <t>We describe the design of coaxial microwave radiators suitable for localized hyperthermia of neoplasia in the esophagus, brain, and other organs which are accessible through body orifices. These radiators can be implanted surgically and are small enough to be passed through such devices as nasogastric tubes and bronchoscopes. The radiators consist of combinations of cross‚Äêswitched half‚Äêwavelength coaxial sections and/or needle antenna terminations. The performance of these radiators, as determined by thermogram recordings in tissue phantoms and the results of in vivo animal tests, is described. Copyright 1982 by the American Geophysical Union.</t>
  </si>
  <si>
    <t>['tissue phantoms', 'thermogram recordings', 'small enough', 'radiators consist', 'nasogastric tubes', 'localized hyperthermia', 'implanted surgically', 'copyright 1982', 'body orifices']</t>
  </si>
  <si>
    <t>2-s2.0-0020178682</t>
  </si>
  <si>
    <t>10.1109/TAES.1982.309277</t>
  </si>
  <si>
    <t>Optimization of Coverage Pattern for Regional Communications Satellite</t>
  </si>
  <si>
    <t>Nishiguchi K.</t>
  </si>
  <si>
    <t>Mitsubishi Electric Corporation</t>
  </si>
  <si>
    <t>Nishiguchi, Kenichi;Tsuchiya, Kazuo</t>
  </si>
  <si>
    <t>57224869786;7401529457</t>
  </si>
  <si>
    <t>60101699;60101699</t>
  </si>
  <si>
    <t>642-647</t>
  </si>
  <si>
    <t>An optimization problem of an antenna coverage pattern for a regional communications satellite when an antenna-pointing error exists is discussed. A new performance measure is introduced to evaluate the coverage pattern. This measure is defined as the statistical mean of the ratio between two areas, the full service area and the part of it covered by the antenna. The optimum coverage pattern which maximizes this measure under certain constraint is obtained. The results of numerical calculations are included to demonstrate the technique. Copyright ¬© 1982 by The Institute of Electrical and Electronics Engineers, Inc.</t>
  </si>
  <si>
    <t>['two areas', 'statistical mean', 'optimization problem', 'numerical calculations', 'electronics engineers', 'coverage pattern', 'certain constraint']</t>
  </si>
  <si>
    <t>2-s2.0-0020178395</t>
  </si>
  <si>
    <t>10.1029/RS017i05Sp0077S</t>
  </si>
  <si>
    <t>Irradiation of prolate spheroidal models of humans and animals in the near field of a small loop antenna</t>
  </si>
  <si>
    <t>Lakhtakia A.</t>
  </si>
  <si>
    <t>Lakhtakia, A.;Iskander, M. F.;Durney, C. H.;Massoudi, H.</t>
  </si>
  <si>
    <t>53877620200;34769915200;7006062328;6701787076</t>
  </si>
  <si>
    <t>77S-84S</t>
  </si>
  <si>
    <t>Analysis of the near‚Äêfield irradiation of prolate spheroidal models of humans and animals by a small coaxial loop antenna is described. The near fields of the antenna are known exactly and hence are used to identify the suitable field parameters involved in the near‚Äêfield absorption in the spheroidal model. An integral equation is formulated in terms of the transverse dyadic Green's function, and the fields radiated by the current loop are expanded in terms of the vector spherical harmonics. The extended boundary condition method is then employed to solve the integral equation. The power distribution and the average specific absorption rate (SAR) are calculated and plotted, for different human and animal models, as a function of the separation distance from the loop. It is shown that for distances less than 5Œª the average SAR values oscillate about the far‚Äêfield value. In particular, for d/Œª &lt; 0.4 an increase in the average SAR values was generally observed. It is also shown that in spite of the complicated nature of the near fields the absorption characteristics can still be explained in terms of the incident radiation. Furthermore, from the calculated SAR distributions at different frequencies it is shown that at all frequencies, excessive heating occurs at the surface of the spheroid while a limited absorption occurs in the central region around the major axis. This result is of particular importance in hyperthermia, where extensive efforts are being directed toward achieving deep‚Äêtissue heating by a coaxial coil carrying RF power at about 27 MHz. Copyright 1982 by the American Geophysical Union.</t>
  </si>
  <si>
    <t>['spheroidal model', 'separation distance', 'power distribution', 'particular importance', 'near fields', 'major axis', 'known exactly', 'integral equation', 'incident radiation', 'generally observed', 'fields radiated', 'extensive efforts', 'distances less', 'different human', 'different frequencies', 'current loop', 'copyright 1982', 'complicated nature', 'animal models', 'also shown', 'absorption characteristics', '27 mhz']</t>
  </si>
  <si>
    <t>2-s2.0-0020178215</t>
  </si>
  <si>
    <t>ACCURACY OF ESTIMATION OF POINT-TARGET COORDINATES AND THEIR DERIVATIVES.</t>
  </si>
  <si>
    <t>Nakhmanson G.</t>
  </si>
  <si>
    <t>Nakhmanson, G. S.</t>
  </si>
  <si>
    <t>66-73</t>
  </si>
  <si>
    <t>The correlation matrix of joint estimates of coordinates and of their derivatives of a point target is derived for signals received by an array antenna in a general case which includes a signal source located in both the far field of the receiving antenna and in the Fresnel zone. The derived relationships are illustrated by an example of detection of signals with linear frequency modulation.</t>
  </si>
  <si>
    <t>['signals received', 'receiving antenna', 'point target', 'joint estimates', 'general case', 'fresnel zone', 'far field', 'derived relationships', 'correlation matrix', 'array antenna']</t>
  </si>
  <si>
    <t>2-s2.0-0020178184</t>
  </si>
  <si>
    <t>FORMATION OF THREE-DIMENSIONAL IMAGES IN THE MICROWAVE AND ULTRASONIC RANGES USING SCANNING-BEAM ANTENNAS DURING THE PULSE TIME.</t>
  </si>
  <si>
    <t>Ginzburg V.M.</t>
  </si>
  <si>
    <t>Ginzburg, V. M.</t>
  </si>
  <si>
    <t>31-37</t>
  </si>
  <si>
    <t>A method is described of formation of three-dimensional images in the microwave and ultrasonic ranges that is based on the use of pulse radiation sources and antennas with fast scanning of the beam over a time comparable with pulse duration. It is shown that such antennas fulfill the functions of parametric converters of temporal signals into periodic spatial structures that are formed in the space between the source of radiation and the object making it possible to measure the object configuration.</t>
  </si>
  <si>
    <t>['ultrasonic ranges', 'time comparable', 'temporal signals', 'pulse duration', 'parametric converters', 'object making', 'object configuration', 'fast scanning', 'dimensional images', 'antennas fulfill']</t>
  </si>
  <si>
    <t>2-s2.0-0020178043</t>
  </si>
  <si>
    <t>10.1049/ip-a-1.1982.0082</t>
  </si>
  <si>
    <t>TRANSPORTABLE SATELLITE UP-LINKS TOWARDS SNG?</t>
  </si>
  <si>
    <t>Bolingbroke P.</t>
  </si>
  <si>
    <t>Bolingbroke, Peter;Harman, Malcolm;Salkeld, Brian</t>
  </si>
  <si>
    <t>7801584269;7006379023;6602232149</t>
  </si>
  <si>
    <t>IEE Proceedings A: Physical Science. Measurement and Instrumentation. Management and Education. Reviews</t>
  </si>
  <si>
    <t>0143702X</t>
  </si>
  <si>
    <t>473-477</t>
  </si>
  <si>
    <t>The requirement for satellite news gathering links has been described along with the practical realization of one transportable station. It has been found remarkably simple to operate such links to inject from live field events to a studio. It has been shown that many of the potential interference problems can be overcome, and that frequency coordination with terrestrial systems appears to be manageable. The need has been demonstrated for better side-lobe suppression on small antennas. It is also shown that the use of transportable stations is generally easier with satellites having a higher figure of merit (G/T) on the up leg and higher transponder gain. Some indication has been given that communications with the base can be achieved by SCPC through the same satellite transponder if use of the down-link frequency band is not unduly constrained by terrestrial systems sharing the frequency band. A draft specification for the essential features of an SNG terminal has been presented. Operation with terminals of this type is proposed following the launch of the first ECS satellite late in 1982.</t>
  </si>
  <si>
    <t>['unduly constrained', 'transportable stations', 'sng terminal', 'small antennas', 'satellite transponder', 'proposed following', 'practical realization', 'lobe suppression', 'higher figure', 'generally easier', 'frequency coordination', 'frequency band', 'essential features', 'draft specification', 'described along', 'better side', 'also shown']</t>
  </si>
  <si>
    <t>2-s2.0-0020177902</t>
  </si>
  <si>
    <t>OPTIMUM ORBITAL LOCATION OF A COMMUNICATIONS SATELLITE.</t>
  </si>
  <si>
    <t>Sinha A.</t>
  </si>
  <si>
    <t>Sinha, A. K.</t>
  </si>
  <si>
    <t>295-317</t>
  </si>
  <si>
    <t>This paper describes a formulation for determining the longitude of a geostationary communications satellite that would yield optimum link performance over a specified geographical coverage region. The analysis method addresses the inherent trade-off between the range- and elevation-angle-dependent propagation loss (including rain-induced fading) and the antenna gain variation as a function of the solid angle subtended for a given coverage area.</t>
  </si>
  <si>
    <t>['paper describes', 'inherent trade', 'induced fading', 'including rain']</t>
  </si>
  <si>
    <t>2-s2.0-0020177744</t>
  </si>
  <si>
    <t>10.1109/TAES.1982.309282</t>
  </si>
  <si>
    <t>Fast Algorithms for Time Domain Broadband Adaptive Array Processing</t>
  </si>
  <si>
    <t>Cantoni A.</t>
  </si>
  <si>
    <t>The University of Newcastle, Australia</t>
  </si>
  <si>
    <t>Callaghan</t>
  </si>
  <si>
    <t>Cantoni, Antonio;Godara, L. C.</t>
  </si>
  <si>
    <t>7005144794;7003446625</t>
  </si>
  <si>
    <t>60010571;60010571</t>
  </si>
  <si>
    <t>682-699</t>
  </si>
  <si>
    <t>Recursive algorithms are presented for time domain, broadband, adaptive beamforming. The algorithms are rapidly converging and can be computationally efficient for a certain range of array processor parameters. The algorithms are presented for two forms of array processor. One form is a Frost-type structure in which explicit constraints are required for defining the array-look direction and also to control the sensitivity of the array processor to implementation errors. The other form is a partitioned array processor in which constraints are built into the processor and the adaptive weight control algorithm is therefore unconstrained. The two processors presented are both element-space processors but the algorithms can be applied also to beam-space processors. Copyright ¬© 1982 by The Institute of Electrical and Electronics Engineers, Inc.</t>
  </si>
  <si>
    <t>['type structure', 'two forms', 'time domain', 'therefore unconstrained', 'space processors', 'recursive algorithms', 'rapidly converging', 'one form', 'look direction', 'implementation errors', 'explicit constraints', 'electronics engineers', 'computationally efficient', 'certain range', 'array processor', 'applied also', 'adaptive beamforming']</t>
  </si>
  <si>
    <t>2-s2.0-0020177743</t>
  </si>
  <si>
    <t>10.1029/RS017i005p01258</t>
  </si>
  <si>
    <t>Measurements of atmospheric water vapor with microwave radiometry</t>
  </si>
  <si>
    <t>Elgered G.</t>
  </si>
  <si>
    <t>Elgered, G.;R√∂nn√§ng, B. O.;Askne, J. I.H.</t>
  </si>
  <si>
    <t>7004647945;6603177988;7006850123</t>
  </si>
  <si>
    <t>1258-1264</t>
  </si>
  <si>
    <t>A dual‚Äêchannel, ground‚Äêbased microwave radiometer, working at the frequencies 21.0 and 31.4 GHz, an infrared spectral hygrometer, and radiosondes have been used for comparative measurements of the integrated amount of precipitable water vapor in the atmosphere over a period with zenith water vapor contents varying between 6 and 26 mm. The microwave radiometer was found to give comparable or better formal accuracy than the radiosondes, the absolute accuracy of which is believed to be about 1 mm. The rms difference of the integrated amount of water vapor in the zenith direction measured with the microwave radiometer and with radiosondes was 1.2 mm for all data, and 0.8 mm for a selected group of good weather data. These are lower formal errors than previously reported. It is shown that the simplified relation between the radiometer antenna termperatures and the integrated amount of water vapor in this case contributes with a formal error of about 0.3 mm. It is suggested that mean ground weather data can be used to adapt this relation to other sites and seasons. Copyright 1982 by the American Geophysical Union.</t>
  </si>
  <si>
    <t>['water vapor', 'simplified relation', 'selected group', 'rms difference', 'previously reported', 'microwave radiometer', 'integrated amount', 'give comparable', 'frequencies 21', 'formal error', 'copyright 1982', 'comparative measurements', 'case contributes', 'absolute accuracy', '8 mm', '4 ghz', '3 mm', '26 mm', '2 mm', '1 mm']</t>
  </si>
  <si>
    <t>2-s2.0-0020177460</t>
  </si>
  <si>
    <t>10.1109/TAES.1982.309273</t>
  </si>
  <si>
    <t>Phase Synchronizing a Nonrigid, Distributed, Transmit-Receive Radar Antenna Array</t>
  </si>
  <si>
    <t>School of Engineering and Applied Science</t>
  </si>
  <si>
    <t>Philadelphia</t>
  </si>
  <si>
    <t>609-620</t>
  </si>
  <si>
    <t>A means is described for self-organizing a nonrigid, distributed, transmit-receive antenna array for use in airborne radar. The techniques are applicable to ground-based or shipborne radar as well. Methods are described for initializing the array using various primary microwave illuminators. The description of phase conjugation techniques and means for distributing phase reference to all elements in the array are the central parts of the paper. Copyright ¬© 1982 by The Institute of Electrical and Electronics Engineers, Inc.</t>
  </si>
  <si>
    <t>['shipborne radar', 'electronics engineers', 'central parts', 'airborne radar']</t>
  </si>
  <si>
    <t>2-s2.0-0020176450</t>
  </si>
  <si>
    <t>GAIN IN SIGNAL STABILITY WHEN USING ADAPTIVE RECEIVING ANTENNAS FOR LONG-DISTANCE TROPOSPHERIC COMMUNICATIONS LINKS.</t>
  </si>
  <si>
    <t>Frolov O.</t>
  </si>
  <si>
    <t>Frolov, O. P.</t>
  </si>
  <si>
    <t>26-29</t>
  </si>
  <si>
    <t>The signal-receiving systems used in tropospheric communication links and based on adaptive antenna systems are investigated. An antenna system of this kind includes the following items: The receiving antenna itself with control elements which have a considerable effect on the shape of the radiation pattern as a whole, a processor, which, by changing the state of the control elements can make some parameter of the system reach an extreme value, in particular, the maximum level of the received signal.</t>
  </si>
  <si>
    <t>['system reach', 'receiving antenna', 'received signal', 'radiation pattern', 'maximum level', 'kind includes', 'following items', 'extreme value', 'control elements', 'considerable effect', 'antenna system']</t>
  </si>
  <si>
    <t>2-s2.0-0020176448</t>
  </si>
  <si>
    <t>INFLUENCE OF REFLECTIONS ON THE CIRCULARLY POLARIZED SIGNAL RADIATED FROM THE SEA.</t>
  </si>
  <si>
    <t>Vanina N.</t>
  </si>
  <si>
    <t>Vanina, N. M.;Galkin, A. P.;Orekhov, V. V.</t>
  </si>
  <si>
    <t>6508058537;7101886989;7004326274</t>
  </si>
  <si>
    <t>110-113</t>
  </si>
  <si>
    <t>The direct and reflected (from the sea) signal components producing an emf at the reception antenna output are determined. The influence of interfering reflections on reception is studied, and recommendations are made for the height of the radiation source above the sea.</t>
  </si>
  <si>
    <t>['radiation source', 'interfering reflections']</t>
  </si>
  <si>
    <t>2-s2.0-0020176410</t>
  </si>
  <si>
    <t>INPUT ADMITTANCE OF A SPHEROIDAL ANTENNA EXCITED BY THE OPEN END OF A COAXIAL LINE.</t>
  </si>
  <si>
    <t>Gryaznova T.</t>
  </si>
  <si>
    <t>Gryaznova, T. A.;Karplyuk, K. S.;Filonenko, E. G.;Shashurin, I. P.</t>
  </si>
  <si>
    <t>6603700089;6603217029;6701603697;6505966218</t>
  </si>
  <si>
    <t>45-51</t>
  </si>
  <si>
    <t>A prolate semispherical monopole excited by the open end of a coaxial line is discussed. An analytical expression for the frequency-dependence of the input admittance of semispherical antennas with different ratios of the large and small semiaxes is obtained. It is shown that this expression well enough describes the input admittance of a spheroidal antenna that is excited by the open end of a coaxial line.</t>
  </si>
  <si>
    <t>['spheroidal antenna', 'small semiaxes', 'semispherical antennas', 'open end', 'input admittance', 'different ratios', 'coaxial line', 'analytical expression']</t>
  </si>
  <si>
    <t>2-s2.0-0020176369</t>
  </si>
  <si>
    <t>920 MHz MOBILE PROPAGATION TEST FOR PORTABLE TELEPHONE</t>
  </si>
  <si>
    <t>Akeyama A.</t>
  </si>
  <si>
    <t>Akeyama, Akira;Tsuruhara, Toshinari;Tanaka, Yukio</t>
  </si>
  <si>
    <t>6602131146;7005280804;55736311100</t>
  </si>
  <si>
    <t>Transactions of the Institute of Electronics and Communication Engineers of Japan. Section E</t>
  </si>
  <si>
    <t>0387236X</t>
  </si>
  <si>
    <t>E65</t>
  </si>
  <si>
    <t>542-543</t>
  </si>
  <si>
    <t>Mobile radio propagation tests at 920 MHz were carried out in urban areas. A signal transmitted from a base station was received by a dipole antenna installed near an aluminum case, which simulated the housing of a 200 multiplied by 125 multiplied by 60 mm**3 portable set. Field strength deterioration due to the body effect and penetration loss into buildings was measured.</t>
  </si>
  <si>
    <t>['urban areas', 'signal transmitted', 'penetration loss', 'body effect', 'base station', 'aluminum case', '920 mhz', '200 multiplied', '125 multiplied']</t>
  </si>
  <si>
    <t>2-s2.0-0020176274</t>
  </si>
  <si>
    <t>10.1029/RS017i005p01037</t>
  </si>
  <si>
    <t>A systematic theory of wave propagation over irregular terrain</t>
  </si>
  <si>
    <t>Furutsu K.</t>
  </si>
  <si>
    <t>Furutsu, K.</t>
  </si>
  <si>
    <t>1037-1050</t>
  </si>
  <si>
    <t>An explicit expression of the attenuation for a radio wave is obtained for a class of terrains consisting, along the wave path, of several sections of different heights and different electrical properties, taking into account the earth's curvature for every section. Here the boundaries of two sections are assumed to be discontinuous, in both height and electromagnetic property, and each boundary may have a thin ridge of arbitrary height. This mathematical model well represents terrains containing ridges, bluffs, coastlines with cliffs, etc., with great varieties of combination along the wave path, and furthermore enables us to systematically obtain an explicit expression of the radio wave intensity over them. The latter expression is obtained in terms of the multiple residue series, in accordance with the number of the terrain sections involved, and, when the class of terrains is reduced to a homogeneous spherical earth, either by letting all the heights and electrical properties of the section be equal or, with one particular section fixed, by letting all the other section lengths equal zero, then the series are uniformly reduced to the well‚Äêknown Bremmer series for a homogeneous spherical earth. When the lengths of the internal sections are sufficiently large, the effects of the terminal sections (over which the transmitter and receiver are located) become isolated, and this enables us to evaluate those terminal effects, or ‚Äòterminal gain,‚Äô in detail, independently of those of the other internal sections, to use the terminal gain in just the same way as the ordinary antenna height gain function has been used for the ground wave propagation over a homogeneous spherical earth. Copyright 1982 by the American Geophysical Union.</t>
  </si>
  <si>
    <t>['wave path', 'uniformly reduced', 'two sections', 'thin ridge', 'terrains consisting', 'terminal sections', 'terminal gain', 'terminal effects', 'systematically obtain', 'sufficiently large', 'several sections', 'radio wave', 'latter expression', 'internal sections', 'great varieties', 'explicit expression', 'every section', 'etc .,', 'enables us', 'electromagnetic property', 'electrical properties', 'different heights', 'copyright 1982', 'combination along', 'boundary may', 'become isolated', 'arbitrary height']</t>
  </si>
  <si>
    <t>2-s2.0-0020176215</t>
  </si>
  <si>
    <t>10.1029/RS017i005p01133</t>
  </si>
  <si>
    <t>Computer modeling of multipath propagation: Review of ray‚Äêtracing techniques</t>
  </si>
  <si>
    <t>Shkarofsky I.</t>
  </si>
  <si>
    <t>Shkarofsky, I. P.;Nickerson, S. B.</t>
  </si>
  <si>
    <t>7003786614;7006330973</t>
  </si>
  <si>
    <t>1133-1158</t>
  </si>
  <si>
    <t>The field of ray tracing and related differential equations are reviewed in reference to multipath propagation. Past efforts are limited in that analytical approaches require simple refractive index profiles and computer ray tracing usually does not include the crucial boundary condition that rays have to hit the receiver with adequate accuracy. We describe a three‚Äêdimensional computer program that finds all the important rays converging on the receiver within 2 √ó 10‚àí6 m. We obtain the angles of launch and arrival, the ray trajectories, and the divergence or convergence factor of each ray intensity. A complex vector differential equation is also solved for the electric field polarization components from which we calculate the attenuation and depolarization. We include antenna amplitude and phase copolar and cross‚Äêpolar patterns. The potentiality of the computer program is illustrated for two refractive index profiles and varying receiver height assuming zero earth curvature. The first profile has a transition in refractive index at an elevated layer of about 300 m. Angles of arrival approaching ¬± 1¬∞ off boresight and time delays up to 19 ns are possible. The second profile has a transition in the refractive index gradient at a low‚Äêaltitude layer of 70 m. As the receiver height is changed from 40 to 80 m, rays appear, disappear, and coalesce. When rays coalesce, they also converge, and this leads to enhanced fields. We find that the depolarization is strongly dependent on the ground‚Äêreflected rays for circular polarization and on the antenna patterns for all polarizations. Interference due to other rays is consequential. The divergence factor and the phases of the antennas are also important parameters. Copyright 1982 by the American Geophysical Union.</t>
  </si>
  <si>
    <t>['time delays', 'strongly dependent', 'second profile', 'refractive index', 'receiver height', 'rays coalesce', 'rays appear', 'ray trajectories', 'ray tracing', 'ray intensity', 'phase copolar', 'past efforts', 'multipath propagation', 'interference due', 'first profile', 'enhanced fields', 'elevated layer', 'divergence factor', 'copyright 1982', 'convergence factor', 'computer program', 'circular polarization', 'antenna patterns', 'also solved', 'also converge', 'adequate accuracy', '19 ns']</t>
  </si>
  <si>
    <t>2-s2.0-0020176160</t>
  </si>
  <si>
    <t>DIFFRACTION OF ELECTROMAGNETIC WAVES BY A PERIODIC SCREEN WITH HOLES OF ARBITRARY SHAPE.</t>
  </si>
  <si>
    <t>Kaplun V.</t>
  </si>
  <si>
    <t>Kaplun, V. A.;Kravchenko, I. T.;Tsaryuk, D. A.</t>
  </si>
  <si>
    <t>7003720048;7004969186;6508299985</t>
  </si>
  <si>
    <t>72-76</t>
  </si>
  <si>
    <t>The transverse section method is used to solve the problem of the diffraction of a plane wave by an infinite perforated metal screen, taking into account its finite thickness and assuming the holes to be filled with a dielectric. The working relations obtained are in a good agreement with experimental data. The screens considered can be used as radomes for protecting antenna systems.</t>
  </si>
  <si>
    <t>['screens considered', 'plane wave', 'good agreement', 'finite thickness', 'experimental data']</t>
  </si>
  <si>
    <t>2-s2.0-0020176052</t>
  </si>
  <si>
    <t>10.1029/RS017i005p00973</t>
  </si>
  <si>
    <t>Scattering from cylindrical inhomogeneities in a lossy medium</t>
  </si>
  <si>
    <t>Peters L.</t>
  </si>
  <si>
    <t>Peters, Leon;Richmond, Jack H.</t>
  </si>
  <si>
    <t>7202838408;7202816808</t>
  </si>
  <si>
    <t>973-987</t>
  </si>
  <si>
    <t>Many buried scattering objects of interest take the form of two‚Äêdimensional geometries. This includes scattering from utility lines, tunnels, and geological structures such as fault lines. Radar systems used to detect these objects commonly use antennas that are at least comparable in size to the depth of the target. Thus the target and the antenna do not satisfy far zone conditions, and the radar range equation is not applicable. Consequently, the usual separate analyses of range, antenna, and target are not possible. In a previous paper a method was outlined that permitted the antenna properties and the scattering properties of a two‚Äêdimensional target to be treated separately for the case of a linear electric or magnetic dipole source parallel to the axis of the two‚Äêdimensional scatterer. This involved computing the received voltage for an antenna located at the image position, i.e., at twice the target range, and computing the backscattered fields for an electric or magnetic line source at the position of the transmitting antenna. This model has also been applied approximately to a video pulse radar with an orthogonal dipole antenna system. It would also be applicable to large loop antennas quite commonly used in geophysical explorations, as will be discussed. The primary goal of this paper is to discuss additional scattering analyses that could be used to extend the previous results. The major thrust then is to generate solutions for the scattering attenuation function (SAF) which has the form ES/EI or HS/HI where the EI (or HI) are the electric (or magnetic) fields of an electric (or magnetic) line source at the image position and the ES (or HS) are the respective scattered fields. Eigenfunction solutions have been used to obtain the SAF for circular cylindrical geometries to represent pipes and tunnels. Moment method solutions have been applied to perfectly conducting wires with and without a dielectric sheath. Moment method solutions have been applied to noncircular penetrable bodies using the polarization currents to represent the unknowns. Such solutions were developed for a line source above dikes by Parry and Ward (1971) and Hohman (1975) in the early seventies. Such solutions can be made for frequencies that include several target resonances for potential target identification. These solutions can possibly be extended to include fault lines, joints, etc., provided their electrical properties can be estimated by using some of the concepts involved in the hybrid geometrical theory of diffraction‚Äêmoment approach. The methods of the modified geometrical optics could also be applied to obtain scattered fields at higher frequencies. These and other potential approaches will be discussed. Copyright 1982 by the American Geophysical Union.</t>
  </si>
  <si>
    <t>['would also', 'utility lines', 'treated separately', 'transmitting antenna', 'target range', 'scattering properties', 'represent pipes', 'received voltage', 'primary goal', 'previous results', 'previous paper', 'potential approaches', 'polarization currents', 'major thrust', 'linear electric', 'line source', 'least comparable', 'involved computing', 'interest take', 'includes scattering', 'image position', 'higher frequencies', 'geophysical explorations', 'geological structures', 'generate solutions', 'form es', 'fault lines', 'electrical properties', 'eigenfunction solutions', 'early seventies', 'e .,', 'dielectric sheath', 'copyright 1982', 'concepts involved', 'backscattered fields', 'applied approximately', 'antenna properties', 'antenna located']</t>
  </si>
  <si>
    <t>2-s2.0-0020175460</t>
  </si>
  <si>
    <t>10.1109/TPS.1982.4316166</t>
  </si>
  <si>
    <t>Quadrupole Radiation of Ion-Acoustic Waves</t>
  </si>
  <si>
    <t>Khazei M.</t>
  </si>
  <si>
    <t>University of Iowa</t>
  </si>
  <si>
    <t>Iowa City</t>
  </si>
  <si>
    <t>Khazei, Mahyar;Bulson, Jeffry M.;Lonngren, Karl E.</t>
  </si>
  <si>
    <t>6506324215;6506174187;7006243174</t>
  </si>
  <si>
    <t>60024324;60024324;60024324</t>
  </si>
  <si>
    <t>IEEE Transactions on Plasma Science</t>
  </si>
  <si>
    <t>195-198</t>
  </si>
  <si>
    <t>An experiment to measure the radiation of ion-acoustic waves from a quadrupole antenna is described. The quadrupole consists of 4 hemispherical grids located at the corners of a square structure. The results are contrasted with those obtained from an antenna with the 4 hemispheres excited in phase and compared with a fluid model prediction. Electrostatically coupled excitation of ion-acoustic waves from 3 hemispheres when only the fourth is excited is also observed in this experiment. Copyright ¬© 1982 by The Institute of Electrical and Electronics Engineers, Inc.</t>
  </si>
  <si>
    <t>['square structure', 'quadrupole consists', 'quadrupole antenna', 'electronics engineers', 'also observed', 'acoustic waves', '3 hemispheres']</t>
  </si>
  <si>
    <t>2-s2.0-0020173488</t>
  </si>
  <si>
    <t>10.1109/TMTT.1982.1131230</t>
  </si>
  <si>
    <t>Monolithic Integration of a Dielectric Millimeter-Wave Antenna and Mixer Diode: An Embryonic Millimeter-Wave IC</t>
  </si>
  <si>
    <t>Yao C.</t>
  </si>
  <si>
    <t>Yao, Chingchi;Schwarz, Steven E.;Blumenstock, B. J.</t>
  </si>
  <si>
    <t>56782107600;7202176080;6506586657</t>
  </si>
  <si>
    <t>60121438;60121438;60121438</t>
  </si>
  <si>
    <t>1241-1247</t>
  </si>
  <si>
    <t>A monolithic silicon integrated circuit consisting of a mixer diode and an all-dielectric receiving antenna has been built and tested at 85 GHz. Radiation is coupled into the device optically with a coupling loss of 2.7 dB. No external metal structure is required for coupling. The design can be used efficiently at considerably higher frequencies, and can be. elaborated into more complex integrated circuits. From measurements of video responsivity the losses of various parts of the device are estimated. A simple theory of conversion efficiency is found to agree well with experiments; this theory is then used to predict the performance of improved versions of the device. The conversion efficiency obtained with this demonstration device is low; it is shown, however, that acceptable conversion efficiencies can be obtained with a more advanced diode fabrication technology using epitaxial Si or GaAs. Integrated millimeter-wave receivers of this kind should be suitable for short-path terrestrial communications, in applications where compactness and low cost are required. Copyright ¬© 1982 by The Institute of Electrical and Electronics Engineers, Inc.</t>
  </si>
  <si>
    <t>['wave receivers', 'video responsivity', 'various parts', 'used efficiently', 'simple theory', 'mixer diode', 'low cost', 'integrated millimeter', 'improved versions', 'electronics engineers', 'device optically', 'demonstration device', 'coupling loss', 'conversion efficiency', 'agree well', '85 ghz', '7 db']</t>
  </si>
  <si>
    <t>2-s2.0-0020171519</t>
  </si>
  <si>
    <t>10.1049/ree.1982.0059</t>
  </si>
  <si>
    <t>The UOSAT v.h.f. and u.h.f. data beacons and antenna system</t>
  </si>
  <si>
    <t>Haining W.</t>
  </si>
  <si>
    <t>Haining, W.;Brown, A. K.</t>
  </si>
  <si>
    <t>57194938671;55945017400</t>
  </si>
  <si>
    <t>60021097;60021097</t>
  </si>
  <si>
    <t>403-406</t>
  </si>
  <si>
    <t>Single canted turnstile antenna is used for satellite transmission and command reception in the v.h.f. and u.h.f. bands. Details of the antenna hybrid and coupling filters are given, together with performance measurements. The v.h.f. and u.h.f. beacons use 5th overtone oscillators at 72 MHz, and a multistage varactor modulator provides sufficient phase modulation with overall frequency multiplication of only √ó 2 at v.h.f. and √ó 6 at u.h.f. Some unusual aspects of the design and construction are described. ¬© 1982, The Institution of Electronic and Radio Engineers. All rights reserved.</t>
  </si>
  <si>
    <t>Antennas | directive | Radio | Satellites | transmitters</t>
  </si>
  <si>
    <t>['¬© 1982', 'unusual aspects', 'satellite transmission', 'rights reserved', 'radio engineers', 'performance measurements', 'coupling filters', 'command reception', 'antenna hybrid', '72 mhz']</t>
  </si>
  <si>
    <t>2-s2.0-0020167764</t>
  </si>
  <si>
    <t>10.1109/TEMC.1982.304042</t>
  </si>
  <si>
    <t>Standard-Site Method for Determining Antenna Factors</t>
  </si>
  <si>
    <t>Smith A.</t>
  </si>
  <si>
    <t>International Business Machines</t>
  </si>
  <si>
    <t>Armonk</t>
  </si>
  <si>
    <t>Smith, Albert A.</t>
  </si>
  <si>
    <t>316-322</t>
  </si>
  <si>
    <t>A method for calibrating antennas from site attenuation measurements made on an open-field site is described. The method, termed the standard-site method because the accuracy of the results depends on the quality of the measuring site, requires neither the use of a standard antenna nor the generation of a standard field. The antenna factors of a number of broad-band antennas calibrated by the standard-site method over the frequency range 30‚Äì1000 MHz show good agreement with the antenna factors found by the standard-antenna method. ¬© 1982 by The Institute of Electrical and Electronics Engineers, Inc.</t>
  </si>
  <si>
    <t>Antenna | antenna calibration | antenna factor | propagation | site attenuation | standard-antenna method | standard-field method | standard-site method</t>
  </si>
  <si>
    <t>['¬© 1982', 'standard field', 'standard antenna', 'site method', 'results depends', 'requires neither', 'measuring site', 'field site', 'electronics engineers', 'calibrating antennas', 'antenna method', 'antenna factors']</t>
  </si>
  <si>
    <t>2-s2.0-0020167761</t>
  </si>
  <si>
    <t>10.1109/TEMC.1982.304041</t>
  </si>
  <si>
    <t>Calculation of Site Attenuation from Antenna Factors</t>
  </si>
  <si>
    <t>Smith, Albert A.;German, Robert F.;Pate, James B.</t>
  </si>
  <si>
    <t>56128115600;7202282953;7102300471</t>
  </si>
  <si>
    <t>60021293;60021293;60021293</t>
  </si>
  <si>
    <t>301-316</t>
  </si>
  <si>
    <t>A site-attenuation model expressed in terms of the antenna factors of the transmit and receive antennas is presented. Both horizontal and vertical polarizations are included, as are the effects of mutual coupling between closely spaced horizontal antennas. Expressing site attenuation in terms of antenna factors allows the use of broad-band antennas with their attendant advantages over tunable dipoles. Measured and calculated results for a variety of sites, antennas, and geometries are compared in the frequency range of 30 MHz to 1 GHz. ¬© 1982 by The Institute of Electrical and Electronics Engineers, Inc.</t>
  </si>
  <si>
    <t>antenna factor | antennas | open-field | propagation | Site attenuation | test site</t>
  </si>
  <si>
    <t>['¬© 1982', 'vertical polarizations', 'tunable dipoles', 'receive antennas', 'mutual coupling', 'frequency range', 'electronics engineers', 'calculated results', 'band antennas', 'attendant advantages', 'antenna factors', '30 mhz', '1 ghz']</t>
  </si>
  <si>
    <t>2-s2.0-0020167759</t>
  </si>
  <si>
    <t>10.1109/TEMC.1982.304043</t>
  </si>
  <si>
    <t>Measurements of Electromagnetic Radiation from Automotive Ignition Systems</t>
  </si>
  <si>
    <t>Ribbens W.</t>
  </si>
  <si>
    <t>University of Michigan, Ann Arbor</t>
  </si>
  <si>
    <t>Ann Arbor</t>
  </si>
  <si>
    <t>Ribbens, W. B.</t>
  </si>
  <si>
    <t>323-330</t>
  </si>
  <si>
    <t>This paper reports a set of measurements of automotive-ignition-system electromagnetic radiation (EMR). The measurements were obtained in terms of external antenna noise figure and voltage deviation. A variety of vehicle EMR sources were studied at 4 relatively widely separated frequencies. Two independent measurement methods were used, each involving a separate statistical signal-processing procedure. The results of these two measurements compared quite favorably. These measurements provide data in support of an earlier paper in which a model is presented for assessing the statistical significance of the inteference of EMR sources. That model calls upon a widely respected data base for man-made interference which is published by the Institute of Telecommunication Science of the National Bureau of Standards. ¬© 1982 by The Institute of Electrical and Electronics Engineers, Inc.</t>
  </si>
  <si>
    <t>Automotive ignition emissions | measurements | statistical significance</t>
  </si>
  <si>
    <t>['¬© 1982', 'voltage deviation', 'telecommunication science', 'statistical significance', 'processing procedure', 'paper reports', 'national bureau', 'made interference', 'emr sources', 'emr ).', 'electronics engineers', 'earlier paper']</t>
  </si>
  <si>
    <t>2-s2.0-0020167758</t>
  </si>
  <si>
    <t>10.1109/TEMC.1982.304066</t>
  </si>
  <si>
    <t>Short Papers: Using Free-Space Transmission Loss for Evaluating Anechoic Chamber Performance</t>
  </si>
  <si>
    <t>Fitz Gerrell R.</t>
  </si>
  <si>
    <t>National Institute of Standards and Technology</t>
  </si>
  <si>
    <t>Gaithersburg</t>
  </si>
  <si>
    <t>Fitz Gerrell, Richard G.</t>
  </si>
  <si>
    <t>356-358</t>
  </si>
  <si>
    <t>Performance of a rectangular RF anechoic chamber is evaluated by measuring the relative insertion loss versus separation distance between the sources of chamber illumination and small dipole or open waveguide antennas on a particular measurement axis. Measured data are compared to free-space transmission loss calculated using finite-range source antenna gains. A lack of fit between measured insertion loss and calculated transmission loss is a measure of reflections from chamber surfaces assuming the finite-range gain calculations are exact for the separation distances considered. Experimental results show excellent agreement between a smooth-curve fit to the measured data and the calculated free-space data. Standard fields in this chamber are used for calibrating hazard meters and dipole antennas used for field-strength measurements. ¬© 1982 by The Institute of Electrical and Electronics Engineers, Inc.</t>
  </si>
  <si>
    <t>Anechoic chamber | calibrations | reflection errors</t>
  </si>
  <si>
    <t>['¬© 1982', 'strength measurements', 'standard fields', 'space data', 'small dipole', 'measured data', 'electronics engineers', 'curve fit', 'chamber illumination', 'calculated free']</t>
  </si>
  <si>
    <t>2-s2.0-0020167755</t>
  </si>
  <si>
    <t>10.1109/TEMC.1982.304068</t>
  </si>
  <si>
    <t>The Cylindrical Dipole as a Sensor or Probe</t>
  </si>
  <si>
    <t>King R.</t>
  </si>
  <si>
    <t>Harvard University</t>
  </si>
  <si>
    <t>364-367</t>
  </si>
  <si>
    <t>The cylindrical dipole is shown to be frequency-independent over the range of electrical lengths kh Óê• 1 for resistive loads in the range 3.77 Óê• RL Óê• 377 Œ© when used to measure the time derivative of the electric field. It can also be used to measure the electric field in the frequency domain and used as a standard for calibrating sensors with regard to their frequency independence over selected ranges of frequency. ¬© 1982 by The Institute of Electrical and Electronics Engineers, Inc.</t>
  </si>
  <si>
    <t>electric-field standard | Short cylindrical dipole</t>
  </si>
  <si>
    <t>['¬© 1982', 'time derivative', 'selected ranges', 'resistive loads', 'range 3', 'frequency independence', 'frequency domain', 'electronics engineers', 'electric field', 'cylindrical dipole', 'calibrating sensors']</t>
  </si>
  <si>
    <t>2-s2.0-0020166946</t>
  </si>
  <si>
    <t>10.1049/ip-f-1.1982.0043</t>
  </si>
  <si>
    <t>Robust signal and array processing</t>
  </si>
  <si>
    <t>Ahmed K.</t>
  </si>
  <si>
    <t>Ahmed, K. M.;Evans, R. J.</t>
  </si>
  <si>
    <t>36863000500;57190277923</t>
  </si>
  <si>
    <t>297-302</t>
  </si>
  <si>
    <t>Robustness is an important attribute in engineering systems. The paper presents a new notion of robustness as applied to signal and array processing. A filter is termed robust if its output is satisfactory even when there is uncertainty in the input signal shape. The mathematical definitions of ‚Äòsatisfactory‚Äô and ‚Äòuncertainty‚Äô as used in the present formulation are based on hard inequality constraints. Convergent algorithms and numerical examples are presented and discussed. ¬© 1982, The Institution of Electrical Engineers. All rights reserved.</t>
  </si>
  <si>
    <t>Antennas | Signal processing</t>
  </si>
  <si>
    <t>['¬© 1982', 'termed robust', 'satisfactory even', 'rights reserved', 'present formulation', 'paper presents', 'numerical examples', 'new notion', 'mathematical definitions', 'important attribute', 'engineering systems', 'electrical engineers', 'convergent algorithms', 'array processing']</t>
  </si>
  <si>
    <t>2-s2.0-0020166686</t>
  </si>
  <si>
    <t>10.1049/ip-h-1.1982.0035</t>
  </si>
  <si>
    <t>DEPOLARISATION EFFECTS OF METAL-SPACE-FRAME RADOMES.</t>
  </si>
  <si>
    <t>Gupta G.</t>
  </si>
  <si>
    <t>Gupta, G. S.;Claydon, B.</t>
  </si>
  <si>
    <t>56269183500;6701798634</t>
  </si>
  <si>
    <t>Aug</t>
  </si>
  <si>
    <t>170-176</t>
  </si>
  <si>
    <t>The spread of commercial satellite communications into geographical regions where adverse weather conditions can affect circuit availability, together with the movement to higher-frequency bands, where the effects of weather are more significant, has caused a resurgence of interest in large metal-space-frame radomes. The electrical performance of the earth-station antenna is modified by the presence of the radome, and the resultant crosspolarization component within the tracking accuracy of the antenna is of interest. The paper describes an analytic method for determining the depolarization effects of a metal-space-frame radome enclosing a typical earth-station antenna. The analysis has been based on the induced-field-ratio hypothesis for struts having either a circular or rectangular cross-section. Incident circular polarization has been assumed throughout, although the analysis is applicable to linear as well.</t>
  </si>
  <si>
    <t>['typical earth', 'tracking accuracy', 'station antenna', 'rectangular cross', 'ratio hypothesis', 'paper describes', 'large metal', 'geographical regions', 'frequency bands', 'frame radomes', 'electrical performance', 'depolarization effects', 'assumed throughout', 'analytic method']</t>
  </si>
  <si>
    <t>2-s2.0-0020166255</t>
  </si>
  <si>
    <t>10.1049/ip-h-1.1982.0030</t>
  </si>
  <si>
    <t>REFLECTION COEFFICIENT AT THE FEED OF A RADOME-COVERED REFLECTOR ANTENNA.</t>
  </si>
  <si>
    <t>Cory H.</t>
  </si>
  <si>
    <t>Cory, H.;Clarricoats, P. J.B.</t>
  </si>
  <si>
    <t>7007155351;7006192058</t>
  </si>
  <si>
    <t>145-152</t>
  </si>
  <si>
    <t>The reflection coefficient at the feed of a paraboloidal reflector antenna covered with a paraboloidal radome is evaluated by the power-coupling theorem. An asymptotic value of the reflection-coefficient expression leads to a simple physical interpretation of the result. The asymptotic value is compared with that obtained by numerical integration.</t>
  </si>
  <si>
    <t>['reflection coefficient', 'paraboloidal radome', 'numerical integration', 'coupling theorem', 'asymptotic value']</t>
  </si>
  <si>
    <t>2-s2.0-0020166007</t>
  </si>
  <si>
    <t>10.1049/ip-h-1.1982.0033</t>
  </si>
  <si>
    <t>IMPROVED FORMULAS FOR INPUT IMPEDANCE OF COAX-FED MICROSTRIP PATCH ANTENNAS.</t>
  </si>
  <si>
    <t>Lier E.</t>
  </si>
  <si>
    <t>Lier, E.</t>
  </si>
  <si>
    <t>161-164</t>
  </si>
  <si>
    <t>The input impedances of rectangular and circular antennas have been improved by more accurate expressions for the input reactance and radiation conductances. The theory includes the effects of extended antenna patches due to fringe fields at the edge. Surface toughness of the dielectric substrate has also been accounted for. The measured and calculated curves for input impedance agree well.</t>
  </si>
  <si>
    <t>['theory includes', 'surface toughness', 'radiation conductances', 'input reactance', 'input impedances', 'fringe fields', 'dielectric substrate', 'circular antennas', 'calculated curves', 'accurate expressions']</t>
  </si>
  <si>
    <t>2-s2.0-0020165609</t>
  </si>
  <si>
    <t>10.1016/0094-5765(82)90097-2</t>
  </si>
  <si>
    <t>Satellite augmentation of cellular type mobile radio telephone systems</t>
  </si>
  <si>
    <t>Anderson R.E.</t>
  </si>
  <si>
    <t>General Electric Company</t>
  </si>
  <si>
    <t>Boston</t>
  </si>
  <si>
    <t>Anderson, Roy E.</t>
  </si>
  <si>
    <t>507-514</t>
  </si>
  <si>
    <t>NASA's ATS-6 satellite relayed voice bandwidth communications between five trucks and the trucking company dispatchers as the trucks traveled throughout the north-eastern quarter of the contiguous United States. The experiment, conducted over a seven month period, demonstrated that propagation characteristics are much different for the satellite-mobile links than for terrestrial-mobile links. A properly designed satellite system can provide high quality, reliable voice and data communications except where the vehicle-satellite path is shadowed by a structure or terrain feature. Mobile equipment in the experiment was adapted from commercial mobile radios. The vehicle antennas were 75 cm tall, 2 cm diam. Another experiment proved the feasibility of vehicle position surveillance using active two-way tone-code ranging through ATS-6 to provide one line of position and passive one-way ranging by measuring the time-of-arrival of a signal from an independent satellite. A position fix was printed out at an earth station 1 sec after it sent the interrogation signal to the distant vehicle, a towboat on the Mississippi River. The line of position from ATS-6 was accurate to 0.1 nautical mile using a voice bandwidth ranging signal. The line of position from the NOAA GOES satellite was accurate to 2 miles, using 100 Hz signal bandwidth. If the signal from the independent satellite had the same bandwidth and signal-to-noise ratio as ATS-6, the fixes would have been accurate to about 0.1 nautical mile. A concept study concluded that satellites might be a cost effective augmentation of terrestrial cellular type mobile radio telephone systems. The satellites would serve thinly populated areas where terrestrial systems are not cost effective. In the United States, the satellites would serve about 90% of the land area where 20% of the population resides. A multibeam satellite with many channels in each beam would be compatible with the urban terrestrial systems and together they would provide a nearly ubiquitous mobile radio telephone service. ¬© 1982.</t>
  </si>
  <si>
    <t>['¬© 1982', 'would provide', 'way tone', 'way ranging', 'vehicle antennas', 'united states', 'terrestrial systems', 'terrain feature', 'satellites might', 'satellite path', 'reliable voice', 'propagation characteristics', 'position fix', 'population resides', 'passive one', 'noise ratio', 'multibeam satellite', 'much different', 'mobile links', 'mobile equipment', 'mississippi river', 'many channels', 'land area', 'interrogation signal', 'independent satellite', 'fixes would', 'five trucks', 'eastern quarter', 'distant vehicle', 'cost effective', 'code ranging', 'beam would', '2 miles']</t>
  </si>
  <si>
    <t>2-s2.0-0020165516</t>
  </si>
  <si>
    <t>10.1109/TCE.1982.353942</t>
  </si>
  <si>
    <t>Development of the TV Receiver for Cars</t>
  </si>
  <si>
    <t>Yashima I.</t>
  </si>
  <si>
    <t>Panasonic Corporation</t>
  </si>
  <si>
    <t>Kadoma</t>
  </si>
  <si>
    <t>Yashima, I.;Ikenishi, M.;Ikeda, T.;Yamamoto, A.</t>
  </si>
  <si>
    <t>6603372667;6506313156;56275592600;55724482200</t>
  </si>
  <si>
    <t>60107350;60107350;60107350;60107350</t>
  </si>
  <si>
    <t>IEEE Transactions on Consumer Electronics</t>
  </si>
  <si>
    <t>CE-28</t>
  </si>
  <si>
    <t>437-446</t>
  </si>
  <si>
    <t>Market trends toward personal television sets can be seen with the increasing ownership of television sets and variety of personal likings. There is also a demand for car television receivers. Reception of television on a moving vehicle requires a receiving system capable of reproducing good pictures despite changes in speed and direction of the vehicle. There are two conventional car television antenna concepts, a non-directional antenna which is independent of changes in the direction of receiving signal and an antenna composed of a plurality of elements whose directional characteristics are changed by manual control of the antenna feed phases. Both of these antennas are subject to serious field fluctuation while the vehicle is in motion; and the manual controlling is incapable of tracking the changes at high speed, possibly resulting mis-sync or flutter due to a sharp decrease in field strength. A system which controls directivity of antenna automatically at high-speed was developed to replace the conventional counterparts. The new system consists of four diversity receiving antennas different from one another in directivity, a high-frequency switching circuit, a level comparator circuit, and timing control circuits. Using the video signals and vertical and horizontal sync signals of the television receiver, the system compares the antennas and selects one of them during every vertical blanking interval. The television receiver comprises some sections, that is, a picture display section, signal processing sections and a control section. The display section which is installed inside a car must be designed small in size, light in weight, and compact, and its structure and materials must be able to withstand the temperature, vibration, and impact to which it may be exposed within the car. A dual structure cabinet built of heat-resistant ABS resin and heat-resistant, low-foaming PVC resin was developed to meet these requirements. The 4-inch monochrome and the 5-inch color television set developed along line are introduced in the following. Copyright ¬© 1982 by The Institute of Electrical and Ekectronics Engineers, Inc.</t>
  </si>
  <si>
    <t>['video signals', 'television sets', 'television receiver', 'system compares', 'sharp decrease', 'selects one', 'receiving signal', 'personal likings', 'one another', 'materials must', 'manual controlling', 'manual control', 'installed inside', 'increasing ownership', 'inch monochrome', 'high speed', 'flutter due', 'field strength', 'exposed within', 'ekectronics engineers', 'display section', 'directional antenna', 'designed small', 'conventional counterparts', 'controls directivity', 'control section', 'car must', 'antenna composed', 'antenna automatically']</t>
  </si>
  <si>
    <t>2-s2.0-0020165420</t>
  </si>
  <si>
    <t>10.1049/ip-h-1.1982.0031</t>
  </si>
  <si>
    <t>PERFORMANCE OF RADOME-COVERED REFLECTOR ANTENNAS.</t>
  </si>
  <si>
    <t>Clarricoats P.</t>
  </si>
  <si>
    <t>Clarricoats, P. J.B.;Rizk, M. S.A.S.;Parini, C. G.</t>
  </si>
  <si>
    <t>7006192058;7103296730;7005244140</t>
  </si>
  <si>
    <t>153-160</t>
  </si>
  <si>
    <t>An experimental and theoretical investigation is described of the return loss and radiation pattern of a paraboloidal reflector antenna covered by a fiber-glass paraboloidal radome. Satisfactory agreement is obtained. The importance of the central region of the radome is identified and a novel method is described in which the radome profile is modified in the vertex region. Theory and experiment both indicate that the return loss due to the radome can be almost entirely eliminated by this means.</t>
  </si>
  <si>
    <t>['vertex region', 'theoretical investigation', 'satisfactory agreement', 'return loss', 'radome profile', 'radiation pattern', 'novel method', 'central region']</t>
  </si>
  <si>
    <t>2-s2.0-0020165193</t>
  </si>
  <si>
    <t>10.1049/ip-h-1.1982.0034</t>
  </si>
  <si>
    <t>DESIGN OF WAVEGUIDE-FED SERIES SLOT ARRAYS.</t>
  </si>
  <si>
    <t>Orefice M.</t>
  </si>
  <si>
    <t>Orefice, M.;Elliott, R. S.</t>
  </si>
  <si>
    <t>7003419808;57220065537</t>
  </si>
  <si>
    <t>165-169</t>
  </si>
  <si>
    <t>A design procedure is presented whereby the length and tilt of every slot in a series array can be determined, in the presence of external mutual coupling, in order to provide a specified pattern and input impedance. The slots are cut in a broadwall of rectangular waveguides, centered but inclined, and resonantly spaced to form, linear or planar arrays. The procedure parallels earlier treatment of the longitudinal shunt slot case, and combines Stevenson's method with a modified form of Booker's relation to treat nonresonant series slots. Two coupled design equations result, one linking slot voltage and mode current, the other linking active slot impedance to the active impedance in an equivalent dipole array. Simultaneous solution of these design equations is illustrated for the cases of a two by four array, a three by five array, and a five by five array.</t>
  </si>
  <si>
    <t>['specified pattern', 'simultaneous solution', 'series array', 'resonantly spaced', 'rectangular waveguides', 'presented whereby', 'planar arrays', 'modified form', 'mode current', 'input impedance', 'four array', 'five array', 'every slot', 'design procedure', 'design equations', 'combines stevenson', 'active impedance']</t>
  </si>
  <si>
    <t>2-s2.0-0020164944</t>
  </si>
  <si>
    <t>10.1002/ecja.4410650808</t>
  </si>
  <si>
    <t>Reactively loaded loop antennas with reflectors for circular polarization</t>
  </si>
  <si>
    <t>Okubo S.</t>
  </si>
  <si>
    <t>Keio University</t>
  </si>
  <si>
    <t>Okubo, Shigeru;Tokumaru, Shinobu</t>
  </si>
  <si>
    <t>7202500800;7005495467</t>
  </si>
  <si>
    <t>60025997;60025997</t>
  </si>
  <si>
    <t>56-64</t>
  </si>
  <si>
    <t>There have been several attempts to expand the capabilities of loop antennas by impedance loading. In this paper, a new structure is proposed in which a reactance loads a one‚Äêwavelength loop antenna with a reflector. It is shown that this structure is in principle suited as a circularly polarized antenna. The loading reactance is placed at 45o from the feed point. It is shown from numerical calculations that there exists a dimension for which a good axial ratio is obtained if the reactance is changed. Numerical results are shown for this axial ratio, input impedance, current distribution and radiative pattern at this dimension. From these results, general characteristics of this structure are found. From the model experiment, it is confirmed that circular polarization is generated from this structure. Copyright ¬© 1982 Wiley Periodicals, Inc., A Wiley Company</t>
  </si>
  <si>
    <t>['wiley company', 'several attempts', 'reactance loads', 'radiative pattern', 'principle suited', 'numerical results', 'numerical calculations', 'new structure', 'model experiment', 'loop antennas', 'loading reactance', 'input impedance', 'inc .,', 'impedance loading', 'general characteristics', 'feed point', 'current distribution', 'circular polarization', 'axial ratio']</t>
  </si>
  <si>
    <t>2-s2.0-0020164940</t>
  </si>
  <si>
    <t>10.1002/ecja.4410650810</t>
  </si>
  <si>
    <t>The design and radiation characteristics of dielectric‚Äêloaded H‚Äêplane cosecant‚Äêsquare‚Äêbeam horn antenna</t>
  </si>
  <si>
    <t>Sha K.</t>
  </si>
  <si>
    <t>60016074;60008435</t>
  </si>
  <si>
    <t>Yamagata University;Tohoku University</t>
  </si>
  <si>
    <t>Yamagata;Sendai</t>
  </si>
  <si>
    <t>Sha, Kokusho;Sato, Kiyomi;Suzuki, Michiya;Adachi, Saburo</t>
  </si>
  <si>
    <t>35969741200;55495594400;7408132858;56779495700</t>
  </si>
  <si>
    <t>60016074;60016074;60016074;60008435</t>
  </si>
  <si>
    <t>72-81</t>
  </si>
  <si>
    <t>An H‚Äêplane cosecant‚Äêsquare‚Äêbeam horn antenna with a non‚Äêplanar aperture is described. A dielectric material is inserted into the horn and the aperture surface design is based on geometrical optics. The E‚Äêplane pattern is easily controlled by changing the E‚Äêplane aperture length. Nine antennas with various H‚Äê and E‚Äêplane lengths are examined with respect to variations of several characteristics as a function of aperture length. A compact wide‚Äêband H‚Äêplane cosecant‚Äêsquare‚Äêbeam horn with good characteristics was realized with an aperture angle of 60 degrees and an H‚Äêplane aperture length of about 10 wavelengths. By changing the E‚Äêplane aperture length the E‚Äêplane pattern can be varied without degrading the cosecant characteristics in the H‚Äêplane. In the tests the E‚Äêplane half‚Äêwidth was varied from about 44o to 72o by appropriate setting of the parameters. Hence the antenna can easily be designed in conformity with the service area and should therefore be useful for SHF broadcast and multiplex communications base stations. Further, in conjunction with an E‚Äêplane cosecant‚Äêbeam horn antenna, both horizontal and vertical polarizations can be used in contiguous service areas to provide efficient use of the frequency spectrum. Copyright ¬© 1982 Wiley Periodicals, Inc., A Wiley Company</t>
  </si>
  <si>
    <t>['wiley company', 'vertical polarizations', 'shf broadcast', 'several characteristics', 'service area', 'nine antennas', 'inc .,', 'good characteristics', 'geometrical optics', 'frequency spectrum', 'easily controlled', 'dielectric material', 'cosecant characteristics', 'appropriate setting', 'aperture length', 'aperture angle', '60 degrees', '10 wavelengths']</t>
  </si>
  <si>
    <t>2-s2.0-0020162928</t>
  </si>
  <si>
    <t>10.1029/RS017i004p00747</t>
  </si>
  <si>
    <t>Analysis of a new corrugated guide feed horn having dual‚Äêdepth corrugations</t>
  </si>
  <si>
    <t>Zhang R.</t>
  </si>
  <si>
    <t>Zhang, Ri‚Äêrong ‚Äêr;Wang, Han‚Äêli ‚Äêl</t>
  </si>
  <si>
    <t>56163992800;55862312700</t>
  </si>
  <si>
    <t>July-August 1982</t>
  </si>
  <si>
    <t>747-751</t>
  </si>
  <si>
    <t>A new corrugated guide horn having dual‚Äêdepth corrugations was proposed by Carpenter and Ghosh in 1980. It is attractive for achieving improved performance over a wide band or a multiband. In this paper a space‚Äêharmonic analysis has been made, the relation between the fields in the adjacent slots of the dual‚Äêdepth corrugations has been found, and the eigenvalue equation and the formulae of the equivalent admittance have been established. As an example, the predicted performances of a new multiband horn have been given. Copyright 1982 by the American Geophysical Union.</t>
  </si>
  <si>
    <t>['wide band', 'predicted performances', 'equivalent admittance', 'eigenvalue equation', 'copyright 1982', 'adjacent slots']</t>
  </si>
  <si>
    <t>2-s2.0-0020160371</t>
  </si>
  <si>
    <t>10.1121/1.388002</t>
  </si>
  <si>
    <t>A general chebyshev complex function approximation procedure and an application to beamforming</t>
  </si>
  <si>
    <t>Streit R.</t>
  </si>
  <si>
    <t>Streit, R. L.;Nuttall, A. H.</t>
  </si>
  <si>
    <t>7007141696;7102583073</t>
  </si>
  <si>
    <t>60019947;60019947</t>
  </si>
  <si>
    <t>181-190</t>
  </si>
  <si>
    <t>A new computational technique is described for the Chebyshev, or minimax, approximation of a given complex valued function by means of linear combinations of given complex valued basis functions. The domain of definition of all functions can be any finite set whatever. Neither the basis functions nor the function approximated need satisfy any special hypotheses beyond the requirement that they be defined on a common domain. Theoretical upper and lower bounds on the accuracy of the computed Chebyshev error are derived. These bounds permit both a priori and a posteriori error assessments. Efforts to extend the method to functions whose domain of definition is a continuum are discussed. An application is presented involving ‚Äúre-shading‚Äù a 50-element antenna array to minimize the effects of a 10% element failure rate, while maintaining full steering capability and mainlobe beamwidth. ¬© 1982, Acoustical Society of America. All rights reserved.</t>
  </si>
  <si>
    <t>['¬© 1982', 'theoretical upper', 'rights reserved', 'mainlobe beamwidth', 'lower bounds', 'linear combinations', 'common domain', 'bounds permit', 'basis functions', 'acoustical society']</t>
  </si>
  <si>
    <t>2-s2.0-0020160087</t>
  </si>
  <si>
    <t>10.1029/RS017i004p00773</t>
  </si>
  <si>
    <t>Interplanetary plasma concentration measurements by use of dual frequencies from separated sites</t>
  </si>
  <si>
    <t>Croft T.</t>
  </si>
  <si>
    <t>Croft, Thomas A.;Edson, William A.</t>
  </si>
  <si>
    <t>7003705937;57213240099</t>
  </si>
  <si>
    <t>773-785</t>
  </si>
  <si>
    <t>Since 1965 the dual‚Äêfrequency method has been used for measuring densities of plasmas near planets and in interplanetary space. Signals at two frequencies are sent from an antenna on the earth to a spacecraft, or vice versa. The speed of the higher‚Äêfrequency signal is less affected by plasma than that of the lower‚Äêfrequency signal. The difference of delays provides a measure of the integrated effect of plasma along the radio path. In essence, the higher‚Äêfrequency signal serves as a benchmark against which the lower‚Äêfrequency effect is measured. Two markedly different sets of equipment have thus far been used to perform dual‚Äêfrequency observations; their strengths and weaknesses are reviewed, and it shown that many of the weaknesses could be overcome by using separate sites on the earth from which to transmit the low and high frequencies. A survey of the expected error in measurements using separated sites suggests that the critical element is time synchronization between them. The best available device for performing this function is the cesium beam clock; six such clocks were tested under conditions that accurately simulate an operational system. The test results are related to errors that would arise in plasma densities derived by this method. While the feasibility of site separation is dependent upon the specific mission to be accomplished, it appears practicable at the present state of the art for many planetary, solar wind, and comet applications. Copyright 1982 by the American Geophysical Union.</t>
  </si>
  <si>
    <t>['would arise', 'weaknesses could', 'vice versa', 'two frequencies', 'time synchronization', 'thus far', 'test results', 'specific mission', 'solar wind', 'site separation', 'since 1965', 'radio path', 'present state', 'plasma along', 'operational system', 'measuring densities', 'many planetary', 'less affected', 'interplanetary space', 'integrated effect', 'high frequencies', 'expected error', 'dependent upon', 'delays provides', 'critical element', 'copyright 1982', 'comet applications', 'appears practicable', 'accurately simulate']</t>
  </si>
  <si>
    <t>2-s2.0-0020159797</t>
  </si>
  <si>
    <t>10.1109/TGRS.1982.350447</t>
  </si>
  <si>
    <t>Earth-Based Remote Sensing of Planetary Surfaces and Atmospheres at Radio Wavelengths</t>
  </si>
  <si>
    <t>Dickel J.</t>
  </si>
  <si>
    <t>Dickel, John R.</t>
  </si>
  <si>
    <t>306-314</t>
  </si>
  <si>
    <t>Radio observations of the planets are providing much valuable information about these remote environments. Most of these objects are black bodies emitting thermal radiation which appears brighter at short wavelengths but we generally wish to investigate the effects of atmospheric absorption and subsurface heat conduction on them which requires observations using a wide variety of astronomical techniques over a large range of wavelengths. Most parameters change only slowly with wavelength so that continuum radiometry at selected wavelengths is sufficient in most cases. Many of the planetary signals are weak and it is very important to accurately separate their emission from that of the background sky and nearby confusing sources. This involves continuous comparison with the nearby background by various switching, on-off, and scanning techniques plus reobservation of the same spot in the sky after the planet has moved away. Often, over ‚Öî of the time required for an observation is actually spent on comparison rather than looking at the actual target planet. Recently, aperture synthesis observations using interferometers have provided very-high-resolution pictures of some of the planets and removed many of the background problems. Another important concern is calibration of the results so we can have accurate values of the absolute temperatures of these bodies. This requires measurement of the antenna parameters and also the effects of the Earth's atmosphere upon the incoming signals. With careful evaluation it is possible to obtain an absolute accuracy of better than 7 percent of all wavelengths and relative values are known to a few percent. The planets themselves can be divided into three natural categories: 1) those which are essentially all atmosphere, namely the giant gasous Jovian planets; 2) those without atmospheres, including the moon, Mercury, most satellites, and the asteroids; and 3) those for which both surface and atmospheric effects are important, such as Venus. In the first case, by measuring at several wavelengths across the spectral band of ammonia which acts as the major opacity source in the atmosphere of the giant planets, we are able to accurately determine its abundance and also measure the temperature distributions in the low atmospheres below the visible cloud layers. The atmosphereless bodies are in equilibrium with incoming solar radiation and by measurements at different phases in their diurnal cycles we can establish the heat flow and radiative properties of their subsurface layers. These are related to the physical properties of thermal inertia and dielectric constant. For the terrestrial planets with both solid surfaces and atmospheres, a complete analysis of the transfer of radiation through both the surface materials and the atmosphere above can provide knowledge about both regions. By using a large range of wavelengths we can choose some spectral regions where the atmospheric opacity is complete and others where we see down to the solid surface. Finally interferometric observations of the synchrotron emission from Jupiter's radiation belts has given us a wealth of detailed information about the planets' magnetic field and energetic particle environment. Observations in the near future will include more high-resolution aperture synthesis to see individual features on many bodies and also radiometry on a larger sample of the smaller bodies. Copyright ¬© 1982 by The Institute of Electrical and Electronics Engineers, Inc.</t>
  </si>
  <si>
    <t>['‚ öî', 'without atmospheres', 'wide variety', 'various switching', 'time required', 'thermal inertia', 'terrestrial planets', 'temperature distributions', 'synchrotron emission', 'surface materials', 'subsurface layers', 'spectral regions', 'spectral band', 'solid surfaces', 'solid surface', 'smaller bodies', 'short wavelengths', 'selected wavelengths', 'resolution pictures', 'requires measurement', 'removed many', 'remote environments', 'relative values', 'radio observations', 'radiative properties', 'radiation belts', 'provide knowledge', 'planetary signals', 'physical properties', 'parameters change', 'nearby background', 'near future', 'moved away', 'many bodies', 'magnetic field', 'low atmospheres', 'larger sample', 'large range', 'incoming signals', 'heat flow', 'given us', 'giant planets', 'generally wish', 'first case', 'electronics engineers', 'diurnal cycles', 'different phases', 'dielectric constant', 'detailed information', 'continuum radiometry', 'complete analysis', 'comparison rather', 'careful evaluation', 'background sky', 'background problems', 'atmospheric opacity', 'atmospheric effects', 'atmospheric absorption', 'atmosphereless bodies', 'atmosphere upon', 'astronomical techniques', 'appears brighter', 'antenna parameters', 'also radiometry', 'also measure', 'actually spent', 'accurately separate', 'accurately determine', 'accurate values', 'absolute temperatures', 'absolute accuracy', '7 percent']</t>
  </si>
  <si>
    <t>2-s2.0-0020156605</t>
  </si>
  <si>
    <t>10.1109/TGRS.1982.350453</t>
  </si>
  <si>
    <t>Radar Image Processing for Rock-Type Discrimination</t>
  </si>
  <si>
    <t>Blom R.G.</t>
  </si>
  <si>
    <t>Blom, Ronald G.</t>
  </si>
  <si>
    <t>343-351</t>
  </si>
  <si>
    <t>Radar images have unique radiometric and geometric characteristics which present unique problems and opportunities for geological application. This paper reviews preprocessing and analytical techniques found useful or promising for applications of radar images to geologic problems such as rock-type discrimination. The use of coherent monochromatic illumination in radar images results in image speckle noise which interferes with characterization of the imaged surface. Median value filtering of the radar images removes speckle with minimal edge effects and resolution degradation. Variations in radar scene illumination due to uncompensated sensor platform motions or antenna pattern effects can be somewhat corrected for by mean and variance equalization in a direction perpendicular to the resulting image gradient. Registration of radar images to a map base and compensation of terrain induced image distortion can be accomplished by registration to digital elevation models and knowledge of imaging geometry. Analysis of SEASAT images with coregistered LANDSAT images indicates that the radar data can make a significant contribution to rock-type discrimination, especially if textural measures are incorporated. The sensitivity of radar backscatter to local slopes makes radar images an excellent medium from which to extract textural measures. Three techniques for extraction of the textural data inherent in the radar images are presented. Computation of image tone variance over various areas can numerically encode image texture. Hue-saturation-intensity split spectrum processing displays low-frequency variations in color while preserving high-frequency detail. The use of Fourier bandpass filtering results in a radar image texture map which separates geologic units based upon spatial frequencies characteristic of the unit. Copyright ¬© 1982 by The Institute of Electrical and Electronics Engineers, Inc.</t>
  </si>
  <si>
    <t>['various areas', 'variance equalization', 'unique radiometric', 'type discrimination', 'three techniques', 'textural measures', 'somewhat corrected', 'significant contribution', 'seasat images', 'resolution degradation', 'radar images', 'radar data', 'radar backscatter', 'preserving high', 'map base', 'imaging geometry', 'imaged surface', 'geometric characteristics', 'geological application', 'geologic problems', 'frequency variations', 'frequency detail', 'excellent medium', 'electronics engineers', 'direction perpendicular']</t>
  </si>
  <si>
    <t>2-s2.0-0020154804</t>
  </si>
  <si>
    <t>10.1109/TAES.1982.309245</t>
  </si>
  <si>
    <t>The Effect of Random Steering Vector Errors in the Applebaum Adaptive Array</t>
  </si>
  <si>
    <t>Compton R.</t>
  </si>
  <si>
    <t>Compton, R. T.</t>
  </si>
  <si>
    <t>392-400</t>
  </si>
  <si>
    <t>The effect of random errors in the steering vector of an Applebaum adaptive array is examined. Each component of the steering vector is assumed to have a random error component uncorrected between elements. The array output signal-to-interference-plus-noise ratio (SINR) is computed as a function of the error variance. It is shown that the array output SINR becomes more sensitive to steering vector errors as more elements are added to the array and as the received desired signal power becomes larger. The variance of the steering vector error that may be tolerated depends on the required desired signal dynamic range. The larger the dynamic range that must be accommodated, the smaller the error variance must be. Copyright ¬© 1982 by The Institute of Electrical and Electronics Engineers, Inc.</t>
  </si>
  <si>
    <t>['tolerated depends', 'steering vector', 'random errors', 'noise ratio', 'error variance', 'electronics engineers', 'dynamic range']</t>
  </si>
  <si>
    <t>2-s2.0-0020154320</t>
  </si>
  <si>
    <t>10.1016/0141-5425(82)90010-3</t>
  </si>
  <si>
    <t>A portable radiotelemetry receiver for ambulatory monitoring</t>
  </si>
  <si>
    <t>Slater E.J.</t>
  </si>
  <si>
    <t>Queen's Medical Centre</t>
  </si>
  <si>
    <t>Nottingham</t>
  </si>
  <si>
    <t>Slater, E. J.;Evans, D. F.;Foster, G. E.;Hardcastle, J. D.</t>
  </si>
  <si>
    <t>15734394000;9532356100;7403211850;7102375775</t>
  </si>
  <si>
    <t>60030816;60030816;60030816;60030816</t>
  </si>
  <si>
    <t>Journal of Biomedical Engineering</t>
  </si>
  <si>
    <t>247-251</t>
  </si>
  <si>
    <t>Since the idea of small radiotelemetry capsules was introduced some twenty year ago, improvements have been made to the transmitters but little attention has been paid to the receiver/decoder system. The size of the conventional system makes ambulatory measurements difficult: the use of multiple aerial systems increases this difficulty because of the need for an aerial switching unit. This paper describes a small portable receiver for use with radiotelemetry capsules. Automatic aerial selection is included. The output is recorded on magnetic tape using a 24 h cassette recorder. Some clinical results are presented. ¬© 1982.</t>
  </si>
  <si>
    <t>FM receiver | patient monitor | radio-pill | radiotelemetry</t>
  </si>
  <si>
    <t>['¬© 1982', 'radiotelemetry capsules', 'paper describes', 'little attention', 'decoder system', 'clinical results']</t>
  </si>
  <si>
    <t>2-s2.0-0020154263</t>
  </si>
  <si>
    <t>10.1109/TAP.1982.1142839</t>
  </si>
  <si>
    <t>The Equivalent Radius of a Narrow Conducting Strip</t>
  </si>
  <si>
    <t>755-758</t>
  </si>
  <si>
    <t>By means of a simple and direct analytical procedure, it is confirmed that the equivalent radius of a narrow conducting strip is one-fourth its width. The analysis proceeds from the integral equation for the surface current density induced on a conducting cylinder of general cross section and its incorporates knowledge of the current density induced on a narrow strip. Explicit expressions are given for the total axial current induced on the narrow strip and for its echo width. Copyright ¬© 1982 by The Institute of Electrical and Electronics Engineers, Inc.</t>
  </si>
  <si>
    <t>['narrow strip', 'integral equation', 'incorporates knowledge', 'explicit expressions', 'equivalent radius', 'electronics engineers', 'echo width', 'conducting cylinder', 'analysis proceeds']</t>
  </si>
  <si>
    <t>2-s2.0-0020154252</t>
  </si>
  <si>
    <t>10.1109/TAP.1982.1142870</t>
  </si>
  <si>
    <t>Vector Hankel Transform Analysis of Annular-Ring Microstrip Antenna</t>
  </si>
  <si>
    <t>Ali S.</t>
  </si>
  <si>
    <t>Massachusetts Institute of Technology</t>
  </si>
  <si>
    <t>Ali, Sami M.;Chew, Weng C.;Kong, J. A.</t>
  </si>
  <si>
    <t>7403094093;26643168800;7202290923</t>
  </si>
  <si>
    <t>60022195;60022195;60022195</t>
  </si>
  <si>
    <t>637-644</t>
  </si>
  <si>
    <t>A rigorous analysis of the resonant frequency characteristics of an annular-ring conductor printed on a dielectric substrate backed by a ground plane is presented. The problem is cast into a set of vector dual integral equations by using vector Hankel transform (VHT). Galerkin's method is then applied to compute the resonant frequencies of both transverse magnetic modes (TM11 and TM12) of the microstrip antenna. The real part of the resonant frequency shift of the TMjj mode increases with increasing dielectric thickness in contrast to the TMI2 mode. While the TM11 mode has a high g, it is a poor radiating mode; the TM12 mode is more suitable for antenna applications. For a probe excitation the input impedance is obtained using single mode approximation for both the TM11 and TM12 modes. It is shown that the TM12 mode of the annular ring has a greater bandwidth than the TM11 mode. Copyright ¬© 1982 by The Institute of Electrical and Electronics Engineers, Inc.</t>
  </si>
  <si>
    <t>['vht ).', 'tmi2 mode', 'tm12 modes', 'tm12 mode', 'tm11 mode', 'rigorous analysis', 'resonant frequencies', 'real part', 'probe excitation', 'microstrip antenna', 'input impedance', 'high g', 'ground plane', 'greater bandwidth', 'electronics engineers', 'antenna applications', 'annular ring']</t>
  </si>
  <si>
    <t>2-s2.0-0020154197</t>
  </si>
  <si>
    <t>10.1109/TAP.1982.1142857</t>
  </si>
  <si>
    <t>A New Integrated Radiating Element for Phased Array</t>
  </si>
  <si>
    <t>Campbell J.J.</t>
  </si>
  <si>
    <t>Thomson, SA</t>
  </si>
  <si>
    <t>Boulogne-Billancourt</t>
  </si>
  <si>
    <t>Campbell, James J.;Johnson, Robert S.</t>
  </si>
  <si>
    <t>55470038400;7407018171</t>
  </si>
  <si>
    <t>60007716;60007716</t>
  </si>
  <si>
    <t>541-548</t>
  </si>
  <si>
    <t>Numerical solutions are obtained for the problem of radiation from an infinite planar array of cavity elements fed by garnet phase shifters which are integral parts of the elements. The phase shifter protrudes through the rear wall of the cavity, and the core material of the phase shifter protrudes past the end of the phaser housing for a better match. Additional internal matching is provided by irises located in the phase shifter housing. Experimental verification of the analysis and of the resulting computer program used for the design is presented in the form of waveguide simulator results. Copyright ¬© 1982 by The Institute of Electrical and Electronics Engineers, Inc.</t>
  </si>
  <si>
    <t>['rear wall', 'phaser housing', 'numerical solutions', 'irises located', 'integral parts', 'experimental verification', 'electronics engineers', 'core material', 'better match']</t>
  </si>
  <si>
    <t>2-s2.0-0020154110</t>
  </si>
  <si>
    <t>10.1109/TAP.1982.1142880</t>
  </si>
  <si>
    <t>Integral Equation Formulation of Microstrip Antennas</t>
  </si>
  <si>
    <t>Bailey M.</t>
  </si>
  <si>
    <t>60003088;60000854</t>
  </si>
  <si>
    <t>The George Washington University;NASA Langley Research Center</t>
  </si>
  <si>
    <t>Washington, D.C.;Hampton</t>
  </si>
  <si>
    <t>Bailey, M. C.;Deshpande, M. D.</t>
  </si>
  <si>
    <t>7401639390;7102211143</t>
  </si>
  <si>
    <t>60000854;60003088</t>
  </si>
  <si>
    <t>651-656</t>
  </si>
  <si>
    <t>The problem of a microstrip antenna covered by a dielectric is formulated in terms of coupled integro-differential equations with the current distribution on the microstrip patch as an unknown variable. Galerkin's method is used to solve for the unknown patch current. Using the present formulation the resonant frequency and bandwidth of a rectangular microstrip antenna are determined and compared with experimental results. Copyright ¬© 1982 by The Institute of Electrical and Electronics Engineers, Inc.</t>
  </si>
  <si>
    <t>['unknown variable', 'resonant frequency', 'present formulation', 'microstrip patch', 'experimental results', 'electronics engineers', 'differential equations', 'current distribution', 'coupled integro']</t>
  </si>
  <si>
    <t>2-s2.0-0020153982</t>
  </si>
  <si>
    <t>10.1109/TAP.1982.1142868</t>
  </si>
  <si>
    <t>Asymptotic Analysis of Parabolic Reflector Antennas</t>
  </si>
  <si>
    <t>Hasselmann F.</t>
  </si>
  <si>
    <t>60108318;60032361</t>
  </si>
  <si>
    <t>NYU Tandon School of Engineering;Pontif√≠cia Universidade Cat√≥lica do Rio de Janeiro</t>
  </si>
  <si>
    <t>New York;Rio de Janeiro</t>
  </si>
  <si>
    <t>United States;Brazil</t>
  </si>
  <si>
    <t>Hasselmann, Flavio J.V.;Felsen, Leopold B.</t>
  </si>
  <si>
    <t>6601987168;56883021600</t>
  </si>
  <si>
    <t>60032361;60108318</t>
  </si>
  <si>
    <t>677-685</t>
  </si>
  <si>
    <t>Dual mode horns employed commonly as feeds for parabolic reflector antennas generate a radiation pattern that can be well-approximated by a Gaussian beam. To determine the far field of the antenna, it has been customary to perform integrations either of the physical optics currents on the reflector surfaces or of the ray optically determined field in the antenna aperture. These time-consuming integrations may be avoided if the Gaussian beam is tracked directly from the feed horn via subreflectors, if any, to the main reflector and then to the far zone. The tracking of such fields may be accomplished either by the complex-source point method or, in principle, by evanescent wave tracking. The former utilizes a complex coordinate space while the latter tracks fields entirely in the physical (real) coordinate space. For a parabolic antenna with an offset beam feed centered at the focus, both methods are examined here and an assessment is made of how the one can best complement the other. Numerical comparisons with results deduced elsewhere by a semi-heuristic procedure, and with experimental data, reveal the accuracy and versatility of the complex ray procedure. Copyright ¬© 1982 by The Institute of Electrical and Electronics Engineers, Inc.</t>
  </si>
  <si>
    <t>['tracked directly', 'reflector surfaces', 'radiation pattern', 'parabolic antenna', 'numerical comparisons', 'main reflector', 'heuristic procedure', 'gaussian beam', 'former utilizes', 'fields may', 'far zone', 'far field', 'experimental data', 'electronics engineers', 'coordinate space', 'best complement', 'antenna aperture', 'accomplished either']</t>
  </si>
  <si>
    <t>2-s2.0-0020153930</t>
  </si>
  <si>
    <t>10.1109/TAP.1982.1142843</t>
  </si>
  <si>
    <t>Splines for Electromagnetics</t>
  </si>
  <si>
    <t>Davis W.</t>
  </si>
  <si>
    <t>Virginia Polytechnic Institute and State University</t>
  </si>
  <si>
    <t>Blacksburg</t>
  </si>
  <si>
    <t>Davis, William A.</t>
  </si>
  <si>
    <t>760-764</t>
  </si>
  <si>
    <t>The theory of splines for approximation is developed. The theory is presented in a general form applicable to other than just piecewise polynomial approximation. The relationship of spline approximation and finite elements is shown with an example given to demonstrate the procedure as applied to the solution of Poisson's equation. The use of spline functions in the method of moments is also discussed. The results of this use is then presented for the solution of a center-fed wire antenna. Copyright ¬© 1982 by The Institute of Electrical and Electronics Engineers, Inc.</t>
  </si>
  <si>
    <t>['spline functions', 'spline approximation', 'finite elements', 'example given', 'electronics engineers', 'also discussed']</t>
  </si>
  <si>
    <t>2-s2.0-0020153899</t>
  </si>
  <si>
    <t>10.1109/TAP.1982.1142867</t>
  </si>
  <si>
    <t>Dependence of Adaptive Array Performance on Conventional Array Design</t>
  </si>
  <si>
    <t>Gupta I.</t>
  </si>
  <si>
    <t>Gupta, Inder J.;Ksienski, Aharon A.</t>
  </si>
  <si>
    <t>7102202358;6602247520</t>
  </si>
  <si>
    <t>549-553</t>
  </si>
  <si>
    <t>A direct relationship between conventional array design and the array performance in an adaptive mode is given. It is shown that the basic goals of conventional array design snch as low sidelobes and narrow beamwidth have a direct effect on the adaptive array performance and should not be ignored. Expressions are obtained showing that the output signal-to-interference-plus-noise ratio (SINR) of an adaptive array is related to the conventional pattern of the array. These expressions allow the prediction of the performance of an array in its adaptive mode given its conventional electromagnetic characteristics. Thus, they are an important design tool for adaptive arrays. The relations between the conventional and adaptive array are illustrated for linear and circular arrays. Copyright ¬© 1982 by The Institute of Electrical and Electronics Engineers, Inc.</t>
  </si>
  <si>
    <t>['output signal', 'obtained showing', 'noise ratio', 'narrow beamwidth', 'low sidelobes', 'expressions allow', 'electronics engineers', 'direct relationship', 'direct effect', 'conventional pattern', 'circular arrays', 'basic goals', 'array performance', 'adaptive mode', 'adaptive arrays', 'adaptive array']</t>
  </si>
  <si>
    <t>2-s2.0-0020153898</t>
  </si>
  <si>
    <t>10.1109/TAP.1982.1142827</t>
  </si>
  <si>
    <t>Theoretical and Experimental Studies of the Driving-Point Impedance of Corner-Reflector Antennas</t>
  </si>
  <si>
    <t>Lee, Kai F.;Dahele, J. S.</t>
  </si>
  <si>
    <t>7501501369;7003504220</t>
  </si>
  <si>
    <t>;60002798</t>
  </si>
  <si>
    <t>686-692</t>
  </si>
  <si>
    <t>The corner-reflector has been widely used to increase the directivity of antennas. When excited by a tilted dipole, it is also capable of producing circularly polarized radiation. The driving-point impedance of this antenna, however, has not been adequately dealt with in the literature. A method for calculating this parameter is presented based on the method of images. Numerical values are given for the case when the driven element is a half-wave dipole. The experimental results for the driving-point impedance measurement also are presented and compared with the theoretical predictions. Copyright ¬© 1982 by The Institute of Electrical and Electronics Engineers, Inc.</t>
  </si>
  <si>
    <t>['widely used', 'wave dipole', 'tilted dipole', 'theoretical predictions', 'presented based', 'point impedance', 'numerical values', 'experimental results', 'electronics engineers', 'driven element', 'also capable', 'adequately dealt']</t>
  </si>
  <si>
    <t>2-s2.0-0020153863</t>
  </si>
  <si>
    <t>LOW INTERNAL NOISE OPERATION OF THE RATAN-600 RADIOTELESCOPE.</t>
  </si>
  <si>
    <t>Berlin A.</t>
  </si>
  <si>
    <t>Berlin, A. B.;Gassanov, L. G.;Gol'nev, V. Ya;Korol'kov, D. V.;Lebed', V. I.;Nizhel'skiy, N. A.;Spangenberg, Ye Ye;Timofeyeva, G. M.;Yaremenko, A. V.</t>
  </si>
  <si>
    <t>57206528937;6602125586;6504809692;36903979000;36658186000;6504567998;6504348059;6602855816;6602315940</t>
  </si>
  <si>
    <t>;;;;;;;;</t>
  </si>
  <si>
    <t>Jul</t>
  </si>
  <si>
    <t>18-23</t>
  </si>
  <si>
    <t>The radiotelescope RATAN-600 was used to conduct a cycle of observations at the wavelength of 7. 6 cm. An antenna temperature sensitivity of 2. 5 millidegrees Kelvin ( tau equals 1 second) and a power density sensitivity of 0. 6 milliJanski ( tau equals 120 sec) were achieved in this cycle. Special measures which included the use of parametric amplifiers cooled to 15 degree K, a decrease of antenna noise temperature by optimizing the radiation and using screens and also using a radiometer circuit with a minimum loss in input line, decreased the total noise temperature of the radiotelescope-radiometer system to 38 degree K. The receiver bandwidth was 0. 5 GHz.</t>
  </si>
  <si>
    <t>['using screens', 'special measures', 'receiver bandwidth', 'radiotelescope ratan', 'radiometer system', 'radiometer circuit', 'minimum loss', 'input line', 'also using', '6 millijanski', '6 cm', '5 ghz']</t>
  </si>
  <si>
    <t>2-s2.0-0020153842</t>
  </si>
  <si>
    <t>10.1109/TAP.1982.1142834</t>
  </si>
  <si>
    <t>Gain of Corrugated Conical Horns</t>
  </si>
  <si>
    <t>Chu T.</t>
  </si>
  <si>
    <t>Chu, Ta Shing;Legg, William E.</t>
  </si>
  <si>
    <t>7401775859;6602527005</t>
  </si>
  <si>
    <t>60021378;</t>
  </si>
  <si>
    <t>698-703</t>
  </si>
  <si>
    <t>The absolute gain of a corrugated horn which is designed as a 100-GHz gain standard for the Crawford Hill 7-Meter offset reflector has been calculated and measured. The measured gain is determined from ‚Äúthree horn‚Äù transmission measurements. The other two horns are a TRG Model W869 corrugated horn and a dual mode horn. Correction factors were computed from the near field power transmission formula. The measured gain of the gain standard is 30.8 ¬±0.16 dB. Comparison between measured and calculated gains indicate very low ohmic loss in a corrugated horn. The condition of maximum gain for a given length has been found to be a half wavelength phase deviation in the horn aperture. Calculated gain data as well as near-field correction factors for two identical corrugated conical horns are given here as reference information. Copyright ¬© 1982 by The Institute of Electrical and Electronics Engineers, Inc.</t>
  </si>
  <si>
    <t>['two horns', 'reference information', 'measured gain', 'maximum gain', 'horn aperture', 'given length', 'gain standard', 'electronics engineers', 'corrugated horn', 'correction factors', 'absolute gain', '16 db']</t>
  </si>
  <si>
    <t>2-s2.0-0020153791</t>
  </si>
  <si>
    <t>10.1109/TAP.1982.1142850</t>
  </si>
  <si>
    <t>An Aperture-Matched Horn Design</t>
  </si>
  <si>
    <t>Burnside W.</t>
  </si>
  <si>
    <t>Burnside, Walter D.;Chuang, C. W.</t>
  </si>
  <si>
    <t>7004270570;36927548100</t>
  </si>
  <si>
    <t>790-796</t>
  </si>
  <si>
    <t>A novel horn design is presented which provides significantly better performance in terms of the pattern, impedance, and frequency characteristics than normally obtainable. The modification necessary to accomplish these improvements is achieved with a moderate increase in the size and weight; yet, the overall cost of design and construction need not significantly increase. The basic concept utilizes an ordinary horn except that curved surface sections are attached to the outside of the aperture edges. Although all of the original studies associated with this new antenna were made using elliptic cylinder sections, they can be arbitrary smooth convex shapes which are attached to the horn such that the junction forms a smooth surface to the touch. Copyright ¬© 1982 by The Institute of Electrical and Electronics Engineers, Inc.</t>
  </si>
  <si>
    <t>['smooth surface', 'significantly increase', 'overall cost', 'normally obtainable', 'new antenna', 'modification necessary', 'moderate increase', 'junction forms', 'frequency characteristics', 'electronics engineers', 'construction need', 'aperture edges']</t>
  </si>
  <si>
    <t>2-s2.0-0020153698</t>
  </si>
  <si>
    <t>10.1016/0141-6359(82)90093-9</t>
  </si>
  <si>
    <t>A photolithographic technique for reproducing submillimetre antennas</t>
  </si>
  <si>
    <t>Cummins H.J.</t>
  </si>
  <si>
    <t>Royal Holloway, University of London</t>
  </si>
  <si>
    <t>Egham</t>
  </si>
  <si>
    <t>Cummins, H. J.;Frayne, P. G.</t>
  </si>
  <si>
    <t>7005131446;6701816265</t>
  </si>
  <si>
    <t>;60020595</t>
  </si>
  <si>
    <t>Precision Engineering</t>
  </si>
  <si>
    <t>163-167</t>
  </si>
  <si>
    <t>A method for producing submillimetre antennas and antenna arrays on quartz and Mylar substrates is described. A photolithographic technique has been employed to reproduce the arrays on Mylar substrates vacuum coated with silver. After depositing a thin layer of positive photoresist onto the silver, it is contacted with the mask and then irradiated with a uv lamp. The resist is developed and then the exposed metallisation is wet etched. The resulting antenna arrays have been found to exhibit electrical properties that are predictable from established theory. ¬© 1982.</t>
  </si>
  <si>
    <t>antennae | infrared radiation | photolithography</t>
  </si>
  <si>
    <t>['¬© 1982', 'wet etched', 'uv lamp', 'thin layer', 'photolithographic technique', 'mylar substrates', 'exposed metallisation', 'established theory', 'antenna arrays']</t>
  </si>
  <si>
    <t>2-s2.0-0020153683</t>
  </si>
  <si>
    <t>ADAPTIVE, SPATIALLY POLARIZED MATCHED RECEPTION OF SIGNALS ARRIVING FROM DIFFERENT DIRECTIONS.</t>
  </si>
  <si>
    <t>Rodimov A.</t>
  </si>
  <si>
    <t>Rodimov, A. P.;Davydenko, V. V.;Nikitchenko, V. V.</t>
  </si>
  <si>
    <t>6701693763;7005060977;36961592200</t>
  </si>
  <si>
    <t>116-118</t>
  </si>
  <si>
    <t>The possibility of receiving interfering signals arriving from several sources using an adaptive triorthogonal antenna system is discussed. The proposed antenna system is compared with existing antenna systems.</t>
  </si>
  <si>
    <t>[]</t>
  </si>
  <si>
    <t>2-s2.0-0020152990</t>
  </si>
  <si>
    <t>10.1109/TMTT.1982.1131198</t>
  </si>
  <si>
    <t>A Study of the Noise-Temperature Performance of a Satellite Communications Low-Noise Amplifier Subsystem</t>
  </si>
  <si>
    <t>Kajikawa M.</t>
  </si>
  <si>
    <t>NEC Corporation</t>
  </si>
  <si>
    <t>Kajikawa, Mitsugi</t>
  </si>
  <si>
    <t>1068-1078</t>
  </si>
  <si>
    <t>The heart of the low-noise amplifier (LNA) subsystem is the parametric amplifier which consists of a parametric amplifier proper and a circulator. The LNA subsystem can be simplified into an equivalent circuit, to evaluate its noise-temperature performance by assuming that it consists of a parametric amplifier proper and a circulator, which in its overall sense includes the additional components of the input line as elements in one arm of the circulator. Using this simplified equivalent circuit, the noise-temperature performance is analyzed theoretically and provides a precise value for the LNA subsystem noise-temperature degradation, the noise-temperature increase of the earth-station receiving system caused by connecting an actual antenna to the subsystem and the measurement error of the HOT/COLD load noise temperature measurement method. Copyright ¬© 1982 by The Institute of Electrical and Electronics Engineers, Inc.</t>
  </si>
  <si>
    <t>['temperature performance', 'temperature increase', 'temperature degradation', 'precise value', 'parametric amplifier', 'one arm', 'noise amplifier', 'measurement error', 'lna subsystem', 'input line', 'equivalent circuit', 'electronics engineers', 'analyzed theoretically', 'additional components', 'actual antenna']</t>
  </si>
  <si>
    <t>2-s2.0-0020152957</t>
  </si>
  <si>
    <t>10.1109/TAP.1982.1142875</t>
  </si>
  <si>
    <t>Dipole-Disk Antenna with Beam-Forming Ring</t>
  </si>
  <si>
    <t>Kildal P.</t>
  </si>
  <si>
    <t>60013141;100834686</t>
  </si>
  <si>
    <t>Norges Teknisk-Naturvitenskapelige Universitet;Norwegian Telecommunications Administration Research Establishment</t>
  </si>
  <si>
    <t>Trondheim;Kjeller</t>
  </si>
  <si>
    <t>Norway;Norway</t>
  </si>
  <si>
    <t>Kildal, Per Simon;Skyttemyr, Svein A.</t>
  </si>
  <si>
    <t>7101988263;6507529267</t>
  </si>
  <si>
    <t>529-534</t>
  </si>
  <si>
    <t>A method of improving the radiation characteristics of a dipole-disk antenna by using a beam-forming ring (BFR) is suggested. The radiation patterns of the dipole-disk antenna are calculated by the moment methods (MM) and the uniform geometrical theory of diffraction (UTD) and are compared with experimental results. Copyright ¬© 1982 by The Institute of Electrical and Electronics Engineers, Inc.</t>
  </si>
  <si>
    <t>['radiation patterns', 'radiation characteristics', 'moment methods', 'forming ring', 'experimental results', 'electronics engineers', 'disk antenna']</t>
  </si>
  <si>
    <t>2-s2.0-0020152911</t>
  </si>
  <si>
    <t>10.1109/TAP.1982.1142856</t>
  </si>
  <si>
    <t>Imaging Antenna Arrays</t>
  </si>
  <si>
    <t>Rutledge D.B.</t>
  </si>
  <si>
    <t>Rutledge, David B.;Muha, Michael S.</t>
  </si>
  <si>
    <t>7102803490;6603024267</t>
  </si>
  <si>
    <t>60031581;60031581</t>
  </si>
  <si>
    <t>535-540</t>
  </si>
  <si>
    <t>Many millimeter and far-infrared imaging systems are limited in sensitivity and speed because they depend on a single scanned element. Because of recent advances in planar detectors such as Schottky diodes, superconducting tunnel junctions, and micro-bolometers, an attractive approach to this problem is a planar antenna array with integrated detectors. A planar line antenna array and optical system for imaging has been developed by the authors. The significant advances are a ‚Äúreverse-microscope‚Äù optical configuration and a modified bow-tie antenna design. In the ‚Äúreverse-microscope‚Äù configuration, a lens is attached to the bottom of the substrate containing the antennas. Imaging is done through the substrate. This configuration eliminates the troublesome effects of substrate surface waves. The substrate lens has only a single refracting surface, making possible a virtually aplanatic system, with little spherical aberration or coma. The array is characterized by an optical transfer function that is easily measured. An array with 19 dB crosstalk levels between adjacent antennas has been tested and it was found that the array captured 50 percent of the available power. This imaging system was diffraction limited. Copyright ¬© 1982 by The Institute of Electrical and Electronics Engineers, Inc.</t>
  </si>
  <si>
    <t>['‚ äúreverse', 'troublesome effects', 'substrate lens', 'substrate containing', 'significant advances', 'schottky diodes', 'recent advances', 'planar detectors', 'optical system', 'modified bow', 'many millimeter', 'making possible', 'integrated detectors', 'imaging system', 'electronics engineers', 'easily measured', 'diffraction limited', 'configuration eliminates', 'available power', 'attractive approach', 'adjacent antennas']</t>
  </si>
  <si>
    <t>2-s2.0-0020152871</t>
  </si>
  <si>
    <t>10.1109/TAP.1982.1142865</t>
  </si>
  <si>
    <t>Evanescent Waves and Complex Rays</t>
  </si>
  <si>
    <t>Einziger P.D.</t>
  </si>
  <si>
    <t>60108318;60022403</t>
  </si>
  <si>
    <t>NYU Tandon School of Engineering;Technion - Israel Institute of Technology</t>
  </si>
  <si>
    <t>New York;Haifa</t>
  </si>
  <si>
    <t>United States;Israel</t>
  </si>
  <si>
    <t>Einziger, Pinchas D.;Felsen, Leopold B.</t>
  </si>
  <si>
    <t>35614064400;56883021600</t>
  </si>
  <si>
    <t>60022403;60108318</t>
  </si>
  <si>
    <t>594-605</t>
  </si>
  <si>
    <t>Evanescent wave theory (EWT) is an extension of the geometrical theory of diffraction (GTD) to the tracking of high-frequency plane wave fields with complex phase. The tracking takes place along phase paths perpendicular to the local phase fronts. The determination of the generally complicated configuration of phase paths constitutes a difficulty in the implementation of EWT. The viability of an approximate scheme is examined whereby the phase paths emanating from the initial surface, on which the field is prescribed, are taken locally as hyperbolas; these are known to represent exact global solutions of a particular canonical evanescent wave problem. Numerical comparisons to be presented elsewhere reveal, however, that the local hyperbolic phase path matching may generally be inadequate even for weakly evanescent fields, although this procedure is effective for certain types of initial conditions. To overcome this difficulty, the solution is obtained from an exact formulation involving field integration over the intital surface and subsequent asymptotic evaluation by the saddle point method. Since the saddle points are complex, the latter procedure is equivalent to an analysis in terms of complex rays, from which one may derive the phase paths of EWT. Therefore complex rays should be used as an algorithm for solving the phase path equations. The rigorous analysis also shows that complex ray theory, or EWT, cannot account for strongly evanescent fields, and that there may exist relevant ray contributions from deep within the complex space that cannot be found by the real-space tracking of EWT. Copyright ¬© 1982 by The Institute of Electrical and Electronics Engineers, Inc.</t>
  </si>
  <si>
    <t>['taken locally', 'space tracking', 'saddle points', 'phase paths', 'numerical comparisons', 'latter procedure', 'intital surface', 'initial surface', 'initial conditions', 'inadequate even', 'geometrical theory', 'examined whereby', 'electronics engineers', 'deep within', 'complex space', 'complex rays', 'complex phase', 'certain types', 'cannot account', 'approximate scheme']</t>
  </si>
  <si>
    <t>2-s2.0-0020152870</t>
  </si>
  <si>
    <t>10.1109/TAP.1982.1142863</t>
  </si>
  <si>
    <t>Input Impedance of Microstrip Antennas</t>
  </si>
  <si>
    <t>Deshpande M.</t>
  </si>
  <si>
    <t>Deshpande, M. D.;Bailey, M. C.</t>
  </si>
  <si>
    <t>7102211143;7401639390</t>
  </si>
  <si>
    <t>645-650</t>
  </si>
  <si>
    <t>Using Richmond's reaction integral equation, an expression is derived for the input impedance of microstrip patch antennas excited by either a microstrip line or a coaxial probe. The effects of the finite substrate thickness, a dielectric protective cover, and associated surface waves are properly included by the use of the exact dyadic Green's function. Using the present formulation the input impedance of a rectangular microstrip antenna is determined and compared with experimental and earlier calculated results. Copyright ¬© 1982 by The Institute of Electrical and Electronics Engineers, Inc.</t>
  </si>
  <si>
    <t>['using richmond', 'properly included', 'present formulation', 'microstrip line', 'input impedance', 'electronics engineers', 'coaxial probe']</t>
  </si>
  <si>
    <t>2-s2.0-0020152869</t>
  </si>
  <si>
    <t>10.1109/TAP.1982.1142831</t>
  </si>
  <si>
    <t>Unidirectional Patterns of Traveling-Wave Rectangular Antenna</t>
  </si>
  <si>
    <t>Matsuzuka I.</t>
  </si>
  <si>
    <t>Nihon University</t>
  </si>
  <si>
    <t>Matsuzuka, Isamu;Nagasawa, Koji</t>
  </si>
  <si>
    <t>6602716743;7202171465</t>
  </si>
  <si>
    <t>60002561;60002561</t>
  </si>
  <si>
    <t>747-750</t>
  </si>
  <si>
    <t>A traveling-wave rectangular antenna, for which the feeding point is placed at the center of a leg and the matching impedance is terminated at the opposite leg, is considered. This antenna has two kinds of qnasi-nonsidelobe unidirectional patterns of cardioid shape; one is endfire and the other is backfire. Endfire patterns are obtained for leg lengths comparable with a wavelength, while backfire patterns are obtained when the antenna is small relative to a wavelength. In the former, the unidirectional antenna pattern for leg lengths of Œª and Œª/4 has a beamwidth of about 180¬∞ and very high front-to-back ratio (FBR). When the antenna lengths change by several percent from the ideal lengths, the variation of the beamwidth is in the range of 40¬∞ and the FBR is in the range of about 5 (14 dB) to infinity. In the latter, for the rectangular antenna with a leg length of Œª/10, the pattern in a plane perpendicular to the antenna has a beamwidth of 160¬∞ and the pattern in a plane including the antenna has the beamwidth of 124¬∞. When the antenna lengths vary by about ¬±30 percent, the variation of the beamwidth is in the range of 30¬∞ and the variation of the sidelobe level is about 4 dB. Although we used a suitable resistance instead of the matching impedance, the experimental results were almost coincidental with the theoretical patterns. Copyright ¬© 1982 by The Institute of Electrical and Electronics Engineers, Inc.</t>
  </si>
  <si>
    <t>['two kinds', 'theoretical patterns', 'small relative', 'sidelobe level', 'several percent', 'rectangular antenna', 'plane perpendicular', 'plane including', 'opposite leg', 'matching impedance', 'leg lengths', 'leg length', 'ideal lengths', 'high front', 'feeding point', 'fbr ).', 'experimental results', 'endfire patterns', 'electronics engineers', 'cardioid shape', 'backfire patterns', 'back ratio', 'almost coincidental', '40 ¬∞', '4 db', '30 ¬∞', '180 ¬∞', '160 ¬∞', '14 db', '124 ¬∞.']</t>
  </si>
  <si>
    <t>2-s2.0-0020152868</t>
  </si>
  <si>
    <t>10.1109/TAP.1982.1142830</t>
  </si>
  <si>
    <t>Surface Tolerance Loss for Dual-Reflector Antennas</t>
  </si>
  <si>
    <t>Rusch W.</t>
  </si>
  <si>
    <t>60029311;60001754</t>
  </si>
  <si>
    <t>University of Southern California;Max Planck Institute for Radio Astronomy</t>
  </si>
  <si>
    <t>Los Angeles;Bonn</t>
  </si>
  <si>
    <t>United States;Germany</t>
  </si>
  <si>
    <t>Rusch, Willard V.T.;Wohlleben, R.</t>
  </si>
  <si>
    <t>7005574913;6602118486</t>
  </si>
  <si>
    <t>784-785</t>
  </si>
  <si>
    <t>A formula is derived to evaluate the relative influence of subreflector and main reflector surface errors on overall tolerance loss for a dual-reflector antenna. Comparisons are made with the results of random-number simulation of surface errors in a Gregorian system. Copyright ¬© 1982 by The Institute of Electrical and Electronics Engineers, Inc.</t>
  </si>
  <si>
    <t>['surface errors', 'relative influence', 'reflector antenna', 'number simulation', 'gregorian system', 'electronics engineers']</t>
  </si>
  <si>
    <t>2-s2.0-0020152825</t>
  </si>
  <si>
    <t>10.1109/TAP.1982.1142874</t>
  </si>
  <si>
    <t>Moment Method Analysis of Finite Rectangular Waveguide Phased Arrays</t>
  </si>
  <si>
    <t>Fenn A.</t>
  </si>
  <si>
    <t>Fenn, Alan J.;Thiele, Gary A.;Munk, Benedikt A.</t>
  </si>
  <si>
    <t>7005553277;7102201391;35550481500</t>
  </si>
  <si>
    <t>60003500;60003500;60003500</t>
  </si>
  <si>
    <t>554-564</t>
  </si>
  <si>
    <t>A method of moments formulation for small finite planar phased arrays of rectangular waveguides in an infinite ground plane is investigated. Piecewise sinusoidal-uniform surface patches are used as the basis and testing functions for the unknown equivalent magnetic currents of each aperture. The block-Toeplitz symmetry property for rectangular grid arrays is utilized in the solution of the system of equations. Data are presented for 11 x 11 arrays with various element sizes, element spacings, and scan angles. Good agreement with data in the literature is shown. The analysis is particularly efficient for E-plane and H-plane scans for arrays having rectangular waveguide-fed apertures excited by the dominant mode. Copyright ¬© 1982 by The Institute of Electrical and Electronics Engineers, Inc.</t>
  </si>
  <si>
    <t>['testing functions', 'scan angles', 'rectangular waveguides', 'rectangular waveguide', 'plane scans', 'piecewise sinusoidal', 'particularly efficient', 'moments formulation', 'good agreement', 'element spacings', 'electronics engineers', 'dominant mode']</t>
  </si>
  <si>
    <t>2-s2.0-0020152824</t>
  </si>
  <si>
    <t>10.1109/TAP.1982.1142878</t>
  </si>
  <si>
    <t>Scattering of Plane Electromagnetic Waves by a Grating of Conducting Cylinders Embedded in a Dielectric Slab over a Ground Plane</t>
  </si>
  <si>
    <t>Kalhor H.</t>
  </si>
  <si>
    <t>60026914;60016005</t>
  </si>
  <si>
    <t>Shiraz University;Queen‚Äôs University</t>
  </si>
  <si>
    <t>Shiraz;Kingston</t>
  </si>
  <si>
    <t>Iran;Canada</t>
  </si>
  <si>
    <t>Kalhor, Hassan A.;Ilyas, Mohammad</t>
  </si>
  <si>
    <t>6701798691;57208367443</t>
  </si>
  <si>
    <t>576-579</t>
  </si>
  <si>
    <t>The problem of scattering of electromagnetic waves by periodic conducting cylinders embedded in a dielectric slab backed by a plane reflector has been of great interest. A numerical integral equation technique is presented for the analysis of this problem. The solution of the integral equation yields the induced surface currents on the cylinders from which the powers in various reflected modes are calculated. Results are compared against the limited numerical results available in the literature and indicate excellent agreement. Copyright ¬© 1982 by The Institute of Electrical and Electronics Engineers, Inc.</t>
  </si>
  <si>
    <t>['plane reflector', 'great interest', 'electronics engineers', 'electromagnetic waves']</t>
  </si>
  <si>
    <t>2-s2.0-0020152815</t>
  </si>
  <si>
    <t>10.1109/TAP.1982.1142838</t>
  </si>
  <si>
    <t>Open Mast Scattering Investigation</t>
  </si>
  <si>
    <t>Ryan C.</t>
  </si>
  <si>
    <t>Georgia Institute of Technology</t>
  </si>
  <si>
    <t>Ryan, Charles E.;Weaver, E. E.</t>
  </si>
  <si>
    <t>7403275788;7005092338</t>
  </si>
  <si>
    <t>60019647;60019647</t>
  </si>
  <si>
    <t>768-773</t>
  </si>
  <si>
    <t>The Georgia Tech automated planar scanner has been employed to measure the forward scattered plane wave spectrum (PWS) for both a circular cylinder mast and a tripod open mast. The experimentally derived spectra have been used in a plane wave spectrum scattering analysis to compute the main beam gain-loss and pattern effects of the circular cylinder and tripod masts for a paraboloidal antenna. This investigation demonstrates the practical use of a planar scanner to obtain forward scattering patterns for complex scatterers. Copyright ¬© 1982 by The Institute of Electrical and Electronics Engineers, Inc.</t>
  </si>
  <si>
    <t>['tripod masts', 'practical use', 'planar scanner', 'pattern effects', 'paraboloidal antenna', 'investigation demonstrates', 'electronics engineers', 'complex scatterers', 'circular cylinder']</t>
  </si>
  <si>
    <t>2-s2.0-0020152799</t>
  </si>
  <si>
    <t>10.1109/TAP.1982.1142866</t>
  </si>
  <si>
    <t>Eigenfunctions of Composite Hermitian Operators with Application to Discrete and Continuous Radiating Systems</t>
  </si>
  <si>
    <t>Inagaki N.</t>
  </si>
  <si>
    <t>Inagaki, Naoki;Garbacz, Robert J.</t>
  </si>
  <si>
    <t>56216531000;6507676919</t>
  </si>
  <si>
    <t>571-575</t>
  </si>
  <si>
    <t>Some properties and applications of Hermitian operators composed of any integral operator and its adjoint are studied. Snch operators arise in array and aperture antenna theory and the eigenfunctions of the corresponding Hermitian operators form complete sets for the expansion of sources and fields in their respective regions. The eigenfunctions with the largest eigenvalue form a source and field pair which radiate the largest power under a fixed source-norm constraint and can be used, for example, to maximize power transferred from an array to a point, or from one aperture to a second aperture. Copyright ¬© 1982 by The Institute of Electrical and Electronics Engineers, Inc.</t>
  </si>
  <si>
    <t>['second aperture', 'respective regions', 'one aperture', 'norm constraint', 'largest power', 'integral operator', 'fixed source', 'field pair', 'electronics engineers']</t>
  </si>
  <si>
    <t>2-s2.0-0020152798</t>
  </si>
  <si>
    <t>10.1109/TAP.1982.1142851</t>
  </si>
  <si>
    <t>Angle of Arrival Considerations in Microwave Communications Systems</t>
  </si>
  <si>
    <t>Webster A.</t>
  </si>
  <si>
    <t>The University of Western Ontario</t>
  </si>
  <si>
    <t>Webster, Alan R.</t>
  </si>
  <si>
    <t>800-802</t>
  </si>
  <si>
    <t>Considerations relating to the movement of single ray angle of arrival in the vertical plane on terrestrial microwave systems are examined. Antenna decoupling problems can arise on long links using high frequencies if antennas that are too large are used. An attempt is made to quantify the effects and suggestions are made regarding suitable antennas for such systems. Copyright ¬© 1982 by The Institute of Electrical and Electronics Engineers, Inc.</t>
  </si>
  <si>
    <t>['vertical plane', 'electronics engineers', 'considerations relating']</t>
  </si>
  <si>
    <t>2-s2.0-0020152778</t>
  </si>
  <si>
    <t>10.1109/TAP.1982.1142877</t>
  </si>
  <si>
    <t>Bandwidth Capabilities of Array-Fed Parabolic Cylinders</t>
  </si>
  <si>
    <t>Smith P.</t>
  </si>
  <si>
    <t>Smith, P. G.;Mrstik, A. Vincent</t>
  </si>
  <si>
    <t>56160772500;6603658400</t>
  </si>
  <si>
    <t>60076690;60076690</t>
  </si>
  <si>
    <t>693-697</t>
  </si>
  <si>
    <t>The bandwidth of hybrid phased-array/reflector antennas, in which a large parabolic cylinder reflector is fed by a relatively small phased array, is investigated. Two types of array feeds are considered: one employs only phase-amplitude matching, the other employs amplitude and time-delay matching. In the case of phase-amplitude matching, the on-axis hybrid array/reflector designs are shown to have substantially higher bandwidth than pure phased arrays. A form of time-delay compensation is described which removes the bandwidth limitations of hybrid array/reflectors, but introduces interfering signals. This interference can be avoided by either locating the feed outside the caustic zone or by using off-axis array feeds. Copyright ¬© 1982 by The Institute of Electrical and Electronics Engineers, Inc.</t>
  </si>
  <si>
    <t>['two types', 'reflector designs', 'reflector antennas', 'one employs', 'hybrid phased', 'hybrid array', 'feed outside', 'employs amplitude', 'electronics engineers', 'either locating', 'delay matching', 'delay compensation', 'caustic zone', 'bandwidth limitations', 'array feeds', 'amplitude matching']</t>
  </si>
  <si>
    <t>2-s2.0-0020152755</t>
  </si>
  <si>
    <t>10.1109/TAP.1982.1142837</t>
  </si>
  <si>
    <t>Height-Gain Study for 23 km Links at 9.6, 11.4, and 28.8 GHz</t>
  </si>
  <si>
    <t>Allen K.C.</t>
  </si>
  <si>
    <t>60004835;115552791</t>
  </si>
  <si>
    <t>Institute for Telecommunication Sciences;Boulder Experimental Studies Institute</t>
  </si>
  <si>
    <t>Allen, Kenneth C.;Ott, Randolph H.;Violette, Edmond J.</t>
  </si>
  <si>
    <t>7202632388;7202865709;6701775534</t>
  </si>
  <si>
    <t>115552791;60004835;60004835</t>
  </si>
  <si>
    <t>734-740</t>
  </si>
  <si>
    <t>A study of atmospheric-induced fading on 23 km links at 9.6, 11.4, and 28.8 GHz near Boulder, CO, is described. Height-gain observations and refractivity profile measurements were obtained using a 300 m tower as one end of the links. Observations were obtained when the vertical refractive index profile was smooth and when it displayed significant variations in gradient. Narrow beam and wide beam receiving antennas were used for comparison of relative performance during fading. Fading types which result from atmospheric ray bending are listed and characterized. Examples of the different fading types observed, e.g., atmospheric multipath and radio holes, are presented. Copyright ¬© 1982 by The Institute of Electrical and Electronics Engineers, Inc.</t>
  </si>
  <si>
    <t>['relative performance', 'radio holes', 'one end', 'obtained using', 'narrow beam', 'induced fading', 'gain observations', 'fading types', 'electronics engineers']</t>
  </si>
  <si>
    <t>2-s2.0-0020152754</t>
  </si>
  <si>
    <t>10.1109/TAP.1982.1142847</t>
  </si>
  <si>
    <t>Radiation Cones from Feed-Support Struts of Symmetric Paraboloidal Antennas</t>
  </si>
  <si>
    <t>60029311;60001754;115552392</t>
  </si>
  <si>
    <t>University of Southern California;Max Planck Institute for Radio Astronomy;Telecommunications Research Laboratory</t>
  </si>
  <si>
    <t>Los Angeles;Bonn;Copenhagen</t>
  </si>
  <si>
    <t>United States;Germany;Denmark</t>
  </si>
  <si>
    <t>Rusch, Willard V.T.;S√∏rensen, O.;Baars, J. W.M.</t>
  </si>
  <si>
    <t>7005574913;7101713775;7004776992</t>
  </si>
  <si>
    <t>60029311;115552392;60001754</t>
  </si>
  <si>
    <t>786-790</t>
  </si>
  <si>
    <t>Wide-angle radiation associated with the plane-wave component of the field in the focal space of a paraboloidal reflector is computed by integrating the currents induced on the feed-support struts. This component of radiation is locally maximum on radiation cones which lie along the axis of each strut. Comparison with data measured for the Dwingeloo radio telescope indicates good agreement for the position, width, and intensity of these cones, even at levels 50 dB below the peak of the main beam. Copyright ¬© 1982 by The Institute of Electrical and Electronics Engineers, Inc.</t>
  </si>
  <si>
    <t>['wave component', 'support struts', 'radiation cones', 'paraboloidal reflector', 'main beam', 'locally maximum', 'lie along', 'focal space', 'electronics engineers', 'data measured', 'currents induced']</t>
  </si>
  <si>
    <t>2-s2.0-0020152725</t>
  </si>
  <si>
    <t>OPTIMIZATION OF AN INHOMOGENEOUS rf-ABSORBING DIELECTRIC LAYER.</t>
  </si>
  <si>
    <t>Budagyan I.</t>
  </si>
  <si>
    <t>Budagyan, I. F.;Mirovitskiy, D. I.;Ponomarenko, V. I.</t>
  </si>
  <si>
    <t>6602838809;6602864365;55166472900</t>
  </si>
  <si>
    <t>69-72</t>
  </si>
  <si>
    <t>The possibility of obtaining optimum dielectric constant variations with depth in an inhomogeneous layer that will ensure a small reflection over a wide frequency band is discussed. A method of obtaining such functions using an artificial dielectric is proposed.</t>
  </si>
  <si>
    <t>['small reflection', 'inhomogeneous layer', 'functions using', 'artificial dielectric']</t>
  </si>
  <si>
    <t>2-s2.0-0020152714</t>
  </si>
  <si>
    <t>SYNTHESIS OF PATTERN FORMING NETWORKS.</t>
  </si>
  <si>
    <t>Sodin L.</t>
  </si>
  <si>
    <t>Sodin, L. G.</t>
  </si>
  <si>
    <t>28-34</t>
  </si>
  <si>
    <t>New synthesis methods are developed for beam-forming networks of linear uniformly spaced arrays and for isolating multipoles of circular phased arrays. The new circuits, derived for arbitrary number of beams, are technically simple and have a wide bandwidth.</t>
  </si>
  <si>
    <t>['wide bandwidth', 'technically simple', 'new circuits', 'isolating multipoles', 'forming networks', 'arbitrary number']</t>
  </si>
  <si>
    <t>2-s2.0-0020152674</t>
  </si>
  <si>
    <t>SPACE-TIME PANORAMIC RECEPTION OF STOCHASTIC SIGNALS.</t>
  </si>
  <si>
    <t>Vostretsov A.G.</t>
  </si>
  <si>
    <t>Vostretsov, A. G.</t>
  </si>
  <si>
    <t>113-115</t>
  </si>
  <si>
    <t>The problem of space-time signal processing in a panoramic receiver is solved. The cross spectrum of the signals observed at the outputs of the elements of an array antenna is analyzed in order to detect a signal at a given frequency. A uniformly most powerful, unbiased detection rule is synthesized and its qualitative characteristics are given.</t>
  </si>
  <si>
    <t>['signals observed', 'qualitative characteristics', 'panoramic receiver', 'given frequency', 'cross spectrum', 'array antenna']</t>
  </si>
  <si>
    <t>2-s2.0-0020152409</t>
  </si>
  <si>
    <t>10.1080/03772063.1982.11452744</t>
  </si>
  <si>
    <t>TWO-DIMENSIONAL ANALYSIS OF MICROSTRIP CIRCUITS AND ANTENNAE.</t>
  </si>
  <si>
    <t>Gupta K.</t>
  </si>
  <si>
    <t>Gupta, K. C.</t>
  </si>
  <si>
    <t>346-364</t>
  </si>
  <si>
    <t>This article reviews methods and applications of two-dimensional analysis approach to transmission structures, circuits, resonators and antennae with one of the dimensions much smaller than the operating wavelength. Various methods of analysis discussed include Green's functions approach, segmentation method, desegmentation method, numerical methods for arbitrary shapes, and multimode characterization. Applications in the design of circuits as well as antennae are discussed. Circuit applications include; accurate analysis of MICs, compensation of discontinuities, circuit optimization, design of planar resonators, design of ferrite components, and thin waveguide circuits. Applications to microstrip planar antennae involve modelling of antenna configurations as multiport networks. Specific configurations reviewed include gap-coupled antennae for broadband operations, and optimization of single-feed circularly-polarized microstrip antennae.</t>
  </si>
  <si>
    <t>['various methods', 'transmission structures', 'segmentation method', 'planar resonators', 'operating wavelength', 'numerical methods', 'multiport networks', 'multimode characterization', 'functions approach', 'ferrite components', 'feed circularly', 'desegmentation method', 'coupled antennae', 'circuit optimization', 'broadband operations', 'arbitrary shapes', 'antenna configurations', 'accurate analysis']</t>
  </si>
  <si>
    <t>2-s2.0-0020152254</t>
  </si>
  <si>
    <t>F-REGION IRREGULARITY DRIFTS DEDUCED FROM THE SCINTILLATION MEASUREMENTS BY TWO CLOSELY-SPACED ANTENNAS.</t>
  </si>
  <si>
    <t>Kumagai H.</t>
  </si>
  <si>
    <t>Kumagai, Hiroshi;Hori, Toshihiro;Ohbu, Kouji;Isobe, Takeshi;Ouchi, Eiji;Nishino, Tokuo;Ouchi, Choshichi;Ogawa, Tadahiko</t>
  </si>
  <si>
    <t>55427283700;7402411466;7003674306;7201874966;7004561920;7402557604;7006001305;7404741481</t>
  </si>
  <si>
    <t>;;;;;;;</t>
  </si>
  <si>
    <t>151-158</t>
  </si>
  <si>
    <t>Preliminary observations are described of the irregularity drifts in the summer night-time F-region. The one-dimensional drift velocity and its direction were derived from the scintillation measurements of the ETS-II VHF signal by means of two closely-spaced antennas at Hiraiso. The antennas were located on the nearly north-south and east-west baselines at different periods of measurements. The irregularity drift was derived from the time lag between the received signals at two antenna sites. The results suggest that the irregularity sizes are much larger than the antenna spacings (186 m and 89 m), that the southwestward drifts are predominant during 2100-0200 LT, and that the averaged one-dimensional drift velocities obtained during this period are 72. 1 m/s to the southward and 70. 3 m/s to the westward, respectively.</t>
  </si>
  <si>
    <t>['west baselines', 'two closely', 'time lag', 'time f', 'summer night', 'spaced antennas', 'southwestward drifts', 'scintillation measurements', 'results suggest', 'received signals', 'preliminary observations', 'nearly north', 'much larger', 'irregularity sizes', 'irregularity drifts', 'irregularity drift', 'different periods', 'averaged one', 'antenna spacings', '0200 lt']</t>
  </si>
  <si>
    <t>2-s2.0-0020151859</t>
  </si>
  <si>
    <t>10.1109/TAP.1982.1142842</t>
  </si>
  <si>
    <t>Monopole Antenna Patterns on Finite Size Composite Ground Planes</t>
  </si>
  <si>
    <t>Balanis C.</t>
  </si>
  <si>
    <t>60021143;106912004</t>
  </si>
  <si>
    <t>West Virginia University;Naval Air Test Center</t>
  </si>
  <si>
    <t>Morgantown;Patuxent River</t>
  </si>
  <si>
    <t>Balanis, Constantine A.;Decarlo, Dennis</t>
  </si>
  <si>
    <t>35583458100;7004606702</t>
  </si>
  <si>
    <t>764-768</t>
  </si>
  <si>
    <t>Geometrical theory of diffraction methods have been used to develop models and to predict the patterns of communications, navigation, and identification (CNI) blade antennas mounted on finite size composite ground planes. The computed patterns agree extremely well with measurements. It has been shown, both analytically and experimentally, that very minor differences between patterns of antennas mounted on perfectly conducting and composite ground planes appear for conductivities equal to 104 s/m. Copyright ¬© 1982 by The Institute of Electrical and Electronics Engineers, Inc.</t>
  </si>
  <si>
    <t>['perfectly conducting', 'minor differences', 'geometrical theory', 'electronics engineers', 'diffraction methods', 'develop models', 'conductivities equal', 'antennas mounted']</t>
  </si>
  <si>
    <t>2-s2.0-0020151858</t>
  </si>
  <si>
    <t>10.1109/TAP.1982.1142845</t>
  </si>
  <si>
    <t>Microstrip-Franklin Antenna</t>
  </si>
  <si>
    <t>Solbach K.</t>
  </si>
  <si>
    <t>Universit√§t Duisburg-Essen</t>
  </si>
  <si>
    <t>Duisburg</t>
  </si>
  <si>
    <t>Solbach, Klaus</t>
  </si>
  <si>
    <t>773-775</t>
  </si>
  <si>
    <t>Phasing stubs are employed to achieve a cophase current distribution in microstrip rectangular patch arrays. This technique, originally proposed for resonant long wire antennas by Franklin, avoids spurious radiation from half-wavelength connecting transmission lines as used in conventional patch antenna arrays. A slot-radiator model is derived to describe the basic radiation mechanism of the resultant new type of antenna and experimental results for the slot radiation resistance are given. The design of a 13-element resonant array for 12 GHz is presented together with measured radiation patterns. Copyright ¬© 1982 by The Institute of Electrical and Electronics Engineers, Inc.</t>
  </si>
  <si>
    <t>['radiator model', 'presented together', 'phasing stubs', 'originally proposed', 'experimental results', 'electronics engineers', '12 ghz']</t>
  </si>
  <si>
    <t>2-s2.0-0020151823</t>
  </si>
  <si>
    <t>10.1109/TAP.1982.1142869</t>
  </si>
  <si>
    <t>A Spectral-Iteration Technique for Analyzing a Corrugated-Surface Twist Polarizer for Scanning Reflector Antennas</t>
  </si>
  <si>
    <t>Kastner R.</t>
  </si>
  <si>
    <t>Kastner, Raphael;Mittra, Raj</t>
  </si>
  <si>
    <t>7004638528;55197051100</t>
  </si>
  <si>
    <t>673-676</t>
  </si>
  <si>
    <t>An analysis of the corrugated-surface twist polarizer which finds application in the design of scanning reflector antennas is presented. The spectral-interation technique, a novel procedure which combines the use of the Fourier transform method with an iterative procedure is employed. The first step in the spectral-iteration method is the conversion of the original integral equation for the interface field into a form which is suitable for iteration using a method developed previously. An important feature of the technique is that it takes advantage of the discrete Fourier transform (DFT) type of kernel of the integral equation and evaluates the integral operators efficiently using the fast Fourier transform (FFT) algorithm. Thus, in contrast to the conventional techniques, e.g., the moment method, the spectral-iteration approach requires no matrix inversion and is capable of handling a large number of unknowns. Furthermore the method has a built-in check on the satisfaction of the boundary conditions at each iteration. Copyright ¬© 1982 by The Institute of Electrical and Electronics Engineers, Inc.</t>
  </si>
  <si>
    <t>['takes advantage', 'novel procedure', 'moment method', 'matrix inversion', 'large number', 'iterative procedure', 'iteration using', 'iteration method', 'interface field', 'interation technique', 'integral equation', 'important feature', 'g .,', 'first step', 'finds application', 'electronics engineers', 'conventional techniques', 'boundary conditions']</t>
  </si>
  <si>
    <t>2-s2.0-0020151807</t>
  </si>
  <si>
    <t>10.1109/TAP.1982.1142873</t>
  </si>
  <si>
    <t>Scattering from Wires and Open Circular Cylinders of Finite Length Using Entire Domain Galerkin Expansions</t>
  </si>
  <si>
    <t>Medgyesi-Mitschang L.</t>
  </si>
  <si>
    <t>60030821;60030171</t>
  </si>
  <si>
    <t>Boeing Corporation;University of Missouri-St. Louis</t>
  </si>
  <si>
    <t>Chicago;St. Louis</t>
  </si>
  <si>
    <t>Medgyesi-Mitschang, Louis N.;Eftimiu, Cornel</t>
  </si>
  <si>
    <t>7003286486;6603949635</t>
  </si>
  <si>
    <t>628-636</t>
  </si>
  <si>
    <t>Electromagnetic (EM) scattering by finite-length, perfectly conducting open cylinders (i.e., ducts or tubes) with circular cross sections is considered. The case of a straight wire, viewed as a thin cylinder, is examined in this context. The salient features of this study are a) use of the electric field integral equation (EFIE) as a starting point, b) solution of this equation by the Galerkin method, and c) representation of the axial variation of the currents on the scatterer by an entire domain (Fourier series) expansion. Edge modes are considered in the expansion set and their effect is examined. The open cylinder backscatter cross section is computed as a function of aspect angle for various radii and lengths and is compared with measured data. Copyright ¬© 1982 by The Institute of Electrical and Electronics Engineers, Inc.</t>
  </si>
  <si>
    <t>['various radii', 'thin cylinder', 'straight wire', 'starting point', 'salient features', 'measured data', 'galerkin method', 'fourier series', 'expansion set', 'entire domain', 'electronics engineers', 'edge modes', 'axial variation', 'aspect angle']</t>
  </si>
  <si>
    <t>2-s2.0-0020151789</t>
  </si>
  <si>
    <t>10.1109/TAP.1982.1142835</t>
  </si>
  <si>
    <t>Dipole Array Lens Antenna</t>
  </si>
  <si>
    <t>Milne R.</t>
  </si>
  <si>
    <t>Communications Research Centre</t>
  </si>
  <si>
    <t>Milne, Robert</t>
  </si>
  <si>
    <t>704-712</t>
  </si>
  <si>
    <t>As electromagnetic energy passes through a planar array of linear dipoles, it undergoes a phase shift which is a function of the operating frequency and the array parameters. This property has been used to design and construct a lightweight zoned microwave lens antenna which has possible spacecraft applications. A description of the lens antenna, its principle of operation, and measured data are presented in this paper. Good agreement between the measured results and the predicted performance has been obtained. Copyright ¬© 1982 by The Institute of Electrical and Electronics Engineers, Inc.</t>
  </si>
  <si>
    <t>['predicted performance', 'planar array', 'phase shift', 'operating frequency', 'measured results', 'measured data', 'linear dipoles', 'lens antenna', 'good agreement', 'electronics engineers', 'array parameters']</t>
  </si>
  <si>
    <t>2-s2.0-0020151776</t>
  </si>
  <si>
    <t>10.1109/TAP.1982.1142879</t>
  </si>
  <si>
    <t>Rapid Determination of Steered Array Shading Coefficients by a Method of Aperture Sample Density Correction</t>
  </si>
  <si>
    <t>Futterman J.A.H.</t>
  </si>
  <si>
    <t>The University of Texas at Austin</t>
  </si>
  <si>
    <t>Austin</t>
  </si>
  <si>
    <t>Futterman, John A.H.;Lockhart, Clayton M.</t>
  </si>
  <si>
    <t>6602787487;7005030504</t>
  </si>
  <si>
    <t>60013372;60013372</t>
  </si>
  <si>
    <t>565-570</t>
  </si>
  <si>
    <t>An economical method of adapting shading distributions, defined in planar or linear apertures, for use with a broad class of arrays is descibed. The method involves modifying the shading function to compensate for nonuniformities in the distribution of spatial sample points in a plane parallel to wavefronts incident from a desired steering direction. These nonuniformities are induced by the nonplanar geometry of the array. Results are presented for a simulated conformai (parabolic) array, and a nonuniformly‚Äù spaced linear array. Copyright ¬© 1982 by The Institute of Electrical and Electronics Engineers, Inc.</t>
  </si>
  <si>
    <t>['wavefronts incident', 'simulated conformai', 'shading function', 'plane parallel', 'nonplanar geometry', 'linear apertures', 'electronics engineers', 'economical method', 'broad class']</t>
  </si>
  <si>
    <t>2-s2.0-0020151738</t>
  </si>
  <si>
    <t>10.1109/TAP.1982.1142859</t>
  </si>
  <si>
    <t>Rain Attenuation and Depolarization over an Earth-Space Path at 12 GHz: Experimental Results Using the CTS Beacon</t>
  </si>
  <si>
    <t>Rustako A.</t>
  </si>
  <si>
    <t>Rustako, A. J.</t>
  </si>
  <si>
    <t>720-725</t>
  </si>
  <si>
    <t>Measurements of attenuation and depolarization, primarily due to rain, of the 12-GHz communication technology satellite (CTS) beacon have been made at Crawford Hill, Holmdel, NJ. The measurement system used a 6-m aperture, fully steerable, horn reflector antenna fitted with a dual-sense circular polarized feed. The amplitudes of the copolarized and cross-polarized signal components were measured with a two-branch, stable, narrowband, frequency tracking receiver. Measured data for a 3 1/2 year period beginning April 1976 show significant year-to-year variation in copolarized rain attenuation. For example, at a 27¬∞ path elevation angle, the time over which a 10 dB attenuation was exceeded varied between 47 and 120 min/year. The depolarization showed a decrease with increasing copolarized rain attenuation and lower path elevation angle. At an attenuation of 10 dB and an elevation angle of 27¬∞, a median depolization level of -15 dB were measured. This decreased to -13 dB at a 9¬∞ elevation angle for the same attenuation. Copyright ¬© 1982 by The Institute of Electrical and Electronics Engineers, Inc.</t>
  </si>
  <si>
    <t>['year variation', 'primarily due', 'measured data', 'fully steerable', 'exceeded varied', 'elevation angle', 'electronics engineers', 'depolarization showed', 'crawford hill', '3 1', '27 ¬∞,', '15 db', '13 db', '120 min', '10 db']</t>
  </si>
  <si>
    <t>2-s2.0-0020151711</t>
  </si>
  <si>
    <t>10.1109/TAP.1982.1142841</t>
  </si>
  <si>
    <t>A Surface Patch Model for Polygonal Plates</t>
  </si>
  <si>
    <t>Newman, Edward H.;Tulyathan, Pravit</t>
  </si>
  <si>
    <t>7203066664;6507477460</t>
  </si>
  <si>
    <t>588-593</t>
  </si>
  <si>
    <t>A method of moments surface patch model for polygon plates is presented. Three methods for segmenting polygon plates are considered. Also, the choice between full surface testing and point matching is discussed as it affects the efficiency and generality of the solution. Numerical results are compared with measurements and independent calculations for polygonal plates of three different shapes, including a wire to plant junction. Copyright ¬© 1982 by The Institute of Electrical and Electronics Engineers, Inc.</t>
  </si>
  <si>
    <t>['three methods', 'polygonal plates', 'polygon plates', 'point matching', 'plant junction', 'numerical results', 'independent calculations', 'electronics engineers']</t>
  </si>
  <si>
    <t>2-s2.0-0020151689</t>
  </si>
  <si>
    <t>10.1109/TAP.1982.1142882</t>
  </si>
  <si>
    <t>Far-Field Radiation Patterns of Y and T Shaped Arrays with Chebyshev Loading</t>
  </si>
  <si>
    <t>Gabriel A.</t>
  </si>
  <si>
    <t>Gabriel, A. K.;Elachi, Charles</t>
  </si>
  <si>
    <t>7102063819;7005392498</t>
  </si>
  <si>
    <t>751-753</t>
  </si>
  <si>
    <t>The far-field radiation patterns for Chebyshev loaded Y and T shaped array antennas are presented for a number of cases. These include full and half-length loaded array arms. Copyright ¬© 1982 by The Institute of Electrical and Electronics Engineers, Inc.</t>
  </si>
  <si>
    <t>['include full', 'electronics engineers', 'chebyshev loaded']</t>
  </si>
  <si>
    <t>2-s2.0-0020151654</t>
  </si>
  <si>
    <t>10.1109/TAP.1982.1142858</t>
  </si>
  <si>
    <t>Numerical Algorithm Based on the Mode-Matching Method with a Singular-Smoothing Procedure for Analyzing Edge-Type Scattering Problems</t>
  </si>
  <si>
    <t>Okuno Y.</t>
  </si>
  <si>
    <t>60021120;60011047</t>
  </si>
  <si>
    <t>Kumamoto University;Kyushu University</t>
  </si>
  <si>
    <t>Kumamoto;Fukuoka</t>
  </si>
  <si>
    <t>Okuno, Yoichi;Yasuura, Kamenosuke</t>
  </si>
  <si>
    <t>55624470019;7006661031</t>
  </si>
  <si>
    <t>580-587</t>
  </si>
  <si>
    <t>An effective numerical method for analyzing edge-type scattering problems is presented with its analytical foundations. The general theory is applied to an arbitrarily shaped two-dimensional scatterer with an edge point, convergence of the approximate solutions is proven, and an algorithm for numerical computation is derived. The algorithm is employed for the resolution of the problem of a rectangular cylinder. Numerical data on the speed of the convergence show the validity and the efficiency of this method. Some examples for far-field patterns and back scattering cross sections as functions of the wavenumber are given. Copyright ¬© 1982 by The Institute of Electrical and Electronics Engineers, Inc.</t>
  </si>
  <si>
    <t>['rectangular cylinder', 'numerical data', 'numerical computation', 'general theory', 'field patterns', 'electronics engineers', 'edge point', 'dimensional scatterer', 'convergence show', 'approximate solutions', 'analyzing edge', 'analytical foundations']</t>
  </si>
  <si>
    <t>2-s2.0-0020151465</t>
  </si>
  <si>
    <t>NEW EARTH STATION AT GOONHILLY DOWNS FOR A SATELLITE SERVICE TO SHIPS: PART 1 - THE DESIGN OF THE ANTENNA AND RADIO EQUIPMENT.</t>
  </si>
  <si>
    <t>Flack M.</t>
  </si>
  <si>
    <t>Flack, M.;Neill, E. J.</t>
  </si>
  <si>
    <t>6701783107;6603133602</t>
  </si>
  <si>
    <t>British Telecommunications Engineering</t>
  </si>
  <si>
    <t>0262401X</t>
  </si>
  <si>
    <t>85-95</t>
  </si>
  <si>
    <t>Authors describe how the INMARSAT ship's service functions and gives details of the equipment provided at the earth station at Goonhilly Downs to fulfill those functions. They report on the design of the antenna and radio equipment as well as control and supervisory facilities.</t>
  </si>
  <si>
    <t>['supervisory facilities', 'service functions', 'radio equipment', 'inmarsat ship', 'goonhilly downs', 'gives details', 'equipment provided', 'earth station', 'authors describe']</t>
  </si>
  <si>
    <t>2-s2.0-0020151368</t>
  </si>
  <si>
    <t>REDUCTION METHOD OF FADING CAUSED BY REFLECTED WAVES FROM SEA SURFACE IN MARITIME SATELLITE COMMUNICATIONS.</t>
  </si>
  <si>
    <t>Ohmori S.</t>
  </si>
  <si>
    <t>Ohmori, Shingo</t>
  </si>
  <si>
    <t>115-124</t>
  </si>
  <si>
    <t>A maritime satellite communication system has been established mainly for large vessels. In the near future the sphere of service will be expected to cover not only large vessels but also small vessels. The studies of reducing the fading of the received signals has become very important, because a compact antenna designed to be mounted on small vessels has a broad beam width which is considered to be greatly influenced by the reflected waves from the sea surface. The author propose a simple method and antenna equipment which can reduce the fading effectively. The effects are confirmed by the experiments.</t>
  </si>
  <si>
    <t>['small vessels', 'simple method', 'sea surface', 'reflected waves', 'received signals', 'near future', 'large vessels', 'greatly influenced', 'fading effectively', 'established mainly', 'author propose', 'antenna equipment']</t>
  </si>
  <si>
    <t>2-s2.0-0020151243</t>
  </si>
  <si>
    <t>CALIBRATION AND CORRECTION IN POINTING ACCURACY OF 10-m ANTENNA AT 32 GHz.</t>
  </si>
  <si>
    <t>Kumagai, Hiroshi;Isozaki, Susumu</t>
  </si>
  <si>
    <t>55427283700;7003793936</t>
  </si>
  <si>
    <t>15-25</t>
  </si>
  <si>
    <t>The pointing accuracy of a 10-m diameter antenna at the operating frequency of 32 GHz was calibrated. The results show the existence of two major causes of the pointing error, and they were corrected. The first kind of pointing error arises from errors in the antenna structure, such as some tilts of azimuth-axis, elevation-axis, and beam-axis. The correction parameters were obtained by means of signal reception from the cosmic radio sources, such as Taurus-A and the sun of which the positions were accurately known. The second kind of pointing error is caused by the synchronous generator and receiver system in the angle detector of the antenna.</t>
  </si>
  <si>
    <t>['synchronous generator', 'signal reception', 'second kind', 'results show', 'receiver system', 'pointing error', 'pointing accuracy', 'operating frequency', 'first kind', 'diameter antenna', 'correction parameters', 'antenna structure', 'angle detector', 'accurately known', '32 ghz']</t>
  </si>
  <si>
    <t>2-s2.0-0020150999</t>
  </si>
  <si>
    <t>SMALL CAPACITY DIGITAL RADIO-RELAY SYSTEM IN 11 GHz BAND.</t>
  </si>
  <si>
    <t>Kobayashi T.</t>
  </si>
  <si>
    <t>Kobayashi, Tadao;Takemura, Shuichi</t>
  </si>
  <si>
    <t>56172259000;7102099767</t>
  </si>
  <si>
    <t>262-266</t>
  </si>
  <si>
    <t>Radio transmission line digitalization has been advanced rapidly since 1968, when the first digital radio-relay system, 2S-P1, was introduced. At present, many kinds of digital radio-relay systems are operating in the 2, 11, 15 and 20 GHz bands. A small capacity digital radio-relay system in the 11 GHz band, 11S-D3, has been developed to be introduced for a short haul transmission line where the existing small capacity digital radio-relay system in the 2 GHz band, 2S-P3 cannot be used due to frequency interference from other routes or due to its broad antenna directivity. This system can convey two 6. 312 Mb/s (192 telephone channels) signals per rf channel and is economical for intra-city circuits.</t>
  </si>
  <si>
    <t>['used due', 'relay systems', 'relay system', 'p3 cannot', 'many kinds', 'frequency interference', 'digital radio', 'city circuits', '312 mb']</t>
  </si>
  <si>
    <t>2-s2.0-0020150365</t>
  </si>
  <si>
    <t>OPTIMAL SYNTHESIS OF SHARPLY DIRECTIVE ANTENNAS.</t>
  </si>
  <si>
    <t>Malozemova L.</t>
  </si>
  <si>
    <t>Malozemova, L. K.;Khurgin, I. M.</t>
  </si>
  <si>
    <t>6506589398;6603672326</t>
  </si>
  <si>
    <t>Jul-Aug</t>
  </si>
  <si>
    <t>Engineering cybernetics</t>
  </si>
  <si>
    <t>0013788X</t>
  </si>
  <si>
    <t>43-49</t>
  </si>
  <si>
    <t>The following problem of synthesizing sharply directive antennas is considered: across the antenna aperture, find the field distribution corresponding to the minimum sidelobe level of the directivity pattern. The problem reduces to a convex minimax problem (minimization of the maximum absolute value of a complex function). A two-stage solution is proposed. One first seeks the smallest combined deviation from zero by the real and imaginary parts of the directivity pattern in the sidelobes. One then converts the obtained solution into a global solution of the original problem by linearization.</t>
  </si>
  <si>
    <t>['stage solution', 'problem reduces', 'original problem', 'obtained solution', 'imaginary parts', 'global solution', 'following problem', 'directivity pattern', 'antenna aperture']</t>
  </si>
  <si>
    <t>2-s2.0-0020143014</t>
  </si>
  <si>
    <t>10.1109/JSSC.1982.1051781</t>
  </si>
  <si>
    <t>An Integrated Amplifier for an Active Car-Radio Antenna</t>
  </si>
  <si>
    <t>Nordholt E.</t>
  </si>
  <si>
    <t>Delft University of Technology</t>
  </si>
  <si>
    <t>Delft</t>
  </si>
  <si>
    <t>Nordholt, Ernst H.;Van Eerden, Bernie C.</t>
  </si>
  <si>
    <t>7004108361;6508120371</t>
  </si>
  <si>
    <t>60006288;60006288</t>
  </si>
  <si>
    <t>IEEE Journal of Solid-State Circuits</t>
  </si>
  <si>
    <t>1558173X</t>
  </si>
  <si>
    <t>591-593</t>
  </si>
  <si>
    <t>An integrated amplifier for a very short active car-radio antenna (l = 30 cm) for the 100 kHz-6 MHz range is presented. A JFET input stage, together with a low input impedance realized by overall feedback, yields excellent noise and intermodulation performance, and allows easy input protection. Field strengths as high as 8 V/m can be handled without significant cross modulation. Copyright ¬© 1982 by the Institute of Electrical and Electronics Engineers, Inc.</t>
  </si>
  <si>
    <t>['radio antenna', 'overall feedback', 'intermodulation performance', 'integrated amplifier', 'field strengths', 'electronics engineers', '8 v', '30 cm', '100 khz']</t>
  </si>
  <si>
    <t>2-s2.0-0020141219</t>
  </si>
  <si>
    <t>10.1109/TAC.1982.1102985</t>
  </si>
  <si>
    <t>Electrostatically Figured Reflecting Membrane Antennas for Satellites</t>
  </si>
  <si>
    <t>Lang J.</t>
  </si>
  <si>
    <t>Lang, Jeffrey H.;Staelin, David H.</t>
  </si>
  <si>
    <t>7402866860;7005165148</t>
  </si>
  <si>
    <t>60022195;60022195</t>
  </si>
  <si>
    <t>IEEE Transactions on Automatic Control</t>
  </si>
  <si>
    <t>666-670</t>
  </si>
  <si>
    <t>‚Äî A design concept is described which may permit the construction of very large high-precision low-mass reflecting antennas for use in space. The concept utilizes electrostatic forces to actively shape a flexible membrane reflector, a method which appears to substantially reduce the number of reflector figure actuators required to achieve a specified reflector surface precision. The concept presents a challenging control problem, however, because the equilibrium reflector figure may exhibit several open-loop Rayleigh-Taylor modal instabilities. The origin and essential elements of this control problem are described and a control approach is proposed. A laboratory demonstration of three successfully stabilized modes on a meter-square membrane is also described which suggests that electrostatically figured satellite antennas with diameters reaching several hundred meters, and ratios of focal length to diameter as small as one, could achieve beamwidths of several arc seconds. ¬© 1982 IEEE</t>
  </si>
  <si>
    <t>['‚ äî', 'substantially reduce', 'square membrane', 'precision low', 'may permit', 'loop rayleigh', 'large high', 'laboratory demonstration', 'focal length', 'essential elements', 'design concept', 'control problem', 'control approach', 'concept presents', 'also described', 'actively shape']</t>
  </si>
  <si>
    <t>2-s2.0-0020141132</t>
  </si>
  <si>
    <t>SPECIFICS OF THE FOCUSING METHODS USED IN PATTERN MEASUREMENTS OF PLANAR PHASED ARRAY ANTENNAS.</t>
  </si>
  <si>
    <t>Kinber B.</t>
  </si>
  <si>
    <t>Kinber, B. Ye;Anyutin, A. P.;Martynov, A. M.</t>
  </si>
  <si>
    <t>6603710798;55885976600;57214034502</t>
  </si>
  <si>
    <t>Jun</t>
  </si>
  <si>
    <t>60-68</t>
  </si>
  <si>
    <t>The feasibility of measuring patterns of planar phased arrays by the focusing method is investigated. This method allows one to replace the far-field measurements by a measurement of angular field variation in the focal region. The focusing is achieved by additional phasing of currents which causes an in-phase addition of the fields (identical to that obtained at the maximum of the main beam) at a finite distance.</t>
  </si>
  <si>
    <t>['phase addition', 'measuring patterns', 'main beam', 'focusing method', 'focal region', 'finite distance', 'field measurements', 'additional phasing']</t>
  </si>
  <si>
    <t>2-s2.0-0020140526</t>
  </si>
  <si>
    <t>10.1049/ip-f-1.1982.0020</t>
  </si>
  <si>
    <t>Introduction to electronic warfare</t>
  </si>
  <si>
    <t>Grant P.</t>
  </si>
  <si>
    <t>The University of Edinburgh</t>
  </si>
  <si>
    <t>Edinburgh</t>
  </si>
  <si>
    <t>Grant, P. M.;Collins, J. H.</t>
  </si>
  <si>
    <t>35581784000;7404949039</t>
  </si>
  <si>
    <t>60027272;60027272</t>
  </si>
  <si>
    <t>113-132</t>
  </si>
  <si>
    <t>The paper discusses the overall concept of electronic warfare (EW) and defines its three main subsets: electronic support measures (ESM), electronic countermeasures (ECM) and electronic counter-countermeasures (ECCM). The requirements for ESM receivers are reviewed in the context of two specific scenarios: that of intelligence gathering for communications and radar. The different current ESM receiver designs for measuring the presence and frequency of pulsed radar signals, i.e. crystal video, instantaneous-frequency measurement (IFM) and scanning superheterodyne, are described and compared to show their capabilities. Specific ESM receiver equipments for identifying bearing and frequency information are discussed for both the communications and radar scenarios. In comparison, the significance of the new receiver architectures based on surface-acoustic-wave (SAW) channelised, compressive and acousto-optic Bragg cells are also discussed, illustrating their enhanced multiple-signal capability. The paper subsequently discusses active and passive EW techniques such as the use of jamming and chaff and the importance of integrating the ESM receiver and active ECM function into a single equipment. Finally, the paper reports on the use of ECCM coding techniques to retain use of the spectrum when jammers are present in radar and communications systems. The use of adaptive signal processing for cancelling out wide- and narrowband interference is also demonstrated. This outlines the relative significance and areas of application for adaptive antennas, based on fully phased arrays and coherent sidelobe cancellers. ¬© 1982, The Institution of Electrical Engineers. All rights reserved.</t>
  </si>
  <si>
    <t>Detection | Radar and radionavigation | Radiocommunication | Receivers | Signal processing</t>
  </si>
  <si>
    <t>['¬© 1982', 'single equipment', 'signal capability', 'scanning superheterodyne', 'rights reserved', 'retain use', 'relative significance', 'radar scenarios', 'paper reports', 'paper discusses', 'overall concept', 'narrowband interference', 'intelligence gathering', 'identifying bearing', 'frequency measurement', 'frequency information', 'esm receivers', 'esm receiver', 'enhanced multiple', 'electronic warfare', 'electronic counter', 'electrical engineers', 'eccm ).', 'crystal video', 'communications systems', 'also discussed', 'also demonstrated', 'adaptive antennas']</t>
  </si>
  <si>
    <t>2-s2.0-0020139786</t>
  </si>
  <si>
    <t>CALCULATION AND PREDICTION OF THE ACQUISITION AND TRACKING PARAMETERS FOR GROUND-BASED ANTENNA SYSTEMS USED IN SATELLITE COMMUNICATIONS.</t>
  </si>
  <si>
    <t>Mashbits L.</t>
  </si>
  <si>
    <t>Mashbits, L. M.</t>
  </si>
  <si>
    <t>23-29</t>
  </si>
  <si>
    <t>The paper formulates specific operating conditions for satellite communication systems, and derives tracking parameters of a satellite repeater along with topocentric acquisition and tracking parameters of a receiving antenna.</t>
  </si>
  <si>
    <t>['tracking parameters', 'topocentric acquisition', 'receiving antenna']</t>
  </si>
  <si>
    <t>2-s2.0-0020139784</t>
  </si>
  <si>
    <t>SYSTEMS APPROACH TO INVESTIGATIONS FOR RADAR SETS WITH A SYNTHESIZED-APERTURE ANTENNA.</t>
  </si>
  <si>
    <t>Belotserkovskiy S.M.</t>
  </si>
  <si>
    <t>Belotserkovskiy, S. M.;Tolstov, E. F.</t>
  </si>
  <si>
    <t>6603265481;6603167410</t>
  </si>
  <si>
    <t>92-95</t>
  </si>
  <si>
    <t>Methods of investigating radar sets with a synthesized-aperture antenna on the basis of a systems approach and a computer simulation are discussed.</t>
  </si>
  <si>
    <t>['systems approach', 'computer simulation', 'aperture antenna']</t>
  </si>
  <si>
    <t>2-s2.0-0020139736</t>
  </si>
  <si>
    <t>EFFICIENCY OF SMALL RECEPTION ANTENNAS WITH AMPLIFIERS.</t>
  </si>
  <si>
    <t>Kontorovich M.</t>
  </si>
  <si>
    <t>Kontorovich, M. I.;Lyapunova, N. M.</t>
  </si>
  <si>
    <t>6602078947;6603335482</t>
  </si>
  <si>
    <t>61-67</t>
  </si>
  <si>
    <t>The scope for using a small-size active reception antenna is discussed, the antenna efficiency being estimated from the signal-to-noise ratio at the active element output. It is shown that its performance as compared with a large antenna can be judged from the gain of the antenna as such, for the same conditions of matching with the active element. Examples are given.</t>
  </si>
  <si>
    <t>['noise ratio', 'large antenna', 'antenna efficiency', 'active element']</t>
  </si>
  <si>
    <t>2-s2.0-0020138914</t>
  </si>
  <si>
    <t>10.1109/TBC.1982.266445</t>
  </si>
  <si>
    <t>Improved Dipole-Panel for Circular Polarization</t>
  </si>
  <si>
    <t>Vito G.</t>
  </si>
  <si>
    <t>60018363;115669335</t>
  </si>
  <si>
    <t>Universit√† degli Studi di Trieste;CO.EL. S.p.A. 20084 -Lacchiarella (Milano</t>
  </si>
  <si>
    <t>Trieste;Milan</t>
  </si>
  <si>
    <t>Vito, Giuseppe De;Mani√†, Lucio</t>
  </si>
  <si>
    <t>56838883400;6603334959</t>
  </si>
  <si>
    <t>115669335;60018363</t>
  </si>
  <si>
    <t>65-72</t>
  </si>
  <si>
    <t>In this paper a new dipole-panel for circular polarized TV arrays is presented. The numerical analysis and the experimental tests performed upon this basic source show that it exhibits very good characteristics of axial ratio over a frequency band of the order of + 15%. Perhaps the most important feature of the dipole-panel is its high degree of componibility when it is used as a unit building-block in the synthesis of TV antenna arrays: smooth circular horizontal patterns have been realized with four-, five-and six-face arrays. Moreover, the possibility of synthesizing patterns different from the omnidirectional one, such as the cardioid pattern and the kidney pattern, shows that this dipole-panel is able to cover a very wide range of practical pattern shapes. To illustrate these features, a collection of numerical and experimental data are presented. Copyright ¬© 1982 by The Institute of Electrical and Electronics Engineers, Inc.</t>
  </si>
  <si>
    <t>['wide range', 'unit building', 'omnidirectional one', 'numerical analysis', 'new dipole', 'kidney pattern', 'important feature', 'high degree', 'good characteristics', 'frequency band', 'face arrays', 'experimental data', 'electronics engineers', 'cardioid pattern', 'axial ratio', '15 %.']</t>
  </si>
  <si>
    <t>2-s2.0-0020138798</t>
  </si>
  <si>
    <t>PARAMETERS OF HORN ANTENNAS.</t>
  </si>
  <si>
    <t>Yampol'skiy B.</t>
  </si>
  <si>
    <t>Yampol'skiy, B. G.;Sukhanov, V. I.</t>
  </si>
  <si>
    <t>6506058980;36793356200</t>
  </si>
  <si>
    <t>29-35</t>
  </si>
  <si>
    <t>Various approximate methods are presented for calculation of reflection coefficient of the neck of the antenna horn. The H- and E-sectoral horn antennas are considered, and the calculation methods of antenna radiation characteristics are discussed.</t>
  </si>
  <si>
    <t>['reflection coefficient', 'calculation methods', 'antenna horn']</t>
  </si>
  <si>
    <t>2-s2.0-0020138789</t>
  </si>
  <si>
    <t>SYNTHESIS OF TWO-DISH ANTENNAS FROM A SPECIFIED AMPLITUDE PATTERN.</t>
  </si>
  <si>
    <t>Kaloshin V.</t>
  </si>
  <si>
    <t>Kaloshin, V. A.;Popov, A. P.</t>
  </si>
  <si>
    <t>7003747598;7402985929</t>
  </si>
  <si>
    <t>51-59</t>
  </si>
  <si>
    <t>The synthesis of a two-dish antenna from a given amplitude pattern is discussed. The shape of the main dish and the beam field of the illuminator are assumed to be given. A system of three transcendental equations and one second-order, partial differential equation is derived for determination of the general shape of the secondary dish. Synthesis of a two-dish antenna with axially symmetrical and fan-beam patterns is given as an example. Explicit formulas are obtained for the shape of the secondary dish for narrow angular patterns.</t>
  </si>
  <si>
    <t>['secondary dish', 'one second', 'main dish', 'general shape', 'explicit formulas', 'dish antenna', 'beam patterns', 'beam field', 'axially symmetrical']</t>
  </si>
  <si>
    <t>2-s2.0-0020138697</t>
  </si>
  <si>
    <t>10.1049/ip-f-1.1982.0034</t>
  </si>
  <si>
    <t>Adaptive arrays for communications</t>
  </si>
  <si>
    <t>Brandwood D.H.</t>
  </si>
  <si>
    <t>Siemens AG</t>
  </si>
  <si>
    <t>Munich</t>
  </si>
  <si>
    <t>Brandwood, D. H.;Tarran, C. J.</t>
  </si>
  <si>
    <t>6603820020;6505986149</t>
  </si>
  <si>
    <t>60028673;60028673</t>
  </si>
  <si>
    <t>223-232</t>
  </si>
  <si>
    <t>The basic principles of adaptive arrays are outlined, emphasising the requirements of such arrays for communications, as distinct from radar. These arrays are designed so that they automatically adapt their responses to give low gain to unwanted signals, while maintaining adequate gain to a wanted signal. The basic approaches to achieving this aim are described, with some comment on the relative merits of different systems in terms of cost, complexity and performance. Some practical aspects affecting design and performance are discussed and references are made to actual systems. ¬© 1982, The Institution of Electrical Engineers. All rights reserved.</t>
  </si>
  <si>
    <t>Antennas | Radiocommunication | Signal processing</t>
  </si>
  <si>
    <t>['¬© 1982', 'wanted signal', 'unwanted signals', 'rights reserved', 'relative merits', 'electrical engineers', 'different systems', 'basic principles', 'basic approaches', 'automatically adapt', 'adaptive arrays', 'actual systems']</t>
  </si>
  <si>
    <t>2-s2.0-0020128745</t>
  </si>
  <si>
    <t>10.1109/TAP.1982.1142823</t>
  </si>
  <si>
    <t>Radiating Elements for Hemispherically Scanned Arrays</t>
  </si>
  <si>
    <t>Villeneuve A.</t>
  </si>
  <si>
    <t>Villeneuve, A. T.;Behnke, M. C.;Kummer, Wolfgang H.</t>
  </si>
  <si>
    <t>7103263198;7005787571;56211857400</t>
  </si>
  <si>
    <t>60005304;;</t>
  </si>
  <si>
    <t>457-462</t>
  </si>
  <si>
    <t>The problem of obtaining hemispherical coverage using an electronically steered antenna beam is considered. Radiating elements consisting of combinations of slots, parasitic dipoles, and surface wave structures were investigated for this application. Both planar and cylindrical supporting structures were used. It was found that such elements showed enhanced radiation near the horizon in both the E-plane and the H-plane. Patterns were measured on an eight-element linear array of slots covered by a surface wave structure. When the beam was scanned electronically to endfire, the pattern was enhanced by several dB over that obtained from the array without the surface wave structure. Copyright ¬© 1982 by The Institute of Electrical and Electronics Engineers, Inc.</t>
  </si>
  <si>
    <t>['slots covered', 'several db', 'scanned electronically', 'parasitic dipoles', 'electronics engineers', 'array without']</t>
  </si>
  <si>
    <t>2-s2.0-0020128744</t>
  </si>
  <si>
    <t>10.1109/TAP.1982.1142819</t>
  </si>
  <si>
    <t>Application of Impedance Boundary Conditions to Numerical Solution of Corrugated Circular Horns</t>
  </si>
  <si>
    <t>Iskander K.A.</t>
  </si>
  <si>
    <t>60011373;60009697</t>
  </si>
  <si>
    <t>Danmarks Tekniske Universitet;University of Manitoba</t>
  </si>
  <si>
    <t>Lyngby;Winnipeg</t>
  </si>
  <si>
    <t>Denmark;Canada</t>
  </si>
  <si>
    <t>Iskander, Kamal A.;Shafai, Lotfollah;Frandsen, Aksel;Hansen, Jesper E.</t>
  </si>
  <si>
    <t>6603410277;8092251400;7005597691;7404330099</t>
  </si>
  <si>
    <t>60009697;60009697;60011373;60011373</t>
  </si>
  <si>
    <t>366-372</t>
  </si>
  <si>
    <t>An integral equation method is used to formulate the problem of scattering by rotationally symmetric horn antennas. The excitation is assumed to be due to an infinitesimal dipole antenna, while the secondary field is obtained by assuming anisotropic impedance boundary conditions on the horn surface. This formulation is then used to investigate numerically the radiation from corrugated conical horns by approximating the corrugated surface with anisotropic surface impedances. The method is also used to study the scattering properties of receiver horns. In this case the external load is simulated by an impedance surface at the inner-end wall of the horn antenna, which is illuminated by an axially incident plane wave. Copyright ¬© 1982 by The Institute of Electrical and Electronics Engineers, Inc.</t>
  </si>
  <si>
    <t>['secondary field', 'scattering properties', 'receiver horns', 'investigate numerically', 'impedance surface', 'horn surface', 'horn antenna', 'external load', 'end wall', 'electronics engineers', 'corrugated surface', 'also used']</t>
  </si>
  <si>
    <t>2-s2.0-0020128730</t>
  </si>
  <si>
    <t>10.1109/TAES.1982.313321</t>
  </si>
  <si>
    <t>The Effect of a Pulsed Interference Signal on an Adaptive Array</t>
  </si>
  <si>
    <t>297-309</t>
  </si>
  <si>
    <t>The performance of a least mean square (LMS) adaptive array in the presence of a pulsed interference signal is examined. It is shown that a pulsed interference signal has two effects. First, it causes the array to modulate the desired signal envelope (but not its phase). Second, it causes the array output signal-to-interferenceplus-noise ratio (SINR) to vary with time. The desired signal modulation is evaluated as a function of signal arrival angles, powers and interference pulse-repetition frequency (PRF) and pulsewidth. It is shown that the signal modulation is small except when the interference arrives close to the desired signal. To evaluate the effect of the time-varying SINR, it is assumed that the array is used in a differential phase-shift keyed (DPSK) communication system. It is shown that the SINR variation causes a noticeable but not disastrous increase in the bit error probability. ¬© 1982 IEEE</t>
  </si>
  <si>
    <t>['varying sinr', 'two effects', 'small except', 'signal modulation', 'shift keyed', 'repetition frequency', 'phase ).', 'noise ratio', 'interference pulse', 'disastrous increase', 'differential phase', 'desired signal', 'communication system', 'adaptive array']</t>
  </si>
  <si>
    <t>2-s2.0-0020128602</t>
  </si>
  <si>
    <t>10.1109/TAP.1982.1142807</t>
  </si>
  <si>
    <t>Measured Bounds on Rain-Scatter Coupling Between Space-Earth Radio Paths</t>
  </si>
  <si>
    <t>Cox D.</t>
  </si>
  <si>
    <t>Cox, Donald C.;Arnold, Hamilton W.;Hoffman, Harold H.</t>
  </si>
  <si>
    <t>7403241218;7202379465;7201677618</t>
  </si>
  <si>
    <t>493-497</t>
  </si>
  <si>
    <t>Attempts were made to measure rain-scatter coupling for two satellite paths displaced in angle by 0.85¬∞. For rain attenuation up to 15 dB, upper bounds on coupling were -40 dB at 19 GHz and -45 dB at 28 GHz. These experimental bounds are limited by antenna sidelobc levels which are on the order of 20 dB greater than theoretical rain-scatter predictions. Copyright ¬© 1982 by The Institute of Electrical and Electronics Engineers, Inc.</t>
  </si>
  <si>
    <t>['upper bounds', 'theoretical rain', 'scatter predictions', 'scatter coupling', 'rain attenuation', 'measure rain', 'experimental bounds', 'electronics engineers', '85 ¬∞.', '45 db', '40 db', '28 ghz', '19 ghz', '15 db']</t>
  </si>
  <si>
    <t>2-s2.0-0020128529</t>
  </si>
  <si>
    <t>10.1109/TEMC.1982.304025</t>
  </si>
  <si>
    <t>The effects of resistive loading of ‚Äútem‚Äù horns</t>
  </si>
  <si>
    <t>Kanda M.</t>
  </si>
  <si>
    <t>Kanda, Motohisa</t>
  </si>
  <si>
    <t>245-255</t>
  </si>
  <si>
    <t>A short transverse electromagnetic (TEM) horn with continuously tapered resistive loading was developed for directional reception or transmission of picosecond pulses with minimal distortion. It was found to be broadband and nondispersive with a low VSWR. The receiving transient response of the resistively loaded ‚ÄúTEM‚Äù horn indicates that the waveform of a 70-ps impluse is well preserved. The theoretical analyses using the method of moments and the fast Fourier transform (FFT) technique were performed and agreed well with time-domain measurements. Copyright ¬© 1982 by The Institute of Electrical and Electronics Engineers, Inc.</t>
  </si>
  <si>
    <t>Broadband | directivity | effective length | FFT | method of moments | nondispersive | picosecond pulse | resistive loading | TEM horn | transfer function | transient</t>
  </si>
  <si>
    <t>['well preserved', 'ps impluse', 'picosecond pulses', 'minimal distortion', 'low vswr', 'electronics engineers', 'domain measurements', 'directional reception', 'agreed well']</t>
  </si>
  <si>
    <t>2-s2.0-0020128504</t>
  </si>
  <si>
    <t>MAXIMUM EMF IN A BIOTELEMETRY RECEIVING ANTENNA.</t>
  </si>
  <si>
    <t>Pershin N.</t>
  </si>
  <si>
    <t>Pershin, N. N.</t>
  </si>
  <si>
    <t>May</t>
  </si>
  <si>
    <t>68-70</t>
  </si>
  <si>
    <t>General expressions are derived and a procedure is proposed for the rapid calculation of the maximum emf in receiving antennas with best matching of the radiation pattern and small linear dimensions.</t>
  </si>
  <si>
    <t>['receiving antennas', 'rapid calculation', 'radiation pattern', 'maximum emf', 'general expressions', 'best matching']</t>
  </si>
  <si>
    <t>2-s2.0-0020128471</t>
  </si>
  <si>
    <t>10.1109/TAP.1982.1142816</t>
  </si>
  <si>
    <t>Rectangular Microstrip Antenna on a Ferrite Substrate</t>
  </si>
  <si>
    <t>Das S.N.</t>
  </si>
  <si>
    <t>Jadavpur University</t>
  </si>
  <si>
    <t>Kolkata</t>
  </si>
  <si>
    <t>Das, Sri N.;Chowdhury, Santosh K.</t>
  </si>
  <si>
    <t>57226515031;7201666265</t>
  </si>
  <si>
    <t>60020825;60020825</t>
  </si>
  <si>
    <t>499-502</t>
  </si>
  <si>
    <t>The bandwidth and radiation characteristics of a simple quarter wave microstrip antenna on a typical ferrite substrate are measured and compared with the theoretical results in the lower range of ultrahigh frequency (UHF). A method has also been discussed for impedance matching of the antenna to the feed line. Copyright ¬© 1982 by The Institute of Electrical and Electronics Engineers, Inc.</t>
  </si>
  <si>
    <t>['ultrahigh frequency', 'uhf ).', 'theoretical results', 'radiation characteristics', 'lower range', 'impedance matching', 'feed line', 'electronics engineers']</t>
  </si>
  <si>
    <t>2-s2.0-0020128354</t>
  </si>
  <si>
    <t>10.1109/TCOM.1982.1095539</t>
  </si>
  <si>
    <t>Spread Spectrum in a Four-Phase Communication System Employing Adaptive Antennas</t>
  </si>
  <si>
    <t>Winters J.</t>
  </si>
  <si>
    <t>Winters, Jack H.</t>
  </si>
  <si>
    <t>929-936</t>
  </si>
  <si>
    <t>This paper discusses the use of spread spectrum in a four-phase communicaton system employing adaptive antennas. A system is described that provides protection against both conventiona1 (i.e., noise and CW) and smart (in particular, repeat) jamming with rapid acquisition of the signal at the receiver. A method is shown for generating reference signals required by the adaptive array throng a the use of spread spectrum. With these reference signals, the received antenna pattern can be adapted to maximize desired signal to interference and noise power ratio at the receiver. The signal acquisition technique is also described and analyzed. Analytical and experimental results demonstrate both the rapid acquisition and protection against jamming with this system. Copyright ¬© 1982 by The Institute of Electrical and Electronics Engineers, Inc.</t>
  </si>
  <si>
    <t>['spread spectrum', 'reference signals', 'rapid acquisition', 'provides protection', 'paper discusses', 'electronics engineers', 'also described']</t>
  </si>
  <si>
    <t>2-s2.0-0020128220</t>
  </si>
  <si>
    <t>10.2514/3.7936</t>
  </si>
  <si>
    <t>Influence of fabrication tolerances on the surface accuracy of largeantenna structures</t>
  </si>
  <si>
    <t>Hedgepeth J.</t>
  </si>
  <si>
    <t>Astro Research Corporation</t>
  </si>
  <si>
    <t>Hedgepeth, John M.</t>
  </si>
  <si>
    <t>AIAA Journal</t>
  </si>
  <si>
    <t>680-686</t>
  </si>
  <si>
    <t>One of the sources of error in radio frequency antennas is the lack of dimensional precision of the surface. This paper presents an approach for estimating the amount of error caused by random dimensional imperfections of the many structural elements which make up a truss-type antenna. A principle of equivalence between the analyses of statistical errors and of the natural vibration frequencies of the structure is developed. Examples are presented to show the application of this equivalence principle to the determination of average surface errors of several types and proportions of antenna structures. ¬© 1981 by J. M. Hedgepeth. ¬© The American Institute of Aeronautics and Astronautics.</t>
  </si>
  <si>
    <t>['¬© 1981', 'type antenna', 'statistical errors', 'several types', 'paper presents', 'error caused', 'equivalence principle', 'dimensional precision', 'antenna structures', 'american institute']</t>
  </si>
  <si>
    <t>Langley Research Center</t>
  </si>
  <si>
    <t>2-s2.0-0020128207</t>
  </si>
  <si>
    <t>10.1029/RS017i003p00473</t>
  </si>
  <si>
    <t>Radiation from coupled parallel‚Äêplate waveguides: Ray‚Äêoptical analysis and experimental results</t>
  </si>
  <si>
    <t>Driessen P.F.</t>
  </si>
  <si>
    <t>Driessen, Peter F.;Jull, Edward V.</t>
  </si>
  <si>
    <t>7006761168;7003354840</t>
  </si>
  <si>
    <t>473-482</t>
  </si>
  <si>
    <t>The radiation pattern of a parallel‚Äêplate waveguide with adjacent guides of finite depth is calculated by ray‚Äêoptical methods. The pattern may be adjusted by changing the width and depth of the parasitic guides. Experiments with a long H plane sectoral horn at about 12 GHz show good agreement with the theory. Copyright 1982 by the American Geophysical Union.</t>
  </si>
  <si>
    <t>['radiation pattern', 'pattern may', 'parasitic guides', 'finite depth', 'copyright 1982', 'adjacent guides']</t>
  </si>
  <si>
    <t>2-s2.0-0020128083</t>
  </si>
  <si>
    <t>10.1109/TAP.1982.1142788</t>
  </si>
  <si>
    <t>Trapped Image Guide Leaky-Wave Antennas for Millimeter Wave Applications</t>
  </si>
  <si>
    <t>Itoh T.</t>
  </si>
  <si>
    <t>60013372;115567873</t>
  </si>
  <si>
    <t>The University of Texas at Austin;Hochfrequenztechnik</t>
  </si>
  <si>
    <t>Austin;Ulm</t>
  </si>
  <si>
    <t>Itoh, Tatsuo;Adelseck, Bernd</t>
  </si>
  <si>
    <t>36041035600;35579156200</t>
  </si>
  <si>
    <t>505-509</t>
  </si>
  <si>
    <t>A leaky-wave antenna is developed from a novel dielectric waveguide for millimeter wave applications. | Design formulas and data are provided, and measured and computed results are presented for a prototype model. Copyright ¬© 1982 by The Institute of Electrical and Electronics Engineers, Inc.</t>
  </si>
  <si>
    <t>['wave antenna', 'prototype model', 'electronics engineers', 'design formulas', 'computed results']</t>
  </si>
  <si>
    <t>2-s2.0-0020127972</t>
  </si>
  <si>
    <t>10.1109/TAP.1982.1142809</t>
  </si>
  <si>
    <t>On the Accuracy of Physical Optics</t>
  </si>
  <si>
    <t>Norges Teknisk-Naturvitenskapelige Universitet</t>
  </si>
  <si>
    <t>Trondheim</t>
  </si>
  <si>
    <t>Kildal, Per Simon</t>
  </si>
  <si>
    <t>509-512</t>
  </si>
  <si>
    <t>The first-order correction to the physical optics (PO) solution for the axial radiation field from parabolic reflector antennas is found. The correction is of order k-1 and is in quadrature with the PO solution. By means of the correction term the accuracy of the' PO surface integral is found to be better than 0.22 (ND)2 dB on axis, where D is the diameter of the reflector. Thus, the PO solution for the directivity is extremely accurate for common reflector sizes of several wavelengths X. Copyright ¬© 1982 by The Institute of Electrical and Electronics Engineers, Inc.</t>
  </si>
  <si>
    <t>['po solution', 'physical optics', 'order k', 'order correction', 'extremely accurate', 'electronics engineers', 'correction term', '2 db']</t>
  </si>
  <si>
    <t>2-s2.0-0020127898</t>
  </si>
  <si>
    <t>10.1109/TAP.1982.1142799</t>
  </si>
  <si>
    <t>The Response of a Radio-Astronomy Synthesis Array to Interfering Signals</t>
  </si>
  <si>
    <t>Thompson A.</t>
  </si>
  <si>
    <t>National Radio Astronomy Observatory Socorro</t>
  </si>
  <si>
    <t>Socorro</t>
  </si>
  <si>
    <t>Thompson, A. Richard</t>
  </si>
  <si>
    <t>450-456</t>
  </si>
  <si>
    <t>2-s2.0-0020127897</t>
  </si>
  <si>
    <t>10.1109/TAP.1982.1142800</t>
  </si>
  <si>
    <t>Accurate Evaluation of a Millimeter Wave Compact Range Using Planar Near-Field Scanning</t>
  </si>
  <si>
    <t>Repjar A.</t>
  </si>
  <si>
    <t>Kational Bureau of Standards</t>
  </si>
  <si>
    <t>Repjar, Andrew G.;Kremer, Douglas P.</t>
  </si>
  <si>
    <t>6602372294;7006474952</t>
  </si>
  <si>
    <t>106793450;106793450</t>
  </si>
  <si>
    <t>419-425</t>
  </si>
  <si>
    <t>Significant progress has been made in recent years on planar near-field measurements for antenna calibrations. Such measurements are also useful in the alignment and evaluation of compact ranges because they provide more information than a limited number of analogue plots in one dimension. Contour plots of amplitude and phase data obtained from more complete two-dimensional measurements precisely and accurately locate sources of problems in the range reflector, with phase contour plots being more useful as diagnostic tools. Copyright ¬© 1982 by The Institute of Electrical and Electronics Engineers, Inc.</t>
  </si>
  <si>
    <t>['significant progress', 'recent years', 'range reflector', 'planar near', 'one dimension', 'limited number', 'field measurements', 'electronics engineers', 'diagnostic tools', 'contour plots', 'complete two', 'compact ranges', 'antenna calibrations', 'analogue plots', 'also useful']</t>
  </si>
  <si>
    <t>2-s2.0-0020127870</t>
  </si>
  <si>
    <t>10.1109/TCOM.1982.1095569</t>
  </si>
  <si>
    <t>Outline of a Multiple-Access Communication Network Based on Adaptive Arrays</t>
  </si>
  <si>
    <t>Zohar S.</t>
  </si>
  <si>
    <t>Zohar, Shalhav</t>
  </si>
  <si>
    <t>1242-1248</t>
  </si>
  <si>
    <t>We propose here a single-frequency communication system consisting of K mobile users simultaneously communicating with a central station equipped with a computationally adapted array consisting of n 2‚â• K antennas. The array employs K sets of n weights to segregate the signals received from the K users. The weights are determined by direct computation based on position information transmitted by the users. Currently known techniques require (for n = K) about (4/3)K4 computer ‚Äúoperations‚Äù (multiply and add). We develop here an improved technique that accomplishes that in 8/K3 operations, yielding a reduction by a factor of K/6. Copyright ¬© 1982 by The Institute of Electrical and Electronics Engineers, Inc.</t>
  </si>
  <si>
    <t>['signals received', 'n weights', 'k3 operations', 'k users', 'improved technique', 'electronics engineers', 'add ).']</t>
  </si>
  <si>
    <t>2-s2.0-0020127804</t>
  </si>
  <si>
    <t>INTEGRATED ESTIMATE OF RECEIVING STATION EFFICIENCY IN TERMS OF EMC.</t>
  </si>
  <si>
    <t>Vinogradov N.</t>
  </si>
  <si>
    <t>Vinogradov, N. V.</t>
  </si>
  <si>
    <t>22-28</t>
  </si>
  <si>
    <t>The efficiency of radio systems (RS) in terms of radio frequency utilization is now evaluated in terms of several tens of individual parameters of transmitters, receivers and antennas, rather than in integrated fashion. The interconnection, significance and agreement of the individual properties of RS have not been fully disclosed from unified objective positions. This makes RS optimization of parts of the system is not equivalent to optimization of the system as a whole.</t>
  </si>
  <si>
    <t>['several tens', 'radio systems', 'integrated fashion', 'individual properties', 'individual parameters', 'fully disclosed']</t>
  </si>
  <si>
    <t>2-s2.0-0020127753</t>
  </si>
  <si>
    <t>10.1002/ecja.4410650508</t>
  </si>
  <si>
    <t>A method for measuring amplitude and phase of each radiating element of a phased array antenna</t>
  </si>
  <si>
    <t>Mano S.</t>
  </si>
  <si>
    <t>Mano, Seiji;Katagi, Takashi</t>
  </si>
  <si>
    <t>7006380481;7004304668</t>
  </si>
  <si>
    <t>58-64</t>
  </si>
  <si>
    <t>In the phased array system, excitation amplitudes and phases based on the design are specified for each antenna element in order to synthesize desired beam scannings and radiation patterns. However, due to fluctuations of antenna and feed network characteristics, the amplitude and phase of each antenna element deviate from the desired values. To correct these deviations, the amplitude and phase of each antenna element must be accurately measured under specific operating conditions. In this paper, we employ variable phase shifters connected to the antenna elements and measure only the amplitude variation of the composite electric field of the entire array when the phase of each element is modified. The rotating element electric field vector method in which the measured amplitude variation is numerically processed for obtaining the amplitude and phase of the particular element is theoretically discussed and experimentally tested for its usefulness. The present method can be easily attained by simply adding software to the computer‚Äêcontrolled phased array system. Copyright ¬© 1982 Wiley Periodicals, Inc., A Wiley Company</t>
  </si>
  <si>
    <t>['wiley company', 'theoretically discussed', 'radiation patterns', 'present method', 'phases based', 'particular element', 'numerically processed', 'inc .,', 'experimentally tested', 'excitation amplitudes', 'entire array', 'easily attained', 'desired values', 'antenna elements', 'antenna element', 'amplitude variation', 'accurately measured']</t>
  </si>
  <si>
    <t>2-s2.0-0020127651</t>
  </si>
  <si>
    <t>ON THE POSSIBILITIES OF ANTENNA PATTERN OPTIMIZATION.</t>
  </si>
  <si>
    <t>Melikhov A.</t>
  </si>
  <si>
    <t>Melikhov, A. V.;Postnov, G. A.</t>
  </si>
  <si>
    <t>6603717894;36966612100</t>
  </si>
  <si>
    <t>28-33</t>
  </si>
  <si>
    <t>The ways of solving the antenna synthesis problem according to the criterion of maximum radio system efficiency are examined for those cases when one can find a relationship between that efficiency and the antenna pattern. The width of the pattern covering a given angular sector is optimized. A linear array is synthesized on the basis of the maximum probability of detection criterion.</t>
  </si>
  <si>
    <t>['pattern covering', 'maximum probability', 'linear array', 'detection criterion', 'antenna pattern']</t>
  </si>
  <si>
    <t>2-s2.0-0020127587</t>
  </si>
  <si>
    <t>AUTOMATED SYSTEMS MEASUREMENT APPARATUS FOR INVESTIGATING PHASED ANTENNA ARRAYS.</t>
  </si>
  <si>
    <t>Afromeyev A.</t>
  </si>
  <si>
    <t>Afromeyev, A. S.;Kaplun, V. A.;Mayorov, G. I.;Prokhorova, O. L.;Sapalev, V. I.;Stysko, G. A.</t>
  </si>
  <si>
    <t>6602267294;7003720048;6504009308;6603644188;6507398551;6504820860</t>
  </si>
  <si>
    <t>;;;;;</t>
  </si>
  <si>
    <t>94-96</t>
  </si>
  <si>
    <t>The structure of automated measurement apparatus and its operating algorithm are examined.</t>
  </si>
  <si>
    <t>['operating algorithm']</t>
  </si>
  <si>
    <t>2-s2.0-0020127235</t>
  </si>
  <si>
    <t>INFLUENCE OF PHASE ERRORS ON THE SPECTRAL CHARACTERISTICS OF AN ANTENNA FIELD.</t>
  </si>
  <si>
    <t>Smirnov Y.V.</t>
  </si>
  <si>
    <t>Smirnov, Yu V.;Mikhaylov, G. D.</t>
  </si>
  <si>
    <t>7202651821;6603090754</t>
  </si>
  <si>
    <t>97-98</t>
  </si>
  <si>
    <t>The influence of phase errors on the spectral characteristics the field of an antenna containing an arbitrary number of phase shifters with non-identical phase characteristics is investigated. Formulas are derived which can be used to determine the distortions of the spectral characteristics of the antenna field.</t>
  </si>
  <si>
    <t>['spectral characteristics', 'phase shifters', 'phase errors', 'arbitrary number', 'antenna field', 'antenna containing']</t>
  </si>
  <si>
    <t>2-s2.0-0020127179</t>
  </si>
  <si>
    <t>10.1029/RS017i003p00509</t>
  </si>
  <si>
    <t>Asymptotic approximation of waves due to a dipole on a two‚Äêlayer medium</t>
  </si>
  <si>
    <t>Chew W.C.</t>
  </si>
  <si>
    <t>Chew, W. C.;Kong, J. A.</t>
  </si>
  <si>
    <t>26643168800;7202290923</t>
  </si>
  <si>
    <t>509-513</t>
  </si>
  <si>
    <t>The TM wave due to a horizontal magnetic dipole is first expanded in terms of a series of integrals, each of which is interpreted as due to an image source. Each of the image source integrals possesses a branch point and a high‚Äêorder pole which can be close to the saddle point. To facilitate uniform asymptotic approximation, the branch point is first removed by a transformation, which results in an integral with a high‚Äêorder pole near three saddle points. The uniform asymptotic approximation of such an integral is obtained through the use of the generalized Weber's function. The result agrees with numerical integration much better than the geometrical optics approximations (GOA). For the case of TE waves, the pole is far away, and our analysis reduces to the three‚Äêsaddle‚Äêpoint analysis where the behavior of the wave can be approximated by parabolic cylinder functions. We show that in such a case our result agrees better with the experiment than GOA. The uniform asymptotic approximation of the waves extends the domain of validity of the image source representation, which is extremely useful when the layer is thick. Copyright 1982 by the American Geophysical Union.</t>
  </si>
  <si>
    <t>['waves extends', 'te waves', 'saddle point', 'result agrees', 'image source', 'goa ).', 'generalized weber', 'first removed', 'first expanded', 'far away', 'extremely useful', 'copyright 1982', 'branch point', 'analysis reduces']</t>
  </si>
  <si>
    <t>2-s2.0-0020127088</t>
  </si>
  <si>
    <t>10.1109/TAP.1982.1142810</t>
  </si>
  <si>
    <t>A Transform Technique for Computing the Radiation Pattern of Prime-Focal and Cassegrainian Reflector Antennas</t>
  </si>
  <si>
    <t>Mittra R.</t>
  </si>
  <si>
    <t>Mittra, Raj;Nair, Wai Lee;Sheshadri, M. S.</t>
  </si>
  <si>
    <t>55197051100;56782582100;6602966527</t>
  </si>
  <si>
    <t>60000745;60000745;60000745</t>
  </si>
  <si>
    <t>520-524</t>
  </si>
  <si>
    <t>A new type of corner reflector (CR) system with corrugated reflector elements has been realized, and experimental results are presented. This system gives better performance than conventional corner reflectors with plane elements. Experimental data regarding half-power beamwidth (HPBW), on-axis power, and voltage standing-wave ratio (VSWR) are presented for a direct comparison with corresponding plane CR systems. Copyright ¬© 1982 by The Institute of Electrical and Electronics Engineers, Inc.</t>
  </si>
  <si>
    <t>['wave ratio', 'voltage standing', 'power beamwidth', 'plane elements', 'new type', 'hpbw ),', 'experimental results', 'electronics engineers', 'direct comparison', 'corner reflector', 'axis power']</t>
  </si>
  <si>
    <t>2-s2.0-0020127010</t>
  </si>
  <si>
    <t>10.1109/TCOM.1982.1095572</t>
  </si>
  <si>
    <t>Regenerative Self-Steering Array Combiners</t>
  </si>
  <si>
    <t>Yeh Y.</t>
  </si>
  <si>
    <t>Yeh, Y. S.;Langseth, R. E.;Aranguren, W. L.</t>
  </si>
  <si>
    <t>7202183081;6602230095;6602823599</t>
  </si>
  <si>
    <t>1218-1223</t>
  </si>
  <si>
    <t>We discuss several designs for self-steering array combiners together with a simple frequency-offset tagging method which permits locking of a combiner to one of serveral cochannel but spatially separate signals. The combiners use the output signal as a reference for extraction of phase information from each individual element-signal, thereby utilizing the full transmitted signal (rather than a separate pilot) for element phase measurement. Designed for receiving PSK signals, the combiner inherently provides, as part of its design, the CW signal required for coherent demodulation of the combined array output. Laboratory measurements made with a fourbranch combiner for two-phase PSK signals demonstrate the salient features of the combiner. Copyright ¬© 1982 by The Institute of Electrical and Electronics Engineers, Inc.</t>
  </si>
  <si>
    <t>['thereby utilizing', 'simple frequency', 'serveral cochannel', 'separate pilot', 'salient features', 'phase information', 'permits locking', 'output signal', 'individual element', 'fourbranch combiner', 'electronics engineers', 'combiners use', 'coherent demodulation']</t>
  </si>
  <si>
    <t>2-s2.0-0020126973</t>
  </si>
  <si>
    <t>10.1109/TAP.1982.1142804</t>
  </si>
  <si>
    <t>Signal Cancellation Phenomena in Adaptive Antennas: Causes and Cures</t>
  </si>
  <si>
    <t>Widrow B.</t>
  </si>
  <si>
    <t>Stanford University</t>
  </si>
  <si>
    <t>Widrow, Bernard;Duvall, Kenneth M.;Gooch, Richard P.;Newman, William C.</t>
  </si>
  <si>
    <t>7005244627;6701864110;7005702908;7202790593</t>
  </si>
  <si>
    <t>60012708;60012708;60012708;60012708</t>
  </si>
  <si>
    <t>469-478</t>
  </si>
  <si>
    <t>Conventional adaptive beamformers utilizing some form of automatic minimization of mean square error exhibit signal cancellation phenomena when adapting rapidly. These effects result from adaptive interaction between signal and interference, when signal and interference are received simultaneously. Similar phenomena have been observed and analyzed in relatively simple adaptive noise cancelling systems. A study of these phenomena in the simpler systems is used to provide insight into similar behavior in adaptive antennas. A method for alleviating signal cancellation has been devised by Duvall, whereby the signal components are removed from the adaptive process, then reinserted to form the final system output. Widrow has devised a different solution to the problem: to move the receiving array spatially (or electronically) to modulate emanations received off the look direction, without distorting useful signals incident from the look direction. This approach is called ‚Äúspatial dither‚Äù and introduces the additional possibility of modulating ‚Äúsmart‚Äù jammer signals, thereby limiting their effectiveness. Copyright ¬© 1982 by The Institute of Electrical and Electronics Engineers, Inc.</t>
  </si>
  <si>
    <t>['thereby limiting', 'simpler systems', 'similar phenomena', 'similar behavior', 'signal components', 'received simultaneously', 'provide insight', 'look direction', 'electronics engineers', 'effects result', 'different solution', 'automatic minimization', 'additional possibility', 'adaptive process', 'adaptive interaction', 'adaptive antennas', 'adapting rapidly']</t>
  </si>
  <si>
    <t>2-s2.0-0020126898</t>
  </si>
  <si>
    <t>10.1109/TAP.1982.1142792</t>
  </si>
  <si>
    <t>Optimum Difference Mode Excitations for Monopulse Arrays</t>
  </si>
  <si>
    <t>Balakrishnan N.</t>
  </si>
  <si>
    <t>Indian Institute of Science</t>
  </si>
  <si>
    <t>Bengaluru</t>
  </si>
  <si>
    <t>Balakrishnan, N.;Ramakrishna, S.</t>
  </si>
  <si>
    <t>57198008972;35918145900</t>
  </si>
  <si>
    <t>60014097;60014097</t>
  </si>
  <si>
    <t>325-330</t>
  </si>
  <si>
    <t>A technique has been developed to obtain optimum difference mode excitations for monopulse arrays. In addition, a direct interpolation scheme has been devised for situations where near-optimum results would suffice. A parameter designated as u0 is identified with every optimum difference pattern. The choice of this parameter u 0 determines the sidelobe level of the optimum pattern. The problem of obtaining the optimum excitations has been shown to be reducible to one of finding out the best approximation that minimizes the maximum deviation (minimax) from the real line (u = fid cos ip axis), over a range determined by Œº. This latter problem has been solved using a modified Remez exchange algorithm. An extensive set of design curves has also been presented. Copyright ¬© 1982 by The Institute of Electrical and Electronics Engineers, Inc.</t>
  </si>
  <si>
    <t>['solved using', 'sidelobe level', 'real line', 'range determined', 'parameter designated', 'optimum pattern', 'optimum excitations', 'monopulse arrays', 'maximum deviation', 'latter problem', 'extensive set', 'electronics engineers', 'design curves', 'best approximation']</t>
  </si>
  <si>
    <t>2-s2.0-0020126860</t>
  </si>
  <si>
    <t>10.1029/RS017i003p00483</t>
  </si>
  <si>
    <t>The horizontal circular loop antenna near a planar interface</t>
  </si>
  <si>
    <t>An L.</t>
  </si>
  <si>
    <t>An, Lam N.;Smith, Glenn S.</t>
  </si>
  <si>
    <t>7102775292;7406739047</t>
  </si>
  <si>
    <t>483-502</t>
  </si>
  <si>
    <t>The horizontal circular loop antenna near a planar interface between two materials is analyzed theoretically for both the transmitting and the receiving cases. For the transmitting antenna the distribution of current, input admittance, and electric field in both media are obtained by applying a limiting process to the previously obtained results for the eccentrically insulated circular loop antenna. The receiving formulation is for an electromagnetic plane wave incident at an arbitrary angle from either side of the interface, i.e., incident from either the region that contains or the region that does not contain the loop. Parametric studies are used to investigate the effect of the interface on the input admittance of the loop and the directive properties for the electric field of the loop in both media. Measured input admittances and electric field patterns of model loop antennas above and below an interface between air and fresh water are in good agreement with the theoretical calculations. Copyright 1982 by the American Geophysical Union.</t>
  </si>
  <si>
    <t>['two materials', 'transmitting antenna', 'theoretical calculations', 'receiving formulation', 'receiving cases', 'planar interface', 'parametric studies', 'limiting process', 'input admittance', 'good agreement', 'fresh water', 'electric field', 'either side', 'directive properties', 'copyright 1982', 'arbitrary angle', 'analyzed theoretically']</t>
  </si>
  <si>
    <t>2-s2.0-0020126831</t>
  </si>
  <si>
    <t>10.1109/TEMC.1982.304031</t>
  </si>
  <si>
    <t>Static charging and its effects on avionic systems</t>
  </si>
  <si>
    <t>Nanevicz J.E.</t>
  </si>
  <si>
    <t>Nanevicz, Joseph E.</t>
  </si>
  <si>
    <t>Static electrification of the airframe can often cause electromagnetic interference on aircraft radios. This paper reviews the causes and possible effects of this phenomenon. Sources of static electrification include frictional charging by precipitation particles, engine exhaust non-neutrality (at low altitudes), and exogenous electric fields (between oppositely charged cloud regions). The potential of an aircraft increases until a threshold is reached at which electrical discharges occur, generating electromagnetic noise that interferes with both navigation and communications. Noise-producing discharge mechanisms include 1) corona-discharge breakdown of the air, 2) streamer discharges across insulating dielectric surfaces to the metal airframe, 3) sparks between inadvertently unbonded adjacent metal sections of the aircraft, and 4) the passage of charged particles past an antenna. Corona discharges and streamer discharges are discussed for both narrowband and broadband systems. The electromagnetic fields generated by discharges raise the local equivalent noise field above the atmospheric noise level, causing interference in narrowband systems. Pulse discharges can be misinterpreted on broadband digital systems as operating signals. Aircraft charging parameters have been measured over time (after takeoff) and altitude for several aircraft types, including a jet fighter, a 707, a Titan III rocket, and a helicopter. Copyright ¬© 1982 by The Institute of Electrical and Electronics Engineers, Inc.</t>
  </si>
  <si>
    <t>avionic installations | charged clouds | corona discharge | engine exhaust ionization | measurements | precipitation static | sparks antennas induction | Static charging | streamers</t>
  </si>
  <si>
    <t>['streamer discharges', 'static electrification', 'pulse discharges', 'precipitation particles', 'possible effects', 'paper reviews', 'operating signals', 'narrowband systems', 'metal airframe', 'jet fighter', 'electronics engineers', 'discharges raise', 'discharge breakdown', 'corona discharges', 'causing interference', 'broadband systems', 'aircraft radios', 'aircraft increases']</t>
  </si>
  <si>
    <t>2-s2.0-0020126774</t>
  </si>
  <si>
    <t>10.1109/TAP.1982.1142796</t>
  </si>
  <si>
    <t>Analysis of a Monopole Mounted Near an Edge or a Vertex</t>
  </si>
  <si>
    <t>Pozar D.</t>
  </si>
  <si>
    <t>60014313;60003500</t>
  </si>
  <si>
    <t>University of Massachusetts Amherst;The Ohio State University</t>
  </si>
  <si>
    <t>Amherst MA;Columbus</t>
  </si>
  <si>
    <t>Pozar, David M.;Newman, Edward H.</t>
  </si>
  <si>
    <t>7006061921;7203066664</t>
  </si>
  <si>
    <t>401-408</t>
  </si>
  <si>
    <t>The problem of a monopole mounted near the edge of a wedge or a vertex is considered. Three types of solutions-surface patch modeling, moment method/geometrical theory of diffraction (MM/GTD), and MM/eigenfunction-are presented, discussed, and compared with measurements. Results are in the form of input impedance and radiation patterns. Copyright ¬© 1982 by The Institute of Electrical and Electronics Engineers, Inc.</t>
  </si>
  <si>
    <t>['three types', 'radiation patterns', 'moment method', 'input impedance', 'gtd ),', 'geometrical theory', 'electronics engineers']</t>
  </si>
  <si>
    <t>2-s2.0-0020126773</t>
  </si>
  <si>
    <t>10.1109/TAP.1982.1142797</t>
  </si>
  <si>
    <t>Bounds on the Optimum Performance of Planar Antennas for Pulse Radiation</t>
  </si>
  <si>
    <t>McIntosh R.</t>
  </si>
  <si>
    <t>60024590;60014313</t>
  </si>
  <si>
    <t>Motorola;University of Massachusetts Amherst</t>
  </si>
  <si>
    <t>Schaumburg;Amherst MA</t>
  </si>
  <si>
    <t>McIntosh, Robert E.;Sarna, John E.</t>
  </si>
  <si>
    <t>7103288212;6603330115</t>
  </si>
  <si>
    <t>60014313;60024590</t>
  </si>
  <si>
    <t>381-389</t>
  </si>
  <si>
    <t>The general problem of optimizing the design of planar electromagnetic pulse radiators is discussed. It is shown that bounds on the performance of such radiators can be determined by formulating field quantities as inner products and solving a variational problem. Results of a simple example are given where the bound on the peak electric field is found for a finite-sized radiator having a current distribution which is frequency BandLimited. The bound on the peak electric field component along an arbitrary orientation of direction in the radiator's far field is also presented. These results provide insight into the synthesis of electromagnetic pulse radiators, but further work is necessary if the technique discussed here is to lead to the design of improved electromagnetic pulse antennas. Copyright ¬© 1982 by The Institute of Electrical and Electronics Engineers, Inc.</t>
  </si>
  <si>
    <t>['variational problem', 'technique discussed', 'sized radiator', 'simple example', 'inner products', 'general problem', 'frequency bandlimited', 'far field', 'electronics engineers', 'current distribution', 'arbitrary orientation', 'also presented']</t>
  </si>
  <si>
    <t>2-s2.0-0020126597</t>
  </si>
  <si>
    <t>10.1109/TMTT.1982.1131144</t>
  </si>
  <si>
    <t>Single-Frequency Electronic-Modulated Analog Line Scanning Using a Dielectric Antenna</t>
  </si>
  <si>
    <t>Horn R.</t>
  </si>
  <si>
    <t>U.S. Army Research Laboratory</t>
  </si>
  <si>
    <t>Adelphi</t>
  </si>
  <si>
    <t>Horn, R. E.;Jacobs, H.;Klohn, K. L.;Freibergs, E.</t>
  </si>
  <si>
    <t>7202130115;55636318766;6603657869;6506407348</t>
  </si>
  <si>
    <t>60033252;60033252;60033252;60033252</t>
  </si>
  <si>
    <t>816-820</t>
  </si>
  <si>
    <t>A line scanning antenna is described whereby means of periodic perturbations and conductivity changes in p-i-n diode modulators, analog angular shifts of 5¬∞ can be obtained. The system is electronically modulated with relatively small power requirements. Copyright ¬© 1982 by The Institute of Electrical and Electronics Engineers, Inc.</t>
  </si>
  <si>
    <t>['periodic perturbations', 'electronics engineers', 'electronically modulated', 'conductivity changes', '5 ¬∞']</t>
  </si>
  <si>
    <t>2-s2.0-0020126543</t>
  </si>
  <si>
    <t>10.1109/TAP.1982.1142811</t>
  </si>
  <si>
    <t>A Modified Hyperplane Method for Null Synthesis in an Array Pattern</t>
  </si>
  <si>
    <t>Vijaya Kumar B.</t>
  </si>
  <si>
    <t>Carnegie Mellon University</t>
  </si>
  <si>
    <t>Pittsburgh</t>
  </si>
  <si>
    <t>Vijaya Kumar, B. V.K.</t>
  </si>
  <si>
    <t>512-516</t>
  </si>
  <si>
    <t>It has recently been shown by Prasad that the problem of synthesizing nulls in an array pattern admits a geometrical formulation for which the alternative orthogonal projection (AOP) algorithm (previously used in image restoration applications) is a useful solution. We apply a modification to the original AOP suggested by Ramakrishnam et al. for image restoration purposes and show that it results in a computational savings in array pattern synthesis problems. A numerical example is presented to illustrate the computational advantages of this modification. Copyright ¬© 1982 by The Institute of Electrical and Electronics Engineers, Inc.</t>
  </si>
  <si>
    <t>['useful solution', 'synthesizing nulls', 'previously used', 'numerical example', 'geometrical formulation', 'electronics engineers', 'computational savings', 'computational advantages']</t>
  </si>
  <si>
    <t>2-s2.0-0020126339</t>
  </si>
  <si>
    <t>SYNTHESIS OF AN OPTIMAL MULTIBEAM ANTENNA ARRAY WITH A THROUGH OPTICAL EXCITATION CIRCUIT.</t>
  </si>
  <si>
    <t>99-101</t>
  </si>
  <si>
    <t>A numerical method is described for synthesizing a multibeam antenna array employing a through optical excitation circuit which can be used to minimize phase distortions for all beams at the same time over a broad sector of scanning angles.</t>
  </si>
  <si>
    <t>['scanning angles', 'numerical method', 'broad sector']</t>
  </si>
  <si>
    <t>2-s2.0-0020126013</t>
  </si>
  <si>
    <t>OPTIMUM CURRENT, SUPERDIRECTIVITY AND BOUNDEDNESS OF GAIN OF A ‚Ä≥REAL‚Ä≥ DIPOLE.</t>
  </si>
  <si>
    <t>33-39</t>
  </si>
  <si>
    <t>The problem of derivation of a dipole current distribution which would maximize the modulus of a given field component at a fixed point in space is formulated and a method is described for its solution. The analysis assumes that either the radiated power or the total active power supplied to the antenna are constant. Integral equations for optimum current are derived and it is proven that the gain of a ‚Ä≥real‚Ä≥ dipole is limited. The developed approach can be extended to other antenna types and to other synthesis problems.</t>
  </si>
  <si>
    <t>['would maximize', 'synthesis problems', 'radiated power', 'optimum current', 'integral equations', 'fixed point', 'developed approach', 'antenna types', 'analysis assumes']</t>
  </si>
  <si>
    <t>2-s2.0-0020125880</t>
  </si>
  <si>
    <t>10.1080/03772063.1982.11452690</t>
  </si>
  <si>
    <t>CONTROL AND MONITOR SYSTEM FOR THE OOTY SYNTHESIS RADIO TELESCOPE.</t>
  </si>
  <si>
    <t>Sankararaman M.</t>
  </si>
  <si>
    <t>Sankararaman, M. R.;Subramanian, N.;Balasubramanian, R.</t>
  </si>
  <si>
    <t>6602619075;57197267300;7103128122</t>
  </si>
  <si>
    <t>216-225</t>
  </si>
  <si>
    <t>This paper describes a system developed for remote controlling and monitoring the antennae of the Ooty Synthesis Radio Telescope (OSRT) under construction at Ootacamund, India. The OSRT will consist of the Ooty Radio Telescope (ORT) and twelve steerable antennae located at various distances up to 9 km from ORT. The system will be operated through a PDP 11/70 computer located at master station. It uses PCM-FSK technique for data transmission and employs a two-way VHF link in time-division-multiplexing (TDM) mode with a cycle time of one second.</t>
  </si>
  <si>
    <t>['various distances', 'uses pcm', 'system developed', 'remote controlling', 'pdp 11', 'paper describes', 'one second', 'master station', 'fsk technique', 'data transmission', 'cycle time', '9 km']</t>
  </si>
  <si>
    <t>2-s2.0-0020125839</t>
  </si>
  <si>
    <t>SYNTHESIS OF A PLANAR STRATIFIED MEDIUM WHOSE COEFFICIENT OF REFLECTION PHASE VARIES SMOOTHLY BY 360 degree .</t>
  </si>
  <si>
    <t>Borodulin A.</t>
  </si>
  <si>
    <t>Borodulin, A. A.</t>
  </si>
  <si>
    <t>It is proven that for any hodograph of the complex admittance of a thin controlled layer one can construct a planar stratified medium which contains two controlled layers and in which the phase of the reflection coefficient varies by 360 degree , while its modulus remains approximately constant. The structure of the medium and the parameters of its uncontrolled layers are determined.</t>
  </si>
  <si>
    <t>['uncontrolled layers', 'complex admittance', '360 degree']</t>
  </si>
  <si>
    <t>2-s2.0-0020125761</t>
  </si>
  <si>
    <t>10.2514/3.62239</t>
  </si>
  <si>
    <t>Accuracy potentials for large space antenna reflectors with passive structure</t>
  </si>
  <si>
    <t>Journal of Spacecraft and Rockets</t>
  </si>
  <si>
    <t>211-217</t>
  </si>
  <si>
    <t>Analytical results indicate that a careful selection of materials and truss design, combined with accurate manufacturing techniques, can result in very accurate surfaces for large space antennas. The purpose of this paper is to examine these relationships for various types of structural configurations. Comparisons are made of the accuracy achievable by truss- and dome-type structures for a wide range of diameter and focal length of the antenna and wavelength of the radiated signal. ¬© American Institute of Aeronautics and Astronautics, Inc., 1982, All rights reserved.</t>
  </si>
  <si>
    <t>['wide range', 'various types', 'type structures', 'truss design', 'structural configurations', 'rights reserved', 'radiated signal', 'focal length', 'careful selection', 'accurate surfaces', 'accuracy achievable']</t>
  </si>
  <si>
    <t>LaRC</t>
  </si>
  <si>
    <t>2-s2.0-0020125730</t>
  </si>
  <si>
    <t>10.1029/RS017i003p00611</t>
  </si>
  <si>
    <t>Characteristics of 13.9 GHz radar scattering from oil films on the sea surface</t>
  </si>
  <si>
    <t>Johnson, J. W.;Croswell, W. F.</t>
  </si>
  <si>
    <t>7406818675;6603395713</t>
  </si>
  <si>
    <t>611-617</t>
  </si>
  <si>
    <t>An aircraft remote sensing project to study the response of a number of active and passive microwave and optical remote sensors to an oil‚Äêcovered sea surface was conducted by NASA Langley Research Center in 1979. Included was a 13.9‚ÄêGHz Doppler scatterometer, with a fan beam antenna and coherent detection, to measure radar backscatter as a function of incidence angle. The purpose of this paper is to present a comparison between the radar scattering signature of the clear surface and signatures of the surface while covered with a variety of crude oil films. The films were deposited on the surface from ships. Both in situ data and infrared aerial photography provided surface truth. Scattering changes were observed over a range of incidence angles from nadir to approximately 60¬∞. Results show up to 14‚ÄêdB reduction in backscattered power between the clear surface and the films for horizontal polarization at an incidence angle of approximately 30¬∞. In all cases, the greatest reduction in backscatter due to the oil was observed at approximately 30¬∞, which suggests an optimum incidence angle for oil detection and mapping at 13.9 GHz (Œª0 = 2.16 cm). Maximum reduction in backscatter also appears to occur where the oil is the thickest. Copyright 1982 by the American Geophysical Union.</t>
  </si>
  <si>
    <t>['situ data', 'scattering changes', 'results show', 'passive microwave', 'oil detection', 'maximum reduction', 'incidence angles', 'incidence angle', 'horizontal polarization', 'greatest reduction', 'copyright 1982', 'coherent detection', 'clear surface', 'backscattered power', 'backscatter due', '9 ghz']</t>
  </si>
  <si>
    <t>2-s2.0-0020125614</t>
  </si>
  <si>
    <t>10.1109/TAP.1982.1142821</t>
  </si>
  <si>
    <t>Electromagnetic Diffraction by a Slot in a Ground Screen Covered by a</t>
  </si>
  <si>
    <t>Slab D.</t>
  </si>
  <si>
    <t>60020547;60010491</t>
  </si>
  <si>
    <t>Texas A&amp;M University;University of Mississippi</t>
  </si>
  <si>
    <t>College Station;University</t>
  </si>
  <si>
    <t>Slab, Dielectric;Nevels, Robert D.;Butler, Chalmers M.</t>
  </si>
  <si>
    <t>56782612600;7003263401;7201550943</t>
  </si>
  <si>
    <t>60020547;60020547;60010491</t>
  </si>
  <si>
    <t>390-395</t>
  </si>
  <si>
    <t>An integral equation is formulated for the problem of transverse electric (TE) illumination of an infinite slot in a conducting screen situated between two dielectric slabs having different electromagnetic properties. Numerical results are given for the slot magnetic current for selected cases where a slab exists only on the shadow side of the screen. Far-zone magnetic fields are presented. Copyright ¬© 1982 by The Institute of Electrical and Electronics Engineers, Inc.</t>
  </si>
  <si>
    <t>['transverse electric', 'slab exists', 'shadow side', 'selected cases', 'numerical results', 'integral equation', 'infinite slot', 'electronics engineers']</t>
  </si>
  <si>
    <t>2-s2.0-0020125603</t>
  </si>
  <si>
    <t>10.1109/TE.1982.4321541</t>
  </si>
  <si>
    <t>Multiport Network Formulation of Noise Power Delivered by Wire Antennas‚ÄîAlternative Approach to Use of Radiation Resistance</t>
  </si>
  <si>
    <t>Maclean, Thomas S.M.</t>
  </si>
  <si>
    <t>IEEE Transactions on Education</t>
  </si>
  <si>
    <t>56-59</t>
  </si>
  <si>
    <t>The noise power available from any antenna which is con-jugately matched is known from thermodynamic considerations to be equal to KT dfŒ∑ where K is Boltzmann's constant, T is the effective temperature of the antenna, df is the bandwidth, and Œ∑ is the antenna efficiency. This paper provides an alternative method of calculating the noise power available from any wire antenna in terms of the network parameters of the antenna alone. This provides a clear physical understanding of how the output noise power is built up from contributions of the noise voltages applied across different segments of any wire antenna placed in a noise field. Copyright ¬© 1982 by The Institute of Electrical and Electronics Engineers, Inc.</t>
  </si>
  <si>
    <t>['œ ∑', 'wire antenna', 'thermodynamic considerations', 'paper provides', 'noise field', 'network parameters', 'jugately matched', 'electronics engineers', 'effective temperature', 'antenna efficiency', 'antenna alone', 'alternative method']</t>
  </si>
  <si>
    <t>2-s2.0-0020125579</t>
  </si>
  <si>
    <t>10.1109/TAP.1982.1142793</t>
  </si>
  <si>
    <t>A First-Order Treatment of Aberrations in Cassegrainian and Gregorian Antennas</t>
  </si>
  <si>
    <t>Dragone C.</t>
  </si>
  <si>
    <t>Dragone, Corrado</t>
  </si>
  <si>
    <t>331-339</t>
  </si>
  <si>
    <t>The decrease in aperture efficiency caused by small aberrations in a reflector antenna is determined. The important case of a Cassegrainian (or Gregorian) antenna with a feed placed in the vicinity of the focal point is treated in detail. For this case the various aberration components due to astigmatism, coma, etc., are derived explicitly, their effect on aperture efficiency is shown, and the conditions that optimize performance are given. The results are useful for the design of multibeam antennas in ground stations and satellites. Copyright ¬© 1982 by The Institute of Electrical and Electronics Engineers, Inc.</t>
  </si>
  <si>
    <t>['small aberrations', 'reflector antenna', 'optimize performance', 'multibeam antennas', 'important case', 'ground stations', 'focal point', 'feed placed', 'etc .,', 'electronics engineers', 'derived explicitly', 'aperture efficiency']</t>
  </si>
  <si>
    <t>2-s2.0-0020125397</t>
  </si>
  <si>
    <t>10.1109/TAP.1982.1142817</t>
  </si>
  <si>
    <t>A Method of Choosing Element Patterns in an Adaptive Array</t>
  </si>
  <si>
    <t>489-493</t>
  </si>
  <si>
    <t>A procedure for choosing element patterns in an adaptive array is described. The method is useful when the adaptive array must provide sector coverage, i.e., when the desired signal may arrive from anywhere within some sector of space. The procedure is to start with an initial set of elements and then add extra elements one at a time until suitable performance is obtained. The condition that must be satisfied by each new element to obtain maximum performance improvement is derived. Copyright ¬© 1982 by The Institute of Electrical and Electronics Engineers, Inc.</t>
  </si>
  <si>
    <t>['suitable performance', 'new element', 'initial set', 'electronics engineers', 'e .,', 'anywhere within', 'adaptive array']</t>
  </si>
  <si>
    <t>2-s2.0-0020125396</t>
  </si>
  <si>
    <t>10.1109/TAP.1982.1142820</t>
  </si>
  <si>
    <t>Antenna Shape Synthesis Using Characteristic Modes</t>
  </si>
  <si>
    <t>Garbacz R.</t>
  </si>
  <si>
    <t>Garbacz, Robert J.;Pozar, David M.</t>
  </si>
  <si>
    <t>6507676919;7006061921</t>
  </si>
  <si>
    <t>60003500;60014313</t>
  </si>
  <si>
    <t>340-350</t>
  </si>
  <si>
    <t>An initial effort is described to develop an antenna synthesis procedure by which the shape of a surface of rotation and its current density are deduced from a given far-field radiation pattern which satisfies the conditions of a characteristic mode. Typical results obtained to date are presented to substantiate the method and to illustrate some antenna shapes. A variety of research topics suggested by present efforts are discussed and suggested for future investigation. Copyright ¬© 1982 by The Institute of Electrical and Electronics Engineers, Inc.</t>
  </si>
  <si>
    <t>['present efforts', 'initial effort', 'given far', 'future investigation', 'electronics engineers', 'current density', 'characteristic mode', 'antenna shapes']</t>
  </si>
  <si>
    <t>2-s2.0-0020125377</t>
  </si>
  <si>
    <t>10.1109/TEMC.1982.304026</t>
  </si>
  <si>
    <t>The rhombic emp simulator</t>
  </si>
  <si>
    <t>Shen H.</t>
  </si>
  <si>
    <t>Shen, Hao Ming;King, Ronold W.P.</t>
  </si>
  <si>
    <t>36347602500;35586046100</t>
  </si>
  <si>
    <t>60009982;60009982</t>
  </si>
  <si>
    <t>255-265</t>
  </si>
  <si>
    <t>A complete analysis has been carried out of the two-conductor rhombic antenna as an EMP simulator. The distribution of current along the conductors and the electric field in the working space bounded by rhombic wires have been determined at low, middle, and high frequencies. The analysis indicates that, at low frequencies, when the termination is the characteristic impedance, a traveling-wave current with very low standing-wave ratio propagates along the wires of the rhombic structure; but it is very sensitive to the load. As the frequency is increased, the standing-wave ratio also increases somewhat and it becomes less sensitive to the load. The electric field in the working space exhibits a reasonably constant amplitude with a standing-wave ratio of 1.5 or lower at all three frequencies. Copyright ¬© 1982 by The Institute of Electrical and Electronics Engineers, Inc.</t>
  </si>
  <si>
    <t>analysis | EMP simulator | rhombic</t>
  </si>
  <si>
    <t>['wave ratio', 'wave current', 'three frequencies', 'rhombic wires', 'rhombic structure', 'low standing', 'low frequencies', 'high frequencies', 'emp simulator', 'electronics engineers', 'electric field', 'current along', 'complete analysis', 'characteristic impedance', 'analysis indicates']</t>
  </si>
  <si>
    <t>2-s2.0-0020125331</t>
  </si>
  <si>
    <t>10.1109/TAP.1982.1142822</t>
  </si>
  <si>
    <t>Wave Transmission Through a Spherical Dielectric Shell</t>
  </si>
  <si>
    <t>Lee S.</t>
  </si>
  <si>
    <t>Lee, Shung Wu;Sheshadri, Mysore S.;Jamnejad, Vahraz;Mittra, Raj</t>
  </si>
  <si>
    <t>7601396617;6602966527;6701419948;55197051100</t>
  </si>
  <si>
    <t>60000745;60000745;60000745;60000745</t>
  </si>
  <si>
    <t>373-380</t>
  </si>
  <si>
    <t>The transmission of a spherical electromagnetic wave through a dielectric shell is considered. The two surfaces of the shell are spherical (either concave or convex), and their centers are arbitrarily located in relation to the source point. The field solution determined by the geometrical optics (GO) theory is given in a simple closed form. Special attention is given to the lens effect of the dielectric shell which converts the incoming spherical pencil into a focusing pencil. Copyright ¬© 1982 by The Institute of Electrical and Electronics Engineers, Inc.</t>
  </si>
  <si>
    <t>['two surfaces', 'special attention', 'source point', 'lens effect', 'geometrical optics', 'focusing pencil', 'electronics engineers', 'either concave', 'dielectric shell', 'convex ),', 'arbitrarily located']</t>
  </si>
  <si>
    <t>2-s2.0-0020124552</t>
  </si>
  <si>
    <t>DIFFRACTION OF AN ELECTROMAGNETIC WAVE FROM A NARROW SLOT IN THE PRESENCE OF A NEARBY PARALLEL SCREEN.</t>
  </si>
  <si>
    <t>Garb K.</t>
  </si>
  <si>
    <t>Garb, Kh L.;Pochikayev, G. V.;Fridberg, P. Sh</t>
  </si>
  <si>
    <t>7004023412;6506763595;6603930754</t>
  </si>
  <si>
    <t>40-47</t>
  </si>
  <si>
    <t>The diffraction of an electromagnetic wave from a narrow slot cut in the wall of an infinite planar waveguide of height b VM LS TH lambda , is discussed. The voltage on the slot is described by Fel'd integral-differential equation in which the basic parameter of the theory of slot antennas has a radically different structure. The plotted curves indicate that the presence of a nearby parallel screen has a substantial effect on the resonance properties of a narrow slot.</t>
  </si>
  <si>
    <t>['substantial effect', 'slot antennas', 'resonance properties', 'narrow slot', 'electromagnetic wave', 'differential equation', 'basic parameter']</t>
  </si>
  <si>
    <t>2-s2.0-0020124470</t>
  </si>
  <si>
    <t>METHOD FOR THE DESIGN OF CIRCULAR, MULTIFREQUENCY DIPOLE ARRAYS.</t>
  </si>
  <si>
    <t>Il'inskiy A.</t>
  </si>
  <si>
    <t>Il'inskiy, A. S.;Ponomarev, L. A.</t>
  </si>
  <si>
    <t>6603699283;55412352800</t>
  </si>
  <si>
    <t>47-50</t>
  </si>
  <si>
    <t>A method is presented for the design of periodic, circular, multifrequency dipole arrays (DA). For an arbitrary excitation of the DA, the problem is reduced to a solution of N independent systems of integral equations for the dipole currents of a single periodic section of the DA. Formulas are given for computation of the radiation pattern of a circular DA and of the input impedance of the dipoles at every frequency.</t>
  </si>
  <si>
    <t>['radiation pattern', 'integral equations', 'input impedance', 'every frequency', 'dipole currents', 'da ).', 'circular da', 'arbitrary excitation']</t>
  </si>
  <si>
    <t>2-s2.0-0020120180</t>
  </si>
  <si>
    <t>10.1049/ree.1982.0027</t>
  </si>
  <si>
    <t>Design considerations for ruze and rotman lenses</t>
  </si>
  <si>
    <t>Smith M.</t>
  </si>
  <si>
    <t>University College London</t>
  </si>
  <si>
    <t>Smith, M. S.</t>
  </si>
  <si>
    <t>181-187</t>
  </si>
  <si>
    <t>Ruze and Rotman lenses are types of parallel-plate lens which can be used to form multiple beams for antenna arrays. An algebraic analysis is used to relate the different orders of phase aberration to the lens contours, and shows that lenses with zero second- and third-order aberrations can be designed. For a given array length and beam scan angle requirement, the analysis determines the minimum lens size and simplest design which can be used. ¬© 1982, The Institution of Electronic and Radio Engineers. All rights reserved.</t>
  </si>
  <si>
    <t>Antennas | Phased arrays</t>
  </si>
  <si>
    <t>['¬© 1982', 'zero second', 'simplest design', 'rotman lenses', 'rights reserved', 'radio engineers', 'plate lens', 'phase aberration', 'order aberrations', 'lens contours', 'different orders', 'antenna arrays', 'analysis determines', 'algebraic analysis']</t>
  </si>
  <si>
    <t>2-s2.0-0020115926</t>
  </si>
  <si>
    <t>CALCULATION OF THE RADIATION PATTERNS OF APERTURE ANTENNAS.</t>
  </si>
  <si>
    <t>62-66</t>
  </si>
  <si>
    <t>A method is developed for calculating the radiation patterns of antennas with polygonal and circular apertures in the Kirchhoff approximation. The method is based on the polynomial approximation of the distribution of the field in the antenna aperture. The radiation pattern is represented in the form of two series (with respect to the direct and inverse powers of the generalized angular parameter). One of the series is used for calculation with small values of this parameter and the other with large values.</t>
  </si>
  <si>
    <t>['two series', 'small values', 'radiation patterns', 'radiation pattern', 'polynomial approximation', 'large values', 'kirchhoff approximation', 'inverse powers', 'circular apertures', 'antenna aperture']</t>
  </si>
  <si>
    <t>2-s2.0-0020115017</t>
  </si>
  <si>
    <t>MAXIMUM SIGNAL POWER AT THE OUTPUT OF AN ANTENNA ARRAY WITH CONTROLLED POLARIZATION OF THE FIELD.</t>
  </si>
  <si>
    <t>Korniyenko L.</t>
  </si>
  <si>
    <t>Korniyenko, L. G.;Osipov, A. S.</t>
  </si>
  <si>
    <t>7006637151;7202978214</t>
  </si>
  <si>
    <t>67-70</t>
  </si>
  <si>
    <t>A method is given for optimization of antenna arrays with controlled polarization of the field according to the criterion of the received signal maximum power. The feasibility of obtaining dips in the radiation pattern in specified directions is examined. The special features of the antenna field polarization structure are studied on an example of synthesis of a linear array of cruciform dipoles.</t>
  </si>
  <si>
    <t>['specified directions', 'special features', 'radiation pattern', 'obtaining dips', 'linear array', 'field according', 'cruciform dipoles', 'controlled polarization', 'antenna arrays']</t>
  </si>
  <si>
    <t>2-s2.0-0020111177</t>
  </si>
  <si>
    <t>10.1016/0011-2275(82)90104-7</t>
  </si>
  <si>
    <t>Design and performance of cryogenic enclosures for long duration testing of large samples</t>
  </si>
  <si>
    <t>Hamilton W.O.</t>
  </si>
  <si>
    <t>60031806;60026175;60025209;60022144;60016296;60012708;60010756;60007566;60003269</t>
  </si>
  <si>
    <t>The University of Western Australia;Lawrence Livermore National Laboratory;Northrop Grumman corporation;University of Central Florida;National Aeronautics and Space Administration;Stanford University;Dartmouth College;Louisiana State University;Princeton University</t>
  </si>
  <si>
    <t>Perth;Livermore;Los Angeles;Orlando;Washington, D.C.;Palo Alto;Hanover;Baton Rouge;Princeton</t>
  </si>
  <si>
    <t>Australia;United States;United States;United States;United States;United States;United States;United States;United States</t>
  </si>
  <si>
    <t>Hamilton, W. O.;Pipes, P. B.;Kleve, S.;Bernat, T. P.;Blair, D. G.;Darling, D. H.;Dewitt, D.;McAshan, M. S.;Taber, R.;Bough, S. P.;Fairbank, W. M.;Montgomery, W. P.;Oelfke, W. C.</t>
  </si>
  <si>
    <t>10640778500;6602302901;6505651383;6701776602;22974326500;7004779947;57216069653;6603410043;7006744335;24516782800;7003358403;24519687800;6602219187</t>
  </si>
  <si>
    <t>60007566;60010756;60025209;60026175;60031806;60012708;60007566;60012708;60003269;60016296;;60016296;60022144</t>
  </si>
  <si>
    <t>Cryogenics</t>
  </si>
  <si>
    <t>107-112</t>
  </si>
  <si>
    <t>We have designed a large helium dewar as part of an experiment to investigate gravitational radiation. Two such dewars have been constructed. Our use requires a nonmagnetic dewar to cool an aluminium antenna of approximately 5000 kg to below helium temperatures and to keep the antenna in a stable low temperature environment for extended time. This requires a low temperature volume of 1.5 m inner diameter and 3.1 m length and a cooling system capable of efficiently removing the room temperature enthalpy of 8.5 √ó 108 J. Our solution to this problem is of wider application than simply gravity wave detection so we have discussed the design philosophy in some detail. As constructed, the apparatus uses less than 1 l of helium per hour when cold. ¬© 1982.</t>
  </si>
  <si>
    <t>Cryogenic, helium dewar | gravitational radiation</t>
  </si>
  <si>
    <t>['¬© 1982', 'wider application', 'use requires', 'nonmagnetic dewar', 'inner diameter', 'helium temperatures', 'extended time', 'efficiently removing', 'design philosophy', 'aluminium antenna', '1 l']</t>
  </si>
  <si>
    <t>2-s2.0-0020111061</t>
  </si>
  <si>
    <t>10.1002/j.2161-4296.1982.tb00789.x</t>
  </si>
  <si>
    <t>The Loran‚ÄêC Receiver A Functional Description</t>
  </si>
  <si>
    <t>POPPE M.</t>
  </si>
  <si>
    <t>POPPE, MARTIN CARL</t>
  </si>
  <si>
    <t>Spring 1982</t>
  </si>
  <si>
    <t>Navigation</t>
  </si>
  <si>
    <t>56-68</t>
  </si>
  <si>
    <t>This paper provides a functional description of a typical Loran‚ÄêC receiver, with the goal of providing the navigation system specialist with an insight into the processing which is accomplished within the Loran‚ÄêC receiver. The Loran‚ÄêC system transmits accurately timed pulses. The receiver's function is to measure the time, either relative or absolute, at which these pulses arrive at the user's receiver. To understand how the receiver works, it is necessary first to understand the signal structure of the Loran‚ÄêC system. This structure is described to the depth necessary to understand the receiving task and the elements of a typical Loran‚ÄêC receiver. The receiving task is described in terms of the functional states of: Initialization Acquisition Pulse Group Time Reference Identification Tracking. Through the description of a typical receiver, the interaction of the various receiver components from the antenna to the display is introduced. 1982 Institute of Navigation</t>
  </si>
  <si>
    <t>['typical receiver', 'signal structure', 'receiving task', 'receiver works', 'pulses arrive', 'paper provides', 'necessary first', 'functional states', 'functional description', 'either relative', 'depth necessary', 'accomplished within', '1982 institute']</t>
  </si>
  <si>
    <t>2-s2.0-0020105141</t>
  </si>
  <si>
    <t>10.1016/0094-5765(82)90082-0</t>
  </si>
  <si>
    <t>Some aspects related to the satellite applications in non-stationary 24-hour orbits</t>
  </si>
  <si>
    <t>Kumar K.</t>
  </si>
  <si>
    <t>Indian Institute of Technology Kanpur</t>
  </si>
  <si>
    <t>Kanpur</t>
  </si>
  <si>
    <t>Kumar, K.</t>
  </si>
  <si>
    <t>147-154</t>
  </si>
  <si>
    <t>In view of the increasing crowding of the limited geosynchronous space, the inclined/elliptic 24-hr satellite orbits are likely to find greater acceptance by spacecraft designers in the future. The proposed quasi-synchronous orbits appear to present practically unlimited opportunities while retaining some of the essential features of geostationary systems. This paper examines some general aspects related to the application of these non-stationary orbits. The analysis suggests that their use enables considerable savings in the booster energy requirements. The disadvantages include the need for varying the communication power leading to increased radiated peak power requirements and angular satellite drift resulting in excessive demands on attitude control of the satellite and ground-based antennas. However, it is felt that the significant advantage of payload weight-saving may effectively compensate for the various disadvantages in several design situations, particularly for non-communication applications. Finally, some non-conventional applications of the quasi-stationary satellites are proposed. ¬© 1982.</t>
  </si>
  <si>
    <t>['¬© 1982', 'various disadvantages', 'stationary satellites', 'stationary orbits', 'spacecraft designers', 'significant advantage', 'proposed quasi', 'payload weight', 'paper examines', 'increasing crowding', 'geostationary systems', 'excessive demands', 'essential features', 'elliptic 24', 'disadvantages include', 'conventional applications', 'communication applications', 'based antennas', 'attitude control', 'analysis suggests']</t>
  </si>
  <si>
    <t>2-s2.0-0020103658</t>
  </si>
  <si>
    <t>SATELLITE HOME RECEIVER A NECESSARY ELEMENT FOR FUTURE BROADCASTING USES.</t>
  </si>
  <si>
    <t>Ohta T.</t>
  </si>
  <si>
    <t>Ohta, Tomozo</t>
  </si>
  <si>
    <t>Mar</t>
  </si>
  <si>
    <t>JEE, Journal of Electronic Engineering</t>
  </si>
  <si>
    <t>52-55</t>
  </si>
  <si>
    <t>The satellite home receiver used in individual reception is discussed and a brief description is given regarding its system features, system composition, and its major components. Oki Electric's OK-810 is used as an example of the home receiver, since this model has been used before for various satellite receptions.</t>
  </si>
  <si>
    <t>['system features', 'system composition', 'oki electric', 'major components', 'individual reception', 'home receiver', 'given regarding', 'brief description']</t>
  </si>
  <si>
    <t>2-s2.0-0020102768</t>
  </si>
  <si>
    <t>10.1109/TAP.1982.1142770</t>
  </si>
  <si>
    <t>Resonant Scattering for Characterization of Axisymmetric Dielectric Objects</t>
  </si>
  <si>
    <t>Barber P.W.</t>
  </si>
  <si>
    <t>60025488;60005455</t>
  </si>
  <si>
    <t>The University of Utah;Yale University</t>
  </si>
  <si>
    <t>Salt Lake City;New Haven</t>
  </si>
  <si>
    <t>Barber, Peter W.;Chang, Richard K.</t>
  </si>
  <si>
    <t>57222996067;26642906000</t>
  </si>
  <si>
    <t>60025488-60005455;60005455</t>
  </si>
  <si>
    <t>168-172</t>
  </si>
  <si>
    <t>Resonances in the electromagnetic scattering by dielectric objects are investigated both numerically and experimentally with particular emphasis on their direct application to object characterization. Low ka calculations for spheres and an infinite circular cylinder illustrate the modal nature of the resonances and the dependence of the resonance spectra on refractive index and size. Experiments show that the specific wavelengths at which resonances occur in the scattering intensity from a glass fiber can be used to determine its diameter to a high accuracy. The extended boundary condition method is used to calculate the low ka resonances of a prolate spheroid and a finite circulate cylinder with the anticipation that the scattering resonances may be particularly suitable for characterizing randomly oriented nonspherical objects. Copyright ¬© 1982 by The Institute of Electrical and Electronics Engineers, Inc.</t>
  </si>
  <si>
    <t>['specific wavelengths', 'scattering intensity', 'resonances occur', 'resonance spectra', 'refractive index', 'prolate spheroid', 'particularly suitable', 'particular emphasis', 'object characterization', 'modal nature', 'high accuracy', 'glass fiber', 'experiments show', 'electronics engineers', 'electromagnetic scattering', 'direct application', 'dielectric objects']</t>
  </si>
  <si>
    <t>2-s2.0-0020102457</t>
  </si>
  <si>
    <t>10.1029/RS017i002p00357</t>
  </si>
  <si>
    <t>Frequency response of a synthesis array: Performance limitations and design tolerances</t>
  </si>
  <si>
    <t>Thompson, A. R.;D'Addario, L. R.</t>
  </si>
  <si>
    <t>56318546300;6601913908</t>
  </si>
  <si>
    <t>March-April 1982</t>
  </si>
  <si>
    <t>357-369</t>
  </si>
  <si>
    <t>The frequency responses of the receiving channels of a radio astronomy synthesis array and, in particular, the variations between them for different antennas are factors that limit the accuracy and sensitivity of the instrument. A response that approximates a rectangular passband as closely as possible is advantageous from considerations of maximizing sensitivity within a given frequency band and minimizing the smearing of detail in the outer regions of a map. Tolerances on slopes, ripples, and other bandpass distortions can be determined by examining their effects with regard to loss in sensitivity and the introduction of errors in the assignment of complex gain factors for individual antennas by using calibration observations. These calibration errors are generally larger in amplitude than in phase and their effect is usually more serious than the loss in sensitivity. Velocity dispersion in waveguide transmission systems and the accuracy in adjustment of compensating time delays also affect the phase responses of the signal channels, and examination of these effects also leads to limits on system design parameters. Implementation of the tolerances derived, including some details of the filter specifications, is discussed for the very large array radio telescope of the National Radio Astronomy Observatory. Appendices contain an algorithm for performing a least squares solution for antenna gains and an analysis of the variation of the signal‚Äêto‚Äênoise ratio over the channels of a spectral line correlator system. This paper is not subject to U.S. copyright. Published in 1982 by the American Geophysical Union.</t>
  </si>
  <si>
    <t>['velocity dispersion', 'tolerances derived', 'signal channels', 'rectangular passband', 'receiving channels', 'phase responses', 'outer regions', 'individual antennas', 'generally larger', 'frequency responses', 'filter specifications', 'different antennas', 'calibration errors', 'bandpass distortions', 'appendices contain', 'antenna gains']</t>
  </si>
  <si>
    <t>2-s2.0-0020102456</t>
  </si>
  <si>
    <t>10.1029/RS017i002p00349</t>
  </si>
  <si>
    <t>The phase center of a monopole antenna</t>
  </si>
  <si>
    <t>de Jong G.</t>
  </si>
  <si>
    <t>de Jong, G.</t>
  </si>
  <si>
    <t>349-355</t>
  </si>
  <si>
    <t>In Doppler satellite positioning techniques the receiver is often equipped with a monopole antenna. The location of the phase center of this antenna is needed if high accuracy positioning is to be achieved. The phase center, however, changes with the direction of incidence of the received electromagnetic wave. In this paper the phase center is calculated for the idealized model of a monopole antenna with an infinitely large, perfectly conducting ground plane. The analysis is carried out by using the boundary integral equation method for determining the surface current density on the conducting parts of the configuration. Copyright 1982 by the American Geophysical Union.</t>
  </si>
  <si>
    <t>['phase center', 'often equipped', 'monopole antenna', 'infinitely large', 'idealized model', 'copyright 1982', 'conducting parts']</t>
  </si>
  <si>
    <t>2-s2.0-0020102382</t>
  </si>
  <si>
    <t>10.1115/1.3149629</t>
  </si>
  <si>
    <t>Modelling and performance assessment of an antenna-control system</t>
  </si>
  <si>
    <t>Burrows C.</t>
  </si>
  <si>
    <t>University of Sussex</t>
  </si>
  <si>
    <t>Brighton</t>
  </si>
  <si>
    <t>Burrows, C. R.</t>
  </si>
  <si>
    <t>Journal of Dynamic Systems, Measurement and Control, Transactions of the ASME</t>
  </si>
  <si>
    <t>41-48</t>
  </si>
  <si>
    <t>An assessment is made of a surveillance-radar control system designed to provide a sector-search capability and continuous control of antenna speed without unwanted torque-reaction on the supporting mast. These objectives are attained by utilizing regenerative braking, and control is exercised through Perbury CVTs. A detailed analysis of the system is given. The models derived for the Perbury CVTs supplement the qualitative data contained in earlier papers. Some results from a computer simulation are presented. Although the paper is concerned with a particular problem, the analysis of the CVTs, and the concept of using energy transfer to control large inertial loads, are of more general interest. ¬© 1982 ASME.</t>
  </si>
  <si>
    <t>['supporting mast', 'search capability', 'perbury cvts', 'particular problem', 'models derived', 'general interest', 'earlier papers', 'detailed analysis', 'continuous control', 'computer simulation']</t>
  </si>
  <si>
    <t>2-s2.0-0020102298</t>
  </si>
  <si>
    <t>10.1109/TAP.1982.1142766</t>
  </si>
  <si>
    <t>Design of Microstrip Antennas Covered with a Dielectric Layer</t>
  </si>
  <si>
    <t>Bahl I.J.</t>
  </si>
  <si>
    <t>60028897;60017597</t>
  </si>
  <si>
    <t>University of Ottawa;Defence Research and Development Canada</t>
  </si>
  <si>
    <t>Bahl, Inder J.;Stuchly, Stanislaw S.;Bhartia, Prakash</t>
  </si>
  <si>
    <t>7006923871;56803516700;57027395900</t>
  </si>
  <si>
    <t>60028897;60028897;60017597</t>
  </si>
  <si>
    <t>314-318</t>
  </si>
  <si>
    <t>The design of a microstrip antenna covered with a dielectric layer is presented. Due to loading, the resonant frequency of the antenna changes. The absolute value of the change increases with the operating frequency, the relative permittivity (except plasma), and the thickness of the dielectric layer. This change may cause degradation in performance due to the inherent narrow bandwidth of microstrip antennas if the effect of loading is not considered in the design. The curves presented here may be used to design microstrip antennas that may be subjected to icing or a plasma environment or coated with protective layers. Numerical and experimental results for the fractional change in the resonant frequency are found to be in good agreement. Copyright ¬© 1982 by The Institute of Electrical and Electronics Engineers, Inc.</t>
  </si>
  <si>
    <t>['resonant frequency', 'relative permittivity', 'protective layers', 'plasma environment', 'performance due', 'operating frequency', 'microstrip antennas', 'good agreement', 'fractional change', 'experimental results', 'electronics engineers', 'dielectric layer', 'curves presented', 'change increases', 'antenna changes', 'absolute value']</t>
  </si>
  <si>
    <t>2-s2.0-0020102297</t>
  </si>
  <si>
    <t>10.1109/TAP.1982.1142785</t>
  </si>
  <si>
    <t>Analysis of a Large Linear Antenna Array of Uniformly Spaced Thin-Wire Dipoles Parallel to a Perfectly Conducting Plane</t>
  </si>
  <si>
    <t>Luzwick J.L.</t>
  </si>
  <si>
    <t>Luzwick, John L.;Ngai, Eugene C.;Adams, Arlon T.</t>
  </si>
  <si>
    <t>6507412984;7003298973;7401909668</t>
  </si>
  <si>
    <t>60030551;60030551;60030551</t>
  </si>
  <si>
    <t>230-234</t>
  </si>
  <si>
    <t>A method of moments solution is presented for the analysis of a large linear antenna array of uniformly spaced thin-wire dipoles parallel to an infinite perfectly conducting plane. A single piecewise sinusoidal expansion and testing function per dipole is used in a Galerkin procedure. This results in a symmetric Toeplitz generalized impedance matrix requiring approximately 2N2 multiplications and divisions to determine the unknown dipole currents. The solution corresponds to a savings of a factor of N/6 over a Gaussian elimination solution. Computed results are given for a 1000-element dipole array. Copyright ¬© 1982 by The Institute of Electrical and Electronics Engineers, Inc.</t>
  </si>
  <si>
    <t>['solution corresponds', 'moments solution', 'galerkin procedure', 'electronics engineers', 'computed results']</t>
  </si>
  <si>
    <t>2-s2.0-0020102296</t>
  </si>
  <si>
    <t>10.1109/TAP.1982.1142773</t>
  </si>
  <si>
    <t>A Dual-Band TEM Lens for a Multiple Beam Antenna System</t>
  </si>
  <si>
    <t>Luh H.</t>
  </si>
  <si>
    <t>Luh, Howard H.S.;Smith, Terry M.;Scott, William G.</t>
  </si>
  <si>
    <t>7003568836;55728668000;7403053521</t>
  </si>
  <si>
    <t>224-229</t>
  </si>
  <si>
    <t>A three-dimensional electromagnetic (TEM) lens is made of many printed circuit cards for future satellite multiple beam antenna applications. To obtain a low scan aberration lens combined with cross-polarization suppression, the lens array faces have a nonuniform distribution of element rotational orientations, making the array faces electrically nonuniform as to mutual coupling. An experimental procedure is presented for developing dual-band active impedance matched lens elements. Using such elements, a lens is built and tested to verify the adequacy of the design procedure. Copyright ¬© 1982 by The Institute of Electrical and Electronics Engineers, Inc.</t>
  </si>
  <si>
    <t>['polarization suppression', 'nonuniform distribution', 'mutual coupling', 'experimental procedure', 'electronics engineers', 'dimensional electromagnetic', 'developing dual', 'design procedure']</t>
  </si>
  <si>
    <t>2-s2.0-0020102295</t>
  </si>
  <si>
    <t>10.1109/TAP.1982.1142761</t>
  </si>
  <si>
    <t>Resonant Behavior of a Small Aperture Backed by a Conducting Body</t>
  </si>
  <si>
    <t>Harrington R.</t>
  </si>
  <si>
    <t>Harrington, Roger F.</t>
  </si>
  <si>
    <t>205-212</t>
  </si>
  <si>
    <t>The problem of an electrically small aperture in a conducting screen backed by a conducting body is analyzed. It is found that aperture-body resonances can occur for which the power transmitted through the aperture backed by a conducting body is much larger than that when the body is not present. An example is an electrically small aperture resonated by a capacitor across its midpoint. In the loss-free case, the transmission cross section of a small resonated aperture is 3Œª2_/4œÄ independent of the size or shape of the aperture. For actual conductors, the transmission cross section will be increasingly reduced by conduction loss as the aperture is made smaller. Copyright ¬© 1982 by The Institute of Electrical and Electronics Engineers, Inc.</t>
  </si>
  <si>
    <t>['power transmitted', 'much larger', 'made smaller', 'increasingly reduced', 'free case', 'electronics engineers', 'conduction loss', 'conducting body', 'capacitor across', 'body resonances', 'aperture backed', 'actual conductors', '4œä independent']</t>
  </si>
  <si>
    <t>2-s2.0-0020102294</t>
  </si>
  <si>
    <t>10.1109/TAP.1982.1142778</t>
  </si>
  <si>
    <t>The Analysis of the RF Response of a Solid Wire Excited by a Focused Laser Beam</t>
  </si>
  <si>
    <t>Demarest K.</t>
  </si>
  <si>
    <t>60009465;60003500</t>
  </si>
  <si>
    <t>Lafayette College;The Ohio State University</t>
  </si>
  <si>
    <t>Easton;Columbus</t>
  </si>
  <si>
    <t>Demarest, Kenneth R.;Richmond, Jack H.</t>
  </si>
  <si>
    <t>7005740358;7202816808</t>
  </si>
  <si>
    <t>177-182</t>
  </si>
  <si>
    <t>The solution is presented for the current excited on a solid cylindrical wire with a flat endcap which is excited by a short current filament oriented parallel to the wire axis and located on or near the endcap surface. This wire/source geometry has become of interest as a result of experimental findings in which transient source filaments have been excited on metal targets due to the incidence of a high-power short-pulse laser beam. Steady-state solutions are developed which show the basic characteristics of the responses and their dependence on critical wire and source parameters. Transient responses also are presented and shown to exhibit excellent agreement with measured results. Copyright ¬© 1982 by The Institute of Electrical and Electronics Engineers, Inc.</t>
  </si>
  <si>
    <t>['wire axis', 'state solutions', 'source parameters', 'source geometry', 'power short', 'measured results', 'flat endcap', 'experimental findings', 'endcap surface', 'electronics engineers', 'current excited', 'critical wire', 'basic characteristics']</t>
  </si>
  <si>
    <t>2-s2.0-0020102002</t>
  </si>
  <si>
    <t>10.1109/TAP.1982.1142768</t>
  </si>
  <si>
    <t>Radiation from a Small Monopole in a Uniaxially Anisotropic Plasma</t>
  </si>
  <si>
    <t>Matin M.A.</t>
  </si>
  <si>
    <t>60021158;60008435</t>
  </si>
  <si>
    <t>Bangladesh University of Engineering and Technology;Tohoku University</t>
  </si>
  <si>
    <t>Dhaka;Sendai</t>
  </si>
  <si>
    <t>Bangladesh;Japan</t>
  </si>
  <si>
    <t>Matin, Md Abdul;Ishizone, Takayuki;Sawaya, Kunio</t>
  </si>
  <si>
    <t>57198025693;56843454200;57203953646</t>
  </si>
  <si>
    <t>60021158-60008435;60008435;60008435</t>
  </si>
  <si>
    <t>235-240</t>
  </si>
  <si>
    <t>The radiation field of a small monopole over a ground plane covered with a uniaxially anisotropic plasma with an arbitrary inclination of the optical axis is studied. A steepest descent evaluation of the field integrals has been performed under the elliptic condition, and some calculated power patterns have been studied in comparison with those for a small dipole in an unbounded uniaxially anisotropic plasma. For an arbitrary inclination of the optic axis, considerable differences between the power patterns of the two configurations have been observed. Lateral waves and concentrated field regions are found to occur from mode coupling at the surface of the ground plane. Copyright ¬© 1982 by The Institute of Electrical and Electronics Engineers, Inc.</t>
  </si>
  <si>
    <t>['two configurations', 'small monopole', 'small dipole', 'radiation field', 'power patterns', 'optical axis', 'optic axis', 'mode coupling', 'lateral waves', 'ground plane', 'field integrals', 'elliptic condition', 'electronics engineers', 'considerable differences', 'arbitrary inclination']</t>
  </si>
  <si>
    <t>2-s2.0-0020101918</t>
  </si>
  <si>
    <t>10.1109/TAES.1982.309232</t>
  </si>
  <si>
    <t>On Clutter Modeling and the Spectra of Two-Dimensional Gauss-Markov Random Signals</t>
  </si>
  <si>
    <t>Blanco M.A.</t>
  </si>
  <si>
    <t>University of Virginia</t>
  </si>
  <si>
    <t>Charlottesville</t>
  </si>
  <si>
    <t>Blanco, Mario A.</t>
  </si>
  <si>
    <t>228-234</t>
  </si>
  <si>
    <t>The spectral properties of two-dimensional isotropic clutter signals are examined for the cases in which 1) the clutter has an exponential spatial autocorrelation function, and 2) the clutter is a two-dimensional Gauss-Markov random signal. The one- and two-dimensional power spectral densities before and after antenna filtering are obtained, and some of the differences and similarities between these two models are discussed in the context of spectral analysis. Copyright ¬© 1982 by The Institute of Electrical and Electronics Engineers, Inc.</t>
  </si>
  <si>
    <t>['two models', 'spectral properties', 'spectral analysis', 'electronics engineers', 'dimensional gauss', 'antenna filtering']</t>
  </si>
  <si>
    <t>2-s2.0-0020101867</t>
  </si>
  <si>
    <t>10.1109/TAP.1982.1142783</t>
  </si>
  <si>
    <t>SEM Parameter Extraction Through Transient Surface Current Measurement Using King-Type Probes</t>
  </si>
  <si>
    <t>Pearson L.W.</t>
  </si>
  <si>
    <t>60074655;60010491</t>
  </si>
  <si>
    <t>Physical Science Laboratory;University of Mississippi</t>
  </si>
  <si>
    <t>Las Cruces;University</t>
  </si>
  <si>
    <t>Pearson, L. Wilson;Lee, Youn M.</t>
  </si>
  <si>
    <t>7103019064;57207015207</t>
  </si>
  <si>
    <t>60010491;60074655</t>
  </si>
  <si>
    <t>260-266</t>
  </si>
  <si>
    <t>The well-known miniature loop technique pioneered by R. W. P. King and his co-workers for probing surface currents is considered for the case of measuring transient surface currents-in particular, for the use in performing singularity expansion method (SEM) extraction measurements. The theoretical performance of electrically small loops is reviewed and interpreted in the transient regime. Measured probe responses are presented and viewed against the backdrop of theory. Results are presented for current measurement on a cylindrical scatterer illuminated by a transient spherical wave and compared with numerical predictions. Singularity expansion descriptions extracted from the measured data are presented and ramifications regarding their accuracy and recoverability are discussed. Copyright ¬© 1982 by The Institute of Electrical and Electronics Engineers, Inc.</t>
  </si>
  <si>
    <t>['transient regime', 'theoretical performance', 'ramifications regarding', 'numerical predictions', 'measured data', 'extraction measurements', 'electronics engineers', 'current measurement']</t>
  </si>
  <si>
    <t>2-s2.0-0020101744</t>
  </si>
  <si>
    <t>10.1109/PROC.1982.12285</t>
  </si>
  <si>
    <t>Phased Array Theory and Technology</t>
  </si>
  <si>
    <t>Mailloux R.</t>
  </si>
  <si>
    <t>Hanscom AFB</t>
  </si>
  <si>
    <t>Mailloux, Robert J.</t>
  </si>
  <si>
    <t>246-291</t>
  </si>
  <si>
    <t>This review of array antennas highlights those elements of theory and hardware that are a part of the present rapid technological growth. The growth and change in array antennas include increased emphasis on ‚Äúspecial-purpose‚Äù array techniques such as conformal and printed circuit arrays, wide angle scanning arrays, techniques for limited sector coverage, and antennas with dramatically increased pattern control features such as low sidelobe, adaptively controlled patterns. These new topics have substantially replaced large radar arrays in the literature and constitute a major change in the technology. The paper presents a tutorial review of theoretical developments emphasizing techniques appropriate to finite arrays, but indicating parallel developments in infinite array theory, which has become the useful tool for analysis of large arrays. A brief review of the theory of ideal arrays is followed by a generalized formulation of array theory including mutual coupling effects, and is appropriate to finite or infinite arrays of arbitrary wire elements or apertures in the presence of a conducting ground screen. Some results of array tolerance theory are summarized from the literature and retained as reference throughout discussions of array component requirements and device tolerance for low sidelobe arrays. Examples from present technology include conformal and hemispherical coverage arrays, lightweight printed circuit arrays, systems for use with reflectors and lenses in limited sector coverage applications, and wide-band array techniques. Copyright ¬© 1982 by The institute of Electrical and Electronic Engineeer, Inc.</t>
  </si>
  <si>
    <t>['‚ äúspecial', 'useful tool', 'tutorial review', 'paper presents', 'new topics', 'major change', 'low sidelobe', 'large arrays', 'infinite arrays', 'ideal arrays', 'generalized formulation', 'finite arrays', 'electronic engineeer', 'device tolerance', 'brief review']</t>
  </si>
  <si>
    <t>2-s2.0-0020101283</t>
  </si>
  <si>
    <t>EVALUATION OF THE PARAMETERS OF MOTION OF AN OBJECT IN INDUCTIVE COMMUNICATION SYSTEMS.</t>
  </si>
  <si>
    <t>Ivanov V.</t>
  </si>
  <si>
    <t>Ivanov, V. S.;Ul'yanitskiy, Yu D.</t>
  </si>
  <si>
    <t>57198818647;6504750138</t>
  </si>
  <si>
    <t>62-67</t>
  </si>
  <si>
    <t>Inductive communications (IC) or communication in the induction zone, is widely used for wireless communication inside organizations, for controlling the movement of transport facilities, and for other purposes. The potential accuracy with which the parameters of motion of an object can be measured in systems based on inductive communication is determined. The optimal reception antenna geometry is found when the object position and rate of displacement are measured simultaneously.</t>
  </si>
  <si>
    <t>['widely used', 'transport facilities', 'systems based', 'potential accuracy', 'object position', 'measured simultaneously', 'inductive communications', 'inductive communication', 'induction zone']</t>
  </si>
  <si>
    <t>2-s2.0-0020101104</t>
  </si>
  <si>
    <t>OPERATIONAL METHOD FOR CHECKING MATCHING IN THE ANTENNA-WAVEGUIDE CIRCUITS OF RADIO-RELAY LINKS.</t>
  </si>
  <si>
    <t>Atamanskiy V.</t>
  </si>
  <si>
    <t>Atamanskiy, V. I.;Kotenko, A. V.</t>
  </si>
  <si>
    <t>6505925969;6701475045</t>
  </si>
  <si>
    <t>26-27</t>
  </si>
  <si>
    <t>Pulsed reflectometers provide effective tools for tuning the antenna-waveguide circuits (AWC) of radio-relay links because they allow one to determine the positions of irregularities in a waveguide. The circuit for measuring the AWC parameters of a radio-relay link is presented.</t>
  </si>
  <si>
    <t>['waveguide circuits', 'relay links', 'relay link', 'awc parameters', 'allow one']</t>
  </si>
  <si>
    <t>2-s2.0-0020100806</t>
  </si>
  <si>
    <t>10.1109/TAP.1982.1142763</t>
  </si>
  <si>
    <t>Spatial Correlations in Adaptive Arrays</t>
  </si>
  <si>
    <t>Lin H.C.</t>
  </si>
  <si>
    <t>Harris Corporation</t>
  </si>
  <si>
    <t>Lin, Heng Cheng</t>
  </si>
  <si>
    <t>212-223</t>
  </si>
  <si>
    <t>A receiving array antenna can steer its main beam toward any direction by adjusting the complex weight in each element. However it cannot always steer one beam and one null toward two prespecified directions simultaneously with a single set of weights. The ability for an array to steer one beam and one or more nulls simultaneously is determined by five factors: 1) element positions, 2) orientations of elements, 3) antenna patterns of elements, 4) polarizations of signals, and 5) directions of the beams and/or nulls. A coefficient is defined, called spatial correlation, which includes these factors and completely characterizes array beam pointing and nulling. Its application to adaptive arrays is demonstrated. The adaptive array performance is dominated by this coefficient and can be improved by properly choosing the first three factors. Several examples on the selection of element placement in adaptive arrays are presented. Copyright ¬© 1982 by The Institute of Electrical and Electronics Engineers, Inc.</t>
  </si>
  <si>
    <t>['single set', 'several examples', 'properly choosing', 'nulls simultaneously', 'five factors', 'element positions', 'element placement', 'electronics engineers', 'complex weight', 'antenna patterns', 'adaptive arrays']</t>
  </si>
  <si>
    <t>2-s2.0-0020100615</t>
  </si>
  <si>
    <t>10.1109/TAP.1982.1142779</t>
  </si>
  <si>
    <t>A Spectral-Iteration Approach for Analyzing Scattering from Frequency Selective Surfaces</t>
  </si>
  <si>
    <t>Tsao C.</t>
  </si>
  <si>
    <t>60011688;60000745</t>
  </si>
  <si>
    <t>Space Systems Loral;University of Illinois Urbana-Champaign</t>
  </si>
  <si>
    <t>Palo Alto;Urbana</t>
  </si>
  <si>
    <t>Tsao, Chich Hsing;Mittra, Raj</t>
  </si>
  <si>
    <t>7101839857;55197051100</t>
  </si>
  <si>
    <t>303-308</t>
  </si>
  <si>
    <t>A novel technique, called the spectral-iteration approach, for analyzing the problem of scattering from periodically perforated screens which find useful applications as radomes, optical filters, artificial dielectrics, and so on is applied. The formulation is carried out in the spectral domain where a set of algebraic equations is obtained directly for the spectral coefficients of the aperture field distribution (or the induced current density) rather than via an integral equation formulation. These equations are then solved simultaneously using an iterative procedure developed in this paper that circumvents the need for matrix inversion. Because the matrix solution is avoided in the spectral approach, it is capable of handling large aperture sizes in a computationally efficient manner. The efficiency of computation results from the use of the fast Fourier transform (FFT) algorithm which is employed in the derivation of the algebraic equations and in the iteration procedure. A unique feature of the spectral-iteration approach is that it has a built-in boundary-condition check which provides a reliable indication of the accuracy of the solution. It is also shown that the spectral domain technique can be applied to even a wider class of geometries, e.g., the step discontinuity in a waveguide. Copyright ¬© 1982 by The Institute of Electrical and Electronics Engineers, Inc.</t>
  </si>
  <si>
    <t>['wider class', 'unique feature', 'step discontinuity', 'spectral domain', 'spectral coefficients', 'spectral approach', 'reliable indication', 'optical filters', 'obtained directly', 'novel technique', 'matrix solution', 'matrix inversion', 'iteration procedure', 'iteration approach', 'g .,', 'electronics engineers', 'condition check', 'computation results', 'artificial dielectrics', 'also shown', 'algebraic equations']</t>
  </si>
  <si>
    <t>2-s2.0-0020100614</t>
  </si>
  <si>
    <t>10.1109/TAP.1982.1142764</t>
  </si>
  <si>
    <t>Slant Path Fade and Rain-Rate Statistics Associated with the COMSTAR Beacon at 28.56 GHz for Wallops Island, Virginia over a Three-Year Period</t>
  </si>
  <si>
    <t>Goldhirsh J.</t>
  </si>
  <si>
    <t>Goldhirsh, Julius</t>
  </si>
  <si>
    <t>191-198</t>
  </si>
  <si>
    <t>Rain-fade and rain-rate statistics covering a three-year period for Wallops Island, VA are presented. The attenuation statistics were derived from continuous measurements of beacon signals at 28.56 GHz emanating from the COMSTAR (D2 and D3) geostationary satellites. The rain-rate statistics were determined from continuous measurements of precipitation with tipping-bucket rain gauges. Descriptions are given of the yearly, overall average, monthly, and time-of-day fade as well as the yearly and overall rain-rate distributions. Relatively small year-to-year variations are noted for both the fade and rain-rate statistics; however, relatively large year-to-year changes are noted for the monthly and time-of-day cases. For example, the extreme average probability variations for the year-to-year cases are within ¬±20 percent relative to the average distribution over the fade interval from 3 to 25 dB. Over the rain-rate interval, 4-50 mm/h, the extreme probability deviations are within ¬±25 percent relative to the three-year average rain-rate distribution. Probability deviations of factors of two or more are noted, however, for the yearly variations in both the monthly and time-of-day statistics. Using effective parameter concepts coupled with the 28.56-GHz attenuation and rain-rate measurement, the cumulative fade distribution at 19.04 GHz is predicted. This, as well as the measured 28.56-GHz fade distributions are compared with those predicted using the International Radio Consultative Committee (CCIR) global model, and excellent agreement is noted. Copyright ¬© 1982 by The Institute of Electrical and Electronics Engineers, Inc.</t>
  </si>
  <si>
    <t>['yearly variations', 'year variations', 'year period', 'year changes', 'year cases', 'wallops island', 'rate statistics', 'rate measurement', 'rate interval', 'rate distributions', 'rate distribution', 'probability deviations', 'predicted using', 'overall rain', 'overall average', 'measured 28', 'global model', 'ghz attenuation', 'geostationary satellites', 'fade interval', 'excellent agreement', 'electronics engineers', 'day statistics', 'day fade', 'day cases', 'continuous measurements', 'beacon signals', 'average distribution', 'attenuation statistics', '50 mm', '25 db', '04 ghz']</t>
  </si>
  <si>
    <t>2-s2.0-0020100564</t>
  </si>
  <si>
    <t>10.1364/AO.21.000839</t>
  </si>
  <si>
    <t>Primary aberration contribution to incoherent backscatter heterodyne lidar returns</t>
  </si>
  <si>
    <t>Rye B.</t>
  </si>
  <si>
    <t>University of Hull</t>
  </si>
  <si>
    <t>Hull</t>
  </si>
  <si>
    <t>Rye, B. J.</t>
  </si>
  <si>
    <t>Applied Optics</t>
  </si>
  <si>
    <t>1559128X</t>
  </si>
  <si>
    <t>839-844</t>
  </si>
  <si>
    <t>The optics of a coherent lidar system using incoherent backscatter is modeled in a way that allows restilts of the wave theory of aberrations to be applied directly. Parametric plots are obtained showing the aberration and range dependence of the effective antenna area using truncated Gaussian beams. The Rayleigh criterion is an adequate guide to the optical tolerances required for the far-field return, and in the near field returns are not necessarily degraded by aberrations. Examples are given for the range weighting of returns for various primary mirror configurations. ¬© 1982, Optical Society of America.</t>
  </si>
  <si>
    <t>['¬© 1982', 'wave theory', 'rayleigh criterion', 'range weighting', 'range dependence', 'parametric plots', 'optical society', 'obtained showing', 'necessarily degraded', 'field return', 'applied directly', 'allows restilts', 'adequate guide']</t>
  </si>
  <si>
    <t>2-s2.0-0020100203</t>
  </si>
  <si>
    <t>10.1109/TAP.1982.1142784</t>
  </si>
  <si>
    <t>Phase Linearization of a Broad-Band Antenna Response in Time Domain</t>
  </si>
  <si>
    <t>Volakis J.</t>
  </si>
  <si>
    <t>Volakis, John L.;Young, Jonathan D.</t>
  </si>
  <si>
    <t>7102576479;7408526953</t>
  </si>
  <si>
    <t>309-313</t>
  </si>
  <si>
    <t>Broad-band antennas often introduce phase distortions to their associated signals. A digital technique is introduced to correct (linearize) the antenna phase response in the time domain without use of the fast Fourier transform (FFT) which in a minicomputer requires extensive computer time and storage for its implementation. The process can be performed in real time. It is accomplished by appropriately piecewise linearizing the phase response and correcting each linear phase (constant time delay) segment with respect to a time reference. The correction is performed with the application of a relative time delay and phase offset. Copyright ¬© 1982 by The Institute of Electrical and Electronics Engineers, Inc.</t>
  </si>
  <si>
    <t>['time reference', 'real time', 'phase response', 'phase offset', 'linear phase', 'electronics engineers', 'digital technique', 'associated signals']</t>
  </si>
  <si>
    <t>2-s2.0-0020100049</t>
  </si>
  <si>
    <t>10.1109/TAP.1982.1142765</t>
  </si>
  <si>
    <t>Synthesis of Antenna Patterns with Prescribed Nulls</t>
  </si>
  <si>
    <t>Steyskal H.</t>
  </si>
  <si>
    <t>Steyskal, Hans</t>
  </si>
  <si>
    <t>273-279</t>
  </si>
  <si>
    <t>The least mean square pattern synthesis method is extended to include constraints such as pattern nulls or pattern-derivative nulls at a given set of angles. The problem is formulated as a constrained approximation problem which is solved exactly, and a clear geometrical interpretation of the solution in a multidimensional vector space is given. The relation of the present method to those of constrained gain maximization and signal-to-noise ratio (SNR) maximization is discussed and conditions for their equivalence stated. For a linear uniform N-element array it is shown that, when M single nulls are imposed on a given ‚Äúquiescent‚Äù pattern, the optimum solution for the constrained pattern is the initial pattern and a set of M-weighted (sin Nx)/sin x-beams. Each beam is centered exactly at the corresponding pattern null, irrespective of its relative location. For the case of higher order nulls, the nth pattern derivative is similarly canceled by the nth derivative of a (sin Nx)/sin x-beam. In addition, simple quantitative expressions are derived for the pattern change and gain cost associated with the forced pattern nulls. Several illustrative examples are included. Copyright ¬© 1982 by The Institute of Electrical and Electronics Engineers, Inc.</t>
  </si>
  <si>
    <t>['solved exactly', 'single nulls', 'similarly canceled', 'relative location', 'present method', 'pattern nulls', 'pattern change', 'optimum solution', 'nth derivative', 'noise ratio', 'initial pattern', 'include constraints', 'given set', 'equivalence stated', 'element array', 'electronics engineers', 'derivative nulls', 'constrained pattern', 'centered exactly']</t>
  </si>
  <si>
    <t>2-s2.0-0020099805</t>
  </si>
  <si>
    <t>ACCELERATION OF ADAPTIVE OPTIMIZATION PROCEDURES IN SWITCHED ARRAY ANTENNAS.</t>
  </si>
  <si>
    <t>Abramovich Y.</t>
  </si>
  <si>
    <t>Abramovich, Yu I.;Ayzin, F. L.;Danilov, B. G.;Kogan, B. L.</t>
  </si>
  <si>
    <t>7006472158;6507156780;7003684887;7102931797</t>
  </si>
  <si>
    <t>42-48</t>
  </si>
  <si>
    <t>The possibility of accelerating the adaptive optimization procedures in switched array antennas is analyzed for the problem of separation of useful and interfering signals according to the directions of their arrival in the presence of errors in phase shifting. These possibilities are related to simultaneous switching of several phase shifters, limiting the region of the aperture where trial switchings of phase shifters are made and also to stopping the search for the better suppression of interfering signals at a switching step at which a specified level has been reached. The validity of obtained results is supported by digital computer simulation of adaptive interference suppression.</t>
  </si>
  <si>
    <t>['trial switchings', 'switching step', 'specified level', 'simultaneous switching', 'phase shifting', 'phase shifters', 'obtained results', 'interfering signals', 'better suppression']</t>
  </si>
  <si>
    <t>2-s2.0-0020099707</t>
  </si>
  <si>
    <t>COMPUTATION OF RHOMBIC ANTENNA CHARACTERISTICS BY SOLVING THE INTEGRAL EQUATION.</t>
  </si>
  <si>
    <t>Dudkovskiy E.</t>
  </si>
  <si>
    <t>Dudkovskiy, E. A.;Fomintsev, S. S.</t>
  </si>
  <si>
    <t>6507650536;6507283852</t>
  </si>
  <si>
    <t>23-27</t>
  </si>
  <si>
    <t>Characteristics of a rhombic antenna are derived by solving the integral equation for the current distribution. These results are compared to the results obtained by a known approximate design method and to measured results. A method is suggested for a substantial improvement of wideband matching of a rhombic antenna with the help of two lumped reactances.</t>
  </si>
  <si>
    <t>['wideband matching', 'substantial improvement', 'rhombic antenna', 'results obtained', 'measured results', 'integral equation', 'current distribution']</t>
  </si>
  <si>
    <t>2-s2.0-0020099679</t>
  </si>
  <si>
    <t>ACCURACY OF MEASUREMENT OF COORDINATES OF A COMPOSITE TARGET IN THE FRESNEL ZONE OF A LINEAR ANTENNA.</t>
  </si>
  <si>
    <t>Kremer I.</t>
  </si>
  <si>
    <t>Kremer, I. Ya;Potapov, N. A.</t>
  </si>
  <si>
    <t>7102018982;7004294204</t>
  </si>
  <si>
    <t>49-54</t>
  </si>
  <si>
    <t>Statistical characteristics of errors in measurement of coordinates of a composite target consisting of a set of unresolvable luminescent points are investigated. A general case is considered which includes targets in the far field and in the Fresnel zone of the receiving antenna. The effect of fluctuations of the wave front of the signal reflected from a composite target on the ability to measure the range by measuring the curvature of the signal wave front is estimated. Statistical computer simulation is used to establish the range of applicability of the obtained analytic formulas.</t>
  </si>
  <si>
    <t>['wave front', 'statistical characteristics', 'signal reflected', 'receiving antenna', 'includes targets', 'general case', 'fresnel zone', 'far field', 'composite target']</t>
  </si>
  <si>
    <t>2-s2.0-0020099057</t>
  </si>
  <si>
    <t>10.1109/TAP.1982.1142780</t>
  </si>
  <si>
    <t>Analysis of Rectangular Horn Antennas via Uniform Asymptotic Theory</t>
  </si>
  <si>
    <t>Menendez R.</t>
  </si>
  <si>
    <t>60021378;60000745</t>
  </si>
  <si>
    <t>Nokia Bell Labs;University of Illinois Urbana-Champaign</t>
  </si>
  <si>
    <t>Murray;Urbana</t>
  </si>
  <si>
    <t>Menendez, Ronald C.;Lee, Shung Wu</t>
  </si>
  <si>
    <t>55405690600;7601396617</t>
  </si>
  <si>
    <t>241-250</t>
  </si>
  <si>
    <t>Approximate analytic expressions for the far-field radiation pattern and modal reflection coefficient of the three-dimensional horn antenna have been developed. Based upon a multiple-image model of the two-dimensional horn-waveguide structure, this approach offers greater generality than previously proposed ray analyses with comparable complexity and accuracy. The uniform asymptotic theory (UAT), which is employed throughout, provides information when this approach is valid for a desired degree of accuracy in the solution. It is demonstrated that, in most cases, the far-field pattern of the horn is reducible to the pattern of a simple slit in an absorbing screen illuminated by an array of patterned line sources. The measured patterns of several horns are convincingly recovered by the prediction of the analytical model. The same model is used to calculate the modal reflection coefficient of the horn-waveguide structure and, again, comparison with measured results is excellent. Copyright ¬© 1982 by The Institute of Electrical and Electronics Engineers, Inc.</t>
  </si>
  <si>
    <t>['waveguide structure', 'uat ),', 'simple slit', 'several horns', 'provides information', 'measured results', 'measured patterns', 'image model', 'field pattern', 'employed throughout', 'electronics engineers', 'dimensional horn', 'desired degree', 'convincingly recovered', 'comparable complexity', 'based upon', 'analytical model']</t>
  </si>
  <si>
    <t>2-s2.0-0020099023</t>
  </si>
  <si>
    <t>10.1109/PROC.1982.12286</t>
  </si>
  <si>
    <t>Characteristics of Lossless Resonant Dipoles Close to Earth</t>
  </si>
  <si>
    <t>Scott Bennett W.</t>
  </si>
  <si>
    <t>Hewlett-Packard Inc.</t>
  </si>
  <si>
    <t>Scott Bennett, W.</t>
  </si>
  <si>
    <t>293-294</t>
  </si>
  <si>
    <t>Characteristics of lossless resonant dipoles close to earth are discussed relative to their characteristics in free space. Calculated results are compared to experimental results obtained with half-wave dipoles over a conductively screened earth. Copyright ¬© 1982 by The institute of Electrical and Electronic Engineeer, Inc.</t>
  </si>
  <si>
    <t>['wave dipoles', 'free space', 'electronic engineeer', 'discussed relative', 'calculated results']</t>
  </si>
  <si>
    <t>2-s2.0-0020098909</t>
  </si>
  <si>
    <t>10.1029/RS017i002p00411</t>
  </si>
  <si>
    <t>Resonant energy absorption in the ion sheath of a plate antenna</t>
  </si>
  <si>
    <t>Weenink M.</t>
  </si>
  <si>
    <t>Weenink, M. P.H.</t>
  </si>
  <si>
    <t>411-419</t>
  </si>
  <si>
    <t>In this paper we consider an antenna consisting of an infinite plane metallic plate divided into two half planes by an infinitely narrow slit across which an alternating electric field of frequency œâ is applied. The antenna is immersed in a cold nonmagnetized plasma. Between the homogeneous plasma and the antenna surface an ion sheath is assumed to be present. The fields are calculated for a given density profile of the electrons by a small signal theory. The electromagnetic energy radiated from the slit is determined for frequencies below the plasma frequency. It is shown that the radiated energy is completely absorbed in the sheath. The radiation admittance is calculated as a function of frequency, the sheath thickness, and the plasma density. Copyright 1982 by the American Geophysical Union.</t>
  </si>
  <si>
    <t>['sheath thickness', 'radiation admittance', 'radiated energy', 'plasma frequency', 'plasma density', 'ion sheath', 'homogeneous plasma', 'frequency œâ', 'copyright 1982', 'completely absorbed', 'antenna surface', 'antenna consisting']</t>
  </si>
  <si>
    <t>2-s2.0-0020098872</t>
  </si>
  <si>
    <t>10.1109/TAP.1982.1142769</t>
  </si>
  <si>
    <t>Antenna Beamwidth Independence of Measured Rain Attenuation on a 28-GHz Earth-Space Path</t>
  </si>
  <si>
    <t>Arnold H.</t>
  </si>
  <si>
    <t>Arnold, Hamilton W.;Cox, Donald C.;Hoffman, Harold H.</t>
  </si>
  <si>
    <t>7202379465;7403241218;7201677618</t>
  </si>
  <si>
    <t>165-167</t>
  </si>
  <si>
    <t>Rain attenuation measured at 28 GHz on an earth-space path is independent of antenna beamwidth for beamwidths as small as 0.1¬∞ and for attenuations up to 30 dB. The measurements imply that angle-of-arrival fluctuations are less than 0.02¬∞. Copyright ¬© 1982 by The Institute of Electrical and Electronics Engineers, Inc.</t>
  </si>
  <si>
    <t>['space path', 'measurements imply', 'electronics engineers', 'arrival fluctuations', 'antenna beamwidth', '30 db', '28 ghz', '1 ¬∞', '02 ¬∞.']</t>
  </si>
  <si>
    <t>2-s2.0-0020098827</t>
  </si>
  <si>
    <t>10.1109/TAP.1982.1142782</t>
  </si>
  <si>
    <t>Effect of Record Length on the Correlation of Complex Exponentials</t>
  </si>
  <si>
    <t>Nebat J.</t>
  </si>
  <si>
    <t>60030551;60007740;60001777</t>
  </si>
  <si>
    <t>Syracuse University;University of South Florida, Tampa;Rochester Institute of Technology</t>
  </si>
  <si>
    <t>Syracuse;Tampa;Rochester</t>
  </si>
  <si>
    <t>Nebat, Joshua;Weiner, Donald D.;Sarkar, Tapan K.;Jain, Vijay K.</t>
  </si>
  <si>
    <t>6507758036;56823836200;57189018557;7401469439</t>
  </si>
  <si>
    <t>60030551;60030551;60001777;60007740</t>
  </si>
  <si>
    <t>267-272</t>
  </si>
  <si>
    <t>The correlation coefficient is one measure of how well two signals can be resolved. The effect of record length on the correlation of complex exponentials is examined. For two decaying exponentials of complex frequencies s1 = œÉ1 + jœâ j and s2 = œÉ2+ jœâ 2,with œÉ2 &gt; œÉ1, it is shown that a finite time record length Œî may be considered as though it were infinite, provided Œî &gt; 2/|œÉ1|. This is also the condition for near-orthogonalization of a set of complex exponentials, with small error. Copyright ¬© 1982 by The Institute of Electrical and Electronics Engineers, Inc.</t>
  </si>
  <si>
    <t>['small error', 'record length', 'provided œî', 'one measure', 'jœâ j', 'jœâ 2', 'electronics engineers', 'correlation coefficient', 'complex exponentials']</t>
  </si>
  <si>
    <t>2-s2.0-0020098786</t>
  </si>
  <si>
    <t>10.1109/TAP.1982.1142781</t>
  </si>
  <si>
    <t>Electromagnetic Fields Near a Concave Perfectly Conducting Cylindrical Surface</t>
  </si>
  <si>
    <t>Topuz E.</t>
  </si>
  <si>
    <t>60108318;60022002</t>
  </si>
  <si>
    <t>NYU Tandon School of Engineering;ƒ∞stanbul Teknik √úniversitesi</t>
  </si>
  <si>
    <t>New York;Istanbul</t>
  </si>
  <si>
    <t>United States;Turkey</t>
  </si>
  <si>
    <t>Topuz, Ercan;Niver, Edip;Felsen, Leopold B.</t>
  </si>
  <si>
    <t>7005346972;6603635368;56883021600</t>
  </si>
  <si>
    <t>60022002;60108318;60108318</t>
  </si>
  <si>
    <t>280-292</t>
  </si>
  <si>
    <t>Although no shadowing or diffraction effects occur, the surface fields excited by a high frequency source located on a perfectly conducting concave cylindrical boundary cannot be analyzed by geometrical optics since the caustics for rays, which have experienced many reflections, accumulate. In a previous study, alternative field representations in terms of whispering gallery (VVG) modes, canonical integrals, and hybrid ray-mode combinations have been explored to compensate for the failure of geometrical optics. As the source and/or observation points move off the boundary, the number of relevant multiply reflected rays decreases, and the caustics eventually become separated sufficiently to be treated as isolated. Ray optics is then expected to apply provided that uniform corrections near caustics and their endpoints are included. This conjecture is confirmed in the present investigation, which tracks the field continuously from the ‚Äúboundary layer‚Äù near the concave surface, where ray optics is invalid, to off-surface points where it applies, by generalizing the alternative field representations used previously. A rich variety of hybrid ray-mode combinations exists for off-surface source and observation points. Especially intriguing is the possibility of choosing a hybrid mix that completely avoids the need for the caustic (and endpointj correction functions in a purely ray-optical formulation. The utility, accuracy, and range of validity of the various field representations is assessed by numerical comparison with a reference solution in terms of WG modes plus a continuous spectrum. Copyright ¬© 1982 by The Institute of Electrical and Electronics Engineers, Inc.</t>
  </si>
  <si>
    <t>['whispering gallery', 'surface source', 'surface points', 'rich variety', 'reference solution', 'ray optics', 'purely ray', 'previous study', 'present investigation', 'optical formulation', 'observation points', 'numerical comparison', 'mode combinations', 'hybrid ray', 'hybrid mix', 'geometrical optics', 'field continuously', 'especially intriguing', 'electronics engineers', 'continuous spectrum', 'concave surface', 'completely avoids', 'canonical integrals', 'apply provided']</t>
  </si>
  <si>
    <t>2-s2.0-0020098785</t>
  </si>
  <si>
    <t>10.1109/TAP.1982.1142772</t>
  </si>
  <si>
    <t>Ice Depolarization of the COMSTAR Beacon at 28.56 GHz During Low Fades and Correlation with Radar Backscatter</t>
  </si>
  <si>
    <t>183-190</t>
  </si>
  <si>
    <t>Radar correlation with significant ice depolarization events accompanied by low copolarization fades of the 28.56-GHz COMSTAR beacon signal are described for an experimental program at Wallops Island, VA. Using a Faraday switch at the front end of the receiver, the copolarization and cross-polarization levels of the 28.56-GHz beacon signal are sequentially monitored. A nearby high resolution S-band radar pointing along the earth-satellite path monitors the simultaneous ice and rain reflectivity. For a first case considered, excellent correlation is noted between the cross-polarization events and relatively large and extended ice reflectivities along a segment of the earth-satellite path at altitudes near and above the 0¬∞C isotherm. In a second case, the radar and receiver data strongly suggest the cross-polarization mechanism is due to a hailshaft which intersects the path at altitudes well below the 0¬∞ isotherm. Since the intervening ice results in a cross-polarization signal which either adds or subtracts to the cross-polarization antenna residual, a method is described to remove the residual from the resultant measured cross-polarization level, without employing a phase measurement. The resultant incoming depolarization signals are identified as either ‚Äúin-phase‚Äù (added to residual) or ‚Äúout-of-phase‚Äù (subtracted from residual) contributions. These are statistically characterized for the 1979 data base in terms of a cumulative distribution as well as monthly and time-of-day statistics under the given condition that the copolarization fade is less than 2 dB. Copyright ¬© 1982 by The Institute of Electrical and Electronics Engineers, Inc.</t>
  </si>
  <si>
    <t>['‚ äúout', 'without employing', 'wallops island', 'statistically characterized', 'simultaneous ice', 'sequentially monitored', 'second case', 'satellite path', 'relatively large', 'rain reflectivity', 'radar correlation', 'polarization signal', 'polarization mechanism', 'polarization levels', 'polarization level', 'polarization events', 'phase measurement', 'given condition', 'front end', 'faraday switch', 'experimental program', 'excellent correlation', 'electronics engineers', 'either adds', 'day statistics', 'cumulative distribution', 'copolarization fade', 'altitudes well', 'altitudes near', '2 db']</t>
  </si>
  <si>
    <t>2-s2.0-0020098733</t>
  </si>
  <si>
    <t>10.1109/TAP.1982.1142771</t>
  </si>
  <si>
    <t>Wide-Band Diffraction Improved Dual-Shaped Reflectors</t>
  </si>
  <si>
    <t>Cha A.</t>
  </si>
  <si>
    <t>Cha, Alan G.</t>
  </si>
  <si>
    <t>173-176</t>
  </si>
  <si>
    <t>Modified dual-shaped reflectors are discussed. These antennas have improved gain and gain over noise temperature (G/T) performance over the conventional uniform illumination design when diffraction effects are considered. A further advantage of the present design approach is its inherent broad-band characteristics. These considerations are vital for ultra-low noise systems as employed in the deep space telemetry service. Copyright ¬© 1982 by The Institute of Electrical and Electronics Engineers, Inc.</t>
  </si>
  <si>
    <t>['shaped reflectors', 'noise temperature', 'modified dual', 'inherent broad', 'improved gain', 'electronics engineers', 'diffraction effects', 'band characteristics']</t>
  </si>
  <si>
    <t>2-s2.0-0020098519</t>
  </si>
  <si>
    <t>10.1109/TAES.1982.309231</t>
  </si>
  <si>
    <t>Distributed Airborne Array Concepts</t>
  </si>
  <si>
    <t>60102562;115552394</t>
  </si>
  <si>
    <t>School of Engineering and Applied Science;Interspec Inc.</t>
  </si>
  <si>
    <t>Philadelphia;Philadelphia</t>
  </si>
  <si>
    <t>60102562-115552394</t>
  </si>
  <si>
    <t>The improvement in SNR and detection range due to distributing an antenna array throughout the airframe and skin of an aircraft is examined. SNR formulas for three system configurations are presented and compared with that of a conventional, monostatic radar. Examples given in the paper show detection range increases as large as a factor of 4. Three additional potential advantages of the distributed array are an increase in spatial signal processing capability, an improvement in azimuthal resolution, and a potential reduction in transmitter power for fixed radar performance so as to reduce the probability of intercept. Copyright ¬© 1982 by The Institute of Electrical and Electronics Engineers, Inc.</t>
  </si>
  <si>
    <t>['transmitter power', 'snr formulas', 'potential reduction', 'monostatic radar', 'examples given', 'electronics engineers', 'distributed array', 'azimuthal resolution']</t>
  </si>
  <si>
    <t>2-s2.0-0020098455</t>
  </si>
  <si>
    <t>10.1109/TAP.1982.1142767</t>
  </si>
  <si>
    <t>Synthesis of Offset Dual Reflector Antennas Transforming a Given Feed Illumination Pattern into a Specified Aperture Distribution</t>
  </si>
  <si>
    <t>60009037;60000745</t>
  </si>
  <si>
    <t>Jet Propulsion Laboratory;University of Illinois Urbana-Champaign</t>
  </si>
  <si>
    <t>Pasadena;Urbana</t>
  </si>
  <si>
    <t>Mittra, Raj;Hyjazie, Fayez;Galindo-Israel, Victor</t>
  </si>
  <si>
    <t>55197051100;57224374298;7003293983</t>
  </si>
  <si>
    <t>60009037;60000745;60009037</t>
  </si>
  <si>
    <t>251-259</t>
  </si>
  <si>
    <t>The problem of transforming a given primary feed pattern into a desired aperture field distribution through two reflections by an offset dual reflector system is investigated using the concepts of geometrical optics. A numerically rigorous solution for the reflector surfaces is developed which realizes an exact aperture phase distribution and an aperture amplitude distribution that is accurate to within an arbitrarily small numerical tolerance. However, this procedure does not always yield a smooth solution, i.e., the reflector surfaces thus realized may not be continuous or their slopes may vary too rapidly. In the event of nonexistence of a numerically rigorous smooth solution, an approximate solution that enforces the smoothness of the reflector surfaces can be obtained. In the approximate solution, only the requirement for the aperture amplitude distribution is relaxed, and the condition on the aperture phase distribution is continued to be satisfied exactly. Copyright ¬© 1982 by The Institute of Electrical and Electronics Engineers, Inc.</t>
  </si>
  <si>
    <t>['two reflections', 'smooth solution', 'satisfied exactly', 'reflector surfaces', 'investigated using', 'geometrical optics', 'electronics engineers', 'e .,', 'approximate solution', 'always yield']</t>
  </si>
  <si>
    <t>2-s2.0-0020098338</t>
  </si>
  <si>
    <t>10.1109/TAP.1982.1142777</t>
  </si>
  <si>
    <t>Transmission Through Slits Formed by Inclined Planes</t>
  </si>
  <si>
    <t>Hamilton E.</t>
  </si>
  <si>
    <t>University of Canterbury</t>
  </si>
  <si>
    <t>Christchurch</t>
  </si>
  <si>
    <t>Hamilton, Eric J.;Kerdemelidis, V.</t>
  </si>
  <si>
    <t>7101815333;6506756791</t>
  </si>
  <si>
    <t>60020585;60020585</t>
  </si>
  <si>
    <t>199-204</t>
  </si>
  <si>
    <t>The phase and the amplitude of electromagnetic fields transmitted through two-dimensional slits are investigated both theoretically and experimentally. The slits are formed by two inclined perfectly conducting planes. The approximate theory employed is based on the modification of the high frequency diffraction by a half-plane (modified geometrical theory of diffraction (GTD)). The experimental measurements were performed using a parallel-plate range. Results indicate that the effect of the relative inclinations of the planes tends to be of importance only for the cases of narrow slits, i.e., Œª/3 or less. Copyright ¬© 1982 by The Institute of Electrical and Electronics Engineers, Inc.</t>
  </si>
  <si>
    <t>['results indicate', 'relative inclinations', 'plate range', 'planes tends', 'performed using', 'narrow slits', 'gtd )).', 'experimental measurements', 'electronics engineers', 'dimensional slits']</t>
  </si>
  <si>
    <t>2-s2.0-0020098051</t>
  </si>
  <si>
    <t>RF TESTS ON THE ETAM STANDARD C ANTENNA.</t>
  </si>
  <si>
    <t>Price R.</t>
  </si>
  <si>
    <t>Price, R.</t>
  </si>
  <si>
    <t>Spring</t>
  </si>
  <si>
    <t>69-92</t>
  </si>
  <si>
    <t>Radiometric measurements on the Etam Standard C antenna are described in this paper. Gain-to-noise temperature ratio (G/T), receive and transmit gain, noise temperature, return loss, and port-to-port isolation were measured, and communication and tracking patterns taken. Because of the very low spectral flux densities in the 14/11-GHz bands, it was necessary to use radiometric methods for measuring G/T, gain, and temperature. Although in Standard A antennas Y-factors range between 3 and 6 db, in Standard C antennas they are only 0. 4-0. 5 db. Thus, errors and uncertainties, which are negligible in a 6/4-GHz test, become major at 14/11 GHz. This difficulty was overcome at Etam by applying a refinement in switched radiometry, which resulted in the collection of a large amount of useful data.</t>
  </si>
  <si>
    <t>['useful data', 'transmit gain', 'switched radiometry', 'return loss', 'radiometric measurements', 'port isolation', 'noise temperature', 'measuring g', 'large amount', 'ghz test', 'ghz bands', 'factors range', 'become major', '6 db', '5 db', '11 ghz', '), receive']</t>
  </si>
  <si>
    <t>2-s2.0-0020091816</t>
  </si>
  <si>
    <t>10.1049/ree.1982.0013</t>
  </si>
  <si>
    <t>Principles of independent receivers for use with co-operative radar transmitters</t>
  </si>
  <si>
    <t>Schoenenberger J.</t>
  </si>
  <si>
    <t>Schoenenberger, J. G.;Forrest, J. R.</t>
  </si>
  <si>
    <t>6603628584;7202841709</t>
  </si>
  <si>
    <t>60022148;60022148</t>
  </si>
  <si>
    <t>93-101</t>
  </si>
  <si>
    <t>The paper describes the radar configurations known as bistatic and multistatic, in which one or more receivers are situated remotely from a radar transmitter, but operate in co-ordination with the transmitter to provide range and bearing information for targets illuminated by the transmitter beam. The advantages of such passive, remote receiver installations are discussed. The main part of the paper is devoted to two topics: a description of ways in which the necessary synchronization reference signals may be provided to the receiver without the need for any fixed telecommunication link between transmitter and receiver; a description of the way in which target range and bearing information in bistatic systems may be obtained by fast, real-time, numerical solution of the bistatic geometrical relationships. An experimental, totally-independent, bistatic receiver using the transmissions from a u.h.f. air traffic control radar is then described and its performance discussed. The paper concludes with mention of future work with such a receiver, to include the provision of moving target information and a multiple-beam phased-array receiving antenna. ¬© 1982, The Institution of Electronic and Radio Engineers. All rights reserved.</t>
  </si>
  <si>
    <t>Radar receivers | Radar systems | Surveillance application</t>
  </si>
  <si>
    <t>['¬© 1982', 'two topics', 'transmitter beam', 'targets illuminated', 'target range', 'situated remotely', 'rights reserved', 'receiver without', 'radio engineers', 'radar transmitter', 'provide range', 'performance discussed', 'paper describes', 'paper concludes', 'numerical solution', 'main part', 'future work', 'bearing information', 'beam phased']</t>
  </si>
  <si>
    <t>2-s2.0-0020091520</t>
  </si>
  <si>
    <t>10.2514/3.57373</t>
  </si>
  <si>
    <t>Pulsed doppler radar detects weather hazards to aviation</t>
  </si>
  <si>
    <t>Zrnic D.</t>
  </si>
  <si>
    <t>60025916;117814758;117814116</t>
  </si>
  <si>
    <t>NOAA National Severe Storms Laboratory;Advanced Techniques Group;The Doppler Radar Project</t>
  </si>
  <si>
    <t>Norman;;</t>
  </si>
  <si>
    <t>Zrnic, D. S.;Lee, J. T.</t>
  </si>
  <si>
    <t>7006640608;7601453878</t>
  </si>
  <si>
    <t>60025916-117814116;60025916-117814758</t>
  </si>
  <si>
    <t>Journal of Aircraft</t>
  </si>
  <si>
    <t>Over the last several years experiments were conducted with a pulsed Doppler radar that have significant consequences for hazard detection in the en route and terminal areas. Mesocyclones can be detected to over 250 km while tornadoes are seen to about 150 km. The radar can detect strong straight winds if they have a significant component along the beam. It is definitely demonstrated that aircraft measured turbulence correlates with the spread of the Doppler spectrum, but caution must be exercised in interpreting the Doppler spectrum width data because these are more prone to gross errors due to noise, antenna sidelobes, ground clutter, etc. Measurements of transient wind phenomena associated with thunderstorms near the airport require a suitably located radar, but it is not yet clear whether these can be always recognized. It appears that monitoring of winds along an aircraft glide path in clear air or otherwise is feasible. ¬© 1982 American Institute of Aeronautics and Astronautics, Inc., All rights reserved.</t>
  </si>
  <si>
    <t>['winds along', 'thunderstorms near', 'terminal areas', 'significant consequences', 'rights reserved', 'inc .,', 'hazard detection', 'ground clutter', 'en route', 'doppler spectrum', 'definitely demonstrated', 'clear air', 'caution must', 'antenna sidelobes', 'always recognized', 'airport require', '250 km', '150 km']</t>
  </si>
  <si>
    <t>NASA</t>
  </si>
  <si>
    <t>F-106</t>
  </si>
  <si>
    <t>National Aeronautics and Space Administration</t>
  </si>
  <si>
    <t>2-s2.0-0020091476</t>
  </si>
  <si>
    <t>10.3169/itej1978.36.132</t>
  </si>
  <si>
    <t>THEORETICAL ANALYSIS AND SOME EXPERIMENTS ON 2L-TYPE TWIN LOOP ANTENNAS BY MOMENT METHOD.</t>
  </si>
  <si>
    <t>Sato G.</t>
  </si>
  <si>
    <t>Sato, Gentei;Kawakami, Haruo;Sato, Mitsuhisa;Ishii, Yasuyoshi</t>
  </si>
  <si>
    <t>7103403544;7202484181;55488174700;7403149050</t>
  </si>
  <si>
    <t>Feb</t>
  </si>
  <si>
    <t>Terebijon Gakkaishi/Journal of the Institute of Television Engineers of Japan</t>
  </si>
  <si>
    <t>132-138</t>
  </si>
  <si>
    <t>The moment method is applied to a twin loop antenna with a reflector plate or a wire screen-type reflector plate. As for the input impedance, 2L-type twin loop antenna has reactance nearest zero (in case the l//1 equals 0. 15 lambda //0), that is, the VSWR is nearly equal to unity. Also, satisfactory wide-band characteristics are obtained. The agreement between the measurement and the theory is quite good. The obtained results indicate the possiblity of future improvements in practical antenna characteristics.</t>
  </si>
  <si>
    <t>['wire screen', 'satisfactory wide', 'reflector plate', 'quite good', 'nearly equal', 'moment method', 'input impedance', 'future improvements', 'band characteristics']</t>
  </si>
  <si>
    <t>2-s2.0-0020091396</t>
  </si>
  <si>
    <t>10.1049/ip-f-1.1982.0009</t>
  </si>
  <si>
    <t>Evaluation of sidelobe-canceller performance</t>
  </si>
  <si>
    <t>Farina A.</t>
  </si>
  <si>
    <t>Selenia S.p.A.</t>
  </si>
  <si>
    <t>Rome</t>
  </si>
  <si>
    <t>Farina, A.;Studer, F. A.</t>
  </si>
  <si>
    <t>57202472103;7005652410</t>
  </si>
  <si>
    <t>60084299;60084299</t>
  </si>
  <si>
    <t>52-58</t>
  </si>
  <si>
    <t>A sidelobe canceller (SLC) can be efficiently employed to reduce the effects of jammers on a radar system. The paper deals with the evaluation of SLC performance, taking into account the estimation errors of the weighting coefficients of the auxiliary antennas. An explicit formula for the cancellation is given as a function of the ratio of the closed-loop bandwidth of the adaptive circuits and the radar receiver bandwidth, for one (single-sidelobe canceller, SSLC) auxiliary antenna and two (double-sidelobe canceller, DSLC) auxiliary antennas of the adaptive array and for one jammer. Therefore a relationship between the system adaption speed and the accuracy in the estimation of the jamming signal is obtained. A comparison is made between the performance of the two systems. From this analysis, a suitable selection of circuit parameters is suggested. Extensions are also made for any number of auxiliary antennas and for more than one jammer. ¬© 1982, The Institution of Electrical Engineers. All rights reserved.</t>
  </si>
  <si>
    <t>Antennas and propagation | Radar and radio navigation</t>
  </si>
  <si>
    <t>['¬© 1982', 'weighting coefficients', 'two systems', 'suitable selection', 'slc performance', 'sidelobe canceller', 'rights reserved', 'radar system', 'paper deals', 'one jammer', 'loop bandwidth', 'jamming signal', 'explicit formula', 'estimation errors', 'electrical engineers', 'efficiently employed', 'circuit parameters', 'auxiliary antennas', 'auxiliary antenna', 'also made', 'adaptive circuits', 'adaptive array']</t>
  </si>
  <si>
    <t>2-s2.0-0020091351</t>
  </si>
  <si>
    <t>10.1109/TEMC.1982.304013</t>
  </si>
  <si>
    <t>Shielding Effectiveness Of Metallic Honeycombs</t>
  </si>
  <si>
    <t>Bereuter W.A.</t>
  </si>
  <si>
    <t>60028156;60000221</t>
  </si>
  <si>
    <t>Kaman Aerospace Corporation;University of Colorado Boulder</t>
  </si>
  <si>
    <t>Bloomfield;Boulder</t>
  </si>
  <si>
    <t>Bereuter, Wolfgang A.;Chang, David C.</t>
  </si>
  <si>
    <t>6507381689;57212644601</t>
  </si>
  <si>
    <t>58-61</t>
  </si>
  <si>
    <t>The shielding effectiveness (SE) of infinitely large metallic honeycombs is calculated from expressions derived by Weinstein, Mittra, and Lee for receiving and transmitting infinite parallel-plate arrays. A simple formula for the transmitted field is presented, which is applicable for honeycomb dimensions employed in practice. ¬© 1982 IEEE.</t>
  </si>
  <si>
    <t>honeycomb | infinite array | Shielding | theory</t>
  </si>
  <si>
    <t>['transmitted field', 'simple formula', 'shielding effectiveness', 'plate arrays', 'expressions derived']</t>
  </si>
  <si>
    <t>2-s2.0-0020090774</t>
  </si>
  <si>
    <t>10.1109/TMTT.1982.1131049</t>
  </si>
  <si>
    <t>Multifrequency Cryogenically Cooled Front-End Receivers for the Westerbork Synthesis Radio Telescope</t>
  </si>
  <si>
    <t>Casse J.</t>
  </si>
  <si>
    <t>Netherlands Foundation for Research in Astronomy</t>
  </si>
  <si>
    <t>Dwingeloo</t>
  </si>
  <si>
    <t>Casse, J. L.;Woestenburg, E. E.M.;Visser, J. J.</t>
  </si>
  <si>
    <t>6603349296;6507788417;57197895620</t>
  </si>
  <si>
    <t>60025529;60025529;60025529</t>
  </si>
  <si>
    <t>201-209</t>
  </si>
  <si>
    <t>Four of the fourteen 25-m antennas of the Westerbork Synthesis Radio Telescope have been equipped with 6- and 21-cm wavelength receivers based on cryogenically cooled parametric amplifiers and up-converters. Special care has been given to the design of the input network to achieve maximum sensitivity. An integrated feed launcher and preamplifier system are housed in a dewar at cryogenic temperatures. The receiver noise temperatures at 21- and 6-cm wavelength are on the average 14 K and 20 K, respectively. At 21 cm, two systems have even yielded receiver noise temperatures as low as 11 K. This paper concentrates particularly on the cooled section of the receiver system. Copyright ¬© 1982 by The Institute of Electrical and Electronics Engineers, Inc.</t>
  </si>
  <si>
    <t>['two systems', 'special care', 'receiver system', 'preamplifier system', 'input network', 'fourteen 25', 'electronics engineers', 'cryogenic temperatures', 'cooled section', 'cm wavelength', '21 cm', '20 k', '11 k']</t>
  </si>
  <si>
    <t>2-s2.0-0020089807</t>
  </si>
  <si>
    <t>EXPERIENCE IN THE USE OF MULTIELEMENT ANTENNA ARRAYS FOR THE RECEPTION AND RELAY OF TELEVISION SIGNALS.</t>
  </si>
  <si>
    <t>Vakhtin Y.</t>
  </si>
  <si>
    <t>Vakhtin, Yu I.;Voitovich, N. I.;Rosin, A. M.</t>
  </si>
  <si>
    <t>6602513178;54394446700;7006165049</t>
  </si>
  <si>
    <t>45-47</t>
  </si>
  <si>
    <t>Low-power television relay stations (LTRS) and micro-repeater stations based on off-the-air reception of the signals are widely used for transmitting television (TV) programs to population centers which are in the shadow area of high-power television transmitter centers. The signal-to-noise ratio can be improved by means of highly directional antennas. Phased arrays may be used for antennas of this kind whose elements can be production type ‚Ä≥wave channel‚Ä≥ antennas. A sinple the for combining the signals in four- and sixteen-element arrays is proposed in this paper.</t>
  </si>
  <si>
    <t>['widely used', 'transmitting television', 'shadow area', 'population centers', 'noise ratio', 'element arrays', 'air reception']</t>
  </si>
  <si>
    <t>2-s2.0-0020089721</t>
  </si>
  <si>
    <t>FEASIBILITY OF USING TELEVISION MICRO-REPEATER-AMPLIFIERS.</t>
  </si>
  <si>
    <t>Kuznetsov V.D.</t>
  </si>
  <si>
    <t>Kuznetsov, V. D.</t>
  </si>
  <si>
    <t>41-44</t>
  </si>
  <si>
    <t>The paper discusses the use of micro repeater-amplifiers in regions where the terrain is mountainous and extremely rugged and it is impossible to receive television signals of satisfactory quality using the conventional individual or community antennas. The arrangement consists of directional receiving and transmitting antennas connected by cable through an amplifier.</t>
  </si>
  <si>
    <t>['paper discusses', 'micro repeater', 'extremely rugged', 'directional receiving', 'conventional individual', 'community antennas', 'arrangement consists']</t>
  </si>
  <si>
    <t>2-s2.0-0020089662</t>
  </si>
  <si>
    <t>10.1109/TCE.1982.353873</t>
  </si>
  <si>
    <t>Report on Receiver Installations New York City UHF-TV Project</t>
  </si>
  <si>
    <t>Deutz J.</t>
  </si>
  <si>
    <t>Deutz, Jules</t>
  </si>
  <si>
    <t>90-112</t>
  </si>
  <si>
    <t>The report deals with that portion of the Commission's UHF Project that was concerned with the installation of observation receivers at 768 randomly selected locations within 25 miles of the Empire State Building. All of the television signals observed originated at this site. The data shows that on the basis of percentage of locations receiving ‚ÄúExcellent‚Äù or ‚ÄúFine‚Äù (Grade 1 or 2) pictures indoors or ‚ÄúExcellent‚Äù, ‚ÄúFine‚Äù or ‚ÄúPassable‚Äù (Grade 1, 2 or 3) pictures indoors, Channel 31 was inferior to Channels 2 and 7 by approximately 10%. This was primarily due to thermal noise caused by lower penetration of UHF signals. This difference almost disappears completely when outside antennas are employed. Slightly more time is needed to select the final positioning of UHF antennas, otherwise, except for receiver cost, there is little difference in cost between a VHF and UHF installation. The Simplest of antennas are usually satisfactory for the reception of either U or V. Good reception was obtained at most locations using a single antenna for both U and V. Color reception is favored neither by U or V. Ghosting differences between U and V are small enough to be disregraded. Householder's ratings are subject to question. Better shielding against IF pickup and some accommodation for coaxial transmission lines will assist the installer in providing better reception at difficult locations. Copyright ¬© 1982 by The Institute of Electrical and Electronics Engineers, Inc.</t>
  </si>
  <si>
    <t>['usually satisfactory', 'uhf signals', 'uhf project', 'uhf installation', 'uhf antennas', 'small enough', 'single antenna', 'report deals', 'receiver cost', 'primarily due', 'pictures indoors', 'outside antennas', 'observation receivers', 'lower penetration', 'locations using', 'little difference', 'grade 1', 'good reception', 'ghosting differences', 'final positioning', 'favored neither', 'electronics engineers', 'either u', 'difficult locations', 'data shows', 'color reception', 'channels 2', 'channel 31', 'better shielding']</t>
  </si>
  <si>
    <t>2-s2.0-0020089453</t>
  </si>
  <si>
    <t>10.1109/TCOM.1982.1095457</t>
  </si>
  <si>
    <t>Maximum Power Transmission in Mass-Limited Radio Systems</t>
  </si>
  <si>
    <t>Reudink D.</t>
  </si>
  <si>
    <t>Reudink, D. O.</t>
  </si>
  <si>
    <t>414-417</t>
  </si>
  <si>
    <t>A simple fundamental relationship is derived between antenna gain and transmitter power which maximizes the effective radiated power in mass-limited satellite systems. In the most common case, maximum effective radiated power is achieved when the payload mass is divided equally between the antenna system and the power system. Although this may have been known intuitively to satellite designers, to the author's knowledge this relationship has never been published. Example calculations show that considerable increases in performance can be expected for satellites which employ high-gain multibeam antennas. ¬© 1982 IEEE</t>
  </si>
  <si>
    <t>['transmitter power', 'satellite designers', 'power system', 'payload mass', 'known intuitively', 'employ high', 'divided equally', 'considerable increases', 'common case', 'antenna system', 'antenna gain']</t>
  </si>
  <si>
    <t>2-s2.0-0020089032</t>
  </si>
  <si>
    <t>10.1109/TE.1982.4321523</t>
  </si>
  <si>
    <t>Network Analogs Of Maxwell'S Field Equations In One And Two Dimensions</t>
  </si>
  <si>
    <t>Zimmerman W.R.</t>
  </si>
  <si>
    <t>EMA Corporation</t>
  </si>
  <si>
    <t>Albuquerque</t>
  </si>
  <si>
    <t>Zimmerman, William R.</t>
  </si>
  <si>
    <t>Network analogs are developed representing Maxwell's equations in the time domain for one and two spatial dimensions. Maxwell's equations are first cast into matrix form. Then the connection between these matrices and the branch node incidence matrix of the equivalent network is made. Next, the relationship between the field variables (electric and magnetic fields) and the across and through variables (currents and voltages) of the network is demonstrated, resulting in Ohm's law for electromagnetic fields in the time domain. Although not required for the derivation, the connected graphs (electrical circuits) of the network analogs are shown. Finally, the appropriate network analog is applied to the practical problem of determining the transient response of a dipole antenna to an incident electromagnetic field. Copyright ¬© 1982 by The Institute of Electrical and Electronics Engineers, Inc.</t>
  </si>
  <si>
    <t>['transient response', 'time domain', 'practical problem', 'network analogs', 'matrix form', 'magnetic fields', 'first cast', 'field variables', 'equivalent network', 'electronics engineers', 'electromagnetic fields', 'electrical circuits', 'dipole antenna', 'connected graphs']</t>
  </si>
  <si>
    <t>2-s2.0-0020088936</t>
  </si>
  <si>
    <t>10.1109/T-VT.1982.23911</t>
  </si>
  <si>
    <t>Doppler Spectrum of Single Automobiles</t>
  </si>
  <si>
    <t>Andersen J.</t>
  </si>
  <si>
    <t>Aalborg University</t>
  </si>
  <si>
    <t>Aalborg</t>
  </si>
  <si>
    <t>Denmark</t>
  </si>
  <si>
    <t>Andersen, J. Bach</t>
  </si>
  <si>
    <t>40-51</t>
  </si>
  <si>
    <t>The Doppler spectrum from an extended object illuminated by a finite beam is analyzed theoretically. The long-time spectrum is the product of an antenna spectrum and an object spectrum, which may lead to significant systematic errors in determination of velocity. The error probability is larger for short-time spectra. Experimental results on automobiles also indicate the existence of a very wide spectrum, which may be multipeaked with incorrect dominating peaks for short periods of time. Physically the errors may be interpreted as a result of moving phase centers. Copyright ¬© 1982 by The Institute of Electrical and Electronics Engineers, Inc.</t>
  </si>
  <si>
    <t>['wide spectrum', 'time spectrum', 'time spectra', 'short periods', 'object spectrum', 'may lead', 'finite beam', 'experimental results', 'errors may', 'error probability', 'electronics engineers', 'doppler spectrum', 'antenna spectrum', 'analyzed theoretically']</t>
  </si>
  <si>
    <t>2-s2.0-0020088437</t>
  </si>
  <si>
    <t>ALIGNMENT DEVICE FOR A PERISCOPE ANTENNA SYSTEM.</t>
  </si>
  <si>
    <t>Kuhne E.</t>
  </si>
  <si>
    <t>Kuhne, Erich</t>
  </si>
  <si>
    <t>51-53</t>
  </si>
  <si>
    <t>A periscopic antenna is used in the FM-11000 radio-relay system developed by the national enterprise, ‚Ä≥Robotron‚Ä≥ , in Radeberg in East Germany and installed in the USSR. A method of antenna alignment is described based on using an auxiliary transceiver whose antennas have a side radiation pattern. After the antennas have been adjusted, one can determine the required position of the reflectors of the periscopic antenna in space. A final adjustment of the reflectors is made on the basis of the signal.</t>
  </si>
  <si>
    <t>['required position', 'periscopic antenna', 'national enterprise', 'final adjustment', 'east germany', 'described based', 'antenna alignment', '11000 radio']</t>
  </si>
  <si>
    <t>2-s2.0-0020088115</t>
  </si>
  <si>
    <t>10.1121/1.387464</t>
  </si>
  <si>
    <t>Robust adaptive array antennas</t>
  </si>
  <si>
    <t>Evans R.J.</t>
  </si>
  <si>
    <t>Evans, Robin J.;Ahmed, Kazi M.</t>
  </si>
  <si>
    <t>57190277923;36863000500</t>
  </si>
  <si>
    <t>384-394</t>
  </si>
  <si>
    <t>In this paper we present a new type of adaptive array antenna. The array optimizes well-known cost functionals such as mean-square error or output power, subject to strict inequality constraints on any part; or all the antenna pattern shape, e.g., controlling side-lobe levels, null placement, directional control, etc. Moreover, the adaptive algorithm determines array gains which are ‚Äúrobust‚Äù in the sense that the antenna pattern will satisfy the pattern shape constraints even if the array weights are implemented with error, as might occur with digitally controlled weights, for example. The antenna pattern also exhibits a robustness property against wavefront distortion, mutual coupling uncertainties, and array geometry errors. Finally, by appropriate choice of constraints the array can have a broadband capability. ¬© 1982, Acoustical Society of America. All rights reserved.</t>
  </si>
  <si>
    <t>43.30. Vh | 43.60. Cg | 43.60. Gk | PACS numbers</t>
  </si>
  <si>
    <t>['¬© 1982', 'wavefront distortion', 'square error', 'robustness property', 'rights reserved', 'output power', 'null placement', 'new type', 'might occur', 'lobe levels', 'directional control', 'broadband capability', 'array weights', 'appropriate choice', 'antenna pattern', 'acoustical society']</t>
  </si>
  <si>
    <t>2-s2.0-0020087982</t>
  </si>
  <si>
    <t>10.3169/itej1978.36.126</t>
  </si>
  <si>
    <t>DETECTION OF MULTIPATH REFLECTED WAVES BY TWO-ANTENNA METHOD.</t>
  </si>
  <si>
    <t>Miyakawa H.</t>
  </si>
  <si>
    <t>Miyakawa, Hiroshi;Harashima, Hiroshi;Watanabe, Kouji;Kishi, Massauke;Ohyama, Kouji</t>
  </si>
  <si>
    <t>7101884441;7101805792;57218979660;7103274109;7102455647</t>
  </si>
  <si>
    <t>126-131</t>
  </si>
  <si>
    <t>A new method for measuring direction and amplitude of multipath reflected waves is proposed, which uses two antennas, one fixed at the center and the other circularly scanned. In this method, the amplitude and phase difference of the received signals from two antennas are measured and these data are utilized to estimate the multipath reflected components using FFT (fast Fourier transform) technique. This method requires less measuring space to obtain the given resolution as compared with the previously known linearly scanned methods. The principle of the new method is described and a computational algorithm based on FFT technique is presented and discussed in detail.</t>
  </si>
  <si>
    <t>['two antennas', 'received signals', 'phase difference', 'one fixed', 'new method', 'measuring direction', 'given resolution', 'fft technique', 'circularly scanned']</t>
  </si>
  <si>
    <t>2-s2.0-0020087785</t>
  </si>
  <si>
    <t>10.1109/TEMC.1982.304000</t>
  </si>
  <si>
    <t>Spectrum Utilization in a Digital Radio-Relay Network</t>
  </si>
  <si>
    <t>Moreno L.</t>
  </si>
  <si>
    <t>Centro Studi e Laboratori Telecomunicazioni, Turin</t>
  </si>
  <si>
    <t>Turin</t>
  </si>
  <si>
    <t>Moreno, Luigi</t>
  </si>
  <si>
    <t>40-45</t>
  </si>
  <si>
    <t>Digital radio-relay networks in urban areas have been proposed to connect telephone switching centers and to develop new broad-band services. This paper describes a methodology for evaluating the ‚Äúamount‚Äù of radio spectrum ‚Äúused‚Äù by a node in the network, on the basis of general criteria and definitions for spectrum use and efficiency. Several factors influencing the spectral efficiency of the system (antenna diagrams, propagation characteristics, network density, modulation techniques) are taken into account in the proposed approach. Some examples of application, allowing the assessment of trends and possible tradeoffs in spectrum utilization are given. Extensions and other applications of this approach are suggested. ¬© 1982 IEEE.</t>
  </si>
  <si>
    <t>digital radio relay | spectral efficiency | Spectrum utilization | tradeoff assessments</t>
  </si>
  <si>
    <t>['urban areas', 'spectrum utilization', 'spectrum use', 'spectral efficiency', 'relay networks', 'proposed approach', 'propagation characteristics', 'possible tradeoffs', 'paper describes', 'network density', 'modulation techniques', 'general criteria', 'digital radio', 'band services', 'antenna diagrams']</t>
  </si>
  <si>
    <t>2-s2.0-0020087784</t>
  </si>
  <si>
    <t>10.1109/TEMC.1982.303999</t>
  </si>
  <si>
    <t>Assessment Of Mom Techniques For Shipboard Applications</t>
  </si>
  <si>
    <t>Perini J.</t>
  </si>
  <si>
    <t>Perini, Jose;Buchanan, Douglas J.</t>
  </si>
  <si>
    <t>7004152171;36865328100</t>
  </si>
  <si>
    <t>This paper is intended to help the EMC Engineer to decide whether a particular problem can be solved by the Method of Moments (MOM) given the constraints of his computer facility. The paper is divided into four main sections. The first is the MOM formulation, the second deals with specific formulations that have been successfully applied, the third gives guidelines on how to estimate the computer power needed to solve a specific problem, and the fourth is an annotated bibliography for those who want more detail in the different aspects of MOM. An example of how to use the information developed in the paper is given at the end. Although this paper was generated initially to solve shipboard problems, it can apply to many large problems. ¬© 1982 IEEE.</t>
  </si>
  <si>
    <t>application guidelines | Method of moments | shipboard problems</t>
  </si>
  <si>
    <t>['successfully applied', 'specific problem', 'specific formulations', 'second deals', 'particular problem', 'mom formulation', 'information developed', 'generated initially', 'emc engineer', 'different aspects', 'decide whether', 'computer facility', 'annotated bibliography']</t>
  </si>
  <si>
    <t>2-s2.0-0020077419</t>
  </si>
  <si>
    <t>The regeneration of supernumerary cockroach antennae</t>
  </si>
  <si>
    <t>French V.</t>
  </si>
  <si>
    <t>French, V.;Domican, J.</t>
  </si>
  <si>
    <t>56279278400;6504313960</t>
  </si>
  <si>
    <t>Journal of Embryology and Experimental Morphology</t>
  </si>
  <si>
    <t>Vol. 67</t>
  </si>
  <si>
    <t>153-165</t>
  </si>
  <si>
    <t>Grafting experiments performed on the basal scape segment of the antenna of Blabera craniifer give very similar results to those of corresponding grafts done on the legs of cockroaches and many other insects. If the antenna is amputated and replaced on the stump, it heals, while a 180 rotated graft de-rotates and sometimes forms a symmetrical partial supernumerary. If the antenna is grafted on to the contralateral stump, one transverse axis of the graft is reversed relative to the host, and this results in the regeneration of a supernumerary antenna with host orientation from each of the two points of maximum incongruity between graft and host. Sometimes one double supernumerary forms midway between these points, and its orientation suggests that it results from a secondary fusion of the two supernumeraries. The similarity of these results to those of leg grafts suggests that legs and antennae have a similar general organisation of positional information and similar rules for cellular behaviour. Further, the two appendages may have the same set of positional values but have evolved different ways of interpreting it. Preliminary attempts to test this idea directly (by grafting between leg and antenna) were rather unsuccessful since only a few control grafts healed (poorly) and all rotated and contralateral grafts were eliminated.</t>
  </si>
  <si>
    <t>['two supernumeraries', 'two points', 'supernumerary antenna', 'sometimes forms', 'similar rules', 'similar results', 'secondary fusion', 'reversed relative', 'preliminary attempts', 'positional values', 'positional information', 'orientation suggests', 'maximum incongruity', 'idea directly', 'host orientation', 'contralateral stump', 'contralateral grafts', 'cellular behaviour']</t>
  </si>
  <si>
    <t>2-s2.0-0020065587</t>
  </si>
  <si>
    <t>10.1111/j.1365-2818.1982.tb00336.x</t>
  </si>
  <si>
    <t>Experiments on freezing damage with freeze substitution using moth antennae as test objects</t>
  </si>
  <si>
    <t>Steinbrecht R.</t>
  </si>
  <si>
    <t>Journal of Microscopy</t>
  </si>
  <si>
    <t>187-192</t>
  </si>
  <si>
    <t>Insect antennae can be easily frozen by immersion into propane at 90 K, freeze substituted at 194 K and, after warming up, embedded and sectioned at room temperature. Freezing damage (f.d.) may occur during cooling the specimen down (primary f.d.) or due to re‚Äêcrystallization, during warming up, if substitution was not complete (secondary f.d.). Experimental evidence suggests that secondary freezing damage is not likely to occur with freeze substitution, provided the acetone is water free (by adding molecular sieve) and the rate of warming up is low. All freezing damage observed in the specimens therefore most probably is due to primary freezing damage during cooling. Propelling the specimen with high speed into the coolant, instead of merely dropping it in, does not improve the quality of preservation obtainable but increases the yield of well‚Äêfrozen specimens. 1982 Blackwell Science Ltd</t>
  </si>
  <si>
    <t>Bombyx mori | Freeze substitution | freezing damage | insect antennae | olfactory receptors | Panolis flammea</t>
  </si>
  <si>
    <t>['‚ äêcrystallization', 'water free', 'specimens therefore', 'secondary f', 'room temperature', 'primary f', 'preservation obtainable', 'merely dropping', 'may occur', 'insect antennae', 'high speed', 'freezing damage', 'freeze substitution', 'freeze substituted', 'easily frozen', '90 k', '194 k']</t>
  </si>
  <si>
    <t>2-s2.0-0020046825</t>
  </si>
  <si>
    <t>10.1016/0003-9861(82)90468-4</t>
  </si>
  <si>
    <t>Heterogeneity of urinary oligosaccharides from mannosidosis: Mass spectrometric analysis of permethylated Man&lt;inf&gt;9&lt;/inf&gt;, Man&lt;inf&gt;8&lt;/inf&gt;, and Man&lt;inf&gt;7&lt;/inf&gt; derivatives</t>
  </si>
  <si>
    <t>Egge H.</t>
  </si>
  <si>
    <t>60104665;60007493</t>
  </si>
  <si>
    <t>Universit√© de Lille;Universit√§t Bonn</t>
  </si>
  <si>
    <t>Lille;Bonn</t>
  </si>
  <si>
    <t>France;Germany</t>
  </si>
  <si>
    <t>Egge, Heinz;Michalski, Jean Claude;Strecker, Gerard</t>
  </si>
  <si>
    <t>7006355656;7102942184;7103289522</t>
  </si>
  <si>
    <t>60007493;60104665;60104665</t>
  </si>
  <si>
    <t>318-326</t>
  </si>
  <si>
    <t>Three oligosaccharides isolated from the urine of a patient suffering from mannosidosis, a Man9GlcNAc, a Man8GlcNAc, and a Man7GlcNAc, were analyzed by electron impact mass spectrometry at 20 eV after reduction with NaB2H4 and permethylation. Molecular ions were observed at m e 2144, 1940, and 1736, respectively. In the high-mass range very intense ions were found at M-45. The mass spectrum of the homogenous decasaccharide Man9GlcNAc1D contains ions that could be attributed to specific parts of each of the three antennae of the molecule. Thus characteristic key ions were recognized. With the aid of these key ions the spectra of the nona- and octasaccharide mixtures could be evaluated in a qualitative and a semiquantitative way. In the nonasaccharide all three possible isomers that can be produced by cleavage of one of the three terminal Œ±-mannoses are present, although in differing amounts. However, only five of the six possible isomers of the octasaccharide could be detected. ¬© 1982.</t>
  </si>
  <si>
    <t>['¬© 1982', 'three antennae', 'specific parts', 'semiquantitative way', 'patient suffering', 'octasaccharide could', 'molecular ions', 'mass spectrum', 'mass range', 'key ions', 'intense ions', 'e 2144', 'differing amounts', '20 ev']</t>
  </si>
  <si>
    <t>2-s2.0-0020029880</t>
  </si>
  <si>
    <t>10.1016/0047-7206(82)90140-6</t>
  </si>
  <si>
    <t>Observations on variations in the lateral antennae apertures of soft bodied and loricate pelagic rotifers</t>
  </si>
  <si>
    <t>Lauth J.</t>
  </si>
  <si>
    <t>Bowling Green State University</t>
  </si>
  <si>
    <t>Bowling Green</t>
  </si>
  <si>
    <t>Lauth, John;Rosen, Barry</t>
  </si>
  <si>
    <t>6602224693;7202720965</t>
  </si>
  <si>
    <t>60018475;60018475</t>
  </si>
  <si>
    <t>Micron (1969)</t>
  </si>
  <si>
    <t>55-56</t>
  </si>
  <si>
    <t>2-s2.0-0020016562</t>
  </si>
  <si>
    <t>10.1016/0300-9629(82)90038-X</t>
  </si>
  <si>
    <t>030096298290038X</t>
  </si>
  <si>
    <t>Olfactory receptor responses of the nymphal American cockroach to sex pheromones and their mimics</t>
  </si>
  <si>
    <t>Chikao N.</t>
  </si>
  <si>
    <t>Mitsubishi Kasei Institute of Life Sciences</t>
  </si>
  <si>
    <t>Machida</t>
  </si>
  <si>
    <t>Chikao, Nishino;Ritsuko, Kimura</t>
  </si>
  <si>
    <t>24377844500;24430957500</t>
  </si>
  <si>
    <t>60002443;60002443</t>
  </si>
  <si>
    <t>237-242</t>
  </si>
  <si>
    <t>1. 1. EAG responses to highly purified sex pheromones (periplanone-A and -B), sex pheromone mimics [germacrene-D, (+)-verbanyl acetate and (+)-trans-verbenyl acetate] and general odor (camphor) were recorded from both sexes of adult and three nymphal stages (7, 10 and 11th instars) of the American cockroach. 2. 2. The M/F ratios were evaluated for each stage by stimulation with the above chemicals. 3. 3. The ratio values indicated undeveloped sex pheromone receptor on the antennae of 7th male instar and females of all the stages. On the other hand, precursory development of the receptor was expected on the antennae of males of the old-aged nymphal instars and full development on the adult male antennae. ¬© 1982.</t>
  </si>
  <si>
    <t>['¬© 1982', 'verbenyl acetate', 'precursory development', 'general odor', 'full development', 'f ratios', 'eag responses', 'american cockroach', '11th instars', '(+)- trans']</t>
  </si>
  <si>
    <t>2-s2.0-0020005621</t>
  </si>
  <si>
    <t>10.1080/02533839.1982.9676686</t>
  </si>
  <si>
    <t>Rectangular microstrip antennas</t>
  </si>
  <si>
    <t>Li H.</t>
  </si>
  <si>
    <t>National Taiwan University</t>
  </si>
  <si>
    <t>Taipei</t>
  </si>
  <si>
    <t>Taiwan</t>
  </si>
  <si>
    <t>Li, Hsueh Jyh</t>
  </si>
  <si>
    <t>Journal of the Chinese Institute of Engineers, Transactions of the Chinese Institute of Engineers,Series A/Chung-kuo Kung Ch'eng Hsuch K'an</t>
  </si>
  <si>
    <t>The theory of rectangular microstrip antennas based on the line resonator model and the cavity model are summarized. The theoretical and experimental values of input impedance and radiation patterns are compared, and the discrepency between these two values are explained. A parallelogram microstrip antenna is constructed, and the input impedances are compared to those of the rectangular microstrip antenna. ¬© 1982 Taylor and Francis Group, LLC.</t>
  </si>
  <si>
    <t>['two values', 'radiation patterns', 'input impedances', 'input impedance', 'francis group', 'experimental values', 'cavity model']</t>
  </si>
  <si>
    <t>2-s2.0-0019999716</t>
  </si>
  <si>
    <t>10.1109/TMTT.1982.1131044</t>
  </si>
  <si>
    <t>The Thermal Response of a Human in the Near-Zone of a Resonant Thin-Wire Antenna</t>
  </si>
  <si>
    <t>Spiegel R.</t>
  </si>
  <si>
    <t>US EPA National Health and Environmental Effects Research Laboratory</t>
  </si>
  <si>
    <t>Research Triangle Park</t>
  </si>
  <si>
    <t>Spiegel, Ronald J.</t>
  </si>
  <si>
    <t>177-185</t>
  </si>
  <si>
    <t>The thermal response of a human in the near-zone of an antenna was determined by numerical procedures. The approach taken was to modify the heat transfer equations for man in air to account for thermal loading due to the energy absorbed from the radiating antenna. The absorbed power density distribution in the human body was determined by considering the body and antenna to be a coupled system in which the resulting system of equations were solved by moment method procedures. This information was then analyzed by a thermal response model consisting of a series of transient conduction equations with internal heat generation due to metabolism, internal convective heat transfer due to blood flow, external interaction by convection and radiation, and cooling of the skin by sweating and evaporation. Internal heating patterns were calculated for two cases: a human in the near-zone of a quarter-wave monopole and a half-wave dipole operating at 45 and 200 MHz, respectively. It was found that negligible heating occurred for antennas with input power levels of less than 50 W. Copyright ¬© 1982 by The Institute of Electrical and Electronics Engineers, Inc.</t>
  </si>
  <si>
    <t>['wave monopole', 'two cases', 'thermal response', 'resulting system', 'radiating antenna', 'numerical procedures', 'human body', 'external interaction', 'energy absorbed', 'electronics engineers', 'coupled system', 'blood flow', 'approach taken', '50 w', '200 mhz']</t>
  </si>
  <si>
    <t>2-s2.0-0019998917</t>
  </si>
  <si>
    <t>10.1190/1.1441336</t>
  </si>
  <si>
    <t>Array length magnification through the use of multiple sources and receiving arrays.</t>
  </si>
  <si>
    <t>Buhl P.</t>
  </si>
  <si>
    <t>Lamont-Doherty Earth Observatory</t>
  </si>
  <si>
    <t>Palisades</t>
  </si>
  <si>
    <t>Buhl, P.;Diebold, J. B.;Stoffa, P. L.</t>
  </si>
  <si>
    <t>24532554100;7202391643;7005852356</t>
  </si>
  <si>
    <t>60033011;60033011;60033011</t>
  </si>
  <si>
    <t>Geophysics</t>
  </si>
  <si>
    <t>311-315</t>
  </si>
  <si>
    <t>For wide aperture seismic experiments, very long effective arrays can be synthesized by using multiple sources and receiving arrays. In marine seismic work where a source is coincident with the end of each array, the total length of the arrays can be multiplied by a factor between n-1 and n, where n is the number of sources. Three ships, each with a source and 3.6km array, can be positioned so that the offset range 0-25.2km can be continuously sampled with duplication only to the 0-3.6km range. With 100m group spacing these data can be gathered into 252-fold common-depth-point (CDP) data with a CDP spacing of 150m. While it is not likely that we will ever see five or six ships steaming in line, two and three ships will be used in the near future for detailed sedimentary and deep crustal studies.-Authors</t>
  </si>
  <si>
    <t>['total length', 'three ships', 'receiving arrays', 'near future', 'fold common', 'detailed sedimentary', 'continuously sampled', 'cdp spacing', '6km range', '6km array']</t>
  </si>
  <si>
    <t>2-s2.0-0019998098</t>
  </si>
  <si>
    <t>10.1080/00021369.1982.10865117</t>
  </si>
  <si>
    <t>(5Z, 7E)-5,7-Dodecadien-l-ol: Female sex pheromone of the pine moth dendrolimus spectabilis butler</t>
  </si>
  <si>
    <t>Ando T.</t>
  </si>
  <si>
    <t>60025272;60021116;60007819</t>
  </si>
  <si>
    <t>The University of Tokyo;RIKEN (The Institute of Physical and Chemical Research);Forestry and Forest Products Research Institute</t>
  </si>
  <si>
    <t>Tokyo;Wako;Tsukuba</t>
  </si>
  <si>
    <t>Ando, Tetsu;Huynh Vu, Manh;Yoshida, Shigeo;Takahashi, Nobutaka;Tatsuki, Sadahiro;Katagiri, Kazumasa;Yamane, Akiomi;Ikeda, Toshiya;Yamazaki, Saburo</t>
  </si>
  <si>
    <t>7402175510;6504106414;7406245631;56654459000;7003955928;57192022262;57066431700;57066022200;57066385000</t>
  </si>
  <si>
    <t>60025272-60021116;60025272;60025272;60025272;60025272-60021116;60025272-60007819;60025272-60007819;60025272-60007819;60025272-60007819</t>
  </si>
  <si>
    <t>Agricultural and Biological Chemistry</t>
  </si>
  <si>
    <t>709-715</t>
  </si>
  <si>
    <t>The sex pheromone of the pine moth Dendrolimus spectabilis Butler was tentatively identified as 5,7-dodecadien-1-ol by the use of the electroantennogram technique. Analyses of abdominal tip extracts of virgin females by gas-liquid chromatography and mass spectroscopy showed the presence of a (5Z, 7E)-isomer and a (5E, 7E)-isomer in the ratio of about ca. 5: 1. In field examinations with four synthetic isomers of 5,7-dodecadien-1-ol, only traps baited with the (5Z, 7 E)-isomer captured an appreciable numbers of male moths. ¬© 1982 Taylor &amp; Francis Group LLC.</t>
  </si>
  <si>
    <t>['virgin females', 'traps baited', 'tentatively identified', 'sex pheromone', 'male moths', 'liquid chromatography', 'field examinations', 'electroantennogram technique', 'appreciable numbers']</t>
  </si>
  <si>
    <t>2-s2.0-0019979560</t>
  </si>
  <si>
    <t>10.1016/0306-4522(82)90120-8</t>
  </si>
  <si>
    <t>0306-4522(82)90120-8</t>
  </si>
  <si>
    <t>The dendritic organization of the human spinal cord: The dorsal horn</t>
  </si>
  <si>
    <t>Schoenen J.</t>
  </si>
  <si>
    <t>Universit√© de Li√®ge</t>
  </si>
  <si>
    <t>Liege</t>
  </si>
  <si>
    <t>Belgium</t>
  </si>
  <si>
    <t>Schoenen, J.</t>
  </si>
  <si>
    <t>Neuroscience</t>
  </si>
  <si>
    <t>2057-2087</t>
  </si>
  <si>
    <t>The human spinal cord was studied with the Golgi method from 26 weeks gestational age onto adult life. Impregnated neurons were analyzed morphometrically by an adaptation of Sholl's concentric circle method in order to specify dendritic geometry, ramification richness and branching pattern. Neurons were classified according to Rexed's laminar scheme, identified on adjacent Nisslstained sections. The following features were found to be characteristic of the dorsal horn laminae. Lamina I is formed of a uniform population of large, poorly ramified neurons. Their main dendritic domaine is disk-shaped in the tangential plane with a mean diameter of about 800 Œºm. Orthogonal, spiny dendrites penetrating into lamina II are numerous even in adult material. Four cell types, all lying in the sagittal plane, are found in lamina II. 1. (1) 'Islet cells' (about 30% of impregnated neurons) have a rostrocaudal, cylindrical dendritic domaine with a long axis of ¬± 600 Œºm, a few scattered spines and a richly branched axonal network, confined to the dendritic territory. They are more numerous in the central part of lamina II. A few islet cells have two axons. 2. (2) 'Filamentous cells' (about 20%), so called because of their multiple filiform, spiny dendrites, are vertico-sagittally oriented. Their soma is located in inner or outer lamina II, their dendritic tree, a trapezo√Ød of about 280 Œºm in height, being dorsal or ventral. The axon emits some collaterals in the vicinity of the dendritic tree, then it penetrates into lamina I or Lissauer's tract. 3. (3) 'Curly cells' (about 10%) have a complex, twisted, spine-rich dendritic tree. The dendritic domaine can be schematized by a sagittal disk with a diameter of about 200 Œºm, the cell body being eccentric. Curly cells are mainly found in outer lamina II. Their axon penetrates into lamina I or Lissauer's tract. 4. (4) 'Stellate cells' (about 40%) are multipolar neurons preferentially found in inner lamina II. They have straight, spine-poor dendrites, which cover a large (longest diameter ca. 500 Œºm), elliptical territory extending into laminae I and III. Their axon gives longitudinal collaterals to lamina II before penetrating deeply into laminae III and IV. Lamina III contains a mixed population of 'antenna-like neurons' with a vertical, cone-shaped dendritic domaine and 'radiate cells' characterized by a small, spherical territory. All lamina IV neurons are medium or large sized 'antenna-like neurons' whose dorsally oriented, cone-shaped dendritic domaine may have a height of 1000 Œºm. It can be concluded that the dorsal horn of the human spinal cord has several distinct dendroarchitectonic features, different from those reported in animals. The possible functional implication of some dendritic features is examined and a laminar dendroarchitectonic scheme of the human cord is proposed as a morphological tool for future neuroanatomical and neuropathological studies. ¬© 1982.</t>
  </si>
  <si>
    <t>['¬© 1982', 'uniform population', 'two axons', 'tangential plane', 'stellate cells', 'spiny dendrites', 'spherical territory', 'scattered spines', 'sagittally oriented', 'sagittal plane', 'sagittal disk', 'ramification richness', 'radiate cells', 'poor dendrites', 'penetrating deeply', 'numerous even', 'neuropathological studies', 'multiple filiform', 'morphological tool', 'mixed population', 'mean diameter', 'mainly found', 'long axis', 'like neurons', 'large sized', 'laminar scheme', 'laminae iii', 'lamina ii', 'islet cells', 'impregnated neurons', 'human cord', 'golgi method', 'future neuroanatomical', 'following features', 'filamentous cells', 'dorsal horn', 'dendritic tree', 'dendritic territory', 'dendritic features', 'dendritic domaine', 'curly cells', 'classified according', 'central part', 'cell body', 'branching pattern', 'axon penetrates', 'axon emits', 'analyzed morphometrically', 'adult material', '800 œºm', '40 %)', '280 œºm', '200 œºm', '20 %),', '1000 œºm', '10 %)']</t>
  </si>
  <si>
    <t>2-s2.0-0019950253</t>
  </si>
  <si>
    <t>10.1152/jappl.1982.52.4.1049</t>
  </si>
  <si>
    <t>Adjustments in metabolic heat production by squirrel monkeys exposed to microwaves</t>
  </si>
  <si>
    <t>Adair E.R.</t>
  </si>
  <si>
    <t>John B. Pierce Foundation Laboratory</t>
  </si>
  <si>
    <t>New Haven</t>
  </si>
  <si>
    <t>Adair, E. R.;Adams, B. W.</t>
  </si>
  <si>
    <t>7005831657;7202518964</t>
  </si>
  <si>
    <t>60002557;60002557</t>
  </si>
  <si>
    <t>Journal of Applied Physiology Respiratory Environmental and Exercise Physiology</t>
  </si>
  <si>
    <t>1049-1058</t>
  </si>
  <si>
    <t>Squirrel monkeys (Saimiri sciureus) were exposed in the far field of a horn antenna to both brief (10-min) and prolonged (90-min) periods of 2,450-MHz continuous microwaves. Ambient temperature (Ta) was constant at 15, 20, or 25¬∞C. Microwave power density ranged from 2.5 to 10 mW/cm2, representing a range of whole-body energy absorption from 0.4 to 1.5 W/kg. Reliable reductions in metabolic heat production (M), calculated from oxygen deficit in the monkey's expired air, were initiated at all Ta by 10-min whole-body exposures to power densities of 4 mW/cm2 (2 monkeys) or 6 mW/cm2 (1 monkey) and above. The magnitude of M reduction was linearly related to microwave intensity above the threshold level. Termination of microwaves was followed by a rapid M rebound. The change in M produced by a given power density was nearly the same in Ta = 15 and 20¬∞C. During 90-min exposures at Ta = 20¬∞C, the vigorous M reduction to microwave onset adapted slowly, ensuring continual precise regulation of internal body temperature. Thus cold-exposed endotherms readily compensate for microwave-induced body heating by reducing endogenous heat production.</t>
  </si>
  <si>
    <t>['thus cold', 'threshold level', 'squirrel monkeys', 'saimiri sciureus', 'reliable reductions', 'power densities', 'oxygen deficit', 'min whole', 'min exposures', 'microwave intensity', 'linearly related', 'horn antenna', 'far field', 'expired air', 'body exposures', 'ambient temperature', '6 mw', '5 w', '4 mw', '2 monkeys', '10 mw', '1 monkey', '), calculated']</t>
  </si>
  <si>
    <t>2-s2.0-0019947674</t>
  </si>
  <si>
    <t>10.1266/jjg.57.1</t>
  </si>
  <si>
    <t>Pleiotropic effects in the four jointed mutant of Drosophila melanogaster</t>
  </si>
  <si>
    <t>Tokunaga C.</t>
  </si>
  <si>
    <t>Tokunaga, Chiyoko;Sizemore, Stephen;Michinomae, Masanao;Gerhart, John C.</t>
  </si>
  <si>
    <t>7003774237;6602480357;11541172300;7007088075</t>
  </si>
  <si>
    <t>60025038;60025038;60025038;60025038</t>
  </si>
  <si>
    <t>The Japanese Journal of Genetics</t>
  </si>
  <si>
    <t>0021504X</t>
  </si>
  <si>
    <t>Studies of the adult morphology of male D. ‚Äòmelanogaster suggest that a shortening of body parts is the common aspect of the pleiotropic effects of fj (four jointed tarsi) on the development of the leg, wing, scutellum, distal parts of antenna, and one of three terglte segments measured. In the scutellum and distal antenna the only detected effect of fj is overall shortening, whereas local effects appear in leg and wing. Shortening of the leg is maximal (44%) at the proximal tarsal segments and absent at the distal two, confirming earlier studies. In the wing, total length is reduced 10% and maximum shortening (50%) occurs in the area between the anterior (ACV) and posterior (PCV) cross veins, while the proximal longitudinal veins are longer or unchanged. The effect of fj on wing width is small. Observations on cell density and bristle spacing also indicate that the strongest effect of fj is in the central area, between the ACV and PCV, We interpret the primary effect of fj to be a general reduction in the longitudinal growth pattern of many different imaginal discs. Secondary effects in the leg include a change in tarsal segmentation, followed by a bristle pattern change. In the wing, the angle of veins, bristle pattern on the subcosta vein, positions of ACV and PCV, and cell density variations are secondary effect of fj. A decrease in cell density on the wing surface between ACV and PCV may be related to a final stretching of wing tissue after the process of vein formation. Local effects are not seen in other discs which lack sequential regional patterning mechanisms emphasizing the effects of general shortening. The similarities in developmental aspects between leg and wing are discussed in relation to homoeotic changes by certain mutants. ¬© 1982, The Genetics Society of Japan. All rights reserved.</t>
  </si>
  <si>
    <t>['¬© 1982', 'wing width', 'wing tissue', 'wing surface', 'vein formation', 'total length', 'tarsal segmentation', 'subcosta vein', 'strongest effect', 'secondary effects', 'secondary effect', 'rights reserved', 'reduced 10', 'primary effect', 'pleiotropic effects', 'pcv may', 'overall shortening', 'maximum shortening', 'local effects', 'leg include', 'homoeotic changes', 'genetics society', 'general shortening', 'general reduction', 'final stretching', 'distal two', 'distal parts', 'distal antenna', 'developmental aspects', 'detected effect', 'cross veins', 'common aspect', 'certain mutants', 'central area', 'cell density', 'bristle pattern', 'body parts', 'adult morphology', '44 %)']</t>
  </si>
  <si>
    <t>2-s2.0-0019937526</t>
  </si>
  <si>
    <t>10.1109/TAP.1982.1142741</t>
  </si>
  <si>
    <t>Diakoptic Theory for Multielement Antennas</t>
  </si>
  <si>
    <t>Goubau G.</t>
  </si>
  <si>
    <t>60119141;112611056</t>
  </si>
  <si>
    <t>Rutgers University‚ÄìNew Brunswick;U. S. Army Communications Electronics-Command Fort Monmouth</t>
  </si>
  <si>
    <t>New Brunswick;Fort Monmouth</t>
  </si>
  <si>
    <t>Goubau, Georg;Nath Puri, Narindra;Schwering, Felix K.</t>
  </si>
  <si>
    <t>6506615574;56782489500;7003541666</t>
  </si>
  <si>
    <t>60119141;60119141;112611056</t>
  </si>
  <si>
    <t>15-26</t>
  </si>
  <si>
    <t>A theory is presented for the analysis of multielement antennas which consist of interconnected, conductive structure elements of electrically small dimensions. The theory is based on the retarded electromagnetic potentials which permit a diakoptic approach to the problem. The antenna is broken up into its individual structure elements. Each element is assumed to be excited by currents which are impressed at its terminals, i.e., junctions with adjacent elements (current coupling) and by the electric fields of the currents and charges on all the other elements (field coupling). Both excitations are treated independently. Each impressed current produces a ‚Äúdominant‚Äù current distribution, a characteristic of the element, which can be readily computed. Current coupling is formulated by ‚Äúintrinsic‚Äù impedance matrices which relate the scaler potentials at the terminals of an element, caused by its dominant current distributions, to the impressed currents of the element. Field coupling produces ‚Äúscatter‚Äù currents on all the elements and is formulated by a ‚Äúfield-coupling‚Äù matrix which relates the scalar potentials at the terminals, caused by field coupling, to the impressed currents at all the terminals. Intrinsic and ‚Äúfield-coupling‚Äù matrices are combined to form the ‚Äúcomplete‚Äù impedance matrix of the diakopted antenna. Enforcing continuity of the currents and equality of the scalar potentials at all the interconnections between the elements yields a system of linear equations for the junction currents and the input impedance of the antenna. Current coupling dominates field coupling. Field coupling is primarily affected by the dominant current distributions of the elements, and in general the scatter currents have negligible effect on it. Although detailed numerical investigations will be presented in another paper, a simple example is included here to demonstrate that the diakoptic theory yields very good results even if greatly simplified assumptions are made. Copyright ¬© 1981 by The Institute of Electrical and Electronics Engineers, Inc.</t>
  </si>
  <si>
    <t>['‚ äúfield', 'treated independently', 'simple example', 'scatter currents', 'scaler potentials', 'scalar potentials', 'readily computed', 'primarily affected', 'negligible effect', 'multielement antennas', 'linear equations', 'junction currents', 'input impedance', 'impressed currents', 'field coupling', 'enforcing continuity', 'elements yields', 'electronics engineers', 'electric fields', 'diakoptic approach', 'diakopted antenna', 'current coupling', 'another paper', 'adjacent elements']</t>
  </si>
  <si>
    <t>2-s2.0-0019936847</t>
  </si>
  <si>
    <t>10.1029/GL009i005p00507</t>
  </si>
  <si>
    <t>A new method for characterization of downhole antennas used in geophysical probing</t>
  </si>
  <si>
    <t>Daily W.</t>
  </si>
  <si>
    <t>Daily, William</t>
  </si>
  <si>
    <t>Geophysical Research Letters</t>
  </si>
  <si>
    <t>507-509</t>
  </si>
  <si>
    <t>We have developed a technique for measuring from boreholes the radiation pattern of a high frequency electromagnetic antenna system. Three coplanar holes are required with a single transmitter in one and two identical receiving antennas in the other holes. Signal attenuation is measured along several ray paths at different angles from the source. The method does not depend on the subsurface to be electrically homogeneous but does require reflections and refractions to be negligible. Measurements in fractured granite demonstrate the utility of the technique to obtain antenna radiation patterns. A modification of this same method could be used for characterization of downhole acoustic sources. Copyright 1982 by the American Geophysical Union.</t>
  </si>
  <si>
    <t>['single transmitter', 'signal attenuation', 'require reflections', 'radiation pattern', 'method could', 'electrically homogeneous', 'different angles', 'copyright 1982']</t>
  </si>
  <si>
    <t>2-s2.0-0019930858</t>
  </si>
  <si>
    <t>10.2514/3.56137</t>
  </si>
  <si>
    <t>Pointing fluctuation of a despun antenna due to axial thruster firing</t>
  </si>
  <si>
    <t>Shiomi T.</t>
  </si>
  <si>
    <t>Radio Research Laboratories</t>
  </si>
  <si>
    <t>Ibaraki Prefecture</t>
  </si>
  <si>
    <t>Shiomi, Tadashi</t>
  </si>
  <si>
    <t>Journal of Guidance, Control, and Dynamics</t>
  </si>
  <si>
    <t>When the axial thruster of Japan‚Äôs experimental communication satellite is fired for the north-south stationkeeping maneuver, nutational motion of the satellite is induced. This degrades the pointing performance of the satellite antenna, which continues for several minutes. Analysis of satellite dynamics using a simple model predicts that the pointing fluctuation of the despun antenna, which causes a fluctuation of the communication signal levels, reaches a maximum of approximately 0.7 deg during thruster firing. This agrees with the actual measurements. By analysis, the optimum conditions for the timing and the duration of continuous firing of the canted thruster are also obtained. These depend on both spin rate and the ratio of moments of inertia of the satellite. ¬© 1982 American Institute of Aeronautics and Astronautics, Inc., All rights reserved.</t>
  </si>
  <si>
    <t>['thruster firing', 'spin rate', 'several minutes', 'satellite antenna', 'rights reserved', 'pointing performance', 'pointing fluctuation', 'optimum conditions', 'nutational motion', 'inc .,', 'despun antenna', 'continuous firing', 'canted thruster', 'axial thruster', 'approximately 0', 'also obtained', 'actual measurements', '7 deg']</t>
  </si>
  <si>
    <t>2-s2.0-0019930101</t>
  </si>
  <si>
    <t>10.1109/JOE.1982.1145511</t>
  </si>
  <si>
    <t>Four Years of Low-Altitude Sea Ice Broad-Band Backscatter Measurements</t>
  </si>
  <si>
    <t>Onstott R.</t>
  </si>
  <si>
    <t>University of Kansas Center for Research</t>
  </si>
  <si>
    <t>Lawrence</t>
  </si>
  <si>
    <t>Onstott, Robert G.;Moore, R. K.;Gogineni, S.;Delker, C.</t>
  </si>
  <si>
    <t>7005814475;35592956700;35513627000;6507474872</t>
  </si>
  <si>
    <t>60032121;60032121;60032121;60032121</t>
  </si>
  <si>
    <t>IEEE Journal of Oceanic Engineering</t>
  </si>
  <si>
    <t>44-50</t>
  </si>
  <si>
    <t>The ability to use radar to discriminate Arctic Sea ice types has been investigated using surface-based and helicopter-borne scatterometer systems. The surface-based FM/CW radar operated at 1.5 GHz and at multiple frequencies in the 8-18-GHz region. Measurements were made at angles of 10¬∞ to 70¬∞ from nadir. The helicopter-based radar operated at the 8-18-GHz frequencies with incidence angles of 0¬∞ to 60¬∞. Extensive surface-truth measurements were made at or near the time of backscatter measurement to describe the physical and electrical properties of the polar scene. Measurements in the 8-18-GHz region verify the ability to discriminate multiyear, thick first-year, thin first-year, and pressure-ridged sea ice and lake ice. The lowest frequency, 9 GHz, was found to provide the greatest contrast between these ice categories, with significant levels of separation existing between angles from 15¬∞ to 70¬∞. The radar cross sections for like antenna polarizations, VV and HH, were very similar in absolute level and angular response. Cross-polarization, VH and HV, provided the greatest contrast between ice types. The 1.5-GHz measurements showed that thick first-year, thin first-year, and multiyear sea ice cannot be distinguished at 10¬∞ to 60¬∞ incidence angles with like polarization, VV, by backscatter alone; but that undeformed sea ice can be discriminated from pressure-ridged ice and lake ice. The effect of snow cover on the backscatter from thick first-year ice was also investigated. It contributes on the order of 0 to 4 dB, depending on frequency and incidence angle; the contribution of the snow layer increased with increasing frequency. Snow cover on smooth lake ice was found to be a major backscatter mechanism. Summer measurements demonstrate the inability to extend the knowledge of the backscatter from sea ice under spring conditions to all seasons. Copyright ¬© 1982 by The Institute of Electrical and Electronics Engineers, Inc.</t>
  </si>
  <si>
    <t>['year ice', 'use radar', 'truth measurements', 'thin first', 'thick first', 'spring conditions', 'snow cover', 'significant levels', 'separation existing', 'sea ice', 'ridged ice', 'polar scene', 'multiple frequencies', 'lowest frequency', 'like polarization', 'lake ice', 'increasing frequency', 'incidence angles', 'incidence angle', 'ice types', 'ice categories', 'greatest contrast', 'ghz region', 'ghz frequencies', 'extensive surface', 'electronics engineers', 'electrical properties', 'discriminate multiyear', 'based fm', 'backscatter measurement', 'backscatter alone', 'angular response', 'also investigated', 'absolute level', '9 ghz', '70 ¬∞.', '70 ¬∞', '60 ¬∞.', '5 ghz', '4 db', '15 ¬∞', '10 ¬∞', '0 ¬∞']</t>
  </si>
  <si>
    <t>2-s2.0-0019929811</t>
  </si>
  <si>
    <t>Parabolic antennas and their bearing mountings: past and present.</t>
  </si>
  <si>
    <t>Ackermann J.</t>
  </si>
  <si>
    <t>Ackermann, J.;Fiedler, H.</t>
  </si>
  <si>
    <t>7102487046;7201729310</t>
  </si>
  <si>
    <t>BALL &amp; ROLLER BEAR. ENGNG.</t>
  </si>
  <si>
    <t>2 , 1982</t>
  </si>
  <si>
    <t>34-40</t>
  </si>
  <si>
    <t>Ground stations with antennas have been developed in close connection with satellites during the past 20 years. In the mid sixties, 25 telephone connections at the most could be made via satellite between the German Federal Republic and the North American continent. Today over 2000 intercontinental voicegrade channels are avaiable in West Germany. Antennas are not only required for telecommunication; huge antennas are used in radio astronomy for research into outer space. Rolling bearings accomodate the weight and the wind loads and guide the parabolic reflectors smoothly about both axes. (A)</t>
  </si>
  <si>
    <t>['wind loads', 'west germany', 'radio astronomy', 'outer space', 'mid sixties', 'huge antennas', 'ground stations', 'close connection']</t>
  </si>
  <si>
    <t>2-s2.0-0019928857</t>
  </si>
  <si>
    <t>10.1109/TAP.1982.1142739</t>
  </si>
  <si>
    <t>An Alternative Approach to Linearly Constrained Adaptive Beamforming</t>
  </si>
  <si>
    <t>Griffiths L.</t>
  </si>
  <si>
    <t>Griffiths, Lloyd J.;Jim, Charles W.</t>
  </si>
  <si>
    <t>7101833999;7006143747</t>
  </si>
  <si>
    <t>A beamforming structure is presented which can be used to implement a wide variety of linearly constrained adaptive array processors. The structure is designed for use with arrays which have been time-delay steered such that the desired signal of interest appears approximately in phase at the steered outputs. One major advantage of the new structure is the constraints can be implemented using simple hardware differencing amplifiers. The structure is shown to incorporate algorithms which have been suggested previously for use in adaptive beamforming as well as to include new approaches. It is also particularly useful for studying the effects of steering errors on array performance. Numerical examples illustrating the performance of the structure are presented. Copyright ¬© 1981 by The Institute of Electrical and Electronics Engineers, Inc.</t>
  </si>
  <si>
    <t>['wide variety', 'suggested previously', 'steering errors', 'steered outputs', 'new structure', 'incorporate algorithms', 'electronics engineers', 'desired signal', 'delay steered', 'beamforming structure', 'array performance', 'adaptive beamforming']</t>
  </si>
  <si>
    <t>2-s2.0-0019928176</t>
  </si>
  <si>
    <t>10.1109/TAP.1982.1142744</t>
  </si>
  <si>
    <t>Feed Region Modes in Dipole Phased Arrays</t>
  </si>
  <si>
    <t>Mayer E.</t>
  </si>
  <si>
    <t>Mayer, Elliot D.;Hessel, Alexander</t>
  </si>
  <si>
    <t>7202549969;7005831705</t>
  </si>
  <si>
    <t>60108318;60108318</t>
  </si>
  <si>
    <t>66-75</t>
  </si>
  <si>
    <t>Feed region modes are derived for a class of dipole phased arrays. The dipole and its balun are a linearly polarized version of the perimeter array radar (PAR) antenna element, and are modeled in stripline geometry. Knowledge of the feed region modes is essential in determining the influence of supports on the element scan performance, and should shed light on the formation of blind spots in dipole arrays. It is shown that for practical spacings, the balanced stripline feed structure supports a propagating transverse magnetic (TM) mode in addition to two transverse electromagnetic (TEM) modes. The propagation constant of this mode is scan dependent, and under inappropriate conditions its cutoff occurs before the onset of the grating lobe. Pending further analysis, it is conjectured that this mode cutoff may cause blind spots which limit the array scan coverage. Copyright ¬© 1981 by The Institute of Electrical and Electronics Engineers, Inc.</t>
  </si>
  <si>
    <t>['stripline geometry', 'shed light', 'scan dependent', 'propagation constant', 'practical spacings', 'inappropriate conditions', 'grating lobe', 'electronics engineers', 'dipole arrays', 'cutoff occurs', 'blind spots', 'antenna element']</t>
  </si>
  <si>
    <t>2-s2.0-0019926890</t>
  </si>
  <si>
    <t>10.1109/TAP.1982.1142752</t>
  </si>
  <si>
    <t>Efficient Computation of Antenna Coupling and Fields Within the Near-Field Region</t>
  </si>
  <si>
    <t>Yaghjian A.</t>
  </si>
  <si>
    <t>Yaghjian, Arthur D.</t>
  </si>
  <si>
    <t>113-128</t>
  </si>
  <si>
    <t>The theory, techniques, details of the important equations, and description of two computer programs are presented for calculating efficiently the mutual coupling at a single frequency between any two antennas arbitrarily oriented and separated in free space. Both programs emphasize efficiency and generality, and require, basically, the complex electric far field of each antenna, and the Eulerian angles designating the relative orientation of each antenna. Multiple reflections between the antennas are neglected but no other restrictive assumptions are involved. If an electric field component is desired instead of coupling, the receiving antenna is replaced by a virtual antenna with uniform far Held. The first computer program computes coupling (or fields) versus transverse displacement of the antennas in a plane normal to their axis of separation. An efficient fast Fourier transform (FFT) program was made possible by ‚Äúcollapsing‚Äù the far-field input data and showing that in most cases the spectrum integration need cover only the solid angle mutually subtended by the smallest spheres circumscribing the antennas. Limiting the integration to this solid angle artifically band limits the coupling function, thereby allowing much larger integration increments and reducing run times and storage requirements to a feasible amount for electrically large antennas. The second program is based on a spherical wave representation of the coupling function and rapidly computes coupling (or fields) versus separation distance between the antennas. The spherical wave representation emerged naturally from an intriguing characteristic proven for the mutual coupling function; it, like each rectangular component of electric and magnetic field in free space, satisfies the homogeneous wave equation. Copyright ¬© 1981 by The Institute of Electrical and Electronics Engineers, Inc.</t>
  </si>
  <si>
    <t>['virtual antenna', 'storage requirements', 'single frequency', 'second program', 'restrictive assumptions', 'relative orientation', 'rectangular component', 'receiving antenna', 'plane normal', 'mutual coupling', 'multiple reflections', 'magnetic field', 'made possible', 'important equations', 'free space', 'feasible amount', 'electronics engineers', 'desired instead', 'coupling function', 'calculating efficiently']</t>
  </si>
  <si>
    <t>2-s2.0-0019926889</t>
  </si>
  <si>
    <t>10.1109/TAP.1982.1142757</t>
  </si>
  <si>
    <t>Surface-Curvature-Induced Microwave Shadows</t>
  </si>
  <si>
    <t>Rahnavard M.</t>
  </si>
  <si>
    <t>60029311;60026914</t>
  </si>
  <si>
    <t>University of Southern California;Shiraz University</t>
  </si>
  <si>
    <t>Los Angeles;Shiraz</t>
  </si>
  <si>
    <t>United States;Iran</t>
  </si>
  <si>
    <t>Rahnavard, Mohammad H.;Rusch, Willard V.T.</t>
  </si>
  <si>
    <t>7003556018;7005574913</t>
  </si>
  <si>
    <t>60026914;60029311</t>
  </si>
  <si>
    <t>83-88</t>
  </si>
  <si>
    <t>Ray behavior and the corresponding fields in the vicinity of surface-curvature-induced reflection boundaries are examined and compared with edge-induced reflection boundaries. The slopes of the reflection boundaries vary, respectively, as (Œª)-5/6 and (Œª)-1/2. Asymptotic evaluation of the physical optics scattering integrals leads to the definitiod' of equivalent ‚Äúdiffraction‚Äù coefficients involving the Airy function. Copyright ¬© 1981 by The Institute of Electrical and Electronics Engineers, Inc.</t>
  </si>
  <si>
    <t>['ray behavior', 'electronics engineers', 'corresponding fields', 'asymptotic evaluation', 'airy function']</t>
  </si>
  <si>
    <t>2-s2.0-0019926557</t>
  </si>
  <si>
    <t>10.1109/TAP.1982.1142755</t>
  </si>
  <si>
    <t>Adaptive Arrays: A New Approach to the Steady-State Analysis</t>
  </si>
  <si>
    <t>128-138</t>
  </si>
  <si>
    <t>Our main goal is a closed-form expression for the steady-state output signal-to-noise ratio (SNR) of an n-element adaptive array excited by one desired narrow-band signal and K - I narrowband jammers. This is facilitated by representing each excitation by a complex n-dimensional vector-the excitation vector. We show that the important system parameters are functions of scalar products of pairs of these exctiation vectors. In particular, the normalized output SNR of the array is shown to be the ratio of determinants whose elements involve these scaler products. Such determinants are also shown to be involved in the expressions for the optimal array weights. Copyright ¬© 1981 by The Institute of Electrical and Electronics Engineers, Inc.</t>
  </si>
  <si>
    <t>['scaler products', 'scalar products', 'noise ratio', 'narrowband jammers', 'main goal', 'form expression', 'exctiation vectors', 'excitation vector', 'electronics engineers', 'dimensional vector', 'complex n', 'band signal', 'also shown']</t>
  </si>
  <si>
    <t>2-s2.0-0019924137</t>
  </si>
  <si>
    <t>10.1109/TGRS.1982.4307523</t>
  </si>
  <si>
    <t>On Randomly Absorbing and Scattering Surface Layers</t>
  </si>
  <si>
    <t>Schanda E.</t>
  </si>
  <si>
    <t>University of Bern</t>
  </si>
  <si>
    <t>Bern</t>
  </si>
  <si>
    <t>Schanda, Erwin</t>
  </si>
  <si>
    <t>Radar wave scattering on natural surfaces by randomly distributed irregularities of the absorption and phase properties superimposed on an average medium is studied. Two simple models are regarded replacing the real medium by a plane one with continuous distribution of phase and absorption and one with discrete absorbing cells. The scattered radiation contains a coherent (specular) part which is dependent on the antenna size to wavelength ratio and a random (diffuse) part. The angular width of the diffuse component is given by the ratio of mean dimension of the irregularities and the wavelength. The computed scattering patterns are compared with measurements. The resulting absorption of the surface layer determines the albedo and thus the emissivity. Reasonable assumptions yield backscatter and emission values fitting favorably to typical observations. The importance of the random absorption for the diffuse scattering and emission processes becomes evident. Copyright ¬© 1982 by The Institute of Electrical and Electronics Engineers, Inc.</t>
  </si>
  <si>
    <t>['wavelength ratio', 'typical observations', 'resulting absorption', 'regarded replacing', 'real medium', 'random absorption', 'plane one', 'natural surfaces', 'mean dimension', 'electronics engineers', 'diffuse scattering', 'diffuse component', 'continuous distribution', 'average medium', 'antenna size', 'angular width']</t>
  </si>
  <si>
    <t>2-s2.0-0019924122</t>
  </si>
  <si>
    <t>10.1109/TAP.1982.1142745</t>
  </si>
  <si>
    <t>Precision Experimental Characterization of the Scattering and Radiation Properties of Antennas</t>
  </si>
  <si>
    <t>Wang J.</t>
  </si>
  <si>
    <t>60019647;106419520</t>
  </si>
  <si>
    <t>Georgia Institute of Technology;Institute of Technology</t>
  </si>
  <si>
    <t>Atlanta;Atlanta</t>
  </si>
  <si>
    <t>Wang, Johnson J.H.;Choi, Chang W.;Moore, Rick L.</t>
  </si>
  <si>
    <t>57203558701;26651081000;56283800300</t>
  </si>
  <si>
    <t>106419520;60019647;106419520</t>
  </si>
  <si>
    <t>108-112</t>
  </si>
  <si>
    <t>An accurate and simple experimental technique to characterize the scattering and radiation properties of antennas has been developed. The structural scattering constant is determined by the relative amplitude and phase of the radar cross section (RCS) of the antenna. The antenna gain can also be readily obtained from this information and from an absolute calibration for the echo amplitude. In comparison with other methods this phase-distinction technique is considered more convenient to use and is more accurate for antennas with a structural constant approaching unity. Copyright ¬© 1981 by The Institute of Electrical and Electronics Engineers, Inc.</t>
  </si>
  <si>
    <t>['relative amplitude', 'readily obtained', 'radiation properties', 'electronics engineers', 'echo amplitude', 'distinction technique', 'antenna gain', 'absolute calibration']</t>
  </si>
  <si>
    <t>2-s2.0-0019923854</t>
  </si>
  <si>
    <t>10.1109/TMTT.1982.1131012</t>
  </si>
  <si>
    <t>A Wide Scan Quasi-Optical Frequency Diplexer</t>
  </si>
  <si>
    <t>Fratamico J.</t>
  </si>
  <si>
    <t>60022195;60021378</t>
  </si>
  <si>
    <t>Massachusetts Institute of Technology;Nokia Bell Labs</t>
  </si>
  <si>
    <t>Cambridge;Murray</t>
  </si>
  <si>
    <t>Fratamico, John J.;Gans, Michael J.;Owens, Gerald J.</t>
  </si>
  <si>
    <t>6507284009;7006813926;7103274705</t>
  </si>
  <si>
    <t>60022195;60021378;60021378</t>
  </si>
  <si>
    <t>20-27</t>
  </si>
  <si>
    <t>A wide scan quasi-optical frequency diplexer is required for certain antenna applications. A waveguide array is a structure which can fill this requirement and also discriminate proximal frequencies. The wide scan characteristics are enhanced by tilting the waveguide axes with respect to the waveguide-free-space interface. A variational analysis of this structure is presented, as well as experimental verification using a Ku-band model. Copyright ¬© 1982 by The Institute of Electrical and Electronics Engineers, Inc.</t>
  </si>
  <si>
    <t>['waveguide axes', 'waveguide array', 'variational analysis', 'space interface', 'electronics engineers', 'band model']</t>
  </si>
  <si>
    <t>2-s2.0-0019923758</t>
  </si>
  <si>
    <t>10.1109/TAES.1982.309211</t>
  </si>
  <si>
    <t>Eliminating Reference Loop Phase Shift in Adaptive Arrays</t>
  </si>
  <si>
    <t>Bar-Ness Y.</t>
  </si>
  <si>
    <t>Drexel University</t>
  </si>
  <si>
    <t>Bar-Ness, Y.</t>
  </si>
  <si>
    <t>115-123</t>
  </si>
  <si>
    <t>Adaptive array processors utilizing the Widrow LMS algroithm with an internally generated reference signal have been shown to be subject to weight cycling caused by phase shift in the reference extracting loop. Adaptive compensation schemes that eliminate the reference loop phase shift are suggested here. Two such schemes are proposed. They differ in the amount of hardware complexity needed as well as in the rate at which each one eliminates the phase shift. Computer calculations are used to compare the rates of convergence of the two schemes. ¬© 1982 IEEE.</t>
  </si>
  <si>
    <t>['two schemes', 'phase shift', 'one eliminates', 'computer calculations']</t>
  </si>
  <si>
    <t>2-s2.0-0019923241</t>
  </si>
  <si>
    <t>CHARACTERISTIC MODES IN A MULTISTEP PERIODIC ARRAY OF LONGITUDINALLY MAGNETIZED FERRITE RODS.</t>
  </si>
  <si>
    <t>Avdeyev S.</t>
  </si>
  <si>
    <t>Avdeyev, S. M.;Bei, N. A.;Mazanik, S. M.</t>
  </si>
  <si>
    <t>6603942530;36937160500;6508123285</t>
  </si>
  <si>
    <t>Jan</t>
  </si>
  <si>
    <t>42-47</t>
  </si>
  <si>
    <t>The partial region method is used to obtain the dispersion equation for determination of the complete spectrum of the characteristic modes in an infinite multistep two-dimensional periodic array of round longitudinally magnetized ferrite rods located in the nodes of a nonorthogonal grid. The equation for an array with an orthogonal grid is numerically analyzed. The convergence of the sequence of approximate solutions is investigated.</t>
  </si>
  <si>
    <t>['orthogonal grid', 'numerically analyzed', 'nonorthogonal grid', 'dispersion equation', 'complete spectrum', 'characteristic modes', 'approximate solutions']</t>
  </si>
  <si>
    <t>2-s2.0-0019919052</t>
  </si>
  <si>
    <t>10.1002/ecja.4410650110</t>
  </si>
  <si>
    <t>Self‚Äêcomplementary monopole‚Äênotch array antennas</t>
  </si>
  <si>
    <t>Yamamoto K.</t>
  </si>
  <si>
    <t>Tohoku University</t>
  </si>
  <si>
    <t>Sendai</t>
  </si>
  <si>
    <t>Yamamoto, Katsuhiro;Sawaya, Kunio;Ishizone, Takayuki;Mushiake, Yasuto</t>
  </si>
  <si>
    <t>55739364700;35598806700;56843454200;7004205007</t>
  </si>
  <si>
    <t>60008435;60008435;60008435;60008435</t>
  </si>
  <si>
    <t>The constant impedance characteristics of self‚Äêcomplementary antennas are theoretically established; however, the wideband nature of their radiation patterns is not in general assured. A number of works have been published in which widebanding of radiation patterns is attempted by creating axially symmetric self‚Äêcomplementary monopole‚Äênotch array antennas on the edge of a conductor. However, for the most part these studies are based on experimental procedures. In this paper the radiation characteristics of the self‚Äêcomplementary monopole‚Äênotch antenna are analyzed theoretically and the array structure with wideband constant gain characteristics is discussed. A monopole‚Äênotch antenna created on the edge of an ideal semiinfinite conducting plane is first analyzed and found to possess wideband radiation characteristics. A more practical monopolenotch antenna created on a finite conducting plate is then analyzed by the induced e.m.f. method. The results show that the gain is higher for the structure with a longer edge in the main beam direction. It is also found that an antenna with constant impedance and constant gain characteristic can be obtained by setting up a monopole‚Äênotch array on a triangular conducting plate. The validity of the theoretical analysis is experimentally confirmed and the limitation of the induced e.m.f. method is evaluated. Copyright ¬© 1982 Wiley Periodicals, Inc., A Wiley Company</t>
  </si>
  <si>
    <t>['wiley company', 'wideband nature', 'theoretically established', 'theoretical analysis', 'results show', 'radiation patterns', 'radiation characteristics', 'longer edge', 'induced e', 'inc .,', 'general assured', 'first analyzed', 'experimentally confirmed', 'experimental procedures', 'constant impedance', 'array structure', 'analyzed theoretically', 'also found']</t>
  </si>
  <si>
    <t>2-s2.0-0019912222</t>
  </si>
  <si>
    <t>10.1109/JOE.1982.1145507</t>
  </si>
  <si>
    <t>Errors of Decca LOP Due to the Metal Structure of a Ship</t>
  </si>
  <si>
    <t>Taguchi K.</t>
  </si>
  <si>
    <t>60028088;60000264</t>
  </si>
  <si>
    <t>Kagoshima University;Nagoya University</t>
  </si>
  <si>
    <t>Kagoshima;Nagoya</t>
  </si>
  <si>
    <t>Taguchi, Kazuo;Sao, Kazuo</t>
  </si>
  <si>
    <t>7202952853;6701332999</t>
  </si>
  <si>
    <t>59-61</t>
  </si>
  <si>
    <t>Measurements of lines of position (LOP) of a metal ship using the Decca navigator system show errors which follow a semicircular pattern with respect to the bow of the ship. An equivalent error pattern is derived assuming the ship to be a secondary radiator represented by a vertical loop antenna. Copyright ¬© 1982 by The Institute of Electrical and Electronics Engineers, Inc.</t>
  </si>
  <si>
    <t>['semicircular pattern', 'electronics engineers', 'derived assuming']</t>
  </si>
  <si>
    <t>2-s2.0-0019912221</t>
  </si>
  <si>
    <t>10.1109/TAES.1982.309212</t>
  </si>
  <si>
    <t>An Adaptive Array Signal Processing Algorithm for Communications</t>
  </si>
  <si>
    <t>Brennan L.</t>
  </si>
  <si>
    <t>Adaptive Sensors, Inc.</t>
  </si>
  <si>
    <t>Santa Monica</t>
  </si>
  <si>
    <t>Brennan, Lawrence E.;Reed, Irving S.</t>
  </si>
  <si>
    <t>7102633430;7102915755</t>
  </si>
  <si>
    <t>100735316;100735316</t>
  </si>
  <si>
    <t>124-130</t>
  </si>
  <si>
    <t>An algorithm is described for initial synchronization in a communication system with a digital adaptive array. This algorithm can also be used for message extraction. A set of consecutive complex video samples of the array output is processed to obtain optimum adaptive array weights, based on a least mean square (LMS) error criterion. This computation is performed for each of the possible alternative signals which may be present during an observation interval. The correct synchronization time or message symbol is selected as the one which yields the minimum LMS error. Assuming orthogonality of the alternative codes, a probability distribution for the output of this processor has been derived. ¬© 1982 IEEE.</t>
  </si>
  <si>
    <t>['probability distribution', 'observation interval', 'message symbol', 'message extraction', 'initial synchronization', 'error criterion', 'communication system', 'assuming orthogonality', 'array output', 'alternative codes']</t>
  </si>
  <si>
    <t>2-s2.0-0019912219</t>
  </si>
  <si>
    <t>10.1109/TAP.1982.1142746</t>
  </si>
  <si>
    <t>Exact Gain Measurement of Large Aperture Antennas Using Celestial Radio Sources</t>
  </si>
  <si>
    <t>Satoh T.</t>
  </si>
  <si>
    <t>60021208;60004541</t>
  </si>
  <si>
    <t>KDDI Corporation;INTELSAT</t>
  </si>
  <si>
    <t>Tokyo;Washington, D.C.</t>
  </si>
  <si>
    <t>Satoh, Toshio;Ogavva, Akiyoshi</t>
  </si>
  <si>
    <t>57225682071;56782551100</t>
  </si>
  <si>
    <t>157-161</t>
  </si>
  <si>
    <t>The correction factors for angular extension of celestial radio sources, Cassiopeia A (Cas A), Taurus A (Tau A), and Cygnus A (Cyg A) were calculated based on the detailed contour maps of brightness temperature. Examinations of the flux densities of those radio sources were made using the published data. The gain of antennas of several sizes measured by using the three radio sources was determined by applying the newly obtained parameters. It was found that the gain of large aperture antennas at 4- and 6-GHz bands could be determined to the accuracy of better than +0.45 dB (3a) by use of the three radio sources. Copyright ¬© 1981 by The Institute of Electrical and Electronics Engineers, Inc.</t>
  </si>
  <si>
    <t>['radio sources', 'published data', 'made using', 'flux densities', 'electronics engineers', 'correction factors', 'calculated based', 'brightness temperature', 'angular extension', '45 db', '), taurus']</t>
  </si>
  <si>
    <t>2-s2.0-0019911133</t>
  </si>
  <si>
    <t>ESA's new standard 15m S/X-band antenna - first installation at Villafranca ( Spain).</t>
  </si>
  <si>
    <t>Maldari P.</t>
  </si>
  <si>
    <t>European Space Operations Centre</t>
  </si>
  <si>
    <t>Darmstadt</t>
  </si>
  <si>
    <t>Maldari, P.</t>
  </si>
  <si>
    <t>ESA Bulletin</t>
  </si>
  <si>
    <t>21-25</t>
  </si>
  <si>
    <t>Acceptance testing of the first of a new series of 15m antennas designed for transmission and reception at S-band, and possible extension to simultaneous X-band reception, has recently been completed. The first unit of this type has been installed at the Agency's Villafranca del Castillo ground station, near Madrid, and a second one is presently being procured for the Carnarvon ground station in Australia. - from Author</t>
  </si>
  <si>
    <t>['simultaneous x', 'second one', 'possible extension', 'new series', 'near madrid', 'first unit', 'band reception', 'acceptance testing']</t>
  </si>
  <si>
    <t>2-s2.0-0019910482</t>
  </si>
  <si>
    <t>10.1109/TAP.1982.1142737</t>
  </si>
  <si>
    <t>Scattering of a Dipole Field by a Moving Plasma Column</t>
  </si>
  <si>
    <t>Nakagawa K.</t>
  </si>
  <si>
    <t>Okayama University of Science</t>
  </si>
  <si>
    <t>Okayama</t>
  </si>
  <si>
    <t>Nakagawa, Kimio</t>
  </si>
  <si>
    <t>76-82</t>
  </si>
  <si>
    <t>The problem of scattering of a dipole field by a plasma column moving uniformly in the axial direction is treated. In order to know the effect of the motion of the plasma on the scattering pattern, first the scattering properties of the dipole field by a stationary plasma with the aid of numerical examples are discussed. In this case two kinds of scattering patterns are illustrated: one in a cross section of the column and the other in the longitudinal section of the column. Then the scattering pattern of the dipole field by the moving plasma is investigated. From the numerical examples for the stationary plasma it is found that the scattering patterns are well-classified into three typical patterns by investigating the ratio of the backward scattering to the forward scattering with respect to the parameters which govern the scattering properties. In the case of moving plasma, it is shown that the scattering pattern in the longitudinal section will have a characteristic directional pattern, which does not appear in the case of stationary plasma, at a frequency lower than the plasma frequency. Copyright ¬© 1981 by The Institute of Electrical and Electronics Engineers, Inc.</t>
  </si>
  <si>
    <t>['stationary plasma', 'scattering properties', 'scattering patterns', 'scattering pattern', 'plasma frequency', 'numerical examples', 'moving plasma', 'longitudinal section', 'frequency lower', 'forward scattering', 'electronics engineers', 'dipole field', 'cross section', 'backward scattering', 'axial direction']</t>
  </si>
  <si>
    <t>2-s2.0-0019910481</t>
  </si>
  <si>
    <t>10.1109/TAP.1982.1142758</t>
  </si>
  <si>
    <t>Dielectric Tapered Rod Antennas for Millimeter-Wave Applications</t>
  </si>
  <si>
    <t>Kobayashi S.</t>
  </si>
  <si>
    <t>60092258;60000745</t>
  </si>
  <si>
    <t>Ministry of Posts and Telecommunications, Japan;University of Illinois Urbana-Champaign</t>
  </si>
  <si>
    <t>Koganei;Urbana</t>
  </si>
  <si>
    <t>Kobayashi, Satoshi;Mittra, Raj;Lampe, Ross</t>
  </si>
  <si>
    <t>56771630400;55197051100;7005258209</t>
  </si>
  <si>
    <t>60092258;60000745;60000745</t>
  </si>
  <si>
    <t>54-58</t>
  </si>
  <si>
    <t>Tapered dielectric rod antennas of rectangular cross section are developed for possible application in millimeter-wave dielectric integrated circuits. Design principles for a maximum gain design are described, and an example is given. Experimental results for antennas designed for low sidelobes and for maximum gain are presented. Copyright ¬© 1981 by The Institute of Electrical and Electronics Engineers, Inc.</t>
  </si>
  <si>
    <t>['possible application', 'maximum gain', 'low sidelobes', 'experimental results', 'electronics engineers', 'design principles', 'antennas designed']</t>
  </si>
  <si>
    <t>2-s2.0-0019909248</t>
  </si>
  <si>
    <t>10.1007/BF01035029</t>
  </si>
  <si>
    <t>Vhf antenna breakdown</t>
  </si>
  <si>
    <t>Astaikin A.</t>
  </si>
  <si>
    <t>Astaikin, A. I.;Shchanikov, N. I.</t>
  </si>
  <si>
    <t>6507892842;6504554066</t>
  </si>
  <si>
    <t>68-72</t>
  </si>
  <si>
    <t>2-s2.0-0019908637</t>
  </si>
  <si>
    <t>SYSTEMATIC APPROACH TO THE PREDICTION OF RESONANCE IN AN ARRAY.</t>
  </si>
  <si>
    <t>Gantsevich M.</t>
  </si>
  <si>
    <t>Gantsevich, M. M.;Shtern, Yu M.</t>
  </si>
  <si>
    <t>36882483500;7801691000</t>
  </si>
  <si>
    <t>32-35</t>
  </si>
  <si>
    <t>A biperiodic flat array is investigated using the theory of dynamic systems. The concept of array development is introduced and two mutually alternating phases of such development, i. e. , the evolution and jump phases, are separated. The phase jump is associated with resonance in the array. Analytical estimate of the presence or absence of the phase jump is obtained.</t>
  </si>
  <si>
    <t>['phase jump', 'jump phases', 'investigated using', 'dynamic systems', 'array development', 'analytical estimate']</t>
  </si>
  <si>
    <t>2-s2.0-0019908636</t>
  </si>
  <si>
    <t>10.1007/BF01035031</t>
  </si>
  <si>
    <t>Diffraction of electromagnetic waves at the seam of two-dimensionally periodic waveguide arrays and dielectric rods</t>
  </si>
  <si>
    <t>Krekhtunov V.</t>
  </si>
  <si>
    <t>Krekhtunov, V. M.;Tyulin, V. A.</t>
  </si>
  <si>
    <t>57213898470;6701386575</t>
  </si>
  <si>
    <t>77-85</t>
  </si>
  <si>
    <t>2-s2.0-0019902273</t>
  </si>
  <si>
    <t>Hydraulics extends radio observatory's celestial 'ear'.</t>
  </si>
  <si>
    <t>Wolf R.</t>
  </si>
  <si>
    <t>Wolf, R. J.;Swansbro, R. L.</t>
  </si>
  <si>
    <t>7402145014;6504572302</t>
  </si>
  <si>
    <t>HYDRAUL. &amp; PNEUM.</t>
  </si>
  <si>
    <t>0018814X</t>
  </si>
  <si>
    <t>10 , Oct. 1982</t>
  </si>
  <si>
    <t>137-141</t>
  </si>
  <si>
    <t>Describes the National Radio Astronomy Observatory's Very Large Array (VLA) in Socorro, New Mexico. The VLA site consists of 27 parabolic antennae arranged on the desert floor in a giant Y-shaped array formed by branches of double rail tracks; two are 13 miles long and one is 11.8 miles long. The antennae are transferred along the tracks by a 75-ton hydraulic transport vehicle. Precise speed control and smooth operation are essential to avoid damage to antennae and transporter. The propulsion system, hydraulic motor, controls, freewheeling hydraulics, suspension and auxiliary fuctions of the hydraulic transporter are described. (H.C.B.)</t>
  </si>
  <si>
    <t>['transferred along', 'smooth operation', 'propulsion system', 'new mexico', 'large array', 'hydraulic transporter', 'hydraulic motor', 'freewheeling hydraulics', 'desert floor', 'b .)', 'avoid damage', 'auxiliary fuctions']</t>
  </si>
  <si>
    <t>2-s2.0-0019900352</t>
  </si>
  <si>
    <t>10.1109/TAP.1982.1142736</t>
  </si>
  <si>
    <t>Unified Theory of Near-Field Analysis and Measurement: Nonmathematical Discussion</t>
  </si>
  <si>
    <t>Acker P.</t>
  </si>
  <si>
    <t>KU Leuven</t>
  </si>
  <si>
    <t>3000 Leuven</t>
  </si>
  <si>
    <t>Acker, Paul F.W.</t>
  </si>
  <si>
    <t>99-107</t>
  </si>
  <si>
    <t>A new unified theory of near-field analysis and measurement emphasizes highly accurate, extremely efficient data processing to yield, e.g., radiation, receiving, and scattering patterns, and absolute gain values. The theory includes 17 types of plane rectangular and plane radial scanning, a more accurate and efficient plane polar scanning, spherical scanning, various types of circular cylindrical scanning, many procedures for determining complex dyadic scattering patterns, the extrapolation method for gain and effective area, and application of symmetry analysis to scattering and inverse scattering analysis. High accuracy is obtained by expressing the fields as linear combination of exact solutions of the differential equations involved (Maxwell's in the electromagnetic (EM) cases) and by using exact expressions for their transformations under coordinate changes. High efficiency is obtained with natural orthogonalities of both the solutions and transformation coefficients with respect to integration, especially summation, and implemented with the fast Fourier transform (FFT) as an approximation-free symmetry decomposition. The unified theory is based upon relativistic and gauge invariances, symmetry analysis, and the scattering matrix theory; it yields all the preceding facets and systems, both electromagnetic and scalar, and the single unified notation, general equations, and explicit expressions for the quantities which vary with the physical or scanning system. A nonmathematical discussion of other papers on the theory is provided. Many of the conceptual errors of the literature are corrected. The advantages and limitations of near-field measurements are described. and scanning systems are compared. Copyright ¬© 1981 by The Institute of Electrical and Electronics Engineers, Inc.</t>
  </si>
  <si>
    <t>['various types', 'unified theory', 'transformation coefficients', 'symmetry analysis', 'spherical scanning', 'scattering patterns', 'scanning systems', 'scanning system', 'preceding facets', 'plane rectangular', 'nonmathematical discussion', 'natural orthogonalities', 'many procedures', 'linear combination', 'high efficiency', 'high accuracy', 'general equations', 'gauge invariances', 'field measurements', 'field analysis', 'extrapolation method', 'explicit expressions', 'exact solutions', 'especially summation', 'electronics engineers', 'effective area', 'coordinate changes', 'conceptual errors']</t>
  </si>
  <si>
    <t>2-s2.0-0019899404</t>
  </si>
  <si>
    <t>10.1109/TAP.1982.1142753</t>
  </si>
  <si>
    <t>Space-Time Integral Equation Approach to Dielectric Targets</t>
  </si>
  <si>
    <t>Mieras, Harry;Bennett, C. Leonard</t>
  </si>
  <si>
    <t>6602851136;7401714882</t>
  </si>
  <si>
    <t>60006168;60006168</t>
  </si>
  <si>
    <t>A time-domain integral equation technique is presented for computing the response of arbitrarily shaped three-dimensional nondispersive homogeneous dielectric solids. The method is an extension of the previously reported space-time integral equation (STIE) approach to scattering from conducting solids. It consists of the simultaneous solution of four integral equations by a procedure of inarching in time. The incident Pulsewidth is of the order of a target dimension. The result is a ‚Äúsmoothed impulse response,‚Äù or, after deconvolution, a frequency response valid from dc through the resonance region. While applicable to arbitrary shapes, the numerical solution was implemented for smooth solids with plane symmetry. Results for a sphere and a sphere-capped cylinder are given and verified, respectively, by comparison with the Mie series solution and with measurements. Copyright ¬© 1981 by The Institute of Electrical and Electronics Engineers, Inc.</t>
  </si>
  <si>
    <t>['target dimension', 'smooth solids', 'simultaneous solution', 'resonance region', 'plane symmetry', 'numerical solution', 'incident pulsewidth', 'electronics engineers', 'conducting solids', 'capped cylinder', 'arbitrary shapes']</t>
  </si>
  <si>
    <t>2-s2.0-0019899056</t>
  </si>
  <si>
    <t>10.1109/JQE.1982.1071373</t>
  </si>
  <si>
    <t>Improvement of Responsivity of High-Speed Infrared Detector Using Hot Carriers in Semiconductors</t>
  </si>
  <si>
    <t>Kikuchi K.</t>
  </si>
  <si>
    <t>60031126;60004176</t>
  </si>
  <si>
    <t>Tokyo Institute of Technology;National Defense Academy of Japan</t>
  </si>
  <si>
    <t>Tokyo;Yokosuka</t>
  </si>
  <si>
    <t>Kikuchi, Kazuo;Oshimoto, Ainosuke;Furukawa, Seijiro</t>
  </si>
  <si>
    <t>7404088345;6507420146;35512839800</t>
  </si>
  <si>
    <t>60004176;60004176;60031126</t>
  </si>
  <si>
    <t>IEEE Journal of Quantum Electronics</t>
  </si>
  <si>
    <t>90-95</t>
  </si>
  <si>
    <t>A Room Temperature, High-Speed and High-Sensitive Infrared Hot Carrier Detector Using P-Type Ge Has Been Investigated At 10.6 ŒºM-The Detector Is Composed of A Whisker Antenna and A Diode Contact Forming an Ohmic Contact on P-Type Ge. This Detector Has The Merit That One Can Easily Have Impedance Matching Between The Antenna and The Diode Contact Without Any Matching Section, So That High Sensitivity Can Be Obtained. A Voltage Sensitivity 16 Db Higher Than That of Metal-Insulator-Metal (Mim) Point Contact Diode Has Been Observed From This Detector. Copyright ¬© 1982 by The Institute of Electrical and Electronics Engineers, Inc.</t>
  </si>
  <si>
    <t>['whisker antenna', 'type ge', 'room temperature', 'ohmic contact', 'matching section', 'impedance matching', 'high sensitivity', 'electronics engineers', '6 œºm']</t>
  </si>
  <si>
    <t>2-s2.0-0019898263</t>
  </si>
  <si>
    <t>10.1109/TGRS.1982.4307513</t>
  </si>
  <si>
    <t>œÉ¬∞ Signature of the Amazon Rain Forest Obtained from the Seasat Scatterometer</t>
  </si>
  <si>
    <t>Birrer I.</t>
  </si>
  <si>
    <t>60032121;60021378;60000854;113793445</t>
  </si>
  <si>
    <t>University of Kansas Center for Research;Nokia Bell Labs;NASA Langley Research Center;Kentron International</t>
  </si>
  <si>
    <t>Lawrence;Murray;Hampton;Hampton</t>
  </si>
  <si>
    <t>United States;United States;United States;United States</t>
  </si>
  <si>
    <t>Birrer, I. J.;Berthold, G.</t>
  </si>
  <si>
    <t>7801456399;56751471300</t>
  </si>
  <si>
    <t>60032121-60000854-60021378-113793445;60032121</t>
  </si>
  <si>
    <t>The radar response from the Amazon rain forest has been studied to determine the suitability of this region for use as a standard target to calibrate spaceborne scatterometers. Backscattering observations made by the Seasat-1 scatterometer system (SASS) show the Amazon rain forest to be a homogeneous, azimuthally isotropic radar target which is insensitive to polarization. The variation with angle of incidence may be adequately modeled as [formula omitted]. Typical values for the incidence-angle coefficient a are 0.07-0.15 dB/degree. No change in the relations was observed over the 99 days of the Seasat mission. A small diurnal effect occurs, with measurements at sunrise being 0.5-1 dB higher than the rest of the day. For a fixed incidence angle and time of day the standard deviations ranged from 0.6 dB at the extremes to 0.1 dB at the antenna pointing angle of 44¬∞. Because of its consistent response the Amazon forest appears to be a suitable target for calibrating spaceborne scatterometers. Further research is needed to check for seasonal effects at other times of year. Copyright ¬© 1982 by The Institute of Electrical and Electronics Engineers, Inc.</t>
  </si>
  <si>
    <t>['typical values', 'suitable target', 'standard target', 'seasonal effects', 'seasat mission', 'radar response', 'incidence may', 'electronics engineers', 'consistent response', 'angle coefficient', 'adequately modeled', '99 days', '6 db', '44 ¬∞.', '15 db', '1 db']</t>
  </si>
  <si>
    <t>2-s2.0-0019896099</t>
  </si>
  <si>
    <t>10.1109/TGRS.1982.4307525</t>
  </si>
  <si>
    <t>Comparison of œÉ¬∞ Obtained from the Conventional Definition with œÉ¬∞ Appearing in the Radar Equation for Randomly Rough Surfaces</t>
  </si>
  <si>
    <t>leVine D.</t>
  </si>
  <si>
    <t>NASA Goddard Space Flight Center</t>
  </si>
  <si>
    <t>Greenbelt</t>
  </si>
  <si>
    <t>leVine, D. M.</t>
  </si>
  <si>
    <t>85-90</t>
  </si>
  <si>
    <t>A comparison is made of the radar cross section of rough surfaces calculated in one case from the conventional definition and obtained in the second case directly from the radar equation. The objective of the analysis is to determine how well the conventional definition represents the cross section appearing in the radar equation. The analysis is executed in the special case of perfectly conducting, randomly corrugated surfaces in the physical optics limit. The radar equation is obtained by solving for the radiation scattered from an arbitrary source back to a colocated antenna. The signal out of the receiving antenna is computed from this solution and the result put into a form recognizeable as the radar equation. The conventional definition is obtained by solving a similar problem but for backscatter from an incident plane wave. It is shown that these two forms for œÉ¬∞ are the same if the observer is far enough from the surface; However, the usual far-field criteria are not sufficient. For the two cross sections to be the same, the observer must be far from the surface compared to the radii of curvature of the surface at the reflection (specular) points. Numerical comparison of the two cross sections has been made for normally distributed surfaces and the difference can be significant. Copyright ¬© 1982 by The Institute of Electrical and Electronics Engineers, Inc.</t>
  </si>
  <si>
    <t>['œé ¬∞', 'usual far', 'two forms', 'surface compared', 'special case', 'similar problem', 'result put', 'receiving antenna', 'radiation scattered', 'radar equation', 'perfectly conducting', 'one case', 'observer must', 'numerical comparison', 'form recognizeable', 'field criteria', 'far enough', 'electronics engineers', 'conventional definition', 'colocated antenna']</t>
  </si>
  <si>
    <t>2-s2.0-0019896073</t>
  </si>
  <si>
    <t>10.1109/TAP.1982.1142748</t>
  </si>
  <si>
    <t>Boresight-Gain Loss and Gore-Related Sidelobes of an Umbrella Reflector</t>
  </si>
  <si>
    <t>60029311;60025209</t>
  </si>
  <si>
    <t>University of Southern California;Northrop Grumman corporation</t>
  </si>
  <si>
    <t>Los Angeles;Los Angeles</t>
  </si>
  <si>
    <t>Rusch, Willard V.T.;Wanselow, R. D.</t>
  </si>
  <si>
    <t>7005574913;6506764051</t>
  </si>
  <si>
    <t>153-157</t>
  </si>
  <si>
    <t>It is shown that energy in the gore-related sidelobes of an umbrella reflector conies from energy lost from the main beam. Both boresight gore-loss and sidelobe level correlate directly with cyclic aperture phase error caused by the geometry. The gore-sidelobe peak is located near Œ∏p, where sin Œ∏p = 1.2NG (p/DŒª) where NG is the number of gores and D is the reflector diameter. An expression is also derived for the amplitude of the gore-related sidelobe. Copyright ¬© 1981 by The Institute of Electrical and Electronics Engineers, Inc.</t>
  </si>
  <si>
    <t>['sidelobe peak', 'related sidelobes', 'related sidelobe', 'reflector diameter', 'main beam', 'energy lost', 'electronics engineers', 'boresight gore', 'also derived']</t>
  </si>
  <si>
    <t>2-s2.0-0019895428</t>
  </si>
  <si>
    <t>USE OF MULTIBEAM ANTENNA ARRAYS IN ADAPTIVE SYSTEMS.</t>
  </si>
  <si>
    <t>Sazonov D.</t>
  </si>
  <si>
    <t>Sazonov, D. M.;Shchapov, Yu M.</t>
  </si>
  <si>
    <t>6603450040;6508092057</t>
  </si>
  <si>
    <t>35-42</t>
  </si>
  <si>
    <t>The characteristics of the steady-state regime of an adaptive antenna system, containing a multibeam antenna array, are analyzed on the basis of the matrix theory of antenna arrays of an arbitrary geometry under rigorous consideration of the interaction between the radiators. It is shown that the use of a beam-forming unit incorporated in the signal processing unit in the channels of the array elements makes it possible to obtain the highest signal-to-noise ratio at the signal processor output that can be obtained for this antenna array and to completely realize the potential capabilities of adaptation.</t>
  </si>
  <si>
    <t>['state regime', 'rigorous consideration', 'potential capabilities', 'noise ratio', 'matrix theory', 'highest signal', 'completely realize', 'arbitrary geometry', 'antenna arrays', 'antenna array']</t>
  </si>
  <si>
    <t>2-s2.0-0019562433</t>
  </si>
  <si>
    <t>10.1029/RS017i003p00589</t>
  </si>
  <si>
    <t>Characteristics of a power line used as a VLF antenna</t>
  </si>
  <si>
    <t>Dazey M.</t>
  </si>
  <si>
    <t>Dazey, M. H.;Koons, H. C.</t>
  </si>
  <si>
    <t>6508018205;6701751133</t>
  </si>
  <si>
    <t>589-597</t>
  </si>
  <si>
    <t>The 100‚ÄêkW transportable very low frequency transmitter system was used at Kafjord, Norway, for transmissions to the SCATHA and GEOS spacecraft. A 22‚ÄêkV, 10.6‚Äêkm long transmission line was used as an antenna. Modifications were made in the line to reduce telephone interference. Components were designed and installed to reduce the resonant frequency and increase the antenna current. The final practical operating current was 45 A at 1280 Hz. This resulted in power dissipation of 72 kW and an estimated radiated power of 0.17 to 0.79 W. Copyright 1982 by the American Geophysical Union.</t>
  </si>
  <si>
    <t>['resonant frequency', 'power dissipation', 'geos spacecraft', 'copyright 1982', 'antenna current', '79 w', '72 kw', '1280 hz']</t>
  </si>
  <si>
    <t>2-s2.0-0019537488</t>
  </si>
  <si>
    <t>10.1109/TIM.1982.6312516</t>
  </si>
  <si>
    <t>Skew Estimator Method for Alignment of Troposcatter Antennas and Synchronization of Master Clocks</t>
  </si>
  <si>
    <t>Weitzen J.</t>
  </si>
  <si>
    <t>Weitzen, Jay A.;Fontaine, A. Burr;Birkemeier, William P.</t>
  </si>
  <si>
    <t>7004676488;7102256195;7004897759</t>
  </si>
  <si>
    <t>60032179;60032179;60032179</t>
  </si>
  <si>
    <t>56-60</t>
  </si>
  <si>
    <t>Microprocessor-based instrumentation for optimum alignment of troposcatter antennas and simultaneous synchronization of transmitter and receiver oscillators is discussed. The instrument estimates various spectral moments of the Doppler spectrum of the received signal. When the third central moment or skew is zero, the antennas are properly aligned. Tests of this method indicate that alignment to within [formula omitted] beamwidth within a time period of 10 min or less is possible. Copyright ¬© 1982 by The Institute of Electrical and Electronics Engineers, Inc.</t>
  </si>
  <si>
    <t>['troposcatter antennas', 'time period', 'simultaneous synchronization', 'receiver oscillators', 'received signal', 'properly aligned', 'optimum alignment', 'method indicate', 'formula omitted', 'electronics engineers', 'doppler spectrum', 'beamwidth within', 'based instrumentation', '10 min']</t>
  </si>
  <si>
    <t>2-s2.0-0019534896</t>
  </si>
  <si>
    <t>10.1109/TIM.1982.6312515</t>
  </si>
  <si>
    <t>Optimized Wavelength-Sized Scalar Horns as Antenna Radiation Standards</t>
  </si>
  <si>
    <t>Estin A.</t>
  </si>
  <si>
    <t>Estin, Arthur J.;Stubenrauch, Carl F.;Repjar, Andrew G.;Newell, Allen C.</t>
  </si>
  <si>
    <t>6602571003;7004384154;6602372294;35389095700</t>
  </si>
  <si>
    <t>60023053;60023053;60023053;60023053</t>
  </si>
  <si>
    <t>53-56</t>
  </si>
  <si>
    <t>The properties of beamwidth, directivity, and polarization of wavelength-size scalar horns are analyzed and optimized theoretically and confirmed experimentally to determine the usefulness of such horns as standards. Agreement between theoretical predictions and measurements was good. Copyright ¬© 1982 by The Institute of Electrical and Electronics Engineers, Inc.</t>
  </si>
  <si>
    <t>['theoretical predictions', 'optimized theoretically', 'electronics engineers', 'confirmed experimentally']</t>
  </si>
  <si>
    <t>2-s2.0-0012715379</t>
  </si>
  <si>
    <t>10.1109/TAP.1982.1142892</t>
  </si>
  <si>
    <t>A Band-Switched Resonant Quadrifilar Helix</t>
  </si>
  <si>
    <t>60032995;60019947</t>
  </si>
  <si>
    <t>Honeywell International Inc.;US Naval Underwater Systems Center</t>
  </si>
  <si>
    <t>Morris Plains;New London</t>
  </si>
  <si>
    <t>Sainati, Robert A.;Olesen, Ralph C.;Stanland, Andrew J.</t>
  </si>
  <si>
    <t>6602983931;56898170800;6504131144</t>
  </si>
  <si>
    <t>60032995-60019947;60019947;60019947</t>
  </si>
  <si>
    <t>1010-1013</t>
  </si>
  <si>
    <t>A technique is presented that can be used to multiple tune a resonant quadrifilar helix. An example of a design is given with an antenna that covers two frequency ranges: 250‚Äì270 MHz and 290‚Äì310 MHz. Copyright ¬© 1982 by The Institute of Electrical and Electronics Engineers, Inc.</t>
  </si>
  <si>
    <t>['multiple tune', 'electronics engineers']</t>
  </si>
  <si>
    <t>2-s2.0-0011393914</t>
  </si>
  <si>
    <t>10.1111/j.1439-0418.1982.tb03599.x</t>
  </si>
  <si>
    <t>Feeding and oviposition behaviour of the granary weevil (Sitophilus granarius L.) induced by stored wheat, wheat extracts and dummies</t>
  </si>
  <si>
    <t>Levinson H.</t>
  </si>
  <si>
    <t>Levinson, H. Z.;Kanaujia, K. R.</t>
  </si>
  <si>
    <t>7102170884;6505790598</t>
  </si>
  <si>
    <t>60005460;60005460</t>
  </si>
  <si>
    <t>292-305</t>
  </si>
  <si>
    <t>A detailed investigation of the feeding behaviour of starved and fed Sitophilus granarius L. of both sexes as well as the oviposition behaviour of granary weevils in response to stored wheat grains, wheat extracts and dummies was undertaken. Male and female granary weevils were found to respond to pentane, acetone or water extracts of stored winter wheat by a definite sequence of behaviour patterns ending up by arrestance and sustained feeding. The occurrence of olfactory sensilla is confined to the tip region of the terminal segment of the antennae of granary weevils. In S. granarius, antennectomy led to a reduced frequency of approaching 103 Œºg of wheat extract (pentane) which was 70‚Äì75% less than the respective parameter in untreated granary weevils of both sexes. Arrestance and probing of granary weevils were induced by water alone, indicating that the latter is a feeding stimulant. The aqueous extract of wheat was found most active and the pentane extract least active, while the acetone extract of wheat revealed intermediate activity in causing arrestance and probing of male and female S. granarius. The extent of previous feeding has a marked influence on the duration of arrestance of granary weevils on wheat extract. The maximal time of arrestance (probing included) on wheat extract was induced by a starvation period of 120 hours. Female granary weevils were usually more responsive than male granary weevils to wheat extracts of different polarity, offered in levels ranging from 10 to 103 Œºg. When exposed to wheat grains (stored for Àú 1 year), gravid female S. granarius revealed a definite sequence of behaviour leading to oviposition in egg laying cavities followed by sealing of their openings. The process extending from food selection to oviposition was found to take about two hours. Oviposition behaviour of S. granarius was investigated by exposing gravid females to dummies made of white chalk (resembling the shape of wheat grains), which were impregnated with graded levels of wheat extract. Female S. granarius produced significantly more egg laying cavities in grains of stored wheat than in dummies impregnated by either 10‚àí1, 10***0 or 102 grain equivalents of wheat extract, whereas the number of egg laying cavities in wheat grains and dummies was similar when the latter comprised 10 grain equivalents of wheat extract. The formation of egg laying cavities increased from the second through the eighth day on both dummies and wheat grains. Interestingly, antennectomized and intact females laid eggs in similar numbers. Female granary weevils failed to deposit eggs in egg laying cavities of dummies containing wheat extract, whereas they laid the usual number of eggs in wheat grains. It was concluded that the prerequisites for oviposition of S. granarius include (1) a medium of compressed particles (2) presence of the feeding stimulants available in wheat extract and (3) provision of a diet which is adequate for growth of the offspring. The feeding and oviposition stimulants which accumulate in wheat during storage (and are not available in unripe grain) have probably played an important role in the process of domestication of S. granarius. Fra√ü‚Äê und Eiablageverhalten des Kornk√§fers (Sitophilus granarius L.), ausgel√∂st durch gelagerte Weizenk√∂rner sowie Extrakte und Attrappen Das Fra√ü‚Äê und Eiablageverhalten von Sitophilus granarius L. wurde eingehend untersucht, wozu die Verhaltensreaktionen hungernder bzw. gef√ºtterter Kornk√§fer (Àú 1 Monat nach dem Schlupf) auf gelagerte Weizenk√∂rner (Lagerzeit Àú 1 Jahr), Extrakte von letzteren sowie auf Kornattrappen beobachtet wurden. Extrakte, die mittels Pentan, Aceton oder Wasser aus gelagertem Winterweizen erhalten wurden, l√∂sten bei m√§nnlichen sowie weiblichen Kornk√§fern eine bestimmte Verhaltenssequenz aus, die stets zu Arrestanz und Fra√üaktivit√§t f√ºhrte. Kornk√§fer beider Geschlechter haben ihre Riechhaare im obersten Bereich des Terminalsegments beider Antennen; nach Amputation derselben war die Besuchsh√§ufigkeit der Kornk√§fer an 103 Œºg pentanl√∂slichem Weizenextrakt 70‚Äì75% geringer als die von unbehandelten S. granarius. Es wurde gefunden, da√ü ein wasserl√∂slicher Weizenextrakt verh√§ltnism√§√üig hohe, acetonl√∂slicher Weizenextrakt mittelm√§√üige und pentanl√∂slicher Weizenextrakt relativ niedrige Fra√üstimulierung bei m√§nnlichen und weiblichen Kornk√§fern ausl√∂st. Reines Wasser wirkt ebenfalls fra√üstimulierend, wogegen reines Aceton und Pentan keinen derartigen Effekt zeigen. Interessanterweise wird die Arrestanzdauer der Kornk√§fer beider Geschlechter erheblich von der vorhergehenden Ern√§hrung beeinflu√üt. So wurde die maximale Arrestanzdauer (einschlie√ülich Fra√üaktivit√§t) durch eine Hungerperiode von 120 Stunden hervorgerufen. Die Weibchen von S. granarius reagierten in der Regel empfindlicher als die M√§nnchen auf abgestufte Mengen von 10 bis 103 Œºg der mehr oder weniger polaren Weizenextrakte. Tr√§chtige Weibchen von S. granarius zeigen ein stereotypes Verhalten in Gegenwart von Weizenk√∂rnern, das stets zur Anlage von Eiablagegruben, zu Eiablage und nachfolgender Versiegelung der Gruben√∂ffnung f√ºhrt. Der Vorgang, beginnend mit der Nahrungswahl und endend mit Eiablage, dauerte zumeist Àú 2 Stunden. Aus ungef√§rbter Kreide hergestellte Attrappen, die Getreidek√∂rnern gro√üen‚Äê, form‚Äê und oberfl√§chenm√§√üig glichen und die mit pentanl√∂slichem Weizenextrakt in abgestuften Mengen impr√§gniert bzw. unbehandelt waren, wurden tr√§chtigen Weibchen von S. granarius vorgelegt. Die Kornk√§ferweibchen bohrten signifikant mehr Eiablagegruben an Weizenk√∂rnern (Àú 1 Jahr gelagerter Winterweizen) als an Attrappen, die entweder 10‚àí1, 100 oder 102 Weizenkorn‚ÄêAquivalente des genannten Weizenextrakts enthielten. Andererseits wurden an Attrappen, die 10 Weizenkorn‚Äê√§quivalente des Weizenextrakts enthielten, sowie an Weizenk√∂rnern, Eiablagegruben in √§hnlicher Anzahl gebohrt. An Attrappen wie an Getreidek√∂rnern nahm die H√§ufigkeit der Anlage von Eiablagegruben vom zweiten zum achten Versuchstag zu. Antennenlose und unbehandelte Kornk√§ferweibchen legten ihre Eier in √§hnlicher Anzahl in die genannten Substrate. Interessanterweise legten tr√§chtige Kornk√§ferweibchen keine Eier in Eiablagegruben, die sie an den ‚Äî mit Weizenextrakt behandelten ‚Äî Attrappen gebohrt hatten, wogegen sie ihre Eier in normaler Anzahl in Eiablagegruben an Weizenk√∂rnern absetzten. Es wurde gefolgert, da√ü nachstehende Bedingungen f√ºr den vollst√§ndigen Ablauf des Eiablageverhaltens von Sitophilus granarius vorhanden sein m√ºssen: (a) ein Substrat aus komprimierten Partikeln, (b) die fra√üstimulierenden Stoffe der verschieden polaren Extrakte aus gelagertem Weizen, (c) eine Di√§t, die s√§mtliche ‚Äî zur Entwicklung der Nachkommen ‚Äî erforderlichen N√§hrstoffe liefert. Wahrscheinlich haben die fra√ü‚Äê und eiablagestimulierenden Stoffe, die im Laufe der Getreidelagerung entstehen und im unreifem Getreide noch fehlen, eine bedeutsame Rolle im Domestikationsproze√ü des Kornk√§fers gespielt. 1982 Blackwell Verlag GmbH</t>
  </si>
  <si>
    <t>['√ ºssen', 'white chalk', 'wheat grains', 'wheat extracts', 'wheat extract', 'water extracts', 'water alone', 'usual number', 'unripe grain', 'unbehandelt waren', 'two hours', 'tip region', 'terminal segment', 'sustained feeding', 'stored wheat', 'starvation period', 'similar numbers', 'respective parameter', 'reduced frequency', 'process extending', 'probing included', 'probably played', 'previous feeding', 'oviposition stimulants', 'oviposition behaviour', 'olfactory sensilla', 'normaler anzahl', 'maximal time', 'marked influence', 'levels ranging', 'important role', 'granary weevils', 'granarius vorgelegt', 'granarius revealed', 'granarius reagierten', 'granarius include', 'graded levels', 'food selection', 'feeding stimulant', 'feeding behaviour', 'eighth day', 'dummies made', 'dummies impregnated', 'different polarity', 'die sie', 'detailed investigation', 'der vorgang', 'deposit eggs', 'definite sequence', 'compressed particles', 'causing arrestance', 'behaviour leading', 'attrappen wie', 'aqueous extract', 'antennectomy led', 'andererseits wurden', 'acetone extract', '120 hours', '103 œºg']</t>
  </si>
  <si>
    <t>2-s2.0-0009916628</t>
  </si>
  <si>
    <t>10.1109/TAP.1982.1142973</t>
  </si>
  <si>
    <t>The Impedance of an Elliptical Printed-Circuit Antenna</t>
  </si>
  <si>
    <t>Long S.</t>
  </si>
  <si>
    <t>University of Houston</t>
  </si>
  <si>
    <t>Long, Stuart A.;McAllister, Mark W.</t>
  </si>
  <si>
    <t>7402507033;7102448153</t>
  </si>
  <si>
    <t>60005837;60005837</t>
  </si>
  <si>
    <t>1197-1200</t>
  </si>
  <si>
    <t>A resonant circuit model for the input impedance of an elliptical printed-circuit antenna has been developed and the results compared with experimental data. The impedance and bandwidth were then calculated as a function of the size, eccentricity, and thickness of the radiator. Copyright ¬© 1982 by The Institute of Electrical and Electronics Engineers. Inc.</t>
  </si>
  <si>
    <t>['results compared', 'input impedance', 'experimental data', 'elliptical printed', 'electronics engineers', 'circuit antenna']</t>
  </si>
  <si>
    <t>2-s2.0-0007713501</t>
  </si>
  <si>
    <t>10.1002/ecja.4400651108</t>
  </si>
  <si>
    <t>On some design examples of a circularly polarized wave array antenna using slot antenna combined with parasitically excited dipoles</t>
  </si>
  <si>
    <t>Itoh K.</t>
  </si>
  <si>
    <t>60014652;117248662</t>
  </si>
  <si>
    <t>Hokkaido University;Dainiseikosha Co, Ltd.</t>
  </si>
  <si>
    <t>Sapporo;Matsudo</t>
  </si>
  <si>
    <t>Itoh, Kiyohiko;Shinada, Hidetoshi;Ariga, Toru</t>
  </si>
  <si>
    <t>7404897527;6602099004;7103205497</t>
  </si>
  <si>
    <t>60014652;60014652;117248662</t>
  </si>
  <si>
    <t>55-63</t>
  </si>
  <si>
    <t>There are two methods to obtain a circularly polarized array antenna. One is to arrange and feed linearly polarized elements (such as slots) in an appropriate manner. Another is to arrange circularly polarized elements. The second approach is used to design a four‚Äêelement circularly‚Äêpolarized planar array consisting of a slot and parasitic dipoles. An array antenna having good characteristics is obtained and described. In general, coupling exists between the array elements, and these couplings affect the antenna characteristics, particularly in the case of circularly‚Äêpolarized arrays. Before beginning the design, the changes in the circular polarization characteristics of a single element are numerically evaluated as a function of the coupling, and this information is used as a reference in the design of the circularly polarized arrays. Then, with a formulation including the inter‚Äêelement coupling, calculations are made for a situation more nearly approximating actual practice. The possibility of obtaining a small antenna with a bandwidth of 1.5 dB axial ratio (6%) and a gain of more than 13 dB is pointed out. Copyright ¬© 1982 Wiley Periodicals, Inc., A Wiley Company</t>
  </si>
  <si>
    <t>['wiley company', 'two methods', 'small antenna', 'single element', 'second approach', 'parasitic dipoles', 'numerically evaluated', 'inc .,', 'good characteristics', 'formulation including', 'couplings affect', 'coupling exists', 'array elements', 'array antenna', 'appropriate manner', 'antenna characteristics', '6 %)', '13 db']</t>
  </si>
  <si>
    <t>2-s2.0-0007706878</t>
  </si>
  <si>
    <t>10.1111/j.1399-3054.1982.tb04899.x</t>
  </si>
  <si>
    <t>Effects of desiccation on the excitation energy distribution from phycoerythrin to the two photosystems in the red alga Porphyra perforata</t>
  </si>
  <si>
    <t>√ñquist G.</t>
  </si>
  <si>
    <t>60031040;60024613</t>
  </si>
  <si>
    <t>Ume√• Universitet;Carnegie Institution of Washington</t>
  </si>
  <si>
    <t>Umea;Washington, D.C.</t>
  </si>
  <si>
    <t>Sweden;United States</t>
  </si>
  <si>
    <t>√ñquist, Gunnar;Fork, David C.</t>
  </si>
  <si>
    <t>56212852200;7006821248</t>
  </si>
  <si>
    <t>Physiologia Plantarum</t>
  </si>
  <si>
    <t>56-62</t>
  </si>
  <si>
    <t>Low temperature (77¬∞K) fluorescence emission and excitation spectra were recorded for wet and desiccated thalli of Porphyra perforata. The photosystem I (F730) and photosystem II (F695) fluorescence emission kinetics during photosystem II trap closure were also recorded at 77¬∞K. Desiccation induced a lowering of the fluorescence yield over the whole emission spectrum but the decrease was most pronounced for the photosystem II fluorescence bands, F688 and F695. It was shown that the desiccation‚Äêinduced changes of the phycoerythrin sensitized emission spectrum were due to 1) a decrease in the fluorescence yield of the photosystem I antenna, 2) an even stronger decrease in the fluorescence of photosystem II, which was mediated by an increased spillover (kT(II‚ÜíI)) of excitation to photosystem I and an increase in the absorption cross section, Œ±, for photosystem I. We hypothesize that the increase of both kT(II‚ÜíI) and Œ± are part of a mechanism by which the desiccation‚Äêtolerant, high light exposed, Porphyra can avoid photodynamic damage to photosystem II, when photosynthesis becomes inhibited as a result of desiccation during periods of low tide. Copyright ¬© 1982, Wiley Blackwell. All rights reserved</t>
  </si>
  <si>
    <t>Fluorescence</t>
  </si>
  <si>
    <t>['œ ±,', 'œ ±', 'wiley blackwell', 'rights reserved', 'porphyra perforata', 'photosystem ii', 'low tide', 'low temperature', 'increased spillover', 'fluorescence yield', 'fluorescence emission', 'excitation spectra', 'desiccation induced', 'desiccated thalli', 'also recorded']</t>
  </si>
  <si>
    <t>2-s2.0-0005945245</t>
  </si>
  <si>
    <t>10.1103/PhysRevD.25.2471</t>
  </si>
  <si>
    <t>Search for correlations between the University of Maryland and the University of Rome gravitational radiation antennas</t>
  </si>
  <si>
    <t>Ferrari V.</t>
  </si>
  <si>
    <t>60032350;60020304;60007278</t>
  </si>
  <si>
    <t>Sapienza Universit√† di Roma;University of Maryland, College Park;University of California, Irvine</t>
  </si>
  <si>
    <t>Rome;College Park;Irvine</t>
  </si>
  <si>
    <t>Italy;United States;United States</t>
  </si>
  <si>
    <t>Ferrari, V.;Pizzella, G.;Lee, M.;Weber, J.</t>
  </si>
  <si>
    <t>56511319800;7003386560;57216266352;22977903300</t>
  </si>
  <si>
    <t>60032350;60032350;60020304;60020304-60007278</t>
  </si>
  <si>
    <t>2471-2486</t>
  </si>
  <si>
    <t>Results are presented for analyses of the outputs of gravitational radiation antennas in Rome and in Maryland during July 1978. These data give evidence for an external background exciting both antennas. ¬© 1982 The American Physical Society.</t>
  </si>
  <si>
    <t>['¬© 1982', 'july 1978']</t>
  </si>
  <si>
    <t>2-s2.0-0005569996</t>
  </si>
  <si>
    <t>10.1063/1.863729</t>
  </si>
  <si>
    <t>Energy and momentum deposition in plasmas due to the lower hybrid wave by a finite source</t>
  </si>
  <si>
    <t>Nakajima N.</t>
  </si>
  <si>
    <t>60011001;60000264</t>
  </si>
  <si>
    <t>Kyoto University;Nagoya University</t>
  </si>
  <si>
    <t>Kyoto;Nagoya</t>
  </si>
  <si>
    <t>Nakajima, Noriyoshi;Abe, Hirotada;Itatani, Ryohei</t>
  </si>
  <si>
    <t>55274355400;24563672800;6701429033</t>
  </si>
  <si>
    <t>60011001-60000264;60011001;60011001</t>
  </si>
  <si>
    <t>2234-2248</t>
  </si>
  <si>
    <t>Heating and current generation due to the lower hybrid wave are studied using particle simulation. In contrast with previous work, where only a single mode is treated, the main interest of this work is focused on the physical problems of a propagation cone consisting of many Fourier-expanded modes. It is found that the trajectory of the propagation cone is well described up to the lower hybrid resonance layer using both the cold plasma approximation and the WKB method. An ion cross-field drift due to the ponderomotive force is observed. A main discovery of this work is that the modes in the upper portion of the spectrum of the antenna play a key role in the creation of the ion high-energy tail. This process cannot be explained by the linear theory and is called the cascade process judging from the time variation of the damping of each mode. The particle model is significantly improved using the elongated grid and the quadratic spatial interpolation. Applications of this model to simulations of other problems are expected to be fruitful in research on plasma physics and nuclear fusion. ¬© 1982 American Institute of Physics.</t>
  </si>
  <si>
    <t>['wkb method', 'well described', 'upper portion', 'time variation', 'single mode', 'propagation cone', 'process cannot', 'previous work', 'ponderomotive force', 'plasma physics', 'physical problems', 'particle model', 'nuclear fusion', 'many fourier', 'main interest', 'main discovery', 'linear theory', 'key role', 'ion high', 'ion cross', 'expanded modes', 'energy tail', 'elongated grid', 'antenna play']</t>
  </si>
  <si>
    <t>2-s2.0-0005259524</t>
  </si>
  <si>
    <t>10.1021/ma00234a005</t>
  </si>
  <si>
    <t>Studies of the Antenna Effect in Polymer Molecules. 3. Role of Singlet Electronic Energy Migration in Naphthalene Polymer Photophysics</t>
  </si>
  <si>
    <t>Holden D.</t>
  </si>
  <si>
    <t>Holden, David A.;Guillet, James E.</t>
  </si>
  <si>
    <t>7102251187;7102379256</t>
  </si>
  <si>
    <t>1475-1480</t>
  </si>
  <si>
    <t>Excimer kinetics were investigated in copolymers containing isolated bis(1-naphthylmethyl) fumarate units. These copolymers show excimer emission in THF in the absence of singlet energy migration, even though none is observed in a number of dimeric small-molecule model compounds. Fluorescence polarization measurements on naphthalene-containing model compounds and polymers confirm that depolarization of the fluorescence from the polymers arises from singlet energy migration between naphthalene chromophores. The absence of depolarization in certain small-molecule dimers showed that the distance over which singlet excitation could transfer between the naphthalene groups was relatively small, on the order of 1 nm. ¬© 1982, American Chemical Society. All rights reserved.</t>
  </si>
  <si>
    <t>['¬© 1982', 'rights reserved', 'relatively small', 'polymers confirm', 'polymers arises', 'naphthalene groups', 'naphthalene chromophores', 'fumarate units', 'excimer kinetics', 'dimeric small', 'certain small', '1 nm']</t>
  </si>
  <si>
    <t>2-s2.0-0000207132</t>
  </si>
  <si>
    <t>10.1021/ma00231a009</t>
  </si>
  <si>
    <t>Studies of the Antenna Effect in Polymer Molecules. 1. Singlet Electronic Energy Transfer in Poly[(9-phenanthryl)methyl methacrylate] and Its Copolymers</t>
  </si>
  <si>
    <t>Ng D.</t>
  </si>
  <si>
    <t>Ng, Dominic;Guillet, James E.</t>
  </si>
  <si>
    <t>15620537700;7102379256</t>
  </si>
  <si>
    <t>724-727</t>
  </si>
  <si>
    <t>Poly[(9-phenanthryl) methyl methacrylate] (poly(PhMMA)) and its copolymers with varying contents of (9-anthryl)methyl methacrylate (AMMA) and methyl methacrylate (MMA) were synthesized. The efficiency of intrachain singlet electronic energy transfer in fluid solutions from phenanthrene to anthracene was measured as a function of the mole fraction of anthracene, fAMMA. A transfer efficiency of 70% was obtained for the copolymer with 1.3 mol % AMMA content. Fluorescence depolarization measurements on the phenanthrene emission at liquid nitrogen temperature in both the homopolymer and its copolymers give evidence for substantial singlet energy migration among the phenanthrene chromophores. ¬© 1982, American Chemical Society. All rights reserved.</t>
  </si>
  <si>
    <t>['¬© 1982', 'varying contents', 'transfer efficiency', 'rights reserved', 'phmma ))', 'phenanthrene emission', 'phenanthrene chromophores', 'mole fraction', 'methyl methacrylate', 'fluid solutions', 'amma content', '3 mol']</t>
  </si>
  <si>
    <t>2-s2.0-0000144763</t>
  </si>
  <si>
    <t>10.1021/ma00231a010</t>
  </si>
  <si>
    <t>Studies of the Antenna Effect in Polymer Molecules. 2. Singlet Electronic Energy Transfer in Phenanthrene-Containing Polymers by Transient Fluorescence Methods</t>
  </si>
  <si>
    <t>728-732</t>
  </si>
  <si>
    <t>Singlet electronic energy transfer in poly[(9-phenanthryl)methyl methacrylate] (poly(PhMMA)), its copolymers with (9-anthryl)methyl methacrylate (AMMA), and its terpolymers with AMMA and methyl methacrylate (MMA) was studied by using transient fluorescence decay measurements, both in fluid solutions and in low-temperature rigid glass. Singlet energy migration among the donor molecules (phenanthrene) was found to be significant and increases with the donor content in the polymers. In 35/65 (v/v) MTHF/THF glass at 77 K, the migration coefficient of the singlet excitation in poly(PhMMA) homopolymer was estimated to be ca. 1.5 √ó 10‚àí5 cm2/s. ¬© 1982, American Chemical Society. All rights reserved.</t>
  </si>
  <si>
    <t>['¬© 1982', 'thf glass', 'singlet excitation', 'rights reserved', 'phmma )),', 'migration coefficient', 'methyl methacrylate', 'fluid solutions', 'donor molecules', 'donor content', 'amma ),', '77 k']</t>
  </si>
  <si>
    <t>2-s2.0-0000058310</t>
  </si>
  <si>
    <t>10.1088/0029-5515/22/2/011</t>
  </si>
  <si>
    <t>A 3-D analysis of the coupling characteristics of ion cyclotron resonance heating antennae</t>
  </si>
  <si>
    <t>Bhatnagar V.P.</t>
  </si>
  <si>
    <t>116290481;116290007</t>
  </si>
  <si>
    <t>Bevoegdverklaard Navorser;Matre de Recherches au Fonds National de la Rechefche Scientifique</t>
  </si>
  <si>
    <t>Bhatnagar, V. P.;Weynants, R. R.</t>
  </si>
  <si>
    <t>7102660576;7004079277</t>
  </si>
  <si>
    <t>116290007-116290481;116290481</t>
  </si>
  <si>
    <t>280-288</t>
  </si>
  <si>
    <t>A rigorous formalism for the computation of the impedance of finite-length ICRH antennae is derived i n which proper care is taken of a correct description of the antenna ends. The results are compared with those obtained from previous infinite-length calculations. The ensuing modification of the wave spectrum imposed on the plasma and the antenna end effects lead to important changes with respect to the earlier results. In particular, a substantial decrease of coupling to the plasma is predicted for short and wide antenna designs. ¬© 1982 IOP Pubilishing Ltd.</t>
  </si>
  <si>
    <t>['substantial decrease', 'rigorous formalism', 'proper care', 'previous infinite', 'length calculations', 'important changes', 'ensuing modification', 'earlier results', 'correct description', 'antenna ends']</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</si>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</sst>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theme="2" tint="-9.9978637043366805E-2"/>
        <bgColor indexed="64"/>
      </patternFill>
    </fill>
    <fill>
      <patternFill patternType="solid">
        <fgColor rgb="FFFFFF00"/>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164" fontId="0" fillId="0" borderId="0" xfId="0" applyNumberFormat="1"/>
    <xf numFmtId="0" fontId="0" fillId="5" borderId="0" xfId="0" applyFill="1"/>
    <xf numFmtId="0" fontId="0" fillId="6" borderId="0" xfId="0" applyFill="1"/>
    <xf numFmtId="0" fontId="2" fillId="3" borderId="0" xfId="2"/>
    <xf numFmtId="2" fontId="0" fillId="6" borderId="0" xfId="0" applyNumberFormat="1" applyFill="1"/>
    <xf numFmtId="2" fontId="1" fillId="2" borderId="0" xfId="1" applyNumberFormat="1"/>
    <xf numFmtId="2" fontId="1" fillId="0" borderId="0" xfId="1" applyNumberFormat="1" applyFill="1"/>
    <xf numFmtId="0" fontId="3" fillId="4" borderId="1" xfId="3"/>
    <xf numFmtId="16" fontId="0" fillId="0" borderId="0" xfId="0" applyNumberFormat="1"/>
    <xf numFmtId="17" fontId="0" fillId="0" borderId="0" xfId="0" applyNumberFormat="1"/>
    <xf numFmtId="0" fontId="4" fillId="0" borderId="0" xfId="0" applyFon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98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82"/>
    </sheetNames>
    <sheetDataSet>
      <sheetData sheetId="0">
        <row r="3">
          <cell r="Z3">
            <v>37.460999999999999</v>
          </cell>
          <cell r="AO3">
            <v>660.25</v>
          </cell>
        </row>
        <row r="4">
          <cell r="Z4">
            <v>0</v>
          </cell>
          <cell r="AO4">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D7D7-2A77-484A-93B6-7C6FD92C8CA8}">
  <dimension ref="A1:AW563"/>
  <sheetViews>
    <sheetView tabSelected="1" topLeftCell="Q1" workbookViewId="0">
      <selection activeCell="Y2" sqref="Y2"/>
    </sheetView>
  </sheetViews>
  <sheetFormatPr baseColWidth="10" defaultRowHeight="16" x14ac:dyDescent="0.2"/>
  <cols>
    <col min="22" max="22" width="15.33203125" customWidth="1"/>
  </cols>
  <sheetData>
    <row r="1" spans="1:49" s="20" customFormat="1" x14ac:dyDescent="0.2">
      <c r="A1" s="12"/>
      <c r="B1" s="12" t="s">
        <v>5906</v>
      </c>
      <c r="C1" s="12" t="s">
        <v>5907</v>
      </c>
      <c r="D1" s="12" t="s">
        <v>5908</v>
      </c>
      <c r="E1" s="12" t="s">
        <v>5909</v>
      </c>
      <c r="F1" s="12" t="s">
        <v>5910</v>
      </c>
      <c r="G1" s="12" t="s">
        <v>5911</v>
      </c>
      <c r="H1" s="12" t="s">
        <v>5912</v>
      </c>
      <c r="I1" s="12" t="s">
        <v>5913</v>
      </c>
      <c r="J1" s="12" t="s">
        <v>5914</v>
      </c>
      <c r="K1" s="12" t="s">
        <v>5915</v>
      </c>
      <c r="L1" s="12" t="s">
        <v>5916</v>
      </c>
      <c r="M1" s="12" t="s">
        <v>5917</v>
      </c>
      <c r="N1" s="12" t="s">
        <v>5918</v>
      </c>
      <c r="O1" s="12" t="s">
        <v>5919</v>
      </c>
      <c r="P1" s="12" t="s">
        <v>5920</v>
      </c>
      <c r="Q1" s="12" t="s">
        <v>5921</v>
      </c>
      <c r="R1" s="13" t="s">
        <v>5922</v>
      </c>
      <c r="S1" s="12" t="s">
        <v>5923</v>
      </c>
      <c r="T1" s="12" t="s">
        <v>5923</v>
      </c>
      <c r="U1" s="12" t="s">
        <v>5924</v>
      </c>
      <c r="V1" s="13" t="s">
        <v>5925</v>
      </c>
      <c r="W1" s="12" t="s">
        <v>5926</v>
      </c>
      <c r="X1" s="14" t="s">
        <v>5927</v>
      </c>
      <c r="Y1" s="15" t="s">
        <v>5928</v>
      </c>
      <c r="Z1" s="16" t="s">
        <v>5929</v>
      </c>
      <c r="AA1" s="12" t="s">
        <v>5930</v>
      </c>
      <c r="AB1" s="12" t="s">
        <v>5931</v>
      </c>
      <c r="AC1" s="12" t="s">
        <v>5932</v>
      </c>
      <c r="AD1" s="12" t="s">
        <v>5933</v>
      </c>
      <c r="AE1" s="12" t="s">
        <v>5934</v>
      </c>
      <c r="AF1" s="12" t="s">
        <v>5935</v>
      </c>
      <c r="AG1" s="12" t="s">
        <v>5936</v>
      </c>
      <c r="AH1" s="12" t="s">
        <v>5937</v>
      </c>
      <c r="AI1" s="12" t="s">
        <v>5938</v>
      </c>
      <c r="AJ1" s="12" t="s">
        <v>5939</v>
      </c>
      <c r="AK1" s="14" t="s">
        <v>5940</v>
      </c>
      <c r="AL1" s="12" t="s">
        <v>5941</v>
      </c>
      <c r="AM1" s="17" t="s">
        <v>5942</v>
      </c>
      <c r="AN1" s="18" t="s">
        <v>5943</v>
      </c>
      <c r="AO1" s="18" t="s">
        <v>5929</v>
      </c>
      <c r="AP1" s="12" t="s">
        <v>5944</v>
      </c>
      <c r="AQ1" s="12" t="s">
        <v>5945</v>
      </c>
      <c r="AR1" s="12" t="s">
        <v>5946</v>
      </c>
      <c r="AS1" s="12" t="s">
        <v>5947</v>
      </c>
      <c r="AT1" s="14" t="s">
        <v>5948</v>
      </c>
      <c r="AU1" s="19" t="s">
        <v>5949</v>
      </c>
      <c r="AV1" s="19" t="s">
        <v>5950</v>
      </c>
      <c r="AW1" s="19" t="s">
        <v>5951</v>
      </c>
    </row>
    <row r="2" spans="1:49" x14ac:dyDescent="0.2">
      <c r="A2">
        <v>0</v>
      </c>
      <c r="B2" t="s">
        <v>0</v>
      </c>
      <c r="C2" t="s">
        <v>1</v>
      </c>
      <c r="D2" t="s">
        <v>2</v>
      </c>
      <c r="E2">
        <v>6288044</v>
      </c>
      <c r="F2" t="s">
        <v>3</v>
      </c>
      <c r="G2" t="s">
        <v>4</v>
      </c>
      <c r="H2" t="s">
        <v>5</v>
      </c>
      <c r="I2" t="s">
        <v>6</v>
      </c>
      <c r="J2">
        <v>60022659</v>
      </c>
      <c r="K2" t="s">
        <v>7</v>
      </c>
      <c r="L2" t="s">
        <v>8</v>
      </c>
      <c r="M2" t="s">
        <v>9</v>
      </c>
      <c r="N2">
        <v>4</v>
      </c>
      <c r="O2" t="s">
        <v>10</v>
      </c>
      <c r="P2" t="s">
        <v>11</v>
      </c>
      <c r="Q2" t="s">
        <v>12</v>
      </c>
      <c r="R2" s="1">
        <v>30132</v>
      </c>
      <c r="S2" s="2">
        <f t="shared" ref="S2:S65" si="0">YEAR(R2)</f>
        <v>1982</v>
      </c>
      <c r="T2" s="2">
        <v>1982</v>
      </c>
      <c r="U2" s="2">
        <f t="shared" ref="U2:U65" si="1">2022-T2</f>
        <v>40</v>
      </c>
      <c r="V2" s="1">
        <v>30132</v>
      </c>
      <c r="W2" t="s">
        <v>13</v>
      </c>
      <c r="X2" s="3">
        <v>0.998</v>
      </c>
      <c r="Y2" s="4">
        <f>(X2-'[1]1982'!$Z$4)/('[1]1982'!$Z$3-'[1]1982'!$Z$4)</f>
        <v>2.664104001494888E-2</v>
      </c>
      <c r="AA2" t="s">
        <v>14</v>
      </c>
      <c r="AB2">
        <v>16845</v>
      </c>
      <c r="AC2">
        <v>10902104</v>
      </c>
      <c r="AD2" t="s">
        <v>15</v>
      </c>
      <c r="AE2">
        <v>106</v>
      </c>
      <c r="AF2">
        <v>4</v>
      </c>
      <c r="AH2" t="s">
        <v>16</v>
      </c>
      <c r="AI2" t="s">
        <v>17</v>
      </c>
      <c r="AK2" t="s">
        <v>18</v>
      </c>
      <c r="AL2">
        <v>8</v>
      </c>
      <c r="AM2" s="5">
        <f t="shared" ref="AM2:AM65" si="2">AL2/U2</f>
        <v>0.2</v>
      </c>
      <c r="AN2" s="6">
        <f>(AM2-'[1]1982'!$AO$4)/('[1]1982'!$AO$3-'[1]1982'!$AO$4)</f>
        <v>3.0291556228701253E-4</v>
      </c>
      <c r="AO2" s="7"/>
      <c r="AP2">
        <v>0</v>
      </c>
      <c r="AR2" t="s">
        <v>19</v>
      </c>
      <c r="AT2" s="3" t="s">
        <v>20</v>
      </c>
      <c r="AU2" s="8">
        <f t="shared" ref="AU2:AU65" si="3">(Y2*0.7+AN2*0.3)*100</f>
        <v>1.873960267915032</v>
      </c>
      <c r="AV2" s="8">
        <f t="shared" ref="AV2:AV65" si="4">(Y2*0.5+AN2*0.5)*100</f>
        <v>1.3471977788617946</v>
      </c>
      <c r="AW2" s="8">
        <f t="shared" ref="AW2:AW65" si="5">(Y2*0.3+AN2*0.7)*100</f>
        <v>0.82043528980855729</v>
      </c>
    </row>
    <row r="3" spans="1:49" x14ac:dyDescent="0.2">
      <c r="A3">
        <v>1</v>
      </c>
      <c r="B3" t="s">
        <v>21</v>
      </c>
      <c r="C3" t="s">
        <v>22</v>
      </c>
      <c r="D3">
        <v>14579382802688</v>
      </c>
      <c r="F3" t="s">
        <v>23</v>
      </c>
      <c r="G3" t="s">
        <v>4</v>
      </c>
      <c r="H3" t="s">
        <v>5</v>
      </c>
      <c r="I3" t="s">
        <v>24</v>
      </c>
      <c r="J3" t="s">
        <v>25</v>
      </c>
      <c r="K3" t="s">
        <v>26</v>
      </c>
      <c r="L3" t="s">
        <v>27</v>
      </c>
      <c r="M3" t="s">
        <v>28</v>
      </c>
      <c r="N3">
        <v>5</v>
      </c>
      <c r="O3" t="s">
        <v>29</v>
      </c>
      <c r="P3" t="s">
        <v>30</v>
      </c>
      <c r="Q3" t="s">
        <v>31</v>
      </c>
      <c r="R3" s="1">
        <v>30123</v>
      </c>
      <c r="S3" s="2">
        <f t="shared" si="0"/>
        <v>1982</v>
      </c>
      <c r="T3" s="2">
        <v>1982</v>
      </c>
      <c r="U3" s="2">
        <f t="shared" si="1"/>
        <v>40</v>
      </c>
      <c r="V3" s="1">
        <v>30123</v>
      </c>
      <c r="W3" t="s">
        <v>32</v>
      </c>
      <c r="X3" s="3">
        <v>1.593</v>
      </c>
      <c r="Y3" s="4">
        <f>(X3-'[1]1982'!$Z$4)/('[1]1982'!$Z$3-'[1]1982'!$Z$4)</f>
        <v>4.2524225194201973E-2</v>
      </c>
      <c r="AA3">
        <v>145793</v>
      </c>
      <c r="AB3">
        <v>17481</v>
      </c>
      <c r="AD3" t="s">
        <v>15</v>
      </c>
      <c r="AE3">
        <v>143</v>
      </c>
      <c r="AF3">
        <v>1</v>
      </c>
      <c r="AH3" t="s">
        <v>33</v>
      </c>
      <c r="AL3">
        <v>42</v>
      </c>
      <c r="AM3" s="5">
        <f t="shared" si="2"/>
        <v>1.05</v>
      </c>
      <c r="AN3" s="6">
        <f>(AM3-'[1]1982'!$AO$4)/('[1]1982'!$AO$3-'[1]1982'!$AO$4)</f>
        <v>1.5903067020068156E-3</v>
      </c>
      <c r="AO3" s="7"/>
      <c r="AP3">
        <v>1</v>
      </c>
      <c r="AR3" t="s">
        <v>19</v>
      </c>
      <c r="AT3" s="3">
        <v>4.1239999999999997</v>
      </c>
      <c r="AU3" s="8">
        <f t="shared" si="3"/>
        <v>3.0244049646543427</v>
      </c>
      <c r="AV3" s="8">
        <f t="shared" si="4"/>
        <v>2.2057265948104394</v>
      </c>
      <c r="AW3" s="8">
        <f t="shared" si="5"/>
        <v>1.3870482249665363</v>
      </c>
    </row>
    <row r="4" spans="1:49" x14ac:dyDescent="0.2">
      <c r="A4">
        <v>2</v>
      </c>
      <c r="B4" t="s">
        <v>34</v>
      </c>
      <c r="C4" t="s">
        <v>35</v>
      </c>
      <c r="D4">
        <v>5272882901499</v>
      </c>
      <c r="F4" t="s">
        <v>36</v>
      </c>
      <c r="G4" t="s">
        <v>4</v>
      </c>
      <c r="H4" t="s">
        <v>5</v>
      </c>
      <c r="I4" t="s">
        <v>37</v>
      </c>
      <c r="J4">
        <v>60014849</v>
      </c>
      <c r="K4" t="s">
        <v>38</v>
      </c>
      <c r="L4" t="s">
        <v>39</v>
      </c>
      <c r="M4" t="s">
        <v>40</v>
      </c>
      <c r="N4">
        <v>2</v>
      </c>
      <c r="O4" t="s">
        <v>41</v>
      </c>
      <c r="P4" t="s">
        <v>42</v>
      </c>
      <c r="Q4" t="s">
        <v>43</v>
      </c>
      <c r="R4" s="1">
        <v>30120</v>
      </c>
      <c r="S4" s="2">
        <f t="shared" si="0"/>
        <v>1982</v>
      </c>
      <c r="T4" s="2">
        <v>1982</v>
      </c>
      <c r="U4" s="2">
        <f t="shared" si="1"/>
        <v>40</v>
      </c>
      <c r="V4" s="1">
        <v>30120</v>
      </c>
      <c r="W4" t="s">
        <v>44</v>
      </c>
      <c r="X4" s="3">
        <v>1.59</v>
      </c>
      <c r="Y4" s="4">
        <f>(X4-'[1]1982'!$Z$4)/('[1]1982'!$Z$3-'[1]1982'!$Z$4)</f>
        <v>4.2444141907583888E-2</v>
      </c>
      <c r="AA4">
        <v>52728</v>
      </c>
      <c r="AB4">
        <v>16791</v>
      </c>
      <c r="AD4" t="s">
        <v>15</v>
      </c>
      <c r="AE4">
        <v>680</v>
      </c>
      <c r="AF4">
        <v>3</v>
      </c>
      <c r="AH4" t="s">
        <v>45</v>
      </c>
      <c r="AI4" t="s">
        <v>46</v>
      </c>
      <c r="AJ4" t="s">
        <v>47</v>
      </c>
      <c r="AK4" t="s">
        <v>48</v>
      </c>
      <c r="AL4">
        <v>104</v>
      </c>
      <c r="AM4" s="5">
        <f t="shared" si="2"/>
        <v>2.6</v>
      </c>
      <c r="AN4" s="6">
        <f>(AM4-'[1]1982'!$AO$4)/('[1]1982'!$AO$3-'[1]1982'!$AO$4)</f>
        <v>3.9379023097311627E-3</v>
      </c>
      <c r="AO4" s="7"/>
      <c r="AP4">
        <v>0</v>
      </c>
      <c r="AQ4" t="s">
        <v>49</v>
      </c>
      <c r="AR4" t="s">
        <v>19</v>
      </c>
      <c r="AS4" t="s">
        <v>50</v>
      </c>
      <c r="AT4" s="3" t="s">
        <v>20</v>
      </c>
      <c r="AU4" s="8">
        <f t="shared" si="3"/>
        <v>3.089227002822807</v>
      </c>
      <c r="AV4" s="8">
        <f t="shared" si="4"/>
        <v>2.3191022108657524</v>
      </c>
      <c r="AW4" s="8">
        <f t="shared" si="5"/>
        <v>1.548977418908698</v>
      </c>
    </row>
    <row r="5" spans="1:49" x14ac:dyDescent="0.2">
      <c r="A5">
        <v>3</v>
      </c>
      <c r="B5" t="s">
        <v>51</v>
      </c>
      <c r="E5">
        <v>7115583</v>
      </c>
      <c r="F5" t="s">
        <v>52</v>
      </c>
      <c r="G5" t="s">
        <v>4</v>
      </c>
      <c r="H5" t="s">
        <v>5</v>
      </c>
      <c r="I5" t="s">
        <v>53</v>
      </c>
      <c r="N5">
        <v>5</v>
      </c>
      <c r="O5" t="s">
        <v>54</v>
      </c>
      <c r="P5" t="s">
        <v>55</v>
      </c>
      <c r="Q5" t="s">
        <v>56</v>
      </c>
      <c r="R5" s="1">
        <v>30117</v>
      </c>
      <c r="S5" s="2">
        <f t="shared" si="0"/>
        <v>1982</v>
      </c>
      <c r="T5" s="2">
        <v>1982</v>
      </c>
      <c r="U5" s="2">
        <f t="shared" si="1"/>
        <v>40</v>
      </c>
      <c r="V5" s="1">
        <v>30117</v>
      </c>
      <c r="W5" t="s">
        <v>57</v>
      </c>
      <c r="X5" s="3" t="s">
        <v>20</v>
      </c>
      <c r="Y5" s="4" t="e">
        <f>(X5-'[1]1982'!$Z$4)/('[1]1982'!$Z$3-'[1]1982'!$Z$4)</f>
        <v>#VALUE!</v>
      </c>
      <c r="AA5">
        <v>378771</v>
      </c>
      <c r="AB5">
        <v>13745</v>
      </c>
      <c r="AD5" t="s">
        <v>15</v>
      </c>
      <c r="AE5">
        <v>58</v>
      </c>
      <c r="AF5">
        <v>11</v>
      </c>
      <c r="AH5" t="s">
        <v>58</v>
      </c>
      <c r="AL5">
        <v>2</v>
      </c>
      <c r="AM5" s="5">
        <f t="shared" si="2"/>
        <v>0.05</v>
      </c>
      <c r="AN5" s="6">
        <f>(AM5-'[1]1982'!$AO$4)/('[1]1982'!$AO$3-'[1]1982'!$AO$4)</f>
        <v>7.5728890571753133E-5</v>
      </c>
      <c r="AO5" s="7"/>
      <c r="AP5">
        <v>0</v>
      </c>
      <c r="AR5" t="s">
        <v>19</v>
      </c>
      <c r="AT5" s="3" t="s">
        <v>20</v>
      </c>
      <c r="AU5" s="8" t="e">
        <f t="shared" si="3"/>
        <v>#VALUE!</v>
      </c>
      <c r="AV5" s="8" t="e">
        <f t="shared" si="4"/>
        <v>#VALUE!</v>
      </c>
      <c r="AW5" s="8" t="e">
        <f t="shared" si="5"/>
        <v>#VALUE!</v>
      </c>
    </row>
    <row r="6" spans="1:49" x14ac:dyDescent="0.2">
      <c r="A6">
        <v>4</v>
      </c>
      <c r="B6" t="s">
        <v>59</v>
      </c>
      <c r="C6" t="s">
        <v>60</v>
      </c>
      <c r="F6" t="s">
        <v>61</v>
      </c>
      <c r="G6" t="s">
        <v>4</v>
      </c>
      <c r="H6" t="s">
        <v>5</v>
      </c>
      <c r="I6" t="s">
        <v>62</v>
      </c>
      <c r="J6">
        <v>60016653</v>
      </c>
      <c r="K6" t="s">
        <v>63</v>
      </c>
      <c r="L6" t="s">
        <v>64</v>
      </c>
      <c r="M6" t="s">
        <v>65</v>
      </c>
      <c r="N6">
        <v>1</v>
      </c>
      <c r="O6" t="s">
        <v>66</v>
      </c>
      <c r="P6">
        <v>6602740115</v>
      </c>
      <c r="Q6">
        <v>60016653</v>
      </c>
      <c r="R6" s="1">
        <v>30112</v>
      </c>
      <c r="S6" s="2">
        <f t="shared" si="0"/>
        <v>1982</v>
      </c>
      <c r="T6" s="2">
        <v>1982</v>
      </c>
      <c r="U6" s="2">
        <f t="shared" si="1"/>
        <v>40</v>
      </c>
      <c r="V6" s="1">
        <v>30112</v>
      </c>
      <c r="W6" t="s">
        <v>67</v>
      </c>
      <c r="X6" s="3">
        <v>0.375</v>
      </c>
      <c r="Y6" s="4">
        <f>(X6-'[1]1982'!$Z$4)/('[1]1982'!$Z$3-'[1]1982'!$Z$4)</f>
        <v>1.0010410827260351E-2</v>
      </c>
      <c r="AA6">
        <v>135194</v>
      </c>
      <c r="AB6">
        <v>24918</v>
      </c>
      <c r="AD6" t="s">
        <v>15</v>
      </c>
      <c r="AE6">
        <v>18</v>
      </c>
      <c r="AF6">
        <v>12</v>
      </c>
      <c r="AH6" t="s">
        <v>68</v>
      </c>
      <c r="AI6" t="s">
        <v>69</v>
      </c>
      <c r="AJ6" t="s">
        <v>70</v>
      </c>
      <c r="AK6" t="s">
        <v>71</v>
      </c>
      <c r="AL6">
        <v>38</v>
      </c>
      <c r="AM6" s="5">
        <f t="shared" si="2"/>
        <v>0.95</v>
      </c>
      <c r="AN6" s="6">
        <f>(AM6-'[1]1982'!$AO$4)/('[1]1982'!$AO$3-'[1]1982'!$AO$4)</f>
        <v>1.4388489208633094E-3</v>
      </c>
      <c r="AO6" s="7"/>
      <c r="AP6">
        <v>0</v>
      </c>
      <c r="AR6" t="s">
        <v>19</v>
      </c>
      <c r="AT6" s="3">
        <v>1.3140000000000001</v>
      </c>
      <c r="AU6" s="8">
        <f t="shared" si="3"/>
        <v>0.74389422553412388</v>
      </c>
      <c r="AV6" s="8">
        <f t="shared" si="4"/>
        <v>0.57246298740618295</v>
      </c>
      <c r="AW6" s="8">
        <f t="shared" si="5"/>
        <v>0.4010317492782422</v>
      </c>
    </row>
    <row r="7" spans="1:49" x14ac:dyDescent="0.2">
      <c r="A7">
        <v>5</v>
      </c>
      <c r="B7" t="s">
        <v>72</v>
      </c>
      <c r="C7" t="s">
        <v>73</v>
      </c>
      <c r="F7" t="s">
        <v>74</v>
      </c>
      <c r="G7" t="s">
        <v>4</v>
      </c>
      <c r="H7" t="s">
        <v>5</v>
      </c>
      <c r="I7" t="s">
        <v>75</v>
      </c>
      <c r="J7">
        <v>60029428</v>
      </c>
      <c r="K7" t="s">
        <v>76</v>
      </c>
      <c r="L7" t="s">
        <v>77</v>
      </c>
      <c r="M7" t="s">
        <v>65</v>
      </c>
      <c r="N7">
        <v>5</v>
      </c>
      <c r="O7" t="s">
        <v>78</v>
      </c>
      <c r="P7" t="s">
        <v>79</v>
      </c>
      <c r="Q7" t="s">
        <v>80</v>
      </c>
      <c r="R7" s="1">
        <v>30103</v>
      </c>
      <c r="S7" s="2">
        <f t="shared" si="0"/>
        <v>1982</v>
      </c>
      <c r="T7" s="2">
        <v>1982</v>
      </c>
      <c r="U7" s="2">
        <f t="shared" si="1"/>
        <v>40</v>
      </c>
      <c r="V7" s="1">
        <v>30103</v>
      </c>
      <c r="W7" t="s">
        <v>81</v>
      </c>
      <c r="X7" s="3">
        <v>0.30099999999999999</v>
      </c>
      <c r="Y7" s="4">
        <f>(X7-'[1]1982'!$Z$4)/('[1]1982'!$Z$3-'[1]1982'!$Z$4)</f>
        <v>8.0350230906809754E-3</v>
      </c>
      <c r="AA7">
        <v>9395075</v>
      </c>
      <c r="AB7">
        <v>14954</v>
      </c>
      <c r="AC7">
        <v>18657125</v>
      </c>
      <c r="AD7" t="s">
        <v>15</v>
      </c>
      <c r="AE7">
        <v>37</v>
      </c>
      <c r="AF7" s="9">
        <v>44352</v>
      </c>
      <c r="AH7" t="s">
        <v>82</v>
      </c>
      <c r="AI7" t="s">
        <v>83</v>
      </c>
      <c r="AJ7" t="s">
        <v>84</v>
      </c>
      <c r="AK7" t="s">
        <v>85</v>
      </c>
      <c r="AL7">
        <v>134</v>
      </c>
      <c r="AM7" s="5">
        <f t="shared" si="2"/>
        <v>3.35</v>
      </c>
      <c r="AN7" s="6">
        <f>(AM7-'[1]1982'!$AO$4)/('[1]1982'!$AO$3-'[1]1982'!$AO$4)</f>
        <v>5.0738356683074593E-3</v>
      </c>
      <c r="AO7" s="7"/>
      <c r="AP7">
        <v>1</v>
      </c>
      <c r="AQ7" t="s">
        <v>86</v>
      </c>
      <c r="AR7" t="s">
        <v>19</v>
      </c>
      <c r="AS7" t="s">
        <v>87</v>
      </c>
      <c r="AT7" s="3" t="s">
        <v>20</v>
      </c>
      <c r="AU7" s="8">
        <f t="shared" si="3"/>
        <v>0.71466668639689201</v>
      </c>
      <c r="AV7" s="8">
        <f t="shared" si="4"/>
        <v>0.65544293794942177</v>
      </c>
      <c r="AW7" s="8">
        <f t="shared" si="5"/>
        <v>0.59621918950195141</v>
      </c>
    </row>
    <row r="8" spans="1:49" x14ac:dyDescent="0.2">
      <c r="A8">
        <v>6</v>
      </c>
      <c r="B8" t="s">
        <v>88</v>
      </c>
      <c r="C8" t="s">
        <v>89</v>
      </c>
      <c r="F8" t="s">
        <v>90</v>
      </c>
      <c r="G8" t="s">
        <v>4</v>
      </c>
      <c r="H8" t="s">
        <v>5</v>
      </c>
      <c r="I8" t="s">
        <v>91</v>
      </c>
      <c r="J8">
        <v>60001490</v>
      </c>
      <c r="K8" t="s">
        <v>92</v>
      </c>
      <c r="L8" t="s">
        <v>93</v>
      </c>
      <c r="M8" t="s">
        <v>94</v>
      </c>
      <c r="N8">
        <v>2</v>
      </c>
      <c r="O8" t="s">
        <v>95</v>
      </c>
      <c r="P8" t="s">
        <v>96</v>
      </c>
      <c r="Q8" t="s">
        <v>97</v>
      </c>
      <c r="R8" s="1">
        <v>30103</v>
      </c>
      <c r="S8" s="2">
        <f t="shared" si="0"/>
        <v>1982</v>
      </c>
      <c r="T8" s="2">
        <v>1982</v>
      </c>
      <c r="U8" s="2">
        <f t="shared" si="1"/>
        <v>40</v>
      </c>
      <c r="V8" s="1">
        <v>30103</v>
      </c>
      <c r="W8" t="s">
        <v>98</v>
      </c>
      <c r="X8" s="3">
        <v>0.8</v>
      </c>
      <c r="Y8" s="4">
        <f>(X8-'[1]1982'!$Z$4)/('[1]1982'!$Z$3-'[1]1982'!$Z$4)</f>
        <v>2.1355543098155415E-2</v>
      </c>
      <c r="AA8">
        <v>3407594</v>
      </c>
      <c r="AB8">
        <v>23456</v>
      </c>
      <c r="AC8">
        <v>14321351</v>
      </c>
      <c r="AD8" t="s">
        <v>15</v>
      </c>
      <c r="AE8">
        <v>147</v>
      </c>
      <c r="AF8">
        <v>2</v>
      </c>
      <c r="AH8" t="s">
        <v>99</v>
      </c>
      <c r="AI8" t="s">
        <v>100</v>
      </c>
      <c r="AK8" t="s">
        <v>101</v>
      </c>
      <c r="AL8">
        <v>6</v>
      </c>
      <c r="AM8" s="5">
        <f t="shared" si="2"/>
        <v>0.15</v>
      </c>
      <c r="AN8" s="6">
        <f>(AM8-'[1]1982'!$AO$4)/('[1]1982'!$AO$3-'[1]1982'!$AO$4)</f>
        <v>2.2718667171525936E-4</v>
      </c>
      <c r="AO8" s="7"/>
      <c r="AP8">
        <v>0</v>
      </c>
      <c r="AR8" t="s">
        <v>19</v>
      </c>
      <c r="AT8" s="3" t="s">
        <v>20</v>
      </c>
      <c r="AU8" s="8">
        <f t="shared" si="3"/>
        <v>1.5017036170223368</v>
      </c>
      <c r="AV8" s="8">
        <f t="shared" si="4"/>
        <v>1.0791364884935337</v>
      </c>
      <c r="AW8" s="8">
        <f t="shared" si="5"/>
        <v>0.65656935996473054</v>
      </c>
    </row>
    <row r="9" spans="1:49" x14ac:dyDescent="0.2">
      <c r="A9">
        <v>7</v>
      </c>
      <c r="B9" t="s">
        <v>102</v>
      </c>
      <c r="C9" t="s">
        <v>103</v>
      </c>
      <c r="F9" t="s">
        <v>104</v>
      </c>
      <c r="G9" t="s">
        <v>4</v>
      </c>
      <c r="H9" t="s">
        <v>5</v>
      </c>
      <c r="I9" t="s">
        <v>105</v>
      </c>
      <c r="J9">
        <v>60001490</v>
      </c>
      <c r="K9" t="s">
        <v>92</v>
      </c>
      <c r="L9" t="s">
        <v>93</v>
      </c>
      <c r="M9" t="s">
        <v>94</v>
      </c>
      <c r="N9">
        <v>3</v>
      </c>
      <c r="O9" t="s">
        <v>106</v>
      </c>
      <c r="P9" t="s">
        <v>107</v>
      </c>
      <c r="Q9" t="s">
        <v>108</v>
      </c>
      <c r="R9" s="1">
        <v>30103</v>
      </c>
      <c r="S9" s="2">
        <f t="shared" si="0"/>
        <v>1982</v>
      </c>
      <c r="T9" s="2">
        <v>1982</v>
      </c>
      <c r="U9" s="2">
        <f t="shared" si="1"/>
        <v>40</v>
      </c>
      <c r="V9" s="1">
        <v>30103</v>
      </c>
      <c r="W9" t="s">
        <v>98</v>
      </c>
      <c r="X9" s="3">
        <v>0.8</v>
      </c>
      <c r="Y9" s="4">
        <f>(X9-'[1]1982'!$Z$4)/('[1]1982'!$Z$3-'[1]1982'!$Z$4)</f>
        <v>2.1355543098155415E-2</v>
      </c>
      <c r="AA9">
        <v>3407594</v>
      </c>
      <c r="AB9">
        <v>23456</v>
      </c>
      <c r="AC9">
        <v>14321351</v>
      </c>
      <c r="AD9" t="s">
        <v>15</v>
      </c>
      <c r="AE9">
        <v>147</v>
      </c>
      <c r="AF9">
        <v>2</v>
      </c>
      <c r="AH9" t="s">
        <v>109</v>
      </c>
      <c r="AI9" t="s">
        <v>110</v>
      </c>
      <c r="AK9" t="s">
        <v>111</v>
      </c>
      <c r="AL9">
        <v>6</v>
      </c>
      <c r="AM9" s="5">
        <f t="shared" si="2"/>
        <v>0.15</v>
      </c>
      <c r="AN9" s="6">
        <f>(AM9-'[1]1982'!$AO$4)/('[1]1982'!$AO$3-'[1]1982'!$AO$4)</f>
        <v>2.2718667171525936E-4</v>
      </c>
      <c r="AO9" s="7"/>
      <c r="AP9">
        <v>0</v>
      </c>
      <c r="AR9" t="s">
        <v>19</v>
      </c>
      <c r="AT9" s="3" t="s">
        <v>20</v>
      </c>
      <c r="AU9" s="8">
        <f t="shared" si="3"/>
        <v>1.5017036170223368</v>
      </c>
      <c r="AV9" s="8">
        <f t="shared" si="4"/>
        <v>1.0791364884935337</v>
      </c>
      <c r="AW9" s="8">
        <f t="shared" si="5"/>
        <v>0.65656935996473054</v>
      </c>
    </row>
    <row r="10" spans="1:49" x14ac:dyDescent="0.2">
      <c r="A10">
        <v>8</v>
      </c>
      <c r="B10" t="s">
        <v>112</v>
      </c>
      <c r="C10" t="s">
        <v>113</v>
      </c>
      <c r="F10" t="s">
        <v>114</v>
      </c>
      <c r="G10" t="s">
        <v>4</v>
      </c>
      <c r="H10" t="s">
        <v>5</v>
      </c>
      <c r="I10" t="s">
        <v>115</v>
      </c>
      <c r="J10">
        <v>60025038</v>
      </c>
      <c r="K10" t="s">
        <v>116</v>
      </c>
      <c r="L10" t="s">
        <v>117</v>
      </c>
      <c r="M10" t="s">
        <v>9</v>
      </c>
      <c r="N10">
        <v>2</v>
      </c>
      <c r="O10" t="s">
        <v>118</v>
      </c>
      <c r="P10" t="s">
        <v>119</v>
      </c>
      <c r="Q10" t="s">
        <v>120</v>
      </c>
      <c r="R10" s="1">
        <v>30103</v>
      </c>
      <c r="S10" s="2">
        <f t="shared" si="0"/>
        <v>1982</v>
      </c>
      <c r="T10" s="2">
        <v>1982</v>
      </c>
      <c r="U10" s="2">
        <f t="shared" si="1"/>
        <v>40</v>
      </c>
      <c r="V10" s="1">
        <v>30103</v>
      </c>
      <c r="W10" t="s">
        <v>121</v>
      </c>
      <c r="X10" s="3">
        <v>0.82199999999999995</v>
      </c>
      <c r="Y10" s="4">
        <f>(X10-'[1]1982'!$Z$4)/('[1]1982'!$Z$3-'[1]1982'!$Z$4)</f>
        <v>2.1942820533354689E-2</v>
      </c>
      <c r="AA10">
        <v>17701</v>
      </c>
      <c r="AB10">
        <v>27975</v>
      </c>
      <c r="AC10">
        <v>15729532</v>
      </c>
      <c r="AD10" t="s">
        <v>15</v>
      </c>
      <c r="AE10">
        <v>14</v>
      </c>
      <c r="AF10">
        <v>6</v>
      </c>
      <c r="AH10" t="s">
        <v>122</v>
      </c>
      <c r="AI10" t="s">
        <v>123</v>
      </c>
      <c r="AK10" t="s">
        <v>124</v>
      </c>
      <c r="AL10">
        <v>22</v>
      </c>
      <c r="AM10" s="5">
        <f t="shared" si="2"/>
        <v>0.55000000000000004</v>
      </c>
      <c r="AN10" s="6">
        <f>(AM10-'[1]1982'!$AO$4)/('[1]1982'!$AO$3-'[1]1982'!$AO$4)</f>
        <v>8.3301779628928443E-4</v>
      </c>
      <c r="AO10" s="7"/>
      <c r="AP10">
        <v>0</v>
      </c>
      <c r="AR10" t="s">
        <v>19</v>
      </c>
      <c r="AT10" s="3">
        <v>2.5129999999999999</v>
      </c>
      <c r="AU10" s="8">
        <f t="shared" si="3"/>
        <v>1.5609879712235066</v>
      </c>
      <c r="AV10" s="8">
        <f t="shared" si="4"/>
        <v>1.1387919164821985</v>
      </c>
      <c r="AW10" s="8">
        <f t="shared" si="5"/>
        <v>0.71659586174089052</v>
      </c>
    </row>
    <row r="11" spans="1:49" x14ac:dyDescent="0.2">
      <c r="A11">
        <v>9</v>
      </c>
      <c r="B11" t="s">
        <v>125</v>
      </c>
      <c r="C11" t="s">
        <v>126</v>
      </c>
      <c r="F11" t="s">
        <v>127</v>
      </c>
      <c r="G11" t="s">
        <v>4</v>
      </c>
      <c r="H11" t="s">
        <v>5</v>
      </c>
      <c r="I11" t="s">
        <v>128</v>
      </c>
      <c r="J11">
        <v>60012729</v>
      </c>
      <c r="K11" t="s">
        <v>129</v>
      </c>
      <c r="L11" t="s">
        <v>130</v>
      </c>
      <c r="M11" t="s">
        <v>131</v>
      </c>
      <c r="N11">
        <v>4</v>
      </c>
      <c r="O11" t="s">
        <v>132</v>
      </c>
      <c r="P11" t="s">
        <v>133</v>
      </c>
      <c r="Q11" t="s">
        <v>134</v>
      </c>
      <c r="R11" s="1">
        <v>30103</v>
      </c>
      <c r="S11" s="2">
        <f t="shared" si="0"/>
        <v>1982</v>
      </c>
      <c r="T11" s="2">
        <v>1982</v>
      </c>
      <c r="U11" s="2">
        <f t="shared" si="1"/>
        <v>40</v>
      </c>
      <c r="V11" s="1">
        <v>30103</v>
      </c>
      <c r="W11" t="s">
        <v>135</v>
      </c>
      <c r="X11" s="3">
        <v>1.026</v>
      </c>
      <c r="Y11" s="4">
        <f>(X11-'[1]1982'!$Z$4)/('[1]1982'!$Z$3-'[1]1982'!$Z$4)</f>
        <v>2.738848402338432E-2</v>
      </c>
      <c r="AA11">
        <v>380938</v>
      </c>
      <c r="AB11">
        <v>28245</v>
      </c>
      <c r="AC11" t="s">
        <v>136</v>
      </c>
      <c r="AD11" t="s">
        <v>15</v>
      </c>
      <c r="AE11">
        <v>78</v>
      </c>
      <c r="AF11">
        <v>2</v>
      </c>
      <c r="AH11" t="s">
        <v>137</v>
      </c>
      <c r="AI11" t="s">
        <v>138</v>
      </c>
      <c r="AK11" t="s">
        <v>139</v>
      </c>
      <c r="AL11">
        <v>25</v>
      </c>
      <c r="AM11" s="5">
        <f t="shared" si="2"/>
        <v>0.625</v>
      </c>
      <c r="AN11" s="6">
        <f>(AM11-'[1]1982'!$AO$4)/('[1]1982'!$AO$3-'[1]1982'!$AO$4)</f>
        <v>9.4661113214691405E-4</v>
      </c>
      <c r="AO11" s="7"/>
      <c r="AP11">
        <v>0</v>
      </c>
      <c r="AR11" t="s">
        <v>19</v>
      </c>
      <c r="AT11" s="3">
        <v>2.6709999999999998</v>
      </c>
      <c r="AU11" s="8">
        <f t="shared" si="3"/>
        <v>1.9455922156013099</v>
      </c>
      <c r="AV11" s="8">
        <f t="shared" si="4"/>
        <v>1.4167547577765618</v>
      </c>
      <c r="AW11" s="8">
        <f t="shared" si="5"/>
        <v>0.88791729995181357</v>
      </c>
    </row>
    <row r="12" spans="1:49" x14ac:dyDescent="0.2">
      <c r="A12">
        <v>10</v>
      </c>
      <c r="B12" t="s">
        <v>140</v>
      </c>
      <c r="E12">
        <v>6757752</v>
      </c>
      <c r="F12" t="s">
        <v>141</v>
      </c>
      <c r="G12" t="s">
        <v>4</v>
      </c>
      <c r="H12" t="s">
        <v>5</v>
      </c>
      <c r="I12" t="s">
        <v>142</v>
      </c>
      <c r="N12">
        <v>3</v>
      </c>
      <c r="O12" t="s">
        <v>143</v>
      </c>
      <c r="P12" t="s">
        <v>144</v>
      </c>
      <c r="Q12" t="s">
        <v>145</v>
      </c>
      <c r="R12" s="1">
        <v>30103</v>
      </c>
      <c r="S12" s="2">
        <f t="shared" si="0"/>
        <v>1982</v>
      </c>
      <c r="T12" s="2">
        <v>1982</v>
      </c>
      <c r="U12" s="2">
        <f t="shared" si="1"/>
        <v>40</v>
      </c>
      <c r="V12" s="1">
        <v>30103</v>
      </c>
      <c r="W12" t="s">
        <v>146</v>
      </c>
      <c r="X12" s="3" t="s">
        <v>20</v>
      </c>
      <c r="Y12" s="4" t="e">
        <f>(X12-'[1]1982'!$Z$4)/('[1]1982'!$Z$3-'[1]1982'!$Z$4)</f>
        <v>#VALUE!</v>
      </c>
      <c r="AA12">
        <v>831921</v>
      </c>
      <c r="AB12">
        <v>32977</v>
      </c>
      <c r="AD12" t="s">
        <v>15</v>
      </c>
      <c r="AE12">
        <v>61</v>
      </c>
      <c r="AH12" t="s">
        <v>147</v>
      </c>
      <c r="AI12" t="s">
        <v>148</v>
      </c>
      <c r="AK12" t="s">
        <v>149</v>
      </c>
      <c r="AL12">
        <v>0</v>
      </c>
      <c r="AM12" s="5">
        <f t="shared" si="2"/>
        <v>0</v>
      </c>
      <c r="AN12" s="6">
        <f>(AM12-'[1]1982'!$AO$4)/('[1]1982'!$AO$3-'[1]1982'!$AO$4)</f>
        <v>0</v>
      </c>
      <c r="AO12" s="7"/>
      <c r="AP12">
        <v>0</v>
      </c>
      <c r="AR12" t="s">
        <v>19</v>
      </c>
      <c r="AT12" s="3" t="s">
        <v>20</v>
      </c>
      <c r="AU12" s="8" t="e">
        <f t="shared" si="3"/>
        <v>#VALUE!</v>
      </c>
      <c r="AV12" s="8" t="e">
        <f t="shared" si="4"/>
        <v>#VALUE!</v>
      </c>
      <c r="AW12" s="8" t="e">
        <f t="shared" si="5"/>
        <v>#VALUE!</v>
      </c>
    </row>
    <row r="13" spans="1:49" x14ac:dyDescent="0.2">
      <c r="A13">
        <v>11</v>
      </c>
      <c r="B13" t="s">
        <v>150</v>
      </c>
      <c r="C13" t="s">
        <v>151</v>
      </c>
      <c r="F13" t="s">
        <v>152</v>
      </c>
      <c r="G13" t="s">
        <v>4</v>
      </c>
      <c r="H13" t="s">
        <v>5</v>
      </c>
      <c r="I13" t="s">
        <v>153</v>
      </c>
      <c r="N13">
        <v>2</v>
      </c>
      <c r="O13" t="s">
        <v>154</v>
      </c>
      <c r="P13" t="s">
        <v>155</v>
      </c>
      <c r="Q13" t="s">
        <v>156</v>
      </c>
      <c r="R13" s="1">
        <v>30103</v>
      </c>
      <c r="S13" s="2">
        <f t="shared" si="0"/>
        <v>1982</v>
      </c>
      <c r="T13" s="2">
        <v>1982</v>
      </c>
      <c r="U13" s="2">
        <f t="shared" si="1"/>
        <v>40</v>
      </c>
      <c r="V13" s="1">
        <v>30103</v>
      </c>
      <c r="W13" t="s">
        <v>157</v>
      </c>
      <c r="X13" s="3">
        <v>0.318</v>
      </c>
      <c r="Y13" s="4">
        <f>(X13-'[1]1982'!$Z$4)/('[1]1982'!$Z$3-'[1]1982'!$Z$4)</f>
        <v>8.4888283815167786E-3</v>
      </c>
      <c r="AA13">
        <v>338443</v>
      </c>
      <c r="AB13">
        <v>27160</v>
      </c>
      <c r="AC13">
        <v>15739120</v>
      </c>
      <c r="AD13" t="s">
        <v>15</v>
      </c>
      <c r="AE13">
        <v>25</v>
      </c>
      <c r="AF13">
        <v>6</v>
      </c>
      <c r="AH13" t="s">
        <v>158</v>
      </c>
      <c r="AL13">
        <v>0</v>
      </c>
      <c r="AM13" s="5">
        <f t="shared" si="2"/>
        <v>0</v>
      </c>
      <c r="AN13" s="6">
        <f>(AM13-'[1]1982'!$AO$4)/('[1]1982'!$AO$3-'[1]1982'!$AO$4)</f>
        <v>0</v>
      </c>
      <c r="AO13" s="7"/>
      <c r="AP13">
        <v>0</v>
      </c>
      <c r="AR13" t="s">
        <v>19</v>
      </c>
      <c r="AT13" s="3">
        <v>0.77</v>
      </c>
      <c r="AU13" s="8">
        <f t="shared" si="3"/>
        <v>0.59421798670617454</v>
      </c>
      <c r="AV13" s="8">
        <f t="shared" si="4"/>
        <v>0.42444141907583893</v>
      </c>
      <c r="AW13" s="8">
        <f t="shared" si="5"/>
        <v>0.25466485144550338</v>
      </c>
    </row>
    <row r="14" spans="1:49" x14ac:dyDescent="0.2">
      <c r="A14">
        <v>12</v>
      </c>
      <c r="B14" t="s">
        <v>159</v>
      </c>
      <c r="C14" t="s">
        <v>160</v>
      </c>
      <c r="F14" t="s">
        <v>161</v>
      </c>
      <c r="G14" t="s">
        <v>4</v>
      </c>
      <c r="H14" t="s">
        <v>5</v>
      </c>
      <c r="I14" t="s">
        <v>162</v>
      </c>
      <c r="N14">
        <v>4</v>
      </c>
      <c r="O14" t="s">
        <v>163</v>
      </c>
      <c r="P14" t="s">
        <v>164</v>
      </c>
      <c r="Q14" t="s">
        <v>165</v>
      </c>
      <c r="R14" s="1">
        <v>30103</v>
      </c>
      <c r="S14" s="2">
        <f t="shared" si="0"/>
        <v>1982</v>
      </c>
      <c r="T14" s="2">
        <v>1982</v>
      </c>
      <c r="U14" s="2">
        <f t="shared" si="1"/>
        <v>40</v>
      </c>
      <c r="V14" s="1">
        <v>30103</v>
      </c>
      <c r="W14" t="s">
        <v>157</v>
      </c>
      <c r="X14" s="3">
        <v>0.318</v>
      </c>
      <c r="Y14" s="4">
        <f>(X14-'[1]1982'!$Z$4)/('[1]1982'!$Z$3-'[1]1982'!$Z$4)</f>
        <v>8.4888283815167786E-3</v>
      </c>
      <c r="AA14">
        <v>338443</v>
      </c>
      <c r="AB14">
        <v>27160</v>
      </c>
      <c r="AC14">
        <v>15739120</v>
      </c>
      <c r="AD14" t="s">
        <v>15</v>
      </c>
      <c r="AE14">
        <v>25</v>
      </c>
      <c r="AF14">
        <v>6</v>
      </c>
      <c r="AH14" t="s">
        <v>166</v>
      </c>
      <c r="AL14">
        <v>0</v>
      </c>
      <c r="AM14" s="5">
        <f t="shared" si="2"/>
        <v>0</v>
      </c>
      <c r="AN14" s="6">
        <f>(AM14-'[1]1982'!$AO$4)/('[1]1982'!$AO$3-'[1]1982'!$AO$4)</f>
        <v>0</v>
      </c>
      <c r="AO14" s="7"/>
      <c r="AP14">
        <v>0</v>
      </c>
      <c r="AR14" t="s">
        <v>19</v>
      </c>
      <c r="AT14" s="3">
        <v>0.77</v>
      </c>
      <c r="AU14" s="8">
        <f t="shared" si="3"/>
        <v>0.59421798670617454</v>
      </c>
      <c r="AV14" s="8">
        <f t="shared" si="4"/>
        <v>0.42444141907583893</v>
      </c>
      <c r="AW14" s="8">
        <f t="shared" si="5"/>
        <v>0.25466485144550338</v>
      </c>
    </row>
    <row r="15" spans="1:49" x14ac:dyDescent="0.2">
      <c r="A15">
        <v>13</v>
      </c>
      <c r="B15" t="s">
        <v>167</v>
      </c>
      <c r="C15" t="s">
        <v>168</v>
      </c>
      <c r="E15">
        <v>7116422</v>
      </c>
      <c r="F15" t="s">
        <v>169</v>
      </c>
      <c r="G15" t="s">
        <v>4</v>
      </c>
      <c r="H15" t="s">
        <v>5</v>
      </c>
      <c r="I15" t="s">
        <v>170</v>
      </c>
      <c r="J15">
        <v>60030807</v>
      </c>
      <c r="K15" t="s">
        <v>171</v>
      </c>
      <c r="L15" t="s">
        <v>172</v>
      </c>
      <c r="M15" t="s">
        <v>65</v>
      </c>
      <c r="N15">
        <v>1</v>
      </c>
      <c r="O15" t="s">
        <v>173</v>
      </c>
      <c r="P15">
        <v>16484574600</v>
      </c>
      <c r="Q15">
        <v>60030807</v>
      </c>
      <c r="R15" s="1">
        <v>30103</v>
      </c>
      <c r="S15" s="2">
        <f t="shared" si="0"/>
        <v>1982</v>
      </c>
      <c r="T15" s="2">
        <v>1982</v>
      </c>
      <c r="U15" s="2">
        <f t="shared" si="1"/>
        <v>40</v>
      </c>
      <c r="V15" s="1">
        <v>30103</v>
      </c>
      <c r="W15" t="s">
        <v>174</v>
      </c>
      <c r="X15" s="3">
        <v>1.64</v>
      </c>
      <c r="Y15" s="4">
        <f>(X15-'[1]1982'!$Z$4)/('[1]1982'!$Z$3-'[1]1982'!$Z$4)</f>
        <v>4.3778863351218597E-2</v>
      </c>
      <c r="AA15" t="s">
        <v>175</v>
      </c>
      <c r="AB15">
        <v>18446</v>
      </c>
      <c r="AC15">
        <v>14320878</v>
      </c>
      <c r="AD15" t="s">
        <v>15</v>
      </c>
      <c r="AE15">
        <v>225</v>
      </c>
      <c r="AF15">
        <v>1</v>
      </c>
      <c r="AH15" t="s">
        <v>176</v>
      </c>
      <c r="AI15" t="s">
        <v>177</v>
      </c>
      <c r="AJ15" t="s">
        <v>178</v>
      </c>
      <c r="AK15" t="s">
        <v>179</v>
      </c>
      <c r="AL15">
        <v>20</v>
      </c>
      <c r="AM15" s="5">
        <f t="shared" si="2"/>
        <v>0.5</v>
      </c>
      <c r="AN15" s="6">
        <f>(AM15-'[1]1982'!$AO$4)/('[1]1982'!$AO$3-'[1]1982'!$AO$4)</f>
        <v>7.572889057175312E-4</v>
      </c>
      <c r="AO15" s="7"/>
      <c r="AP15">
        <v>0</v>
      </c>
      <c r="AR15" t="s">
        <v>19</v>
      </c>
      <c r="AT15" s="3">
        <v>5.2489999999999997</v>
      </c>
      <c r="AU15" s="8">
        <f t="shared" si="3"/>
        <v>3.0872391017568277</v>
      </c>
      <c r="AV15" s="8">
        <f t="shared" si="4"/>
        <v>2.2268076128468062</v>
      </c>
      <c r="AW15" s="8">
        <f t="shared" si="5"/>
        <v>1.3663761239367851</v>
      </c>
    </row>
    <row r="16" spans="1:49" x14ac:dyDescent="0.2">
      <c r="A16">
        <v>14</v>
      </c>
      <c r="B16" t="s">
        <v>180</v>
      </c>
      <c r="C16" t="s">
        <v>181</v>
      </c>
      <c r="F16" t="s">
        <v>182</v>
      </c>
      <c r="G16" t="s">
        <v>4</v>
      </c>
      <c r="H16" t="s">
        <v>5</v>
      </c>
      <c r="I16" t="s">
        <v>183</v>
      </c>
      <c r="J16" t="s">
        <v>184</v>
      </c>
      <c r="K16" t="s">
        <v>185</v>
      </c>
      <c r="L16" t="s">
        <v>186</v>
      </c>
      <c r="M16" t="s">
        <v>187</v>
      </c>
      <c r="N16">
        <v>3</v>
      </c>
      <c r="O16" t="s">
        <v>188</v>
      </c>
      <c r="P16" t="s">
        <v>189</v>
      </c>
      <c r="Q16" t="s">
        <v>190</v>
      </c>
      <c r="R16" s="1">
        <v>30098</v>
      </c>
      <c r="S16" s="2">
        <f t="shared" si="0"/>
        <v>1982</v>
      </c>
      <c r="T16" s="2">
        <v>1982</v>
      </c>
      <c r="U16" s="2">
        <f t="shared" si="1"/>
        <v>40</v>
      </c>
      <c r="V16" s="1">
        <v>30098</v>
      </c>
      <c r="W16" t="s">
        <v>67</v>
      </c>
      <c r="X16" s="3">
        <v>0.375</v>
      </c>
      <c r="Y16" s="4">
        <f>(X16-'[1]1982'!$Z$4)/('[1]1982'!$Z$3-'[1]1982'!$Z$4)</f>
        <v>1.0010410827260351E-2</v>
      </c>
      <c r="AA16">
        <v>135194</v>
      </c>
      <c r="AB16">
        <v>24918</v>
      </c>
      <c r="AD16" t="s">
        <v>15</v>
      </c>
      <c r="AE16">
        <v>18</v>
      </c>
      <c r="AF16">
        <v>11</v>
      </c>
      <c r="AH16" t="s">
        <v>191</v>
      </c>
      <c r="AI16" t="s">
        <v>192</v>
      </c>
      <c r="AJ16" t="s">
        <v>193</v>
      </c>
      <c r="AK16" t="s">
        <v>194</v>
      </c>
      <c r="AL16">
        <v>0</v>
      </c>
      <c r="AM16" s="5">
        <f t="shared" si="2"/>
        <v>0</v>
      </c>
      <c r="AN16" s="6">
        <f>(AM16-'[1]1982'!$AO$4)/('[1]1982'!$AO$3-'[1]1982'!$AO$4)</f>
        <v>0</v>
      </c>
      <c r="AO16" s="7"/>
      <c r="AP16">
        <v>0</v>
      </c>
      <c r="AR16" t="s">
        <v>19</v>
      </c>
      <c r="AT16" s="3">
        <v>1.3140000000000001</v>
      </c>
      <c r="AU16" s="8">
        <f t="shared" si="3"/>
        <v>0.70072875790822453</v>
      </c>
      <c r="AV16" s="8">
        <f t="shared" si="4"/>
        <v>0.5005205413630176</v>
      </c>
      <c r="AW16" s="8">
        <f t="shared" si="5"/>
        <v>0.30031232481781051</v>
      </c>
    </row>
    <row r="17" spans="1:49" x14ac:dyDescent="0.2">
      <c r="A17">
        <v>15</v>
      </c>
      <c r="B17" t="s">
        <v>195</v>
      </c>
      <c r="C17" t="s">
        <v>196</v>
      </c>
      <c r="D17">
        <v>5272882900081</v>
      </c>
      <c r="F17" t="s">
        <v>197</v>
      </c>
      <c r="G17" t="s">
        <v>4</v>
      </c>
      <c r="H17" t="s">
        <v>5</v>
      </c>
      <c r="I17" t="s">
        <v>198</v>
      </c>
      <c r="J17">
        <v>60026827</v>
      </c>
      <c r="K17" t="s">
        <v>199</v>
      </c>
      <c r="L17" t="s">
        <v>200</v>
      </c>
      <c r="M17" t="s">
        <v>9</v>
      </c>
      <c r="N17">
        <v>2</v>
      </c>
      <c r="O17" t="s">
        <v>201</v>
      </c>
      <c r="P17" t="s">
        <v>202</v>
      </c>
      <c r="Q17" t="s">
        <v>203</v>
      </c>
      <c r="R17" s="1">
        <v>30090</v>
      </c>
      <c r="S17" s="2">
        <f t="shared" si="0"/>
        <v>1982</v>
      </c>
      <c r="T17" s="2">
        <v>1982</v>
      </c>
      <c r="U17" s="2">
        <f t="shared" si="1"/>
        <v>40</v>
      </c>
      <c r="V17" s="1">
        <v>30090</v>
      </c>
      <c r="W17" t="s">
        <v>44</v>
      </c>
      <c r="X17" s="3">
        <v>1.59</v>
      </c>
      <c r="Y17" s="4">
        <f>(X17-'[1]1982'!$Z$4)/('[1]1982'!$Z$3-'[1]1982'!$Z$4)</f>
        <v>4.2444141907583888E-2</v>
      </c>
      <c r="AA17">
        <v>52728</v>
      </c>
      <c r="AB17">
        <v>16791</v>
      </c>
      <c r="AD17" t="s">
        <v>15</v>
      </c>
      <c r="AE17">
        <v>680</v>
      </c>
      <c r="AF17">
        <v>2</v>
      </c>
      <c r="AH17" t="s">
        <v>204</v>
      </c>
      <c r="AI17" t="s">
        <v>205</v>
      </c>
      <c r="AJ17" t="s">
        <v>206</v>
      </c>
      <c r="AK17" t="s">
        <v>207</v>
      </c>
      <c r="AL17">
        <v>15</v>
      </c>
      <c r="AM17" s="5">
        <f t="shared" si="2"/>
        <v>0.375</v>
      </c>
      <c r="AN17" s="6">
        <f>(AM17-'[1]1982'!$AO$4)/('[1]1982'!$AO$3-'[1]1982'!$AO$4)</f>
        <v>5.6796667928814845E-4</v>
      </c>
      <c r="AO17" s="7"/>
      <c r="AP17">
        <v>0</v>
      </c>
      <c r="AQ17" t="s">
        <v>208</v>
      </c>
      <c r="AR17" t="s">
        <v>209</v>
      </c>
      <c r="AS17" t="s">
        <v>210</v>
      </c>
      <c r="AT17" s="3" t="s">
        <v>20</v>
      </c>
      <c r="AU17" s="8">
        <f t="shared" si="3"/>
        <v>2.9881289339095165</v>
      </c>
      <c r="AV17" s="8">
        <f t="shared" si="4"/>
        <v>2.1506054293436017</v>
      </c>
      <c r="AW17" s="8">
        <f t="shared" si="5"/>
        <v>1.3130819247776868</v>
      </c>
    </row>
    <row r="18" spans="1:49" x14ac:dyDescent="0.2">
      <c r="A18">
        <v>16</v>
      </c>
      <c r="B18" t="s">
        <v>211</v>
      </c>
      <c r="C18" t="s">
        <v>212</v>
      </c>
      <c r="D18">
        <v>5272882900111</v>
      </c>
      <c r="F18" t="s">
        <v>213</v>
      </c>
      <c r="G18" t="s">
        <v>4</v>
      </c>
      <c r="H18" t="s">
        <v>5</v>
      </c>
      <c r="I18" t="s">
        <v>214</v>
      </c>
      <c r="J18" t="s">
        <v>215</v>
      </c>
      <c r="K18" t="s">
        <v>216</v>
      </c>
      <c r="L18" t="s">
        <v>217</v>
      </c>
      <c r="M18" t="s">
        <v>218</v>
      </c>
      <c r="N18">
        <v>5</v>
      </c>
      <c r="O18" t="s">
        <v>219</v>
      </c>
      <c r="P18" t="s">
        <v>220</v>
      </c>
      <c r="Q18" t="s">
        <v>221</v>
      </c>
      <c r="R18" s="1">
        <v>30090</v>
      </c>
      <c r="S18" s="2">
        <f t="shared" si="0"/>
        <v>1982</v>
      </c>
      <c r="T18" s="2">
        <v>1982</v>
      </c>
      <c r="U18" s="2">
        <f t="shared" si="1"/>
        <v>40</v>
      </c>
      <c r="V18" s="1">
        <v>30090</v>
      </c>
      <c r="W18" t="s">
        <v>44</v>
      </c>
      <c r="X18" s="3">
        <v>1.59</v>
      </c>
      <c r="Y18" s="4">
        <f>(X18-'[1]1982'!$Z$4)/('[1]1982'!$Z$3-'[1]1982'!$Z$4)</f>
        <v>4.2444141907583888E-2</v>
      </c>
      <c r="AA18">
        <v>52728</v>
      </c>
      <c r="AB18">
        <v>16791</v>
      </c>
      <c r="AD18" t="s">
        <v>15</v>
      </c>
      <c r="AE18">
        <v>680</v>
      </c>
      <c r="AF18">
        <v>2</v>
      </c>
      <c r="AH18" t="s">
        <v>222</v>
      </c>
      <c r="AI18" t="s">
        <v>223</v>
      </c>
      <c r="AJ18" t="s">
        <v>224</v>
      </c>
      <c r="AK18" t="s">
        <v>225</v>
      </c>
      <c r="AL18">
        <v>86</v>
      </c>
      <c r="AM18" s="5">
        <f t="shared" si="2"/>
        <v>2.15</v>
      </c>
      <c r="AN18" s="6">
        <f>(AM18-'[1]1982'!$AO$4)/('[1]1982'!$AO$3-'[1]1982'!$AO$4)</f>
        <v>3.256342294585384E-3</v>
      </c>
      <c r="AO18" s="7"/>
      <c r="AP18">
        <v>0</v>
      </c>
      <c r="AQ18" t="s">
        <v>208</v>
      </c>
      <c r="AR18" t="s">
        <v>226</v>
      </c>
      <c r="AS18" t="s">
        <v>210</v>
      </c>
      <c r="AT18" s="3" t="s">
        <v>20</v>
      </c>
      <c r="AU18" s="8">
        <f t="shared" si="3"/>
        <v>3.0687802023684334</v>
      </c>
      <c r="AV18" s="8">
        <f t="shared" si="4"/>
        <v>2.2850242101084639</v>
      </c>
      <c r="AW18" s="8">
        <f t="shared" si="5"/>
        <v>1.5012682178484935</v>
      </c>
    </row>
    <row r="19" spans="1:49" x14ac:dyDescent="0.2">
      <c r="A19">
        <v>17</v>
      </c>
      <c r="B19" t="s">
        <v>227</v>
      </c>
      <c r="C19" t="s">
        <v>228</v>
      </c>
      <c r="D19">
        <v>14579382800434</v>
      </c>
      <c r="F19" t="s">
        <v>229</v>
      </c>
      <c r="G19" t="s">
        <v>4</v>
      </c>
      <c r="H19" t="s">
        <v>5</v>
      </c>
      <c r="I19" t="s">
        <v>230</v>
      </c>
      <c r="J19">
        <v>60006754</v>
      </c>
      <c r="K19" t="s">
        <v>231</v>
      </c>
      <c r="L19" t="s">
        <v>232</v>
      </c>
      <c r="M19" t="s">
        <v>233</v>
      </c>
      <c r="N19">
        <v>3</v>
      </c>
      <c r="O19" t="s">
        <v>234</v>
      </c>
      <c r="P19" t="s">
        <v>235</v>
      </c>
      <c r="Q19" t="s">
        <v>236</v>
      </c>
      <c r="R19" s="1">
        <v>30088</v>
      </c>
      <c r="S19" s="2">
        <f t="shared" si="0"/>
        <v>1982</v>
      </c>
      <c r="T19" s="2">
        <v>1982</v>
      </c>
      <c r="U19" s="2">
        <f t="shared" si="1"/>
        <v>40</v>
      </c>
      <c r="V19" s="1">
        <v>30088</v>
      </c>
      <c r="W19" t="s">
        <v>32</v>
      </c>
      <c r="X19" s="3">
        <v>1.593</v>
      </c>
      <c r="Y19" s="4">
        <f>(X19-'[1]1982'!$Z$4)/('[1]1982'!$Z$3-'[1]1982'!$Z$4)</f>
        <v>4.2524225194201973E-2</v>
      </c>
      <c r="AA19">
        <v>145793</v>
      </c>
      <c r="AB19">
        <v>17481</v>
      </c>
      <c r="AD19" t="s">
        <v>15</v>
      </c>
      <c r="AE19">
        <v>141</v>
      </c>
      <c r="AF19">
        <v>2</v>
      </c>
      <c r="AH19" t="s">
        <v>237</v>
      </c>
      <c r="AL19">
        <v>8</v>
      </c>
      <c r="AM19" s="5">
        <f t="shared" si="2"/>
        <v>0.2</v>
      </c>
      <c r="AN19" s="6">
        <f>(AM19-'[1]1982'!$AO$4)/('[1]1982'!$AO$3-'[1]1982'!$AO$4)</f>
        <v>3.0291556228701253E-4</v>
      </c>
      <c r="AO19" s="7"/>
      <c r="AP19">
        <v>0</v>
      </c>
      <c r="AR19" t="s">
        <v>19</v>
      </c>
      <c r="AT19" s="3">
        <v>4.1239999999999997</v>
      </c>
      <c r="AU19" s="8">
        <f t="shared" si="3"/>
        <v>2.9857832304627485</v>
      </c>
      <c r="AV19" s="8">
        <f t="shared" si="4"/>
        <v>2.1413570378244491</v>
      </c>
      <c r="AW19" s="8">
        <f t="shared" si="5"/>
        <v>1.2969308451861501</v>
      </c>
    </row>
    <row r="20" spans="1:49" x14ac:dyDescent="0.2">
      <c r="A20">
        <v>18</v>
      </c>
      <c r="B20" t="s">
        <v>238</v>
      </c>
      <c r="C20" t="s">
        <v>239</v>
      </c>
      <c r="F20" t="s">
        <v>240</v>
      </c>
      <c r="G20" t="s">
        <v>4</v>
      </c>
      <c r="H20" t="s">
        <v>5</v>
      </c>
      <c r="I20" t="s">
        <v>241</v>
      </c>
      <c r="J20">
        <v>100384221</v>
      </c>
      <c r="K20" t="s">
        <v>242</v>
      </c>
      <c r="L20" t="s">
        <v>243</v>
      </c>
      <c r="M20" t="s">
        <v>233</v>
      </c>
      <c r="N20">
        <v>3</v>
      </c>
      <c r="O20" t="s">
        <v>244</v>
      </c>
      <c r="P20" t="s">
        <v>245</v>
      </c>
      <c r="Q20" t="s">
        <v>246</v>
      </c>
      <c r="R20" s="1">
        <v>30084</v>
      </c>
      <c r="S20" s="2">
        <f t="shared" si="0"/>
        <v>1982</v>
      </c>
      <c r="T20" s="2">
        <v>1982</v>
      </c>
      <c r="U20" s="2">
        <f t="shared" si="1"/>
        <v>40</v>
      </c>
      <c r="V20" s="1">
        <v>30084</v>
      </c>
      <c r="W20" t="s">
        <v>67</v>
      </c>
      <c r="X20" s="3">
        <v>0.375</v>
      </c>
      <c r="Y20" s="4">
        <f>(X20-'[1]1982'!$Z$4)/('[1]1982'!$Z$3-'[1]1982'!$Z$4)</f>
        <v>1.0010410827260351E-2</v>
      </c>
      <c r="AA20">
        <v>135194</v>
      </c>
      <c r="AB20">
        <v>24918</v>
      </c>
      <c r="AD20" t="s">
        <v>15</v>
      </c>
      <c r="AE20">
        <v>18</v>
      </c>
      <c r="AF20">
        <v>10</v>
      </c>
      <c r="AH20" t="s">
        <v>247</v>
      </c>
      <c r="AI20" t="s">
        <v>248</v>
      </c>
      <c r="AJ20" t="s">
        <v>249</v>
      </c>
      <c r="AK20" t="s">
        <v>250</v>
      </c>
      <c r="AL20">
        <v>2</v>
      </c>
      <c r="AM20" s="5">
        <f t="shared" si="2"/>
        <v>0.05</v>
      </c>
      <c r="AN20" s="6">
        <f>(AM20-'[1]1982'!$AO$4)/('[1]1982'!$AO$3-'[1]1982'!$AO$4)</f>
        <v>7.5728890571753133E-5</v>
      </c>
      <c r="AO20" s="7"/>
      <c r="AP20">
        <v>0</v>
      </c>
      <c r="AR20" t="s">
        <v>19</v>
      </c>
      <c r="AT20" s="3">
        <v>1.3140000000000001</v>
      </c>
      <c r="AU20" s="8">
        <f t="shared" si="3"/>
        <v>0.70300062462537716</v>
      </c>
      <c r="AV20" s="8">
        <f t="shared" si="4"/>
        <v>0.50430698589160516</v>
      </c>
      <c r="AW20" s="8">
        <f t="shared" si="5"/>
        <v>0.30561334715783323</v>
      </c>
    </row>
    <row r="21" spans="1:49" x14ac:dyDescent="0.2">
      <c r="A21">
        <v>19</v>
      </c>
      <c r="B21" t="s">
        <v>251</v>
      </c>
      <c r="C21" t="s">
        <v>252</v>
      </c>
      <c r="F21" t="s">
        <v>253</v>
      </c>
      <c r="G21" t="s">
        <v>4</v>
      </c>
      <c r="H21" t="s">
        <v>5</v>
      </c>
      <c r="I21" t="s">
        <v>254</v>
      </c>
      <c r="J21" t="s">
        <v>255</v>
      </c>
      <c r="K21" t="s">
        <v>256</v>
      </c>
      <c r="L21" t="s">
        <v>257</v>
      </c>
      <c r="M21" t="s">
        <v>258</v>
      </c>
      <c r="N21">
        <v>2</v>
      </c>
      <c r="O21" t="s">
        <v>259</v>
      </c>
      <c r="P21" t="s">
        <v>260</v>
      </c>
      <c r="Q21" t="s">
        <v>261</v>
      </c>
      <c r="R21" s="1">
        <v>30084</v>
      </c>
      <c r="S21" s="2">
        <f t="shared" si="0"/>
        <v>1982</v>
      </c>
      <c r="T21" s="2">
        <v>1982</v>
      </c>
      <c r="U21" s="2">
        <f t="shared" si="1"/>
        <v>40</v>
      </c>
      <c r="V21" s="1">
        <v>30084</v>
      </c>
      <c r="W21" t="s">
        <v>67</v>
      </c>
      <c r="X21" s="3">
        <v>0.375</v>
      </c>
      <c r="Y21" s="4">
        <f>(X21-'[1]1982'!$Z$4)/('[1]1982'!$Z$3-'[1]1982'!$Z$4)</f>
        <v>1.0010410827260351E-2</v>
      </c>
      <c r="AA21">
        <v>135194</v>
      </c>
      <c r="AB21">
        <v>24918</v>
      </c>
      <c r="AD21" t="s">
        <v>15</v>
      </c>
      <c r="AE21">
        <v>18</v>
      </c>
      <c r="AF21">
        <v>10</v>
      </c>
      <c r="AH21" t="s">
        <v>262</v>
      </c>
      <c r="AI21" t="s">
        <v>263</v>
      </c>
      <c r="AJ21" t="s">
        <v>70</v>
      </c>
      <c r="AK21" t="s">
        <v>264</v>
      </c>
      <c r="AL21">
        <v>3</v>
      </c>
      <c r="AM21" s="5">
        <f t="shared" si="2"/>
        <v>7.4999999999999997E-2</v>
      </c>
      <c r="AN21" s="6">
        <f>(AM21-'[1]1982'!$AO$4)/('[1]1982'!$AO$3-'[1]1982'!$AO$4)</f>
        <v>1.1359333585762968E-4</v>
      </c>
      <c r="AO21" s="7"/>
      <c r="AP21">
        <v>0</v>
      </c>
      <c r="AR21" t="s">
        <v>19</v>
      </c>
      <c r="AT21" s="3">
        <v>1.3140000000000001</v>
      </c>
      <c r="AU21" s="8">
        <f t="shared" si="3"/>
        <v>0.70413655798395347</v>
      </c>
      <c r="AV21" s="8">
        <f t="shared" si="4"/>
        <v>0.50620020815589906</v>
      </c>
      <c r="AW21" s="8">
        <f t="shared" si="5"/>
        <v>0.30826385832784459</v>
      </c>
    </row>
    <row r="22" spans="1:49" x14ac:dyDescent="0.2">
      <c r="A22">
        <v>20</v>
      </c>
      <c r="B22" t="s">
        <v>265</v>
      </c>
      <c r="C22" t="s">
        <v>266</v>
      </c>
      <c r="F22" t="s">
        <v>267</v>
      </c>
      <c r="G22" t="s">
        <v>4</v>
      </c>
      <c r="H22" t="s">
        <v>5</v>
      </c>
      <c r="I22" t="s">
        <v>268</v>
      </c>
      <c r="J22" t="s">
        <v>269</v>
      </c>
      <c r="K22" t="s">
        <v>270</v>
      </c>
      <c r="L22" t="s">
        <v>271</v>
      </c>
      <c r="M22" t="s">
        <v>218</v>
      </c>
      <c r="N22">
        <v>3</v>
      </c>
      <c r="O22" t="s">
        <v>272</v>
      </c>
      <c r="P22" t="s">
        <v>273</v>
      </c>
      <c r="Q22" t="s">
        <v>274</v>
      </c>
      <c r="R22" s="1">
        <v>30072</v>
      </c>
      <c r="S22" s="2">
        <f t="shared" si="0"/>
        <v>1982</v>
      </c>
      <c r="T22" s="2">
        <v>1982</v>
      </c>
      <c r="U22" s="2">
        <f t="shared" si="1"/>
        <v>40</v>
      </c>
      <c r="V22" s="1">
        <v>30072</v>
      </c>
      <c r="W22" t="s">
        <v>275</v>
      </c>
      <c r="X22" s="3">
        <v>0.85499999999999998</v>
      </c>
      <c r="Y22" s="4">
        <f>(X22-'[1]1982'!$Z$4)/('[1]1982'!$Z$3-'[1]1982'!$Z$4)</f>
        <v>2.28237366861536E-2</v>
      </c>
      <c r="AA22">
        <v>980331</v>
      </c>
      <c r="AB22">
        <v>23342</v>
      </c>
      <c r="AC22">
        <v>15731561</v>
      </c>
      <c r="AD22" t="s">
        <v>15</v>
      </c>
      <c r="AE22">
        <v>8</v>
      </c>
      <c r="AF22">
        <v>5</v>
      </c>
      <c r="AH22" t="s">
        <v>276</v>
      </c>
      <c r="AI22" t="s">
        <v>277</v>
      </c>
      <c r="AJ22" t="s">
        <v>278</v>
      </c>
      <c r="AK22" t="s">
        <v>279</v>
      </c>
      <c r="AL22">
        <v>28</v>
      </c>
      <c r="AM22" s="5">
        <f t="shared" si="2"/>
        <v>0.7</v>
      </c>
      <c r="AN22" s="6">
        <f>(AM22-'[1]1982'!$AO$4)/('[1]1982'!$AO$3-'[1]1982'!$AO$4)</f>
        <v>1.0602044680045437E-3</v>
      </c>
      <c r="AO22" s="7"/>
      <c r="AP22">
        <v>0</v>
      </c>
      <c r="AR22" t="s">
        <v>19</v>
      </c>
      <c r="AT22" s="3">
        <v>2.6259999999999999</v>
      </c>
      <c r="AU22" s="8">
        <f t="shared" si="3"/>
        <v>1.6294677020708883</v>
      </c>
      <c r="AV22" s="8">
        <f t="shared" si="4"/>
        <v>1.1941970577079071</v>
      </c>
      <c r="AW22" s="8">
        <f t="shared" si="5"/>
        <v>0.75892641334492605</v>
      </c>
    </row>
    <row r="23" spans="1:49" x14ac:dyDescent="0.2">
      <c r="A23">
        <v>21</v>
      </c>
      <c r="B23" t="s">
        <v>280</v>
      </c>
      <c r="C23" t="s">
        <v>281</v>
      </c>
      <c r="F23" t="s">
        <v>282</v>
      </c>
      <c r="G23" t="s">
        <v>4</v>
      </c>
      <c r="H23" t="s">
        <v>5</v>
      </c>
      <c r="I23" t="s">
        <v>283</v>
      </c>
      <c r="J23">
        <v>60026610</v>
      </c>
      <c r="K23" t="s">
        <v>284</v>
      </c>
      <c r="L23" t="s">
        <v>285</v>
      </c>
      <c r="M23" t="s">
        <v>9</v>
      </c>
      <c r="N23">
        <v>2</v>
      </c>
      <c r="O23" t="s">
        <v>286</v>
      </c>
      <c r="P23" t="s">
        <v>287</v>
      </c>
      <c r="Q23" t="s">
        <v>288</v>
      </c>
      <c r="R23" s="1">
        <v>30072</v>
      </c>
      <c r="S23" s="2">
        <f t="shared" si="0"/>
        <v>1982</v>
      </c>
      <c r="T23" s="2">
        <v>1982</v>
      </c>
      <c r="U23" s="2">
        <f t="shared" si="1"/>
        <v>40</v>
      </c>
      <c r="V23" s="1">
        <v>30072</v>
      </c>
      <c r="W23" t="s">
        <v>289</v>
      </c>
      <c r="X23" s="3">
        <v>0.51700000000000002</v>
      </c>
      <c r="Y23" s="4">
        <f>(X23-'[1]1982'!$Z$4)/('[1]1982'!$Z$3-'[1]1982'!$Z$4)</f>
        <v>1.3801019727182938E-2</v>
      </c>
      <c r="AA23" t="s">
        <v>290</v>
      </c>
      <c r="AB23">
        <v>14981</v>
      </c>
      <c r="AC23" t="s">
        <v>291</v>
      </c>
      <c r="AD23" t="s">
        <v>15</v>
      </c>
      <c r="AE23">
        <v>100</v>
      </c>
      <c r="AF23">
        <v>1</v>
      </c>
      <c r="AH23" s="9">
        <v>44470</v>
      </c>
      <c r="AI23" t="s">
        <v>292</v>
      </c>
      <c r="AK23" t="s">
        <v>293</v>
      </c>
      <c r="AL23">
        <v>9</v>
      </c>
      <c r="AM23" s="5">
        <f t="shared" si="2"/>
        <v>0.22500000000000001</v>
      </c>
      <c r="AN23" s="6">
        <f>(AM23-'[1]1982'!$AO$4)/('[1]1982'!$AO$3-'[1]1982'!$AO$4)</f>
        <v>3.4078000757288904E-4</v>
      </c>
      <c r="AO23" s="7"/>
      <c r="AP23">
        <v>0</v>
      </c>
      <c r="AR23" t="s">
        <v>19</v>
      </c>
      <c r="AT23" s="3">
        <v>1.3260000000000001</v>
      </c>
      <c r="AU23" s="8">
        <f t="shared" si="3"/>
        <v>0.97629478112999224</v>
      </c>
      <c r="AV23" s="8">
        <f t="shared" si="4"/>
        <v>0.70708998673779133</v>
      </c>
      <c r="AW23" s="8">
        <f t="shared" si="5"/>
        <v>0.43788519234559042</v>
      </c>
    </row>
    <row r="24" spans="1:49" x14ac:dyDescent="0.2">
      <c r="A24">
        <v>22</v>
      </c>
      <c r="B24" t="s">
        <v>294</v>
      </c>
      <c r="C24" t="s">
        <v>295</v>
      </c>
      <c r="F24" t="s">
        <v>296</v>
      </c>
      <c r="G24" t="s">
        <v>4</v>
      </c>
      <c r="H24" t="s">
        <v>5</v>
      </c>
      <c r="I24" t="s">
        <v>297</v>
      </c>
      <c r="J24" t="s">
        <v>298</v>
      </c>
      <c r="K24" t="s">
        <v>299</v>
      </c>
      <c r="L24" t="s">
        <v>300</v>
      </c>
      <c r="M24" t="s">
        <v>301</v>
      </c>
      <c r="N24">
        <v>5</v>
      </c>
      <c r="O24" t="s">
        <v>302</v>
      </c>
      <c r="P24" t="s">
        <v>303</v>
      </c>
      <c r="Q24" t="s">
        <v>304</v>
      </c>
      <c r="R24" s="1">
        <v>30072</v>
      </c>
      <c r="S24" s="2">
        <f t="shared" si="0"/>
        <v>1982</v>
      </c>
      <c r="T24" s="2">
        <v>1982</v>
      </c>
      <c r="U24" s="2">
        <f t="shared" si="1"/>
        <v>40</v>
      </c>
      <c r="V24" s="1">
        <v>30072</v>
      </c>
      <c r="W24" t="s">
        <v>135</v>
      </c>
      <c r="X24" s="3">
        <v>1.026</v>
      </c>
      <c r="Y24" s="4">
        <f>(X24-'[1]1982'!$Z$4)/('[1]1982'!$Z$3-'[1]1982'!$Z$4)</f>
        <v>2.738848402338432E-2</v>
      </c>
      <c r="AA24">
        <v>380938</v>
      </c>
      <c r="AB24">
        <v>28245</v>
      </c>
      <c r="AC24" t="s">
        <v>136</v>
      </c>
      <c r="AD24" t="s">
        <v>15</v>
      </c>
      <c r="AE24">
        <v>78</v>
      </c>
      <c r="AF24">
        <v>1</v>
      </c>
      <c r="AH24" t="s">
        <v>305</v>
      </c>
      <c r="AI24" t="s">
        <v>306</v>
      </c>
      <c r="AK24" t="s">
        <v>307</v>
      </c>
      <c r="AL24">
        <v>8</v>
      </c>
      <c r="AM24" s="5">
        <f t="shared" si="2"/>
        <v>0.2</v>
      </c>
      <c r="AN24" s="6">
        <f>(AM24-'[1]1982'!$AO$4)/('[1]1982'!$AO$3-'[1]1982'!$AO$4)</f>
        <v>3.0291556228701253E-4</v>
      </c>
      <c r="AO24" s="7"/>
      <c r="AP24">
        <v>0</v>
      </c>
      <c r="AR24" t="s">
        <v>19</v>
      </c>
      <c r="AT24" s="3">
        <v>2.6709999999999998</v>
      </c>
      <c r="AU24" s="8">
        <f t="shared" si="3"/>
        <v>1.9262813485055128</v>
      </c>
      <c r="AV24" s="8">
        <f t="shared" si="4"/>
        <v>1.3845699792835666</v>
      </c>
      <c r="AW24" s="8">
        <f t="shared" si="5"/>
        <v>0.84285861006162044</v>
      </c>
    </row>
    <row r="25" spans="1:49" x14ac:dyDescent="0.2">
      <c r="A25">
        <v>23</v>
      </c>
      <c r="B25" t="s">
        <v>308</v>
      </c>
      <c r="C25" t="s">
        <v>309</v>
      </c>
      <c r="F25" t="s">
        <v>310</v>
      </c>
      <c r="G25" t="s">
        <v>4</v>
      </c>
      <c r="H25" t="s">
        <v>5</v>
      </c>
      <c r="I25" t="s">
        <v>311</v>
      </c>
      <c r="N25">
        <v>2</v>
      </c>
      <c r="O25" t="s">
        <v>312</v>
      </c>
      <c r="P25" t="s">
        <v>313</v>
      </c>
      <c r="Q25" t="s">
        <v>156</v>
      </c>
      <c r="R25" s="1">
        <v>30072</v>
      </c>
      <c r="S25" s="2">
        <f t="shared" si="0"/>
        <v>1982</v>
      </c>
      <c r="T25" s="2">
        <v>1982</v>
      </c>
      <c r="U25" s="2">
        <f t="shared" si="1"/>
        <v>40</v>
      </c>
      <c r="V25" s="1">
        <v>30072</v>
      </c>
      <c r="W25" t="s">
        <v>157</v>
      </c>
      <c r="X25" s="3">
        <v>0.318</v>
      </c>
      <c r="Y25" s="4">
        <f>(X25-'[1]1982'!$Z$4)/('[1]1982'!$Z$3-'[1]1982'!$Z$4)</f>
        <v>8.4888283815167786E-3</v>
      </c>
      <c r="AA25">
        <v>338443</v>
      </c>
      <c r="AB25">
        <v>27160</v>
      </c>
      <c r="AC25">
        <v>15739120</v>
      </c>
      <c r="AD25" t="s">
        <v>15</v>
      </c>
      <c r="AE25">
        <v>25</v>
      </c>
      <c r="AF25">
        <v>5</v>
      </c>
      <c r="AH25" t="s">
        <v>314</v>
      </c>
      <c r="AL25">
        <v>0</v>
      </c>
      <c r="AM25" s="5">
        <f t="shared" si="2"/>
        <v>0</v>
      </c>
      <c r="AN25" s="6">
        <f>(AM25-'[1]1982'!$AO$4)/('[1]1982'!$AO$3-'[1]1982'!$AO$4)</f>
        <v>0</v>
      </c>
      <c r="AO25" s="7"/>
      <c r="AP25">
        <v>0</v>
      </c>
      <c r="AR25" t="s">
        <v>19</v>
      </c>
      <c r="AT25" s="3">
        <v>0.77</v>
      </c>
      <c r="AU25" s="8">
        <f t="shared" si="3"/>
        <v>0.59421798670617454</v>
      </c>
      <c r="AV25" s="8">
        <f t="shared" si="4"/>
        <v>0.42444141907583893</v>
      </c>
      <c r="AW25" s="8">
        <f t="shared" si="5"/>
        <v>0.25466485144550338</v>
      </c>
    </row>
    <row r="26" spans="1:49" x14ac:dyDescent="0.2">
      <c r="A26">
        <v>24</v>
      </c>
      <c r="B26" t="s">
        <v>315</v>
      </c>
      <c r="C26" t="s">
        <v>316</v>
      </c>
      <c r="F26" t="s">
        <v>317</v>
      </c>
      <c r="G26" t="s">
        <v>4</v>
      </c>
      <c r="H26" t="s">
        <v>5</v>
      </c>
      <c r="I26" t="s">
        <v>318</v>
      </c>
      <c r="J26">
        <v>60019702</v>
      </c>
      <c r="K26" t="s">
        <v>319</v>
      </c>
      <c r="L26" t="s">
        <v>320</v>
      </c>
      <c r="M26" t="s">
        <v>94</v>
      </c>
      <c r="N26">
        <v>1</v>
      </c>
      <c r="O26" t="s">
        <v>321</v>
      </c>
      <c r="P26">
        <v>7005970306</v>
      </c>
      <c r="Q26">
        <v>60019702</v>
      </c>
      <c r="R26" s="1">
        <v>30070</v>
      </c>
      <c r="S26" s="2">
        <f t="shared" si="0"/>
        <v>1982</v>
      </c>
      <c r="T26" s="2">
        <v>1982</v>
      </c>
      <c r="U26" s="2">
        <f t="shared" si="1"/>
        <v>40</v>
      </c>
      <c r="V26" s="1">
        <v>30070</v>
      </c>
      <c r="W26" t="s">
        <v>67</v>
      </c>
      <c r="X26" s="3">
        <v>0.375</v>
      </c>
      <c r="Y26" s="4">
        <f>(X26-'[1]1982'!$Z$4)/('[1]1982'!$Z$3-'[1]1982'!$Z$4)</f>
        <v>1.0010410827260351E-2</v>
      </c>
      <c r="AA26">
        <v>135194</v>
      </c>
      <c r="AB26">
        <v>24918</v>
      </c>
      <c r="AD26" t="s">
        <v>15</v>
      </c>
      <c r="AE26">
        <v>18</v>
      </c>
      <c r="AF26">
        <v>9</v>
      </c>
      <c r="AH26" t="s">
        <v>322</v>
      </c>
      <c r="AI26" t="s">
        <v>323</v>
      </c>
      <c r="AJ26" t="s">
        <v>324</v>
      </c>
      <c r="AK26" t="s">
        <v>325</v>
      </c>
      <c r="AL26">
        <v>0</v>
      </c>
      <c r="AM26" s="5">
        <f t="shared" si="2"/>
        <v>0</v>
      </c>
      <c r="AN26" s="6">
        <f>(AM26-'[1]1982'!$AO$4)/('[1]1982'!$AO$3-'[1]1982'!$AO$4)</f>
        <v>0</v>
      </c>
      <c r="AO26" s="7"/>
      <c r="AP26">
        <v>0</v>
      </c>
      <c r="AR26" t="s">
        <v>19</v>
      </c>
      <c r="AT26" s="3">
        <v>1.3140000000000001</v>
      </c>
      <c r="AU26" s="8">
        <f t="shared" si="3"/>
        <v>0.70072875790822453</v>
      </c>
      <c r="AV26" s="8">
        <f t="shared" si="4"/>
        <v>0.5005205413630176</v>
      </c>
      <c r="AW26" s="8">
        <f t="shared" si="5"/>
        <v>0.30031232481781051</v>
      </c>
    </row>
    <row r="27" spans="1:49" x14ac:dyDescent="0.2">
      <c r="A27">
        <v>25</v>
      </c>
      <c r="B27" t="s">
        <v>326</v>
      </c>
      <c r="E27">
        <v>6802826</v>
      </c>
      <c r="F27" t="s">
        <v>327</v>
      </c>
      <c r="G27" t="s">
        <v>4</v>
      </c>
      <c r="H27" t="s">
        <v>5</v>
      </c>
      <c r="I27" t="s">
        <v>328</v>
      </c>
      <c r="N27">
        <v>3</v>
      </c>
      <c r="O27" t="s">
        <v>329</v>
      </c>
      <c r="P27" t="s">
        <v>330</v>
      </c>
      <c r="Q27" t="s">
        <v>145</v>
      </c>
      <c r="R27" s="1">
        <v>30066</v>
      </c>
      <c r="S27" s="2">
        <f t="shared" si="0"/>
        <v>1982</v>
      </c>
      <c r="T27" s="2">
        <v>1982</v>
      </c>
      <c r="U27" s="2">
        <f t="shared" si="1"/>
        <v>40</v>
      </c>
      <c r="V27" s="1">
        <v>30066</v>
      </c>
      <c r="W27" t="s">
        <v>331</v>
      </c>
      <c r="X27" s="3">
        <v>2.3610000000000002</v>
      </c>
      <c r="Y27" s="4">
        <f>(X27-'[1]1982'!$Z$4)/('[1]1982'!$Z$3-'[1]1982'!$Z$4)</f>
        <v>6.3025546568431179E-2</v>
      </c>
      <c r="AA27">
        <v>219258</v>
      </c>
      <c r="AB27">
        <v>17592</v>
      </c>
      <c r="AD27" t="s">
        <v>15</v>
      </c>
      <c r="AE27">
        <v>257</v>
      </c>
      <c r="AF27">
        <v>8</v>
      </c>
      <c r="AH27" t="s">
        <v>332</v>
      </c>
      <c r="AI27" t="s">
        <v>333</v>
      </c>
      <c r="AK27" t="s">
        <v>334</v>
      </c>
      <c r="AL27">
        <v>46</v>
      </c>
      <c r="AM27" s="5">
        <f t="shared" si="2"/>
        <v>1.1499999999999999</v>
      </c>
      <c r="AN27" s="6">
        <f>(AM27-'[1]1982'!$AO$4)/('[1]1982'!$AO$3-'[1]1982'!$AO$4)</f>
        <v>1.7417644831503216E-3</v>
      </c>
      <c r="AO27" s="7"/>
      <c r="AP27">
        <v>0</v>
      </c>
      <c r="AQ27" t="s">
        <v>335</v>
      </c>
      <c r="AR27" t="s">
        <v>336</v>
      </c>
      <c r="AS27" t="s">
        <v>337</v>
      </c>
      <c r="AT27" s="3">
        <v>5.157</v>
      </c>
      <c r="AU27" s="8">
        <f t="shared" si="3"/>
        <v>4.4640411942846914</v>
      </c>
      <c r="AV27" s="8">
        <f t="shared" si="4"/>
        <v>3.2383655525790749</v>
      </c>
      <c r="AW27" s="8">
        <f t="shared" si="5"/>
        <v>2.0126899108734575</v>
      </c>
    </row>
    <row r="28" spans="1:49" x14ac:dyDescent="0.2">
      <c r="A28">
        <v>26</v>
      </c>
      <c r="B28" t="s">
        <v>338</v>
      </c>
      <c r="C28" t="s">
        <v>339</v>
      </c>
      <c r="D28">
        <v>5272882903206</v>
      </c>
      <c r="F28" t="s">
        <v>340</v>
      </c>
      <c r="G28" t="s">
        <v>4</v>
      </c>
      <c r="H28" t="s">
        <v>5</v>
      </c>
      <c r="I28" t="s">
        <v>198</v>
      </c>
      <c r="J28">
        <v>60026827</v>
      </c>
      <c r="K28" t="s">
        <v>199</v>
      </c>
      <c r="L28" t="s">
        <v>200</v>
      </c>
      <c r="M28" t="s">
        <v>9</v>
      </c>
      <c r="N28">
        <v>2</v>
      </c>
      <c r="O28" t="s">
        <v>201</v>
      </c>
      <c r="P28" t="s">
        <v>202</v>
      </c>
      <c r="Q28" t="s">
        <v>203</v>
      </c>
      <c r="R28" s="1">
        <v>30060</v>
      </c>
      <c r="S28" s="2">
        <f t="shared" si="0"/>
        <v>1982</v>
      </c>
      <c r="T28" s="2">
        <v>1982</v>
      </c>
      <c r="U28" s="2">
        <f t="shared" si="1"/>
        <v>40</v>
      </c>
      <c r="V28" s="1">
        <v>30060</v>
      </c>
      <c r="W28" t="s">
        <v>44</v>
      </c>
      <c r="X28" s="3">
        <v>1.59</v>
      </c>
      <c r="Y28" s="4">
        <f>(X28-'[1]1982'!$Z$4)/('[1]1982'!$Z$3-'[1]1982'!$Z$4)</f>
        <v>4.2444141907583888E-2</v>
      </c>
      <c r="AA28">
        <v>52728</v>
      </c>
      <c r="AB28">
        <v>16791</v>
      </c>
      <c r="AD28" t="s">
        <v>15</v>
      </c>
      <c r="AE28">
        <v>680</v>
      </c>
      <c r="AF28">
        <v>1</v>
      </c>
      <c r="AH28" t="s">
        <v>341</v>
      </c>
      <c r="AI28" t="s">
        <v>342</v>
      </c>
      <c r="AJ28" t="s">
        <v>343</v>
      </c>
      <c r="AK28" t="s">
        <v>344</v>
      </c>
      <c r="AL28">
        <v>201</v>
      </c>
      <c r="AM28" s="5">
        <f t="shared" si="2"/>
        <v>5.0250000000000004</v>
      </c>
      <c r="AN28" s="6">
        <f>(AM28-'[1]1982'!$AO$4)/('[1]1982'!$AO$3-'[1]1982'!$AO$4)</f>
        <v>7.6107535024611895E-3</v>
      </c>
      <c r="AO28" s="7"/>
      <c r="AP28">
        <v>0</v>
      </c>
      <c r="AQ28" t="s">
        <v>208</v>
      </c>
      <c r="AR28" t="s">
        <v>345</v>
      </c>
      <c r="AS28" t="s">
        <v>210</v>
      </c>
      <c r="AT28" s="3" t="s">
        <v>20</v>
      </c>
      <c r="AU28" s="8">
        <f t="shared" si="3"/>
        <v>3.1994125386047076</v>
      </c>
      <c r="AV28" s="8">
        <f t="shared" si="4"/>
        <v>2.5027447705022539</v>
      </c>
      <c r="AW28" s="8">
        <f t="shared" si="5"/>
        <v>1.8060770023997998</v>
      </c>
    </row>
    <row r="29" spans="1:49" x14ac:dyDescent="0.2">
      <c r="A29">
        <v>27</v>
      </c>
      <c r="B29" t="s">
        <v>346</v>
      </c>
      <c r="C29" t="s">
        <v>347</v>
      </c>
      <c r="F29" t="s">
        <v>348</v>
      </c>
      <c r="G29" t="s">
        <v>4</v>
      </c>
      <c r="H29" t="s">
        <v>5</v>
      </c>
      <c r="I29" t="s">
        <v>349</v>
      </c>
      <c r="J29">
        <v>60010818</v>
      </c>
      <c r="K29" t="s">
        <v>350</v>
      </c>
      <c r="L29" t="s">
        <v>351</v>
      </c>
      <c r="M29" t="s">
        <v>94</v>
      </c>
      <c r="N29">
        <v>2</v>
      </c>
      <c r="O29" t="s">
        <v>352</v>
      </c>
      <c r="P29" t="s">
        <v>353</v>
      </c>
      <c r="Q29" t="s">
        <v>354</v>
      </c>
      <c r="R29" s="1">
        <v>30056</v>
      </c>
      <c r="S29" s="2">
        <f t="shared" si="0"/>
        <v>1982</v>
      </c>
      <c r="T29" s="2">
        <v>1982</v>
      </c>
      <c r="U29" s="2">
        <f t="shared" si="1"/>
        <v>40</v>
      </c>
      <c r="V29" s="1">
        <v>30056</v>
      </c>
      <c r="W29" t="s">
        <v>67</v>
      </c>
      <c r="X29" s="3">
        <v>0.375</v>
      </c>
      <c r="Y29" s="4">
        <f>(X29-'[1]1982'!$Z$4)/('[1]1982'!$Z$3-'[1]1982'!$Z$4)</f>
        <v>1.0010410827260351E-2</v>
      </c>
      <c r="AA29">
        <v>135194</v>
      </c>
      <c r="AB29">
        <v>24918</v>
      </c>
      <c r="AD29" t="s">
        <v>15</v>
      </c>
      <c r="AE29">
        <v>18</v>
      </c>
      <c r="AF29">
        <v>8</v>
      </c>
      <c r="AH29" t="s">
        <v>355</v>
      </c>
      <c r="AI29" t="s">
        <v>356</v>
      </c>
      <c r="AJ29" t="s">
        <v>357</v>
      </c>
      <c r="AK29" t="s">
        <v>358</v>
      </c>
      <c r="AL29">
        <v>29</v>
      </c>
      <c r="AM29" s="5">
        <f t="shared" si="2"/>
        <v>0.72499999999999998</v>
      </c>
      <c r="AN29" s="6">
        <f>(AM29-'[1]1982'!$AO$4)/('[1]1982'!$AO$3-'[1]1982'!$AO$4)</f>
        <v>1.0980689132904203E-3</v>
      </c>
      <c r="AO29" s="7"/>
      <c r="AP29">
        <v>0</v>
      </c>
      <c r="AR29" t="s">
        <v>19</v>
      </c>
      <c r="AT29" s="3">
        <v>1.3140000000000001</v>
      </c>
      <c r="AU29" s="8">
        <f t="shared" si="3"/>
        <v>0.73367082530693717</v>
      </c>
      <c r="AV29" s="8">
        <f t="shared" si="4"/>
        <v>0.55542398702753859</v>
      </c>
      <c r="AW29" s="8">
        <f t="shared" si="5"/>
        <v>0.3771771487481399</v>
      </c>
    </row>
    <row r="30" spans="1:49" x14ac:dyDescent="0.2">
      <c r="A30">
        <v>28</v>
      </c>
      <c r="B30" t="s">
        <v>359</v>
      </c>
      <c r="C30" t="s">
        <v>360</v>
      </c>
      <c r="F30" t="s">
        <v>361</v>
      </c>
      <c r="G30" t="s">
        <v>4</v>
      </c>
      <c r="H30" t="s">
        <v>5</v>
      </c>
      <c r="I30" t="s">
        <v>362</v>
      </c>
      <c r="J30" t="s">
        <v>363</v>
      </c>
      <c r="K30" t="s">
        <v>364</v>
      </c>
      <c r="L30" t="s">
        <v>365</v>
      </c>
      <c r="M30" t="s">
        <v>366</v>
      </c>
      <c r="N30">
        <v>2</v>
      </c>
      <c r="O30" t="s">
        <v>367</v>
      </c>
      <c r="P30" t="s">
        <v>368</v>
      </c>
      <c r="Q30" t="s">
        <v>363</v>
      </c>
      <c r="R30" s="1">
        <v>30056</v>
      </c>
      <c r="S30" s="2">
        <f t="shared" si="0"/>
        <v>1982</v>
      </c>
      <c r="T30" s="2">
        <v>1982</v>
      </c>
      <c r="U30" s="2">
        <f t="shared" si="1"/>
        <v>40</v>
      </c>
      <c r="V30" s="1">
        <v>30056</v>
      </c>
      <c r="W30" t="s">
        <v>67</v>
      </c>
      <c r="X30" s="3">
        <v>0.375</v>
      </c>
      <c r="Y30" s="4">
        <f>(X30-'[1]1982'!$Z$4)/('[1]1982'!$Z$3-'[1]1982'!$Z$4)</f>
        <v>1.0010410827260351E-2</v>
      </c>
      <c r="AA30">
        <v>135194</v>
      </c>
      <c r="AB30">
        <v>24918</v>
      </c>
      <c r="AD30" t="s">
        <v>15</v>
      </c>
      <c r="AE30">
        <v>18</v>
      </c>
      <c r="AF30">
        <v>8</v>
      </c>
      <c r="AH30" t="s">
        <v>369</v>
      </c>
      <c r="AI30" t="s">
        <v>370</v>
      </c>
      <c r="AJ30" t="s">
        <v>371</v>
      </c>
      <c r="AK30" t="s">
        <v>372</v>
      </c>
      <c r="AL30">
        <v>2</v>
      </c>
      <c r="AM30" s="5">
        <f t="shared" si="2"/>
        <v>0.05</v>
      </c>
      <c r="AN30" s="6">
        <f>(AM30-'[1]1982'!$AO$4)/('[1]1982'!$AO$3-'[1]1982'!$AO$4)</f>
        <v>7.5728890571753133E-5</v>
      </c>
      <c r="AO30" s="7"/>
      <c r="AP30">
        <v>0</v>
      </c>
      <c r="AR30" t="s">
        <v>19</v>
      </c>
      <c r="AT30" s="3">
        <v>1.3140000000000001</v>
      </c>
      <c r="AU30" s="8">
        <f t="shared" si="3"/>
        <v>0.70300062462537716</v>
      </c>
      <c r="AV30" s="8">
        <f t="shared" si="4"/>
        <v>0.50430698589160516</v>
      </c>
      <c r="AW30" s="8">
        <f t="shared" si="5"/>
        <v>0.30561334715783323</v>
      </c>
    </row>
    <row r="31" spans="1:49" x14ac:dyDescent="0.2">
      <c r="A31">
        <v>29</v>
      </c>
      <c r="B31" t="s">
        <v>373</v>
      </c>
      <c r="C31" t="s">
        <v>374</v>
      </c>
      <c r="F31" t="s">
        <v>375</v>
      </c>
      <c r="G31" t="s">
        <v>4</v>
      </c>
      <c r="H31" t="s">
        <v>5</v>
      </c>
      <c r="I31" t="s">
        <v>376</v>
      </c>
      <c r="N31">
        <v>1</v>
      </c>
      <c r="O31" t="s">
        <v>377</v>
      </c>
      <c r="P31">
        <v>6506344499</v>
      </c>
      <c r="R31" s="1">
        <v>30042</v>
      </c>
      <c r="S31" s="2">
        <f t="shared" si="0"/>
        <v>1982</v>
      </c>
      <c r="T31" s="2">
        <v>1982</v>
      </c>
      <c r="U31" s="2">
        <f t="shared" si="1"/>
        <v>40</v>
      </c>
      <c r="V31" s="1">
        <v>30042</v>
      </c>
      <c r="W31" t="s">
        <v>378</v>
      </c>
      <c r="X31" s="3">
        <v>0.14899999999999999</v>
      </c>
      <c r="Y31" s="4">
        <f>(X31-'[1]1982'!$Z$4)/('[1]1982'!$Z$3-'[1]1982'!$Z$4)</f>
        <v>3.977469902031446E-3</v>
      </c>
      <c r="AA31">
        <v>5431972</v>
      </c>
      <c r="AB31">
        <v>15425</v>
      </c>
      <c r="AC31">
        <v>15738906</v>
      </c>
      <c r="AD31" t="s">
        <v>15</v>
      </c>
      <c r="AE31">
        <v>25</v>
      </c>
      <c r="AF31">
        <v>4</v>
      </c>
      <c r="AH31" t="s">
        <v>379</v>
      </c>
      <c r="AL31">
        <v>0</v>
      </c>
      <c r="AM31" s="5">
        <f t="shared" si="2"/>
        <v>0</v>
      </c>
      <c r="AN31" s="6">
        <f>(AM31-'[1]1982'!$AO$4)/('[1]1982'!$AO$3-'[1]1982'!$AO$4)</f>
        <v>0</v>
      </c>
      <c r="AO31" s="7"/>
      <c r="AP31">
        <v>0</v>
      </c>
      <c r="AR31" t="s">
        <v>19</v>
      </c>
      <c r="AT31" s="3" t="s">
        <v>20</v>
      </c>
      <c r="AU31" s="8">
        <f t="shared" si="3"/>
        <v>0.2784228931422012</v>
      </c>
      <c r="AV31" s="8">
        <f t="shared" si="4"/>
        <v>0.19887349510157229</v>
      </c>
      <c r="AW31" s="8">
        <f t="shared" si="5"/>
        <v>0.11932409706094337</v>
      </c>
    </row>
    <row r="32" spans="1:49" x14ac:dyDescent="0.2">
      <c r="A32">
        <v>30</v>
      </c>
      <c r="B32" t="s">
        <v>380</v>
      </c>
      <c r="C32" t="s">
        <v>381</v>
      </c>
      <c r="F32" t="s">
        <v>382</v>
      </c>
      <c r="G32" t="s">
        <v>4</v>
      </c>
      <c r="H32" t="s">
        <v>5</v>
      </c>
      <c r="I32" t="s">
        <v>383</v>
      </c>
      <c r="J32">
        <v>60010818</v>
      </c>
      <c r="K32" t="s">
        <v>350</v>
      </c>
      <c r="L32" t="s">
        <v>351</v>
      </c>
      <c r="M32" t="s">
        <v>94</v>
      </c>
      <c r="N32">
        <v>2</v>
      </c>
      <c r="O32" t="s">
        <v>384</v>
      </c>
      <c r="P32" t="s">
        <v>385</v>
      </c>
      <c r="Q32" t="s">
        <v>354</v>
      </c>
      <c r="R32" s="1">
        <v>30042</v>
      </c>
      <c r="S32" s="2">
        <f t="shared" si="0"/>
        <v>1982</v>
      </c>
      <c r="T32" s="2">
        <v>1982</v>
      </c>
      <c r="U32" s="2">
        <f t="shared" si="1"/>
        <v>40</v>
      </c>
      <c r="V32" s="1">
        <v>30042</v>
      </c>
      <c r="W32" t="s">
        <v>67</v>
      </c>
      <c r="X32" s="3">
        <v>0.375</v>
      </c>
      <c r="Y32" s="4">
        <f>(X32-'[1]1982'!$Z$4)/('[1]1982'!$Z$3-'[1]1982'!$Z$4)</f>
        <v>1.0010410827260351E-2</v>
      </c>
      <c r="AA32">
        <v>135194</v>
      </c>
      <c r="AB32">
        <v>24918</v>
      </c>
      <c r="AD32" t="s">
        <v>15</v>
      </c>
      <c r="AE32">
        <v>18</v>
      </c>
      <c r="AF32">
        <v>7</v>
      </c>
      <c r="AH32" t="s">
        <v>386</v>
      </c>
      <c r="AI32" t="s">
        <v>387</v>
      </c>
      <c r="AJ32" t="s">
        <v>388</v>
      </c>
      <c r="AK32" t="s">
        <v>389</v>
      </c>
      <c r="AL32">
        <v>302</v>
      </c>
      <c r="AM32" s="5">
        <f t="shared" si="2"/>
        <v>7.55</v>
      </c>
      <c r="AN32" s="6">
        <f>(AM32-'[1]1982'!$AO$4)/('[1]1982'!$AO$3-'[1]1982'!$AO$4)</f>
        <v>1.1435062476334721E-2</v>
      </c>
      <c r="AO32" s="7"/>
      <c r="AP32">
        <v>0</v>
      </c>
      <c r="AR32" t="s">
        <v>19</v>
      </c>
      <c r="AT32" s="3">
        <v>1.3140000000000001</v>
      </c>
      <c r="AU32" s="8">
        <f t="shared" si="3"/>
        <v>1.0437806321982661</v>
      </c>
      <c r="AV32" s="8">
        <f t="shared" si="4"/>
        <v>1.0722736651797535</v>
      </c>
      <c r="AW32" s="8">
        <f t="shared" si="5"/>
        <v>1.100766698161241</v>
      </c>
    </row>
    <row r="33" spans="1:49" x14ac:dyDescent="0.2">
      <c r="A33">
        <v>31</v>
      </c>
      <c r="B33" t="s">
        <v>390</v>
      </c>
      <c r="C33" t="s">
        <v>391</v>
      </c>
      <c r="F33" t="s">
        <v>392</v>
      </c>
      <c r="G33" t="s">
        <v>4</v>
      </c>
      <c r="H33" t="s">
        <v>5</v>
      </c>
      <c r="I33" t="s">
        <v>393</v>
      </c>
      <c r="N33">
        <v>4</v>
      </c>
      <c r="O33" t="s">
        <v>394</v>
      </c>
      <c r="P33" t="s">
        <v>395</v>
      </c>
      <c r="Q33" t="s">
        <v>165</v>
      </c>
      <c r="R33" s="1">
        <v>30042</v>
      </c>
      <c r="S33" s="2">
        <f t="shared" si="0"/>
        <v>1982</v>
      </c>
      <c r="T33" s="2">
        <v>1982</v>
      </c>
      <c r="U33" s="2">
        <f t="shared" si="1"/>
        <v>40</v>
      </c>
      <c r="V33" s="1">
        <v>30042</v>
      </c>
      <c r="W33" t="s">
        <v>157</v>
      </c>
      <c r="X33" s="3">
        <v>0.318</v>
      </c>
      <c r="Y33" s="4">
        <f>(X33-'[1]1982'!$Z$4)/('[1]1982'!$Z$3-'[1]1982'!$Z$4)</f>
        <v>8.4888283815167786E-3</v>
      </c>
      <c r="AA33">
        <v>338443</v>
      </c>
      <c r="AB33">
        <v>27160</v>
      </c>
      <c r="AC33">
        <v>15739120</v>
      </c>
      <c r="AD33" t="s">
        <v>15</v>
      </c>
      <c r="AE33">
        <v>25</v>
      </c>
      <c r="AF33">
        <v>4</v>
      </c>
      <c r="AH33" t="s">
        <v>396</v>
      </c>
      <c r="AL33">
        <v>3</v>
      </c>
      <c r="AM33" s="5">
        <f t="shared" si="2"/>
        <v>7.4999999999999997E-2</v>
      </c>
      <c r="AN33" s="6">
        <f>(AM33-'[1]1982'!$AO$4)/('[1]1982'!$AO$3-'[1]1982'!$AO$4)</f>
        <v>1.1359333585762968E-4</v>
      </c>
      <c r="AO33" s="7"/>
      <c r="AP33">
        <v>0</v>
      </c>
      <c r="AR33" t="s">
        <v>19</v>
      </c>
      <c r="AT33" s="3">
        <v>0.77</v>
      </c>
      <c r="AU33" s="8">
        <f t="shared" si="3"/>
        <v>0.59762578678190337</v>
      </c>
      <c r="AV33" s="8">
        <f t="shared" si="4"/>
        <v>0.43012108586872044</v>
      </c>
      <c r="AW33" s="8">
        <f t="shared" si="5"/>
        <v>0.26261638495553741</v>
      </c>
    </row>
    <row r="34" spans="1:49" x14ac:dyDescent="0.2">
      <c r="A34">
        <v>32</v>
      </c>
      <c r="B34" t="s">
        <v>397</v>
      </c>
      <c r="C34" t="s">
        <v>398</v>
      </c>
      <c r="F34" t="s">
        <v>399</v>
      </c>
      <c r="G34" t="s">
        <v>4</v>
      </c>
      <c r="H34" t="s">
        <v>5</v>
      </c>
      <c r="I34" t="s">
        <v>400</v>
      </c>
      <c r="N34">
        <v>1</v>
      </c>
      <c r="O34" t="s">
        <v>401</v>
      </c>
      <c r="P34">
        <v>7005785456</v>
      </c>
      <c r="R34" s="1">
        <v>30042</v>
      </c>
      <c r="S34" s="2">
        <f t="shared" si="0"/>
        <v>1982</v>
      </c>
      <c r="T34" s="2">
        <v>1982</v>
      </c>
      <c r="U34" s="2">
        <f t="shared" si="1"/>
        <v>40</v>
      </c>
      <c r="V34" s="1">
        <v>30042</v>
      </c>
      <c r="W34" t="s">
        <v>157</v>
      </c>
      <c r="X34" s="3">
        <v>0.318</v>
      </c>
      <c r="Y34" s="4">
        <f>(X34-'[1]1982'!$Z$4)/('[1]1982'!$Z$3-'[1]1982'!$Z$4)</f>
        <v>8.4888283815167786E-3</v>
      </c>
      <c r="AA34">
        <v>338443</v>
      </c>
      <c r="AB34">
        <v>27160</v>
      </c>
      <c r="AC34">
        <v>15739120</v>
      </c>
      <c r="AD34" t="s">
        <v>15</v>
      </c>
      <c r="AE34">
        <v>25</v>
      </c>
      <c r="AF34">
        <v>4</v>
      </c>
      <c r="AH34" t="s">
        <v>402</v>
      </c>
      <c r="AL34">
        <v>0</v>
      </c>
      <c r="AM34" s="5">
        <f t="shared" si="2"/>
        <v>0</v>
      </c>
      <c r="AN34" s="6">
        <f>(AM34-'[1]1982'!$AO$4)/('[1]1982'!$AO$3-'[1]1982'!$AO$4)</f>
        <v>0</v>
      </c>
      <c r="AO34" s="7"/>
      <c r="AP34">
        <v>0</v>
      </c>
      <c r="AR34" t="s">
        <v>19</v>
      </c>
      <c r="AT34" s="3">
        <v>0.77</v>
      </c>
      <c r="AU34" s="8">
        <f t="shared" si="3"/>
        <v>0.59421798670617454</v>
      </c>
      <c r="AV34" s="8">
        <f t="shared" si="4"/>
        <v>0.42444141907583893</v>
      </c>
      <c r="AW34" s="8">
        <f t="shared" si="5"/>
        <v>0.25466485144550338</v>
      </c>
    </row>
    <row r="35" spans="1:49" x14ac:dyDescent="0.2">
      <c r="A35">
        <v>33</v>
      </c>
      <c r="B35" t="s">
        <v>403</v>
      </c>
      <c r="C35" t="s">
        <v>404</v>
      </c>
      <c r="F35" t="s">
        <v>405</v>
      </c>
      <c r="G35" t="s">
        <v>4</v>
      </c>
      <c r="H35" t="s">
        <v>5</v>
      </c>
      <c r="I35" t="s">
        <v>406</v>
      </c>
      <c r="J35" t="s">
        <v>407</v>
      </c>
      <c r="K35" t="s">
        <v>408</v>
      </c>
      <c r="L35" t="s">
        <v>409</v>
      </c>
      <c r="M35" t="s">
        <v>410</v>
      </c>
      <c r="N35">
        <v>2</v>
      </c>
      <c r="O35" t="s">
        <v>411</v>
      </c>
      <c r="P35" t="s">
        <v>412</v>
      </c>
      <c r="Q35" t="s">
        <v>413</v>
      </c>
      <c r="R35" s="1">
        <v>30028</v>
      </c>
      <c r="S35" s="2">
        <f t="shared" si="0"/>
        <v>1982</v>
      </c>
      <c r="T35" s="2">
        <v>1982</v>
      </c>
      <c r="U35" s="2">
        <f t="shared" si="1"/>
        <v>40</v>
      </c>
      <c r="V35" s="1">
        <v>30028</v>
      </c>
      <c r="W35" t="s">
        <v>67</v>
      </c>
      <c r="X35" s="3">
        <v>0.375</v>
      </c>
      <c r="Y35" s="4">
        <f>(X35-'[1]1982'!$Z$4)/('[1]1982'!$Z$3-'[1]1982'!$Z$4)</f>
        <v>1.0010410827260351E-2</v>
      </c>
      <c r="AA35">
        <v>135194</v>
      </c>
      <c r="AB35">
        <v>24918</v>
      </c>
      <c r="AD35" t="s">
        <v>15</v>
      </c>
      <c r="AE35">
        <v>18</v>
      </c>
      <c r="AF35">
        <v>6</v>
      </c>
      <c r="AH35" t="s">
        <v>414</v>
      </c>
      <c r="AI35" t="s">
        <v>415</v>
      </c>
      <c r="AJ35" t="s">
        <v>416</v>
      </c>
      <c r="AK35" t="s">
        <v>417</v>
      </c>
      <c r="AL35">
        <v>31</v>
      </c>
      <c r="AM35" s="5">
        <f t="shared" si="2"/>
        <v>0.77500000000000002</v>
      </c>
      <c r="AN35" s="6">
        <f>(AM35-'[1]1982'!$AO$4)/('[1]1982'!$AO$3-'[1]1982'!$AO$4)</f>
        <v>1.1737978038621735E-3</v>
      </c>
      <c r="AO35" s="7"/>
      <c r="AP35">
        <v>0</v>
      </c>
      <c r="AR35" t="s">
        <v>19</v>
      </c>
      <c r="AT35" s="3">
        <v>1.3140000000000001</v>
      </c>
      <c r="AU35" s="8">
        <f t="shared" si="3"/>
        <v>0.7359426920240898</v>
      </c>
      <c r="AV35" s="8">
        <f t="shared" si="4"/>
        <v>0.55921043155612626</v>
      </c>
      <c r="AW35" s="8">
        <f t="shared" si="5"/>
        <v>0.38247817108816262</v>
      </c>
    </row>
    <row r="36" spans="1:49" x14ac:dyDescent="0.2">
      <c r="A36">
        <v>34</v>
      </c>
      <c r="B36" t="s">
        <v>418</v>
      </c>
      <c r="C36" t="s">
        <v>419</v>
      </c>
      <c r="F36" t="s">
        <v>420</v>
      </c>
      <c r="G36" t="s">
        <v>4</v>
      </c>
      <c r="H36" t="s">
        <v>5</v>
      </c>
      <c r="I36" t="s">
        <v>421</v>
      </c>
      <c r="J36">
        <v>60021681</v>
      </c>
      <c r="K36" t="s">
        <v>422</v>
      </c>
      <c r="L36" t="s">
        <v>423</v>
      </c>
      <c r="M36" t="s">
        <v>424</v>
      </c>
      <c r="N36">
        <v>1</v>
      </c>
      <c r="O36" t="s">
        <v>425</v>
      </c>
      <c r="P36">
        <v>6603600635</v>
      </c>
      <c r="Q36">
        <v>60021681</v>
      </c>
      <c r="R36" s="1">
        <v>30028</v>
      </c>
      <c r="S36" s="2">
        <f t="shared" si="0"/>
        <v>1982</v>
      </c>
      <c r="T36" s="2">
        <v>1982</v>
      </c>
      <c r="U36" s="2">
        <f t="shared" si="1"/>
        <v>40</v>
      </c>
      <c r="V36" s="1">
        <v>30028</v>
      </c>
      <c r="W36" t="s">
        <v>67</v>
      </c>
      <c r="X36" s="3">
        <v>0.375</v>
      </c>
      <c r="Y36" s="4">
        <f>(X36-'[1]1982'!$Z$4)/('[1]1982'!$Z$3-'[1]1982'!$Z$4)</f>
        <v>1.0010410827260351E-2</v>
      </c>
      <c r="AA36">
        <v>135194</v>
      </c>
      <c r="AB36">
        <v>24918</v>
      </c>
      <c r="AD36" t="s">
        <v>15</v>
      </c>
      <c r="AE36">
        <v>18</v>
      </c>
      <c r="AF36">
        <v>6</v>
      </c>
      <c r="AH36" t="s">
        <v>426</v>
      </c>
      <c r="AI36" t="s">
        <v>427</v>
      </c>
      <c r="AJ36" t="s">
        <v>428</v>
      </c>
      <c r="AK36" t="s">
        <v>429</v>
      </c>
      <c r="AL36">
        <v>26</v>
      </c>
      <c r="AM36" s="5">
        <f t="shared" si="2"/>
        <v>0.65</v>
      </c>
      <c r="AN36" s="6">
        <f>(AM36-'[1]1982'!$AO$4)/('[1]1982'!$AO$3-'[1]1982'!$AO$4)</f>
        <v>9.8447557743279067E-4</v>
      </c>
      <c r="AO36" s="7"/>
      <c r="AP36">
        <v>0</v>
      </c>
      <c r="AR36" t="s">
        <v>19</v>
      </c>
      <c r="AT36" s="3">
        <v>1.3140000000000001</v>
      </c>
      <c r="AU36" s="8">
        <f t="shared" si="3"/>
        <v>0.73026302523120823</v>
      </c>
      <c r="AV36" s="8">
        <f t="shared" si="4"/>
        <v>0.54974432023465714</v>
      </c>
      <c r="AW36" s="8">
        <f t="shared" si="5"/>
        <v>0.36922561523810588</v>
      </c>
    </row>
    <row r="37" spans="1:49" x14ac:dyDescent="0.2">
      <c r="A37">
        <v>35</v>
      </c>
      <c r="B37" t="s">
        <v>430</v>
      </c>
      <c r="C37" t="s">
        <v>431</v>
      </c>
      <c r="F37" t="s">
        <v>432</v>
      </c>
      <c r="G37" t="s">
        <v>4</v>
      </c>
      <c r="H37" t="s">
        <v>5</v>
      </c>
      <c r="I37" t="s">
        <v>433</v>
      </c>
      <c r="J37">
        <v>116290043</v>
      </c>
      <c r="K37" t="s">
        <v>434</v>
      </c>
      <c r="L37" t="s">
        <v>435</v>
      </c>
      <c r="M37" t="s">
        <v>94</v>
      </c>
      <c r="N37">
        <v>1</v>
      </c>
      <c r="O37" t="s">
        <v>436</v>
      </c>
      <c r="P37">
        <v>57194908074</v>
      </c>
      <c r="Q37">
        <v>116290043</v>
      </c>
      <c r="R37" s="1">
        <v>30028</v>
      </c>
      <c r="S37" s="2">
        <f t="shared" si="0"/>
        <v>1982</v>
      </c>
      <c r="T37" s="2">
        <v>1982</v>
      </c>
      <c r="U37" s="2">
        <f t="shared" si="1"/>
        <v>40</v>
      </c>
      <c r="V37" s="1">
        <v>30028</v>
      </c>
      <c r="W37" t="s">
        <v>67</v>
      </c>
      <c r="X37" s="3">
        <v>0.375</v>
      </c>
      <c r="Y37" s="4">
        <f>(X37-'[1]1982'!$Z$4)/('[1]1982'!$Z$3-'[1]1982'!$Z$4)</f>
        <v>1.0010410827260351E-2</v>
      </c>
      <c r="AA37">
        <v>135194</v>
      </c>
      <c r="AB37">
        <v>24918</v>
      </c>
      <c r="AD37" t="s">
        <v>15</v>
      </c>
      <c r="AE37">
        <v>18</v>
      </c>
      <c r="AF37">
        <v>6</v>
      </c>
      <c r="AH37" t="s">
        <v>437</v>
      </c>
      <c r="AI37" t="s">
        <v>438</v>
      </c>
      <c r="AJ37" t="s">
        <v>70</v>
      </c>
      <c r="AK37" t="s">
        <v>439</v>
      </c>
      <c r="AL37">
        <v>24</v>
      </c>
      <c r="AM37" s="5">
        <f t="shared" si="2"/>
        <v>0.6</v>
      </c>
      <c r="AN37" s="6">
        <f>(AM37-'[1]1982'!$AO$4)/('[1]1982'!$AO$3-'[1]1982'!$AO$4)</f>
        <v>9.0874668686103744E-4</v>
      </c>
      <c r="AO37" s="7"/>
      <c r="AP37">
        <v>0</v>
      </c>
      <c r="AR37" t="s">
        <v>19</v>
      </c>
      <c r="AT37" s="3">
        <v>1.3140000000000001</v>
      </c>
      <c r="AU37" s="8">
        <f t="shared" si="3"/>
        <v>0.72799115851405571</v>
      </c>
      <c r="AV37" s="8">
        <f t="shared" si="4"/>
        <v>0.54595787570606946</v>
      </c>
      <c r="AW37" s="8">
        <f t="shared" si="5"/>
        <v>0.3639245928980831</v>
      </c>
    </row>
    <row r="38" spans="1:49" x14ac:dyDescent="0.2">
      <c r="A38">
        <v>36</v>
      </c>
      <c r="B38" t="s">
        <v>440</v>
      </c>
      <c r="C38" t="s">
        <v>441</v>
      </c>
      <c r="D38">
        <v>5272882901554</v>
      </c>
      <c r="F38" t="s">
        <v>442</v>
      </c>
      <c r="G38" t="s">
        <v>4</v>
      </c>
      <c r="H38" t="s">
        <v>5</v>
      </c>
      <c r="I38" t="s">
        <v>443</v>
      </c>
      <c r="J38">
        <v>60031581</v>
      </c>
      <c r="K38" t="s">
        <v>444</v>
      </c>
      <c r="L38" t="s">
        <v>445</v>
      </c>
      <c r="M38" t="s">
        <v>9</v>
      </c>
      <c r="N38">
        <v>3</v>
      </c>
      <c r="O38" t="s">
        <v>446</v>
      </c>
      <c r="P38" t="s">
        <v>447</v>
      </c>
      <c r="Q38" t="s">
        <v>448</v>
      </c>
      <c r="R38" s="1">
        <v>30026</v>
      </c>
      <c r="S38" s="2">
        <f t="shared" si="0"/>
        <v>1982</v>
      </c>
      <c r="T38" s="2">
        <v>1982</v>
      </c>
      <c r="U38" s="2">
        <f t="shared" si="1"/>
        <v>40</v>
      </c>
      <c r="V38" s="1">
        <v>30026</v>
      </c>
      <c r="W38" t="s">
        <v>44</v>
      </c>
      <c r="X38" s="3">
        <v>1.59</v>
      </c>
      <c r="Y38" s="4">
        <f>(X38-'[1]1982'!$Z$4)/('[1]1982'!$Z$3-'[1]1982'!$Z$4)</f>
        <v>4.2444141907583888E-2</v>
      </c>
      <c r="AA38">
        <v>52728</v>
      </c>
      <c r="AB38">
        <v>16791</v>
      </c>
      <c r="AD38" t="s">
        <v>15</v>
      </c>
      <c r="AE38">
        <v>679</v>
      </c>
      <c r="AF38">
        <v>3</v>
      </c>
      <c r="AH38" t="s">
        <v>449</v>
      </c>
      <c r="AI38" t="s">
        <v>450</v>
      </c>
      <c r="AJ38" t="s">
        <v>451</v>
      </c>
      <c r="AK38" t="s">
        <v>452</v>
      </c>
      <c r="AL38">
        <v>7</v>
      </c>
      <c r="AM38" s="5">
        <f t="shared" si="2"/>
        <v>0.17499999999999999</v>
      </c>
      <c r="AN38" s="6">
        <f>(AM38-'[1]1982'!$AO$4)/('[1]1982'!$AO$3-'[1]1982'!$AO$4)</f>
        <v>2.6505111700113592E-4</v>
      </c>
      <c r="AO38" s="7"/>
      <c r="AP38">
        <v>0</v>
      </c>
      <c r="AR38" t="s">
        <v>19</v>
      </c>
      <c r="AT38" s="3" t="s">
        <v>20</v>
      </c>
      <c r="AU38" s="8">
        <f t="shared" si="3"/>
        <v>2.9790414670409064</v>
      </c>
      <c r="AV38" s="8">
        <f t="shared" si="4"/>
        <v>2.135459651229251</v>
      </c>
      <c r="AW38" s="8">
        <f t="shared" si="5"/>
        <v>1.2918778354175959</v>
      </c>
    </row>
    <row r="39" spans="1:49" x14ac:dyDescent="0.2">
      <c r="A39">
        <v>37</v>
      </c>
      <c r="B39" t="s">
        <v>453</v>
      </c>
      <c r="C39" t="s">
        <v>454</v>
      </c>
      <c r="D39" t="s">
        <v>455</v>
      </c>
      <c r="F39" t="s">
        <v>456</v>
      </c>
      <c r="G39" t="s">
        <v>4</v>
      </c>
      <c r="H39" t="s">
        <v>5</v>
      </c>
      <c r="I39" t="s">
        <v>457</v>
      </c>
      <c r="J39">
        <v>60025038</v>
      </c>
      <c r="K39" t="s">
        <v>116</v>
      </c>
      <c r="L39" t="s">
        <v>117</v>
      </c>
      <c r="M39" t="s">
        <v>9</v>
      </c>
      <c r="N39">
        <v>2</v>
      </c>
      <c r="O39" t="s">
        <v>458</v>
      </c>
      <c r="P39" t="s">
        <v>459</v>
      </c>
      <c r="Q39" t="s">
        <v>120</v>
      </c>
      <c r="R39" s="1">
        <v>30026</v>
      </c>
      <c r="S39" s="2">
        <f t="shared" si="0"/>
        <v>1982</v>
      </c>
      <c r="T39" s="2">
        <v>1982</v>
      </c>
      <c r="U39" s="2">
        <f t="shared" si="1"/>
        <v>40</v>
      </c>
      <c r="V39" s="1">
        <v>30026</v>
      </c>
      <c r="W39" t="s">
        <v>44</v>
      </c>
      <c r="X39" s="3">
        <v>1.59</v>
      </c>
      <c r="Y39" s="4">
        <f>(X39-'[1]1982'!$Z$4)/('[1]1982'!$Z$3-'[1]1982'!$Z$4)</f>
        <v>4.2444141907583888E-2</v>
      </c>
      <c r="AA39">
        <v>52728</v>
      </c>
      <c r="AB39">
        <v>16791</v>
      </c>
      <c r="AD39" t="s">
        <v>15</v>
      </c>
      <c r="AE39">
        <v>679</v>
      </c>
      <c r="AF39">
        <v>3</v>
      </c>
      <c r="AH39" t="s">
        <v>460</v>
      </c>
      <c r="AI39" t="s">
        <v>461</v>
      </c>
      <c r="AJ39" t="s">
        <v>462</v>
      </c>
      <c r="AK39" t="s">
        <v>463</v>
      </c>
      <c r="AL39">
        <v>17</v>
      </c>
      <c r="AM39" s="5">
        <f t="shared" si="2"/>
        <v>0.42499999999999999</v>
      </c>
      <c r="AN39" s="6">
        <f>(AM39-'[1]1982'!$AO$4)/('[1]1982'!$AO$3-'[1]1982'!$AO$4)</f>
        <v>6.4369556985990157E-4</v>
      </c>
      <c r="AO39" s="7"/>
      <c r="AP39">
        <v>0</v>
      </c>
      <c r="AQ39" t="s">
        <v>208</v>
      </c>
      <c r="AR39" t="s">
        <v>464</v>
      </c>
      <c r="AS39" t="s">
        <v>210</v>
      </c>
      <c r="AT39" s="3" t="s">
        <v>20</v>
      </c>
      <c r="AU39" s="8">
        <f t="shared" si="3"/>
        <v>2.9904008006266691</v>
      </c>
      <c r="AV39" s="8">
        <f t="shared" si="4"/>
        <v>2.1543918738721897</v>
      </c>
      <c r="AW39" s="8">
        <f t="shared" si="5"/>
        <v>1.3183829471177098</v>
      </c>
    </row>
    <row r="40" spans="1:49" x14ac:dyDescent="0.2">
      <c r="A40">
        <v>38</v>
      </c>
      <c r="B40" t="s">
        <v>465</v>
      </c>
      <c r="C40" t="s">
        <v>466</v>
      </c>
      <c r="D40">
        <v>5272882901645</v>
      </c>
      <c r="F40" t="s">
        <v>467</v>
      </c>
      <c r="G40" t="s">
        <v>4</v>
      </c>
      <c r="H40" t="s">
        <v>5</v>
      </c>
      <c r="I40" t="s">
        <v>468</v>
      </c>
      <c r="J40">
        <v>60019615</v>
      </c>
      <c r="K40" t="s">
        <v>469</v>
      </c>
      <c r="L40" t="s">
        <v>470</v>
      </c>
      <c r="M40" t="s">
        <v>40</v>
      </c>
      <c r="N40">
        <v>4</v>
      </c>
      <c r="O40" t="s">
        <v>471</v>
      </c>
      <c r="P40" t="s">
        <v>472</v>
      </c>
      <c r="Q40" t="s">
        <v>473</v>
      </c>
      <c r="R40" s="1">
        <v>30026</v>
      </c>
      <c r="S40" s="2">
        <f t="shared" si="0"/>
        <v>1982</v>
      </c>
      <c r="T40" s="2">
        <v>1982</v>
      </c>
      <c r="U40" s="2">
        <f t="shared" si="1"/>
        <v>40</v>
      </c>
      <c r="V40" s="1">
        <v>30026</v>
      </c>
      <c r="W40" t="s">
        <v>44</v>
      </c>
      <c r="X40" s="3">
        <v>1.59</v>
      </c>
      <c r="Y40" s="4">
        <f>(X40-'[1]1982'!$Z$4)/('[1]1982'!$Z$3-'[1]1982'!$Z$4)</f>
        <v>4.2444141907583888E-2</v>
      </c>
      <c r="AA40">
        <v>52728</v>
      </c>
      <c r="AB40">
        <v>16791</v>
      </c>
      <c r="AD40" t="s">
        <v>15</v>
      </c>
      <c r="AE40">
        <v>679</v>
      </c>
      <c r="AF40">
        <v>3</v>
      </c>
      <c r="AH40" t="s">
        <v>474</v>
      </c>
      <c r="AI40" t="s">
        <v>475</v>
      </c>
      <c r="AJ40" t="s">
        <v>476</v>
      </c>
      <c r="AK40" t="s">
        <v>477</v>
      </c>
      <c r="AL40">
        <v>36</v>
      </c>
      <c r="AM40" s="5">
        <f t="shared" si="2"/>
        <v>0.9</v>
      </c>
      <c r="AN40" s="6">
        <f>(AM40-'[1]1982'!$AO$4)/('[1]1982'!$AO$3-'[1]1982'!$AO$4)</f>
        <v>1.3631200302915562E-3</v>
      </c>
      <c r="AO40" s="7"/>
      <c r="AP40">
        <v>0</v>
      </c>
      <c r="AQ40" t="s">
        <v>208</v>
      </c>
      <c r="AR40" t="s">
        <v>478</v>
      </c>
      <c r="AS40" t="s">
        <v>210</v>
      </c>
      <c r="AT40" s="3" t="s">
        <v>20</v>
      </c>
      <c r="AU40" s="8">
        <f t="shared" si="3"/>
        <v>3.0119835344396186</v>
      </c>
      <c r="AV40" s="8">
        <f t="shared" si="4"/>
        <v>2.1903630968937722</v>
      </c>
      <c r="AW40" s="8">
        <f t="shared" si="5"/>
        <v>1.3687426593479255</v>
      </c>
    </row>
    <row r="41" spans="1:49" x14ac:dyDescent="0.2">
      <c r="A41">
        <v>39</v>
      </c>
      <c r="B41" t="s">
        <v>479</v>
      </c>
      <c r="C41" t="s">
        <v>480</v>
      </c>
      <c r="F41" t="s">
        <v>481</v>
      </c>
      <c r="G41" t="s">
        <v>4</v>
      </c>
      <c r="H41" t="s">
        <v>5</v>
      </c>
      <c r="I41" t="s">
        <v>482</v>
      </c>
      <c r="J41">
        <v>60028263</v>
      </c>
      <c r="K41" t="s">
        <v>483</v>
      </c>
      <c r="L41" t="s">
        <v>484</v>
      </c>
      <c r="M41" t="s">
        <v>485</v>
      </c>
      <c r="N41">
        <v>3</v>
      </c>
      <c r="O41" t="s">
        <v>486</v>
      </c>
      <c r="P41" t="s">
        <v>487</v>
      </c>
      <c r="Q41" t="s">
        <v>488</v>
      </c>
      <c r="R41" s="1">
        <v>30014</v>
      </c>
      <c r="S41" s="2">
        <f t="shared" si="0"/>
        <v>1982</v>
      </c>
      <c r="T41" s="2">
        <v>1982</v>
      </c>
      <c r="U41" s="2">
        <f t="shared" si="1"/>
        <v>40</v>
      </c>
      <c r="V41" s="1">
        <v>30014</v>
      </c>
      <c r="W41" t="s">
        <v>67</v>
      </c>
      <c r="X41" s="3">
        <v>0.375</v>
      </c>
      <c r="Y41" s="4">
        <f>(X41-'[1]1982'!$Z$4)/('[1]1982'!$Z$3-'[1]1982'!$Z$4)</f>
        <v>1.0010410827260351E-2</v>
      </c>
      <c r="AA41">
        <v>135194</v>
      </c>
      <c r="AB41">
        <v>24918</v>
      </c>
      <c r="AD41" t="s">
        <v>15</v>
      </c>
      <c r="AE41">
        <v>18</v>
      </c>
      <c r="AF41">
        <v>5</v>
      </c>
      <c r="AH41" t="s">
        <v>489</v>
      </c>
      <c r="AI41" t="s">
        <v>490</v>
      </c>
      <c r="AJ41" t="s">
        <v>491</v>
      </c>
      <c r="AK41" t="s">
        <v>492</v>
      </c>
      <c r="AL41">
        <v>23</v>
      </c>
      <c r="AM41" s="5">
        <f t="shared" si="2"/>
        <v>0.57499999999999996</v>
      </c>
      <c r="AN41" s="6">
        <f>(AM41-'[1]1982'!$AO$4)/('[1]1982'!$AO$3-'[1]1982'!$AO$4)</f>
        <v>8.7088224157516082E-4</v>
      </c>
      <c r="AO41" s="7"/>
      <c r="AP41">
        <v>0</v>
      </c>
      <c r="AR41" t="s">
        <v>19</v>
      </c>
      <c r="AT41" s="3">
        <v>1.3140000000000001</v>
      </c>
      <c r="AU41" s="8">
        <f t="shared" si="3"/>
        <v>0.7268552251554794</v>
      </c>
      <c r="AV41" s="8">
        <f t="shared" si="4"/>
        <v>0.54406465344177557</v>
      </c>
      <c r="AW41" s="8">
        <f t="shared" si="5"/>
        <v>0.36127408172807174</v>
      </c>
    </row>
    <row r="42" spans="1:49" x14ac:dyDescent="0.2">
      <c r="A42">
        <v>40</v>
      </c>
      <c r="B42" t="s">
        <v>493</v>
      </c>
      <c r="C42" t="s">
        <v>494</v>
      </c>
      <c r="F42" t="s">
        <v>495</v>
      </c>
      <c r="G42" t="s">
        <v>4</v>
      </c>
      <c r="H42" t="s">
        <v>5</v>
      </c>
      <c r="I42" t="s">
        <v>496</v>
      </c>
      <c r="J42" t="s">
        <v>497</v>
      </c>
      <c r="K42" t="s">
        <v>498</v>
      </c>
      <c r="L42" t="s">
        <v>499</v>
      </c>
      <c r="M42" t="s">
        <v>500</v>
      </c>
      <c r="N42">
        <v>4</v>
      </c>
      <c r="O42" t="s">
        <v>501</v>
      </c>
      <c r="P42" t="s">
        <v>502</v>
      </c>
      <c r="Q42" t="s">
        <v>503</v>
      </c>
      <c r="R42" s="1">
        <v>30014</v>
      </c>
      <c r="S42" s="2">
        <f t="shared" si="0"/>
        <v>1982</v>
      </c>
      <c r="T42" s="2">
        <v>1982</v>
      </c>
      <c r="U42" s="2">
        <f t="shared" si="1"/>
        <v>40</v>
      </c>
      <c r="V42" s="1">
        <v>30014</v>
      </c>
      <c r="W42" t="s">
        <v>67</v>
      </c>
      <c r="X42" s="3">
        <v>0.375</v>
      </c>
      <c r="Y42" s="4">
        <f>(X42-'[1]1982'!$Z$4)/('[1]1982'!$Z$3-'[1]1982'!$Z$4)</f>
        <v>1.0010410827260351E-2</v>
      </c>
      <c r="AA42">
        <v>135194</v>
      </c>
      <c r="AB42">
        <v>24918</v>
      </c>
      <c r="AD42" t="s">
        <v>15</v>
      </c>
      <c r="AE42">
        <v>18</v>
      </c>
      <c r="AF42">
        <v>5</v>
      </c>
      <c r="AH42" t="s">
        <v>504</v>
      </c>
      <c r="AI42" t="s">
        <v>505</v>
      </c>
      <c r="AJ42" t="s">
        <v>506</v>
      </c>
      <c r="AK42" t="s">
        <v>507</v>
      </c>
      <c r="AL42">
        <v>2</v>
      </c>
      <c r="AM42" s="5">
        <f t="shared" si="2"/>
        <v>0.05</v>
      </c>
      <c r="AN42" s="6">
        <f>(AM42-'[1]1982'!$AO$4)/('[1]1982'!$AO$3-'[1]1982'!$AO$4)</f>
        <v>7.5728890571753133E-5</v>
      </c>
      <c r="AO42" s="7"/>
      <c r="AP42">
        <v>0</v>
      </c>
      <c r="AR42" t="s">
        <v>19</v>
      </c>
      <c r="AT42" s="3">
        <v>1.3140000000000001</v>
      </c>
      <c r="AU42" s="8">
        <f t="shared" si="3"/>
        <v>0.70300062462537716</v>
      </c>
      <c r="AV42" s="8">
        <f t="shared" si="4"/>
        <v>0.50430698589160516</v>
      </c>
      <c r="AW42" s="8">
        <f t="shared" si="5"/>
        <v>0.30561334715783323</v>
      </c>
    </row>
    <row r="43" spans="1:49" x14ac:dyDescent="0.2">
      <c r="A43">
        <v>41</v>
      </c>
      <c r="B43" t="s">
        <v>508</v>
      </c>
      <c r="C43" t="s">
        <v>509</v>
      </c>
      <c r="F43" t="s">
        <v>510</v>
      </c>
      <c r="G43" t="s">
        <v>4</v>
      </c>
      <c r="H43" t="s">
        <v>5</v>
      </c>
      <c r="I43" t="s">
        <v>511</v>
      </c>
      <c r="J43">
        <v>60004541</v>
      </c>
      <c r="K43" t="s">
        <v>512</v>
      </c>
      <c r="L43" t="s">
        <v>513</v>
      </c>
      <c r="M43" t="s">
        <v>9</v>
      </c>
      <c r="N43">
        <v>2</v>
      </c>
      <c r="O43" t="s">
        <v>514</v>
      </c>
      <c r="P43" t="s">
        <v>515</v>
      </c>
      <c r="Q43" t="s">
        <v>516</v>
      </c>
      <c r="R43" s="1">
        <v>30014</v>
      </c>
      <c r="S43" s="2">
        <f t="shared" si="0"/>
        <v>1982</v>
      </c>
      <c r="T43" s="2">
        <v>1982</v>
      </c>
      <c r="U43" s="2">
        <f t="shared" si="1"/>
        <v>40</v>
      </c>
      <c r="V43" s="1">
        <v>30014</v>
      </c>
      <c r="W43" t="s">
        <v>67</v>
      </c>
      <c r="X43" s="3">
        <v>0.375</v>
      </c>
      <c r="Y43" s="4">
        <f>(X43-'[1]1982'!$Z$4)/('[1]1982'!$Z$3-'[1]1982'!$Z$4)</f>
        <v>1.0010410827260351E-2</v>
      </c>
      <c r="AA43">
        <v>135194</v>
      </c>
      <c r="AB43">
        <v>24918</v>
      </c>
      <c r="AD43" t="s">
        <v>15</v>
      </c>
      <c r="AE43">
        <v>18</v>
      </c>
      <c r="AF43">
        <v>5</v>
      </c>
      <c r="AH43" t="s">
        <v>517</v>
      </c>
      <c r="AI43" t="s">
        <v>518</v>
      </c>
      <c r="AJ43" t="s">
        <v>519</v>
      </c>
      <c r="AK43" t="s">
        <v>520</v>
      </c>
      <c r="AL43">
        <v>5</v>
      </c>
      <c r="AM43" s="5">
        <f t="shared" si="2"/>
        <v>0.125</v>
      </c>
      <c r="AN43" s="6">
        <f>(AM43-'[1]1982'!$AO$4)/('[1]1982'!$AO$3-'[1]1982'!$AO$4)</f>
        <v>1.893222264293828E-4</v>
      </c>
      <c r="AO43" s="7"/>
      <c r="AP43">
        <v>0</v>
      </c>
      <c r="AR43" t="s">
        <v>19</v>
      </c>
      <c r="AT43" s="3">
        <v>1.3140000000000001</v>
      </c>
      <c r="AU43" s="8">
        <f t="shared" si="3"/>
        <v>0.7064084247011061</v>
      </c>
      <c r="AV43" s="8">
        <f t="shared" si="4"/>
        <v>0.50998665268448673</v>
      </c>
      <c r="AW43" s="8">
        <f t="shared" si="5"/>
        <v>0.31356488066786731</v>
      </c>
    </row>
    <row r="44" spans="1:49" x14ac:dyDescent="0.2">
      <c r="A44">
        <v>42</v>
      </c>
      <c r="B44" t="s">
        <v>521</v>
      </c>
      <c r="C44" t="s">
        <v>522</v>
      </c>
      <c r="F44" t="s">
        <v>523</v>
      </c>
      <c r="G44" t="s">
        <v>4</v>
      </c>
      <c r="H44" t="s">
        <v>5</v>
      </c>
      <c r="I44" t="s">
        <v>524</v>
      </c>
      <c r="J44">
        <v>60004354</v>
      </c>
      <c r="K44" t="s">
        <v>525</v>
      </c>
      <c r="L44" t="s">
        <v>526</v>
      </c>
      <c r="M44" t="s">
        <v>9</v>
      </c>
      <c r="N44">
        <v>1</v>
      </c>
      <c r="O44" t="s">
        <v>527</v>
      </c>
      <c r="P44">
        <v>6602985901</v>
      </c>
      <c r="Q44">
        <v>60004354</v>
      </c>
      <c r="R44" s="1">
        <v>30011</v>
      </c>
      <c r="S44" s="2">
        <f t="shared" si="0"/>
        <v>1982</v>
      </c>
      <c r="T44" s="2">
        <v>1982</v>
      </c>
      <c r="U44" s="2">
        <f t="shared" si="1"/>
        <v>40</v>
      </c>
      <c r="V44" s="1">
        <v>30011</v>
      </c>
      <c r="W44" t="s">
        <v>275</v>
      </c>
      <c r="X44" s="3">
        <v>0.85499999999999998</v>
      </c>
      <c r="Y44" s="4">
        <f>(X44-'[1]1982'!$Z$4)/('[1]1982'!$Z$3-'[1]1982'!$Z$4)</f>
        <v>2.28237366861536E-2</v>
      </c>
      <c r="AA44">
        <v>980331</v>
      </c>
      <c r="AB44">
        <v>23342</v>
      </c>
      <c r="AC44">
        <v>15731561</v>
      </c>
      <c r="AD44" t="s">
        <v>15</v>
      </c>
      <c r="AE44">
        <v>8</v>
      </c>
      <c r="AF44">
        <v>3</v>
      </c>
      <c r="AH44" t="s">
        <v>528</v>
      </c>
      <c r="AI44" t="s">
        <v>529</v>
      </c>
      <c r="AJ44" t="s">
        <v>530</v>
      </c>
      <c r="AK44" t="s">
        <v>531</v>
      </c>
      <c r="AL44">
        <v>1</v>
      </c>
      <c r="AM44" s="5">
        <f t="shared" si="2"/>
        <v>2.5000000000000001E-2</v>
      </c>
      <c r="AN44" s="6">
        <f>(AM44-'[1]1982'!$AO$4)/('[1]1982'!$AO$3-'[1]1982'!$AO$4)</f>
        <v>3.7864445285876567E-5</v>
      </c>
      <c r="AO44" s="7"/>
      <c r="AP44">
        <v>0</v>
      </c>
      <c r="AR44" t="s">
        <v>19</v>
      </c>
      <c r="AT44" s="3">
        <v>2.6259999999999999</v>
      </c>
      <c r="AU44" s="8">
        <f t="shared" si="3"/>
        <v>1.5987975013893281</v>
      </c>
      <c r="AV44" s="8">
        <f t="shared" si="4"/>
        <v>1.1430800565719739</v>
      </c>
      <c r="AW44" s="8">
        <f t="shared" si="5"/>
        <v>0.68736261175461943</v>
      </c>
    </row>
    <row r="45" spans="1:49" x14ac:dyDescent="0.2">
      <c r="A45">
        <v>43</v>
      </c>
      <c r="B45" t="s">
        <v>532</v>
      </c>
      <c r="C45" t="s">
        <v>533</v>
      </c>
      <c r="F45" t="s">
        <v>534</v>
      </c>
      <c r="G45" t="s">
        <v>4</v>
      </c>
      <c r="H45" t="s">
        <v>5</v>
      </c>
      <c r="I45" t="s">
        <v>535</v>
      </c>
      <c r="J45">
        <v>60110235</v>
      </c>
      <c r="K45" t="s">
        <v>536</v>
      </c>
      <c r="L45" t="s">
        <v>537</v>
      </c>
      <c r="M45" t="s">
        <v>40</v>
      </c>
      <c r="N45">
        <v>1</v>
      </c>
      <c r="O45" t="s">
        <v>538</v>
      </c>
      <c r="P45">
        <v>7007056438</v>
      </c>
      <c r="Q45">
        <v>60110235</v>
      </c>
      <c r="R45" s="1">
        <v>30011</v>
      </c>
      <c r="S45" s="2">
        <f t="shared" si="0"/>
        <v>1982</v>
      </c>
      <c r="T45" s="2">
        <v>1982</v>
      </c>
      <c r="U45" s="2">
        <f t="shared" si="1"/>
        <v>40</v>
      </c>
      <c r="V45" s="1">
        <v>30011</v>
      </c>
      <c r="W45" t="s">
        <v>539</v>
      </c>
      <c r="X45" s="3">
        <v>0.33800000000000002</v>
      </c>
      <c r="Y45" s="4">
        <f>(X45-'[1]1982'!$Z$4)/('[1]1982'!$Z$3-'[1]1982'!$Z$4)</f>
        <v>9.0227169589706634E-3</v>
      </c>
      <c r="AA45">
        <v>34347</v>
      </c>
      <c r="AB45">
        <v>17722</v>
      </c>
      <c r="AC45">
        <v>19589395</v>
      </c>
      <c r="AD45" t="s">
        <v>15</v>
      </c>
      <c r="AE45">
        <v>37</v>
      </c>
      <c r="AF45" s="9">
        <v>44289</v>
      </c>
      <c r="AH45" t="s">
        <v>540</v>
      </c>
      <c r="AI45" t="s">
        <v>541</v>
      </c>
      <c r="AJ45" t="s">
        <v>542</v>
      </c>
      <c r="AK45" t="s">
        <v>543</v>
      </c>
      <c r="AL45">
        <v>0</v>
      </c>
      <c r="AM45" s="5">
        <f t="shared" si="2"/>
        <v>0</v>
      </c>
      <c r="AN45" s="6">
        <f>(AM45-'[1]1982'!$AO$4)/('[1]1982'!$AO$3-'[1]1982'!$AO$4)</f>
        <v>0</v>
      </c>
      <c r="AO45" s="7"/>
      <c r="AP45">
        <v>0</v>
      </c>
      <c r="AR45" t="s">
        <v>19</v>
      </c>
      <c r="AT45" s="3" t="s">
        <v>20</v>
      </c>
      <c r="AU45" s="8">
        <f t="shared" si="3"/>
        <v>0.63159018712794635</v>
      </c>
      <c r="AV45" s="8">
        <f t="shared" si="4"/>
        <v>0.45113584794853318</v>
      </c>
      <c r="AW45" s="8">
        <f t="shared" si="5"/>
        <v>0.27068150876911989</v>
      </c>
    </row>
    <row r="46" spans="1:49" x14ac:dyDescent="0.2">
      <c r="A46">
        <v>44</v>
      </c>
      <c r="B46" t="s">
        <v>544</v>
      </c>
      <c r="C46" t="s">
        <v>545</v>
      </c>
      <c r="F46" t="s">
        <v>546</v>
      </c>
      <c r="G46" t="s">
        <v>4</v>
      </c>
      <c r="H46" t="s">
        <v>5</v>
      </c>
      <c r="I46" t="s">
        <v>547</v>
      </c>
      <c r="J46">
        <v>60000481</v>
      </c>
      <c r="K46" t="s">
        <v>548</v>
      </c>
      <c r="L46" t="s">
        <v>549</v>
      </c>
      <c r="M46" t="s">
        <v>550</v>
      </c>
      <c r="N46">
        <v>2</v>
      </c>
      <c r="O46" t="s">
        <v>551</v>
      </c>
      <c r="P46" t="s">
        <v>552</v>
      </c>
      <c r="Q46" t="s">
        <v>553</v>
      </c>
      <c r="R46" s="1">
        <v>30011</v>
      </c>
      <c r="S46" s="2">
        <f t="shared" si="0"/>
        <v>1982</v>
      </c>
      <c r="T46" s="2">
        <v>1982</v>
      </c>
      <c r="U46" s="2">
        <f t="shared" si="1"/>
        <v>40</v>
      </c>
      <c r="V46" s="1">
        <v>30011</v>
      </c>
      <c r="W46" t="s">
        <v>554</v>
      </c>
      <c r="X46" s="3">
        <v>0.61499999999999999</v>
      </c>
      <c r="Y46" s="4">
        <f>(X46-'[1]1982'!$Z$4)/('[1]1982'!$Z$3-'[1]1982'!$Z$4)</f>
        <v>1.6417073756706976E-2</v>
      </c>
      <c r="AA46">
        <v>1959271</v>
      </c>
      <c r="AB46">
        <v>12141</v>
      </c>
      <c r="AC46">
        <v>15729559</v>
      </c>
      <c r="AD46" t="s">
        <v>15</v>
      </c>
      <c r="AE46">
        <v>3</v>
      </c>
      <c r="AF46">
        <v>2</v>
      </c>
      <c r="AH46" t="s">
        <v>555</v>
      </c>
      <c r="AI46" t="s">
        <v>556</v>
      </c>
      <c r="AJ46" t="s">
        <v>557</v>
      </c>
      <c r="AK46" t="s">
        <v>558</v>
      </c>
      <c r="AL46">
        <v>5</v>
      </c>
      <c r="AM46" s="5">
        <f t="shared" si="2"/>
        <v>0.125</v>
      </c>
      <c r="AN46" s="6">
        <f>(AM46-'[1]1982'!$AO$4)/('[1]1982'!$AO$3-'[1]1982'!$AO$4)</f>
        <v>1.893222264293828E-4</v>
      </c>
      <c r="AO46" s="7"/>
      <c r="AP46">
        <v>0</v>
      </c>
      <c r="AR46" t="s">
        <v>19</v>
      </c>
      <c r="AT46" s="3" t="s">
        <v>20</v>
      </c>
      <c r="AU46" s="8">
        <f t="shared" si="3"/>
        <v>1.1548748297623697</v>
      </c>
      <c r="AV46" s="8">
        <f t="shared" si="4"/>
        <v>0.83031979915681797</v>
      </c>
      <c r="AW46" s="8">
        <f t="shared" si="5"/>
        <v>0.50576476855126606</v>
      </c>
    </row>
    <row r="47" spans="1:49" x14ac:dyDescent="0.2">
      <c r="A47">
        <v>45</v>
      </c>
      <c r="B47" t="s">
        <v>559</v>
      </c>
      <c r="C47" t="s">
        <v>560</v>
      </c>
      <c r="F47" t="s">
        <v>561</v>
      </c>
      <c r="G47" t="s">
        <v>4</v>
      </c>
      <c r="H47" t="s">
        <v>5</v>
      </c>
      <c r="I47" t="s">
        <v>562</v>
      </c>
      <c r="N47">
        <v>2</v>
      </c>
      <c r="O47" t="s">
        <v>563</v>
      </c>
      <c r="P47" t="s">
        <v>564</v>
      </c>
      <c r="Q47" t="s">
        <v>156</v>
      </c>
      <c r="R47" s="1">
        <v>30011</v>
      </c>
      <c r="S47" s="2">
        <f t="shared" si="0"/>
        <v>1982</v>
      </c>
      <c r="T47" s="2">
        <v>1982</v>
      </c>
      <c r="U47" s="2">
        <f t="shared" si="1"/>
        <v>40</v>
      </c>
      <c r="V47" s="1">
        <v>30011</v>
      </c>
      <c r="W47" t="s">
        <v>157</v>
      </c>
      <c r="X47" s="3">
        <v>0.318</v>
      </c>
      <c r="Y47" s="4">
        <f>(X47-'[1]1982'!$Z$4)/('[1]1982'!$Z$3-'[1]1982'!$Z$4)</f>
        <v>8.4888283815167786E-3</v>
      </c>
      <c r="AA47">
        <v>338443</v>
      </c>
      <c r="AB47">
        <v>27160</v>
      </c>
      <c r="AC47">
        <v>15739120</v>
      </c>
      <c r="AD47" t="s">
        <v>15</v>
      </c>
      <c r="AE47">
        <v>25</v>
      </c>
      <c r="AF47">
        <v>3</v>
      </c>
      <c r="AH47" t="s">
        <v>565</v>
      </c>
      <c r="AL47">
        <v>0</v>
      </c>
      <c r="AM47" s="5">
        <f t="shared" si="2"/>
        <v>0</v>
      </c>
      <c r="AN47" s="6">
        <f>(AM47-'[1]1982'!$AO$4)/('[1]1982'!$AO$3-'[1]1982'!$AO$4)</f>
        <v>0</v>
      </c>
      <c r="AO47" s="7"/>
      <c r="AP47">
        <v>0</v>
      </c>
      <c r="AR47" t="s">
        <v>19</v>
      </c>
      <c r="AT47" s="3">
        <v>0.77</v>
      </c>
      <c r="AU47" s="8">
        <f t="shared" si="3"/>
        <v>0.59421798670617454</v>
      </c>
      <c r="AV47" s="8">
        <f t="shared" si="4"/>
        <v>0.42444141907583893</v>
      </c>
      <c r="AW47" s="8">
        <f t="shared" si="5"/>
        <v>0.25466485144550338</v>
      </c>
    </row>
    <row r="48" spans="1:49" x14ac:dyDescent="0.2">
      <c r="A48">
        <v>46</v>
      </c>
      <c r="B48" t="s">
        <v>566</v>
      </c>
      <c r="C48" t="s">
        <v>567</v>
      </c>
      <c r="F48" t="s">
        <v>568</v>
      </c>
      <c r="G48" t="s">
        <v>4</v>
      </c>
      <c r="H48" t="s">
        <v>5</v>
      </c>
      <c r="I48" t="s">
        <v>569</v>
      </c>
      <c r="J48">
        <v>60071174</v>
      </c>
      <c r="K48" t="s">
        <v>570</v>
      </c>
      <c r="L48" t="s">
        <v>571</v>
      </c>
      <c r="M48" t="s">
        <v>572</v>
      </c>
      <c r="N48">
        <v>1</v>
      </c>
      <c r="O48" t="s">
        <v>573</v>
      </c>
      <c r="P48">
        <v>6602533057</v>
      </c>
      <c r="Q48">
        <v>60071174</v>
      </c>
      <c r="R48" s="1">
        <v>30000</v>
      </c>
      <c r="S48" s="2">
        <f t="shared" si="0"/>
        <v>1982</v>
      </c>
      <c r="T48" s="2">
        <v>1982</v>
      </c>
      <c r="U48" s="2">
        <f t="shared" si="1"/>
        <v>40</v>
      </c>
      <c r="V48" s="1">
        <v>30000</v>
      </c>
      <c r="W48" t="s">
        <v>67</v>
      </c>
      <c r="X48" s="3">
        <v>0.375</v>
      </c>
      <c r="Y48" s="4">
        <f>(X48-'[1]1982'!$Z$4)/('[1]1982'!$Z$3-'[1]1982'!$Z$4)</f>
        <v>1.0010410827260351E-2</v>
      </c>
      <c r="AA48">
        <v>135194</v>
      </c>
      <c r="AB48">
        <v>24918</v>
      </c>
      <c r="AD48" t="s">
        <v>15</v>
      </c>
      <c r="AE48">
        <v>18</v>
      </c>
      <c r="AF48">
        <v>4</v>
      </c>
      <c r="AH48" t="s">
        <v>574</v>
      </c>
      <c r="AI48" t="s">
        <v>575</v>
      </c>
      <c r="AJ48" t="s">
        <v>576</v>
      </c>
      <c r="AK48" t="s">
        <v>577</v>
      </c>
      <c r="AL48">
        <v>0</v>
      </c>
      <c r="AM48" s="5">
        <f t="shared" si="2"/>
        <v>0</v>
      </c>
      <c r="AN48" s="6">
        <f>(AM48-'[1]1982'!$AO$4)/('[1]1982'!$AO$3-'[1]1982'!$AO$4)</f>
        <v>0</v>
      </c>
      <c r="AO48" s="7"/>
      <c r="AP48">
        <v>0</v>
      </c>
      <c r="AR48" t="s">
        <v>19</v>
      </c>
      <c r="AT48" s="3">
        <v>1.3140000000000001</v>
      </c>
      <c r="AU48" s="8">
        <f t="shared" si="3"/>
        <v>0.70072875790822453</v>
      </c>
      <c r="AV48" s="8">
        <f t="shared" si="4"/>
        <v>0.5005205413630176</v>
      </c>
      <c r="AW48" s="8">
        <f t="shared" si="5"/>
        <v>0.30031232481781051</v>
      </c>
    </row>
    <row r="49" spans="1:49" x14ac:dyDescent="0.2">
      <c r="A49">
        <v>47</v>
      </c>
      <c r="B49" t="s">
        <v>578</v>
      </c>
      <c r="C49" t="s">
        <v>579</v>
      </c>
      <c r="F49" t="s">
        <v>580</v>
      </c>
      <c r="G49" t="s">
        <v>4</v>
      </c>
      <c r="H49" t="s">
        <v>5</v>
      </c>
      <c r="I49" t="s">
        <v>581</v>
      </c>
      <c r="J49">
        <v>60030526</v>
      </c>
      <c r="K49" t="s">
        <v>582</v>
      </c>
      <c r="L49" t="s">
        <v>583</v>
      </c>
      <c r="M49" t="s">
        <v>485</v>
      </c>
      <c r="N49">
        <v>3</v>
      </c>
      <c r="O49" t="s">
        <v>584</v>
      </c>
      <c r="P49" t="s">
        <v>585</v>
      </c>
      <c r="Q49" t="s">
        <v>586</v>
      </c>
      <c r="R49" s="1">
        <v>30000</v>
      </c>
      <c r="S49" s="2">
        <f t="shared" si="0"/>
        <v>1982</v>
      </c>
      <c r="T49" s="2">
        <v>1982</v>
      </c>
      <c r="U49" s="2">
        <f t="shared" si="1"/>
        <v>40</v>
      </c>
      <c r="V49" s="1">
        <v>30000</v>
      </c>
      <c r="W49" t="s">
        <v>67</v>
      </c>
      <c r="X49" s="3">
        <v>0.375</v>
      </c>
      <c r="Y49" s="4">
        <f>(X49-'[1]1982'!$Z$4)/('[1]1982'!$Z$3-'[1]1982'!$Z$4)</f>
        <v>1.0010410827260351E-2</v>
      </c>
      <c r="AA49">
        <v>135194</v>
      </c>
      <c r="AB49">
        <v>24918</v>
      </c>
      <c r="AD49" t="s">
        <v>15</v>
      </c>
      <c r="AE49">
        <v>18</v>
      </c>
      <c r="AF49">
        <v>4</v>
      </c>
      <c r="AH49" t="s">
        <v>587</v>
      </c>
      <c r="AI49" t="s">
        <v>588</v>
      </c>
      <c r="AJ49" t="s">
        <v>576</v>
      </c>
      <c r="AK49" t="s">
        <v>589</v>
      </c>
      <c r="AL49">
        <v>4</v>
      </c>
      <c r="AM49" s="5">
        <f t="shared" si="2"/>
        <v>0.1</v>
      </c>
      <c r="AN49" s="6">
        <f>(AM49-'[1]1982'!$AO$4)/('[1]1982'!$AO$3-'[1]1982'!$AO$4)</f>
        <v>1.5145778114350627E-4</v>
      </c>
      <c r="AO49" s="7"/>
      <c r="AP49">
        <v>0</v>
      </c>
      <c r="AR49" t="s">
        <v>19</v>
      </c>
      <c r="AT49" s="3">
        <v>1.3140000000000001</v>
      </c>
      <c r="AU49" s="8">
        <f t="shared" si="3"/>
        <v>0.70527249134252978</v>
      </c>
      <c r="AV49" s="8">
        <f t="shared" si="4"/>
        <v>0.50809343042019284</v>
      </c>
      <c r="AW49" s="8">
        <f t="shared" si="5"/>
        <v>0.31091436949785595</v>
      </c>
    </row>
    <row r="50" spans="1:49" x14ac:dyDescent="0.2">
      <c r="A50">
        <v>48</v>
      </c>
      <c r="B50" t="s">
        <v>590</v>
      </c>
      <c r="C50" t="s">
        <v>591</v>
      </c>
      <c r="D50">
        <v>5272882903061</v>
      </c>
      <c r="F50" t="s">
        <v>592</v>
      </c>
      <c r="G50" t="s">
        <v>4</v>
      </c>
      <c r="H50" t="s">
        <v>5</v>
      </c>
      <c r="I50" t="s">
        <v>593</v>
      </c>
      <c r="J50">
        <v>60011047</v>
      </c>
      <c r="K50" t="s">
        <v>594</v>
      </c>
      <c r="L50" t="s">
        <v>595</v>
      </c>
      <c r="M50" t="s">
        <v>485</v>
      </c>
      <c r="N50">
        <v>4</v>
      </c>
      <c r="O50" t="s">
        <v>596</v>
      </c>
      <c r="P50" t="s">
        <v>597</v>
      </c>
      <c r="Q50" t="s">
        <v>598</v>
      </c>
      <c r="R50" s="1">
        <v>29999</v>
      </c>
      <c r="S50" s="2">
        <f t="shared" si="0"/>
        <v>1982</v>
      </c>
      <c r="T50" s="2">
        <v>1982</v>
      </c>
      <c r="U50" s="2">
        <f t="shared" si="1"/>
        <v>40</v>
      </c>
      <c r="V50" s="1">
        <v>29999</v>
      </c>
      <c r="W50" t="s">
        <v>44</v>
      </c>
      <c r="X50" s="3">
        <v>1.59</v>
      </c>
      <c r="Y50" s="4">
        <f>(X50-'[1]1982'!$Z$4)/('[1]1982'!$Z$3-'[1]1982'!$Z$4)</f>
        <v>4.2444141907583888E-2</v>
      </c>
      <c r="AA50">
        <v>52728</v>
      </c>
      <c r="AB50">
        <v>16791</v>
      </c>
      <c r="AD50" t="s">
        <v>15</v>
      </c>
      <c r="AE50">
        <v>679</v>
      </c>
      <c r="AF50">
        <v>2</v>
      </c>
      <c r="AH50" t="s">
        <v>599</v>
      </c>
      <c r="AI50" t="s">
        <v>600</v>
      </c>
      <c r="AJ50" t="s">
        <v>601</v>
      </c>
      <c r="AK50" t="s">
        <v>602</v>
      </c>
      <c r="AL50">
        <v>30</v>
      </c>
      <c r="AM50" s="5">
        <f t="shared" si="2"/>
        <v>0.75</v>
      </c>
      <c r="AN50" s="6">
        <f>(AM50-'[1]1982'!$AO$4)/('[1]1982'!$AO$3-'[1]1982'!$AO$4)</f>
        <v>1.1359333585762969E-3</v>
      </c>
      <c r="AO50" s="7"/>
      <c r="AP50">
        <v>0</v>
      </c>
      <c r="AQ50" t="s">
        <v>603</v>
      </c>
      <c r="AR50" t="s">
        <v>19</v>
      </c>
      <c r="AS50" t="s">
        <v>604</v>
      </c>
      <c r="AT50" s="3" t="s">
        <v>20</v>
      </c>
      <c r="AU50" s="8">
        <f t="shared" si="3"/>
        <v>3.0051679342881608</v>
      </c>
      <c r="AV50" s="8">
        <f t="shared" si="4"/>
        <v>2.1790037633080095</v>
      </c>
      <c r="AW50" s="8">
        <f t="shared" si="5"/>
        <v>1.3528395923278573</v>
      </c>
    </row>
    <row r="51" spans="1:49" x14ac:dyDescent="0.2">
      <c r="A51">
        <v>49</v>
      </c>
      <c r="B51" t="s">
        <v>605</v>
      </c>
      <c r="C51" t="s">
        <v>606</v>
      </c>
      <c r="D51">
        <v>5272882903048</v>
      </c>
      <c r="F51" t="s">
        <v>607</v>
      </c>
      <c r="G51" t="s">
        <v>4</v>
      </c>
      <c r="H51" t="s">
        <v>5</v>
      </c>
      <c r="I51" t="s">
        <v>608</v>
      </c>
      <c r="J51" t="s">
        <v>609</v>
      </c>
      <c r="K51" t="s">
        <v>610</v>
      </c>
      <c r="L51" t="s">
        <v>611</v>
      </c>
      <c r="M51" t="s">
        <v>612</v>
      </c>
      <c r="N51">
        <v>3</v>
      </c>
      <c r="O51" t="s">
        <v>613</v>
      </c>
      <c r="P51" t="s">
        <v>614</v>
      </c>
      <c r="Q51" t="s">
        <v>615</v>
      </c>
      <c r="R51" s="1">
        <v>29999</v>
      </c>
      <c r="S51" s="2">
        <f t="shared" si="0"/>
        <v>1982</v>
      </c>
      <c r="T51" s="2">
        <v>1982</v>
      </c>
      <c r="U51" s="2">
        <f t="shared" si="1"/>
        <v>40</v>
      </c>
      <c r="V51" s="1">
        <v>29999</v>
      </c>
      <c r="W51" t="s">
        <v>44</v>
      </c>
      <c r="X51" s="3">
        <v>1.59</v>
      </c>
      <c r="Y51" s="4">
        <f>(X51-'[1]1982'!$Z$4)/('[1]1982'!$Z$3-'[1]1982'!$Z$4)</f>
        <v>4.2444141907583888E-2</v>
      </c>
      <c r="AA51">
        <v>52728</v>
      </c>
      <c r="AB51">
        <v>16791</v>
      </c>
      <c r="AD51" t="s">
        <v>15</v>
      </c>
      <c r="AE51">
        <v>679</v>
      </c>
      <c r="AF51">
        <v>2</v>
      </c>
      <c r="AH51" t="s">
        <v>616</v>
      </c>
      <c r="AI51" t="s">
        <v>617</v>
      </c>
      <c r="AJ51" t="s">
        <v>618</v>
      </c>
      <c r="AK51" t="s">
        <v>619</v>
      </c>
      <c r="AL51">
        <v>41</v>
      </c>
      <c r="AM51" s="5">
        <f t="shared" si="2"/>
        <v>1.0249999999999999</v>
      </c>
      <c r="AN51" s="6">
        <f>(AM51-'[1]1982'!$AO$4)/('[1]1982'!$AO$3-'[1]1982'!$AO$4)</f>
        <v>1.552442256720939E-3</v>
      </c>
      <c r="AO51" s="7"/>
      <c r="AP51">
        <v>0</v>
      </c>
      <c r="AR51" t="s">
        <v>19</v>
      </c>
      <c r="AT51" s="3" t="s">
        <v>20</v>
      </c>
      <c r="AU51" s="8">
        <f t="shared" si="3"/>
        <v>3.0176632012325002</v>
      </c>
      <c r="AV51" s="8">
        <f t="shared" si="4"/>
        <v>2.1998292082152413</v>
      </c>
      <c r="AW51" s="8">
        <f t="shared" si="5"/>
        <v>1.3819952151979822</v>
      </c>
    </row>
    <row r="52" spans="1:49" x14ac:dyDescent="0.2">
      <c r="A52">
        <v>50</v>
      </c>
      <c r="B52" t="s">
        <v>620</v>
      </c>
      <c r="C52" t="s">
        <v>621</v>
      </c>
      <c r="D52">
        <v>14579382803864</v>
      </c>
      <c r="F52" t="s">
        <v>622</v>
      </c>
      <c r="G52" t="s">
        <v>4</v>
      </c>
      <c r="H52" t="s">
        <v>5</v>
      </c>
      <c r="I52" t="s">
        <v>623</v>
      </c>
      <c r="J52" t="s">
        <v>25</v>
      </c>
      <c r="K52" t="s">
        <v>26</v>
      </c>
      <c r="L52" t="s">
        <v>27</v>
      </c>
      <c r="M52" t="s">
        <v>28</v>
      </c>
      <c r="N52">
        <v>5</v>
      </c>
      <c r="O52" t="s">
        <v>624</v>
      </c>
      <c r="P52" t="s">
        <v>625</v>
      </c>
      <c r="Q52" t="s">
        <v>626</v>
      </c>
      <c r="R52" s="1">
        <v>29990</v>
      </c>
      <c r="S52" s="2">
        <f t="shared" si="0"/>
        <v>1982</v>
      </c>
      <c r="T52" s="2">
        <v>1982</v>
      </c>
      <c r="U52" s="2">
        <f t="shared" si="1"/>
        <v>40</v>
      </c>
      <c r="V52" s="1">
        <v>29990</v>
      </c>
      <c r="W52" t="s">
        <v>32</v>
      </c>
      <c r="X52" s="3">
        <v>1.593</v>
      </c>
      <c r="Y52" s="4">
        <f>(X52-'[1]1982'!$Z$4)/('[1]1982'!$Z$3-'[1]1982'!$Z$4)</f>
        <v>4.2524225194201973E-2</v>
      </c>
      <c r="AA52">
        <v>145793</v>
      </c>
      <c r="AB52">
        <v>17481</v>
      </c>
      <c r="AD52" t="s">
        <v>15</v>
      </c>
      <c r="AE52">
        <v>138</v>
      </c>
      <c r="AF52">
        <v>1</v>
      </c>
      <c r="AH52" t="s">
        <v>627</v>
      </c>
      <c r="AL52">
        <v>63</v>
      </c>
      <c r="AM52" s="5">
        <f t="shared" si="2"/>
        <v>1.575</v>
      </c>
      <c r="AN52" s="6">
        <f>(AM52-'[1]1982'!$AO$4)/('[1]1982'!$AO$3-'[1]1982'!$AO$4)</f>
        <v>2.3854600530102232E-3</v>
      </c>
      <c r="AO52" s="7"/>
      <c r="AP52">
        <v>0</v>
      </c>
      <c r="AR52" t="s">
        <v>19</v>
      </c>
      <c r="AT52" s="3">
        <v>4.1239999999999997</v>
      </c>
      <c r="AU52" s="8">
        <f t="shared" si="3"/>
        <v>3.0482595651844449</v>
      </c>
      <c r="AV52" s="8">
        <f t="shared" si="4"/>
        <v>2.2454842623606095</v>
      </c>
      <c r="AW52" s="8">
        <f t="shared" si="5"/>
        <v>1.4427089595367748</v>
      </c>
    </row>
    <row r="53" spans="1:49" x14ac:dyDescent="0.2">
      <c r="A53">
        <v>51</v>
      </c>
      <c r="B53" t="s">
        <v>628</v>
      </c>
      <c r="C53" t="s">
        <v>629</v>
      </c>
      <c r="F53" t="s">
        <v>630</v>
      </c>
      <c r="G53" t="s">
        <v>4</v>
      </c>
      <c r="H53" t="s">
        <v>5</v>
      </c>
      <c r="I53" t="s">
        <v>631</v>
      </c>
      <c r="N53">
        <v>1</v>
      </c>
      <c r="O53" t="s">
        <v>632</v>
      </c>
      <c r="P53">
        <v>6602002875</v>
      </c>
      <c r="R53" s="1">
        <v>29983</v>
      </c>
      <c r="S53" s="2">
        <f t="shared" si="0"/>
        <v>1982</v>
      </c>
      <c r="T53" s="2">
        <v>1982</v>
      </c>
      <c r="U53" s="2">
        <f t="shared" si="1"/>
        <v>40</v>
      </c>
      <c r="V53" s="1">
        <v>29983</v>
      </c>
      <c r="W53" t="s">
        <v>157</v>
      </c>
      <c r="X53" s="3">
        <v>0.318</v>
      </c>
      <c r="Y53" s="4">
        <f>(X53-'[1]1982'!$Z$4)/('[1]1982'!$Z$3-'[1]1982'!$Z$4)</f>
        <v>8.4888283815167786E-3</v>
      </c>
      <c r="AA53">
        <v>338443</v>
      </c>
      <c r="AB53">
        <v>27160</v>
      </c>
      <c r="AC53">
        <v>15739120</v>
      </c>
      <c r="AD53" t="s">
        <v>15</v>
      </c>
      <c r="AE53">
        <v>25</v>
      </c>
      <c r="AF53">
        <v>2</v>
      </c>
      <c r="AH53" t="s">
        <v>633</v>
      </c>
      <c r="AL53">
        <v>0</v>
      </c>
      <c r="AM53" s="5">
        <f t="shared" si="2"/>
        <v>0</v>
      </c>
      <c r="AN53" s="6">
        <f>(AM53-'[1]1982'!$AO$4)/('[1]1982'!$AO$3-'[1]1982'!$AO$4)</f>
        <v>0</v>
      </c>
      <c r="AO53" s="7"/>
      <c r="AP53">
        <v>0</v>
      </c>
      <c r="AR53" t="s">
        <v>19</v>
      </c>
      <c r="AT53" s="3">
        <v>0.77</v>
      </c>
      <c r="AU53" s="8">
        <f t="shared" si="3"/>
        <v>0.59421798670617454</v>
      </c>
      <c r="AV53" s="8">
        <f t="shared" si="4"/>
        <v>0.42444141907583893</v>
      </c>
      <c r="AW53" s="8">
        <f t="shared" si="5"/>
        <v>0.25466485144550338</v>
      </c>
    </row>
    <row r="54" spans="1:49" x14ac:dyDescent="0.2">
      <c r="A54">
        <v>52</v>
      </c>
      <c r="B54" t="s">
        <v>634</v>
      </c>
      <c r="C54" t="s">
        <v>635</v>
      </c>
      <c r="F54" t="s">
        <v>636</v>
      </c>
      <c r="G54" t="s">
        <v>4</v>
      </c>
      <c r="H54" t="s">
        <v>5</v>
      </c>
      <c r="I54" t="s">
        <v>637</v>
      </c>
      <c r="J54">
        <v>60008721</v>
      </c>
      <c r="K54" t="s">
        <v>638</v>
      </c>
      <c r="L54" t="s">
        <v>639</v>
      </c>
      <c r="M54" t="s">
        <v>640</v>
      </c>
      <c r="N54">
        <v>3</v>
      </c>
      <c r="O54" t="s">
        <v>641</v>
      </c>
      <c r="P54" t="s">
        <v>642</v>
      </c>
      <c r="Q54" t="s">
        <v>643</v>
      </c>
      <c r="R54" s="1">
        <v>29983</v>
      </c>
      <c r="S54" s="2">
        <f t="shared" si="0"/>
        <v>1982</v>
      </c>
      <c r="T54" s="2">
        <v>1982</v>
      </c>
      <c r="U54" s="2">
        <f t="shared" si="1"/>
        <v>40</v>
      </c>
      <c r="V54" s="1">
        <v>29983</v>
      </c>
      <c r="W54" t="s">
        <v>644</v>
      </c>
      <c r="X54" s="3" t="s">
        <v>20</v>
      </c>
      <c r="Y54" s="4" t="e">
        <f>(X54-'[1]1982'!$Z$4)/('[1]1982'!$Z$3-'[1]1982'!$Z$4)</f>
        <v>#VALUE!</v>
      </c>
      <c r="AA54">
        <v>144754</v>
      </c>
      <c r="AB54">
        <v>74305</v>
      </c>
      <c r="AC54">
        <v>14209071</v>
      </c>
      <c r="AD54" t="s">
        <v>15</v>
      </c>
      <c r="AE54">
        <v>38</v>
      </c>
      <c r="AF54">
        <v>2</v>
      </c>
      <c r="AH54" t="s">
        <v>645</v>
      </c>
      <c r="AI54" t="s">
        <v>646</v>
      </c>
      <c r="AK54" t="s">
        <v>647</v>
      </c>
      <c r="AL54">
        <v>3</v>
      </c>
      <c r="AM54" s="5">
        <f t="shared" si="2"/>
        <v>7.4999999999999997E-2</v>
      </c>
      <c r="AN54" s="6">
        <f>(AM54-'[1]1982'!$AO$4)/('[1]1982'!$AO$3-'[1]1982'!$AO$4)</f>
        <v>1.1359333585762968E-4</v>
      </c>
      <c r="AO54" s="7"/>
      <c r="AP54">
        <v>0</v>
      </c>
      <c r="AR54" t="s">
        <v>19</v>
      </c>
      <c r="AT54" s="3" t="s">
        <v>20</v>
      </c>
      <c r="AU54" s="8" t="e">
        <f t="shared" si="3"/>
        <v>#VALUE!</v>
      </c>
      <c r="AV54" s="8" t="e">
        <f t="shared" si="4"/>
        <v>#VALUE!</v>
      </c>
      <c r="AW54" s="8" t="e">
        <f t="shared" si="5"/>
        <v>#VALUE!</v>
      </c>
    </row>
    <row r="55" spans="1:49" x14ac:dyDescent="0.2">
      <c r="A55">
        <v>53</v>
      </c>
      <c r="B55" t="s">
        <v>648</v>
      </c>
      <c r="C55" t="s">
        <v>649</v>
      </c>
      <c r="E55">
        <v>7066962</v>
      </c>
      <c r="F55" t="s">
        <v>650</v>
      </c>
      <c r="G55" t="s">
        <v>4</v>
      </c>
      <c r="H55" t="s">
        <v>5</v>
      </c>
      <c r="I55" t="s">
        <v>651</v>
      </c>
      <c r="J55" t="s">
        <v>652</v>
      </c>
      <c r="K55" t="s">
        <v>653</v>
      </c>
      <c r="L55" t="s">
        <v>654</v>
      </c>
      <c r="M55" t="s">
        <v>655</v>
      </c>
      <c r="N55">
        <v>2</v>
      </c>
      <c r="O55" t="s">
        <v>656</v>
      </c>
      <c r="P55" t="s">
        <v>657</v>
      </c>
      <c r="Q55" t="s">
        <v>658</v>
      </c>
      <c r="R55" s="1">
        <v>29983</v>
      </c>
      <c r="S55" s="2">
        <f t="shared" si="0"/>
        <v>1982</v>
      </c>
      <c r="T55" s="2">
        <v>1982</v>
      </c>
      <c r="U55" s="2">
        <f t="shared" si="1"/>
        <v>40</v>
      </c>
      <c r="V55" s="1">
        <v>29983</v>
      </c>
      <c r="W55" t="s">
        <v>174</v>
      </c>
      <c r="X55" s="3">
        <v>1.64</v>
      </c>
      <c r="Y55" s="4">
        <f>(X55-'[1]1982'!$Z$4)/('[1]1982'!$Z$3-'[1]1982'!$Z$4)</f>
        <v>4.3778863351218597E-2</v>
      </c>
      <c r="AA55" t="s">
        <v>175</v>
      </c>
      <c r="AB55">
        <v>18446</v>
      </c>
      <c r="AC55">
        <v>14320878</v>
      </c>
      <c r="AD55" t="s">
        <v>15</v>
      </c>
      <c r="AE55">
        <v>223</v>
      </c>
      <c r="AF55">
        <v>1</v>
      </c>
      <c r="AH55" s="10">
        <v>46388</v>
      </c>
      <c r="AI55" t="s">
        <v>659</v>
      </c>
      <c r="AJ55" t="s">
        <v>660</v>
      </c>
      <c r="AK55" t="s">
        <v>661</v>
      </c>
      <c r="AL55">
        <v>27</v>
      </c>
      <c r="AM55" s="5">
        <f t="shared" si="2"/>
        <v>0.67500000000000004</v>
      </c>
      <c r="AN55" s="6">
        <f>(AM55-'[1]1982'!$AO$4)/('[1]1982'!$AO$3-'[1]1982'!$AO$4)</f>
        <v>1.0223400227186673E-3</v>
      </c>
      <c r="AO55" s="7"/>
      <c r="AP55">
        <v>0</v>
      </c>
      <c r="AR55" t="s">
        <v>19</v>
      </c>
      <c r="AT55" s="3">
        <v>5.2489999999999997</v>
      </c>
      <c r="AU55" s="8">
        <f t="shared" si="3"/>
        <v>3.0951906352668614</v>
      </c>
      <c r="AV55" s="8">
        <f t="shared" si="4"/>
        <v>2.2400601686968633</v>
      </c>
      <c r="AW55" s="8">
        <f t="shared" si="5"/>
        <v>1.3849297021268645</v>
      </c>
    </row>
    <row r="56" spans="1:49" x14ac:dyDescent="0.2">
      <c r="A56">
        <v>54</v>
      </c>
      <c r="B56" t="s">
        <v>662</v>
      </c>
      <c r="C56" t="s">
        <v>663</v>
      </c>
      <c r="F56" t="s">
        <v>664</v>
      </c>
      <c r="G56" t="s">
        <v>4</v>
      </c>
      <c r="H56" t="s">
        <v>5</v>
      </c>
      <c r="I56" t="s">
        <v>665</v>
      </c>
      <c r="J56">
        <v>60002793</v>
      </c>
      <c r="K56" t="s">
        <v>666</v>
      </c>
      <c r="L56" t="s">
        <v>667</v>
      </c>
      <c r="M56" t="s">
        <v>94</v>
      </c>
      <c r="N56">
        <v>3</v>
      </c>
      <c r="O56" t="s">
        <v>668</v>
      </c>
      <c r="P56" t="s">
        <v>669</v>
      </c>
      <c r="Q56" t="s">
        <v>670</v>
      </c>
      <c r="R56" s="1">
        <v>29983</v>
      </c>
      <c r="S56" s="2">
        <f t="shared" si="0"/>
        <v>1982</v>
      </c>
      <c r="T56" s="2">
        <v>1982</v>
      </c>
      <c r="U56" s="2">
        <f t="shared" si="1"/>
        <v>40</v>
      </c>
      <c r="V56" s="1">
        <v>29983</v>
      </c>
      <c r="W56" t="s">
        <v>275</v>
      </c>
      <c r="X56" s="3">
        <v>0.85499999999999998</v>
      </c>
      <c r="Y56" s="4">
        <f>(X56-'[1]1982'!$Z$4)/('[1]1982'!$Z$3-'[1]1982'!$Z$4)</f>
        <v>2.28237366861536E-2</v>
      </c>
      <c r="AA56">
        <v>980331</v>
      </c>
      <c r="AB56">
        <v>23342</v>
      </c>
      <c r="AC56">
        <v>15731561</v>
      </c>
      <c r="AD56" t="s">
        <v>15</v>
      </c>
      <c r="AE56">
        <v>8</v>
      </c>
      <c r="AF56">
        <v>2</v>
      </c>
      <c r="AH56" t="s">
        <v>671</v>
      </c>
      <c r="AI56" t="s">
        <v>672</v>
      </c>
      <c r="AJ56" t="s">
        <v>673</v>
      </c>
      <c r="AK56" t="s">
        <v>674</v>
      </c>
      <c r="AL56">
        <v>11</v>
      </c>
      <c r="AM56" s="5">
        <f t="shared" si="2"/>
        <v>0.27500000000000002</v>
      </c>
      <c r="AN56" s="6">
        <f>(AM56-'[1]1982'!$AO$4)/('[1]1982'!$AO$3-'[1]1982'!$AO$4)</f>
        <v>4.1650889814464221E-4</v>
      </c>
      <c r="AO56" s="7"/>
      <c r="AP56">
        <v>0</v>
      </c>
      <c r="AR56" t="s">
        <v>19</v>
      </c>
      <c r="AT56" s="3">
        <v>2.6259999999999999</v>
      </c>
      <c r="AU56" s="8">
        <f t="shared" si="3"/>
        <v>1.6101568349750912</v>
      </c>
      <c r="AV56" s="8">
        <f t="shared" si="4"/>
        <v>1.1620122792149121</v>
      </c>
      <c r="AW56" s="8">
        <f t="shared" si="5"/>
        <v>0.71386772345473304</v>
      </c>
    </row>
    <row r="57" spans="1:49" x14ac:dyDescent="0.2">
      <c r="A57">
        <v>55</v>
      </c>
      <c r="B57" t="s">
        <v>675</v>
      </c>
      <c r="C57" t="s">
        <v>676</v>
      </c>
      <c r="F57" t="s">
        <v>677</v>
      </c>
      <c r="G57" t="s">
        <v>4</v>
      </c>
      <c r="H57" t="s">
        <v>5</v>
      </c>
      <c r="I57" t="s">
        <v>678</v>
      </c>
      <c r="J57" t="s">
        <v>679</v>
      </c>
      <c r="K57" t="s">
        <v>680</v>
      </c>
      <c r="L57" t="s">
        <v>681</v>
      </c>
      <c r="M57" t="s">
        <v>682</v>
      </c>
      <c r="N57">
        <v>3</v>
      </c>
      <c r="O57" t="s">
        <v>683</v>
      </c>
      <c r="P57" t="s">
        <v>684</v>
      </c>
      <c r="Q57" t="s">
        <v>685</v>
      </c>
      <c r="R57" s="1">
        <v>29983</v>
      </c>
      <c r="S57" s="2">
        <f t="shared" si="0"/>
        <v>1982</v>
      </c>
      <c r="T57" s="2">
        <v>1982</v>
      </c>
      <c r="U57" s="2">
        <f t="shared" si="1"/>
        <v>40</v>
      </c>
      <c r="V57" s="1">
        <v>29983</v>
      </c>
      <c r="W57" t="s">
        <v>275</v>
      </c>
      <c r="X57" s="3">
        <v>0.85499999999999998</v>
      </c>
      <c r="Y57" s="4">
        <f>(X57-'[1]1982'!$Z$4)/('[1]1982'!$Z$3-'[1]1982'!$Z$4)</f>
        <v>2.28237366861536E-2</v>
      </c>
      <c r="AA57">
        <v>980331</v>
      </c>
      <c r="AB57">
        <v>23342</v>
      </c>
      <c r="AC57">
        <v>15731561</v>
      </c>
      <c r="AD57" t="s">
        <v>15</v>
      </c>
      <c r="AE57">
        <v>8</v>
      </c>
      <c r="AF57">
        <v>2</v>
      </c>
      <c r="AH57" t="s">
        <v>686</v>
      </c>
      <c r="AI57" t="s">
        <v>687</v>
      </c>
      <c r="AJ57" t="s">
        <v>688</v>
      </c>
      <c r="AK57" t="s">
        <v>689</v>
      </c>
      <c r="AL57">
        <v>56</v>
      </c>
      <c r="AM57" s="5">
        <f t="shared" si="2"/>
        <v>1.4</v>
      </c>
      <c r="AN57" s="6">
        <f>(AM57-'[1]1982'!$AO$4)/('[1]1982'!$AO$3-'[1]1982'!$AO$4)</f>
        <v>2.1204089360090874E-3</v>
      </c>
      <c r="AO57" s="7"/>
      <c r="AP57">
        <v>0</v>
      </c>
      <c r="AR57" t="s">
        <v>19</v>
      </c>
      <c r="AT57" s="3">
        <v>2.6259999999999999</v>
      </c>
      <c r="AU57" s="8">
        <f t="shared" si="3"/>
        <v>1.6612738361110244</v>
      </c>
      <c r="AV57" s="8">
        <f t="shared" si="4"/>
        <v>1.2472072811081343</v>
      </c>
      <c r="AW57" s="8">
        <f t="shared" si="5"/>
        <v>0.83314072610524403</v>
      </c>
    </row>
    <row r="58" spans="1:49" x14ac:dyDescent="0.2">
      <c r="A58">
        <v>56</v>
      </c>
      <c r="B58" t="s">
        <v>690</v>
      </c>
      <c r="C58" t="s">
        <v>691</v>
      </c>
      <c r="F58" t="s">
        <v>692</v>
      </c>
      <c r="G58" t="s">
        <v>4</v>
      </c>
      <c r="H58" t="s">
        <v>5</v>
      </c>
      <c r="I58" t="s">
        <v>693</v>
      </c>
      <c r="J58">
        <v>60010818</v>
      </c>
      <c r="K58" t="s">
        <v>350</v>
      </c>
      <c r="L58" t="s">
        <v>351</v>
      </c>
      <c r="M58" t="s">
        <v>94</v>
      </c>
      <c r="N58">
        <v>2</v>
      </c>
      <c r="O58" t="s">
        <v>694</v>
      </c>
      <c r="P58" t="s">
        <v>695</v>
      </c>
      <c r="Q58" t="s">
        <v>354</v>
      </c>
      <c r="R58" s="1">
        <v>29972</v>
      </c>
      <c r="S58" s="2">
        <f t="shared" si="0"/>
        <v>1982</v>
      </c>
      <c r="T58" s="2">
        <v>1982</v>
      </c>
      <c r="U58" s="2">
        <f t="shared" si="1"/>
        <v>40</v>
      </c>
      <c r="V58" s="1">
        <v>29972</v>
      </c>
      <c r="W58" t="s">
        <v>67</v>
      </c>
      <c r="X58" s="3">
        <v>0.375</v>
      </c>
      <c r="Y58" s="4">
        <f>(X58-'[1]1982'!$Z$4)/('[1]1982'!$Z$3-'[1]1982'!$Z$4)</f>
        <v>1.0010410827260351E-2</v>
      </c>
      <c r="AA58">
        <v>135194</v>
      </c>
      <c r="AB58">
        <v>24918</v>
      </c>
      <c r="AD58" t="s">
        <v>15</v>
      </c>
      <c r="AE58">
        <v>18</v>
      </c>
      <c r="AF58">
        <v>2</v>
      </c>
      <c r="AH58" t="s">
        <v>696</v>
      </c>
      <c r="AI58" t="s">
        <v>697</v>
      </c>
      <c r="AJ58" t="s">
        <v>698</v>
      </c>
      <c r="AK58" t="s">
        <v>699</v>
      </c>
      <c r="AL58">
        <v>13</v>
      </c>
      <c r="AM58" s="5">
        <f t="shared" si="2"/>
        <v>0.32500000000000001</v>
      </c>
      <c r="AN58" s="6">
        <f>(AM58-'[1]1982'!$AO$4)/('[1]1982'!$AO$3-'[1]1982'!$AO$4)</f>
        <v>4.9223778871639533E-4</v>
      </c>
      <c r="AO58" s="7"/>
      <c r="AP58">
        <v>0</v>
      </c>
      <c r="AR58" t="s">
        <v>19</v>
      </c>
      <c r="AT58" s="3">
        <v>1.3140000000000001</v>
      </c>
      <c r="AU58" s="8">
        <f t="shared" si="3"/>
        <v>0.71549589156971638</v>
      </c>
      <c r="AV58" s="8">
        <f t="shared" si="4"/>
        <v>0.52513243079883731</v>
      </c>
      <c r="AW58" s="8">
        <f t="shared" si="5"/>
        <v>0.33476897002795819</v>
      </c>
    </row>
    <row r="59" spans="1:49" x14ac:dyDescent="0.2">
      <c r="A59">
        <v>57</v>
      </c>
      <c r="B59" t="s">
        <v>700</v>
      </c>
      <c r="C59" t="s">
        <v>701</v>
      </c>
      <c r="F59" t="s">
        <v>702</v>
      </c>
      <c r="G59" t="s">
        <v>4</v>
      </c>
      <c r="H59" t="s">
        <v>5</v>
      </c>
      <c r="I59" t="s">
        <v>703</v>
      </c>
      <c r="J59">
        <v>60018829</v>
      </c>
      <c r="K59" t="s">
        <v>704</v>
      </c>
      <c r="L59" t="s">
        <v>705</v>
      </c>
      <c r="M59" t="s">
        <v>94</v>
      </c>
      <c r="N59">
        <v>2</v>
      </c>
      <c r="O59" t="s">
        <v>706</v>
      </c>
      <c r="P59" t="s">
        <v>707</v>
      </c>
      <c r="Q59" t="s">
        <v>708</v>
      </c>
      <c r="R59" s="1">
        <v>29972</v>
      </c>
      <c r="S59" s="2">
        <f t="shared" si="0"/>
        <v>1982</v>
      </c>
      <c r="T59" s="2">
        <v>1982</v>
      </c>
      <c r="U59" s="2">
        <f t="shared" si="1"/>
        <v>40</v>
      </c>
      <c r="V59" s="1">
        <v>29972</v>
      </c>
      <c r="W59" t="s">
        <v>67</v>
      </c>
      <c r="X59" s="3">
        <v>0.375</v>
      </c>
      <c r="Y59" s="4">
        <f>(X59-'[1]1982'!$Z$4)/('[1]1982'!$Z$3-'[1]1982'!$Z$4)</f>
        <v>1.0010410827260351E-2</v>
      </c>
      <c r="AA59">
        <v>135194</v>
      </c>
      <c r="AB59">
        <v>24918</v>
      </c>
      <c r="AD59" t="s">
        <v>15</v>
      </c>
      <c r="AE59">
        <v>18</v>
      </c>
      <c r="AF59">
        <v>2</v>
      </c>
      <c r="AH59" t="s">
        <v>709</v>
      </c>
      <c r="AI59" t="s">
        <v>710</v>
      </c>
      <c r="AJ59" t="s">
        <v>711</v>
      </c>
      <c r="AK59" t="s">
        <v>712</v>
      </c>
      <c r="AL59">
        <v>4</v>
      </c>
      <c r="AM59" s="5">
        <f t="shared" si="2"/>
        <v>0.1</v>
      </c>
      <c r="AN59" s="6">
        <f>(AM59-'[1]1982'!$AO$4)/('[1]1982'!$AO$3-'[1]1982'!$AO$4)</f>
        <v>1.5145778114350627E-4</v>
      </c>
      <c r="AO59" s="7"/>
      <c r="AP59">
        <v>0</v>
      </c>
      <c r="AR59" t="s">
        <v>19</v>
      </c>
      <c r="AT59" s="3">
        <v>1.3140000000000001</v>
      </c>
      <c r="AU59" s="8">
        <f t="shared" si="3"/>
        <v>0.70527249134252978</v>
      </c>
      <c r="AV59" s="8">
        <f t="shared" si="4"/>
        <v>0.50809343042019284</v>
      </c>
      <c r="AW59" s="8">
        <f t="shared" si="5"/>
        <v>0.31091436949785595</v>
      </c>
    </row>
    <row r="60" spans="1:49" x14ac:dyDescent="0.2">
      <c r="A60">
        <v>58</v>
      </c>
      <c r="B60" t="s">
        <v>713</v>
      </c>
      <c r="F60" t="s">
        <v>714</v>
      </c>
      <c r="G60" t="s">
        <v>4</v>
      </c>
      <c r="H60" t="s">
        <v>5</v>
      </c>
      <c r="I60" t="s">
        <v>715</v>
      </c>
      <c r="N60">
        <v>1</v>
      </c>
      <c r="O60" t="s">
        <v>716</v>
      </c>
      <c r="P60">
        <v>1</v>
      </c>
      <c r="R60" s="1">
        <v>29952</v>
      </c>
      <c r="S60" s="2">
        <f t="shared" si="0"/>
        <v>1982</v>
      </c>
      <c r="T60" s="2">
        <v>1982</v>
      </c>
      <c r="U60" s="2">
        <f t="shared" si="1"/>
        <v>40</v>
      </c>
      <c r="V60" s="1" t="s">
        <v>717</v>
      </c>
      <c r="W60" t="s">
        <v>718</v>
      </c>
      <c r="X60" s="3" t="s">
        <v>20</v>
      </c>
      <c r="Y60" s="4" t="e">
        <f>(X60-'[1]1982'!$Z$4)/('[1]1982'!$Z$3-'[1]1982'!$Z$4)</f>
        <v>#VALUE!</v>
      </c>
      <c r="AB60">
        <v>86010</v>
      </c>
      <c r="AD60" t="s">
        <v>15</v>
      </c>
      <c r="AI60" t="s">
        <v>719</v>
      </c>
      <c r="AK60" t="s">
        <v>720</v>
      </c>
      <c r="AL60">
        <v>0</v>
      </c>
      <c r="AM60" s="5">
        <f t="shared" si="2"/>
        <v>0</v>
      </c>
      <c r="AN60" s="6">
        <f>(AM60-'[1]1982'!$AO$4)/('[1]1982'!$AO$3-'[1]1982'!$AO$4)</f>
        <v>0</v>
      </c>
      <c r="AO60" s="7"/>
      <c r="AP60">
        <v>0</v>
      </c>
      <c r="AR60" t="s">
        <v>19</v>
      </c>
      <c r="AT60" s="3" t="s">
        <v>20</v>
      </c>
      <c r="AU60" s="8" t="e">
        <f t="shared" si="3"/>
        <v>#VALUE!</v>
      </c>
      <c r="AV60" s="8" t="e">
        <f t="shared" si="4"/>
        <v>#VALUE!</v>
      </c>
      <c r="AW60" s="8" t="e">
        <f t="shared" si="5"/>
        <v>#VALUE!</v>
      </c>
    </row>
    <row r="61" spans="1:49" x14ac:dyDescent="0.2">
      <c r="A61">
        <v>59</v>
      </c>
      <c r="B61" t="s">
        <v>721</v>
      </c>
      <c r="F61" t="s">
        <v>722</v>
      </c>
      <c r="G61" t="s">
        <v>4</v>
      </c>
      <c r="H61" t="s">
        <v>5</v>
      </c>
      <c r="I61" t="s">
        <v>723</v>
      </c>
      <c r="N61">
        <v>15</v>
      </c>
      <c r="O61" t="s">
        <v>724</v>
      </c>
      <c r="P61" t="s">
        <v>725</v>
      </c>
      <c r="Q61" t="s">
        <v>726</v>
      </c>
      <c r="R61" s="1">
        <v>29952</v>
      </c>
      <c r="S61" s="2">
        <f t="shared" si="0"/>
        <v>1982</v>
      </c>
      <c r="T61" s="2">
        <v>1982</v>
      </c>
      <c r="U61" s="2">
        <f t="shared" si="1"/>
        <v>40</v>
      </c>
      <c r="V61" s="1">
        <v>43040</v>
      </c>
      <c r="W61" t="s">
        <v>727</v>
      </c>
      <c r="X61" s="3" t="s">
        <v>20</v>
      </c>
      <c r="Y61" s="4" t="e">
        <f>(X61-'[1]1982'!$Z$4)/('[1]1982'!$Z$3-'[1]1982'!$Z$4)</f>
        <v>#VALUE!</v>
      </c>
      <c r="AB61">
        <v>56508</v>
      </c>
      <c r="AD61" t="s">
        <v>15</v>
      </c>
      <c r="AI61" t="s">
        <v>728</v>
      </c>
      <c r="AK61" t="s">
        <v>729</v>
      </c>
      <c r="AL61">
        <v>0</v>
      </c>
      <c r="AM61" s="5">
        <f t="shared" si="2"/>
        <v>0</v>
      </c>
      <c r="AN61" s="6">
        <f>(AM61-'[1]1982'!$AO$4)/('[1]1982'!$AO$3-'[1]1982'!$AO$4)</f>
        <v>0</v>
      </c>
      <c r="AO61" s="7"/>
      <c r="AP61">
        <v>0</v>
      </c>
      <c r="AR61" t="s">
        <v>19</v>
      </c>
      <c r="AT61" s="3" t="s">
        <v>20</v>
      </c>
      <c r="AU61" s="8" t="e">
        <f t="shared" si="3"/>
        <v>#VALUE!</v>
      </c>
      <c r="AV61" s="8" t="e">
        <f t="shared" si="4"/>
        <v>#VALUE!</v>
      </c>
      <c r="AW61" s="8" t="e">
        <f t="shared" si="5"/>
        <v>#VALUE!</v>
      </c>
    </row>
    <row r="62" spans="1:49" x14ac:dyDescent="0.2">
      <c r="A62">
        <v>60</v>
      </c>
      <c r="B62" t="s">
        <v>730</v>
      </c>
      <c r="F62" t="s">
        <v>731</v>
      </c>
      <c r="G62" t="s">
        <v>4</v>
      </c>
      <c r="H62" t="s">
        <v>5</v>
      </c>
      <c r="I62" t="s">
        <v>732</v>
      </c>
      <c r="N62">
        <v>3</v>
      </c>
      <c r="O62" t="s">
        <v>733</v>
      </c>
      <c r="P62" t="s">
        <v>734</v>
      </c>
      <c r="Q62" t="s">
        <v>145</v>
      </c>
      <c r="R62" s="1">
        <v>29952</v>
      </c>
      <c r="S62" s="2">
        <f t="shared" si="0"/>
        <v>1982</v>
      </c>
      <c r="T62" s="2">
        <v>1982</v>
      </c>
      <c r="U62" s="2">
        <f t="shared" si="1"/>
        <v>40</v>
      </c>
      <c r="V62" s="1" t="s">
        <v>735</v>
      </c>
      <c r="W62" t="s">
        <v>736</v>
      </c>
      <c r="X62" s="3" t="s">
        <v>20</v>
      </c>
      <c r="Y62" s="4" t="e">
        <f>(X62-'[1]1982'!$Z$4)/('[1]1982'!$Z$3-'[1]1982'!$Z$4)</f>
        <v>#VALUE!</v>
      </c>
      <c r="AB62">
        <v>31136</v>
      </c>
      <c r="AD62" t="s">
        <v>15</v>
      </c>
      <c r="AF62" t="s">
        <v>737</v>
      </c>
      <c r="AI62" t="s">
        <v>738</v>
      </c>
      <c r="AK62" t="s">
        <v>739</v>
      </c>
      <c r="AL62">
        <v>0</v>
      </c>
      <c r="AM62" s="5">
        <f t="shared" si="2"/>
        <v>0</v>
      </c>
      <c r="AN62" s="6">
        <f>(AM62-'[1]1982'!$AO$4)/('[1]1982'!$AO$3-'[1]1982'!$AO$4)</f>
        <v>0</v>
      </c>
      <c r="AO62" s="7"/>
      <c r="AP62">
        <v>0</v>
      </c>
      <c r="AR62" t="s">
        <v>19</v>
      </c>
      <c r="AT62" s="3" t="s">
        <v>20</v>
      </c>
      <c r="AU62" s="8" t="e">
        <f t="shared" si="3"/>
        <v>#VALUE!</v>
      </c>
      <c r="AV62" s="8" t="e">
        <f t="shared" si="4"/>
        <v>#VALUE!</v>
      </c>
      <c r="AW62" s="8" t="e">
        <f t="shared" si="5"/>
        <v>#VALUE!</v>
      </c>
    </row>
    <row r="63" spans="1:49" x14ac:dyDescent="0.2">
      <c r="A63">
        <v>61</v>
      </c>
      <c r="B63" t="s">
        <v>740</v>
      </c>
      <c r="F63" t="s">
        <v>741</v>
      </c>
      <c r="G63" t="s">
        <v>4</v>
      </c>
      <c r="H63" t="s">
        <v>5</v>
      </c>
      <c r="I63" t="s">
        <v>742</v>
      </c>
      <c r="N63">
        <v>2</v>
      </c>
      <c r="O63" t="s">
        <v>743</v>
      </c>
      <c r="P63" t="s">
        <v>744</v>
      </c>
      <c r="Q63" t="s">
        <v>156</v>
      </c>
      <c r="R63" s="1">
        <v>29952</v>
      </c>
      <c r="S63" s="2">
        <f t="shared" si="0"/>
        <v>1982</v>
      </c>
      <c r="T63" s="2">
        <v>1982</v>
      </c>
      <c r="U63" s="2">
        <f t="shared" si="1"/>
        <v>40</v>
      </c>
      <c r="V63" s="1">
        <v>1982</v>
      </c>
      <c r="W63" t="s">
        <v>745</v>
      </c>
      <c r="X63" s="3" t="s">
        <v>20</v>
      </c>
      <c r="Y63" s="4" t="e">
        <f>(X63-'[1]1982'!$Z$4)/('[1]1982'!$Z$3-'[1]1982'!$Z$4)</f>
        <v>#VALUE!</v>
      </c>
      <c r="AA63">
        <v>4999320</v>
      </c>
      <c r="AB63">
        <v>13083</v>
      </c>
      <c r="AD63" t="s">
        <v>15</v>
      </c>
      <c r="AI63" t="s">
        <v>746</v>
      </c>
      <c r="AK63" t="s">
        <v>747</v>
      </c>
      <c r="AL63">
        <v>0</v>
      </c>
      <c r="AM63" s="5">
        <f t="shared" si="2"/>
        <v>0</v>
      </c>
      <c r="AN63" s="6">
        <f>(AM63-'[1]1982'!$AO$4)/('[1]1982'!$AO$3-'[1]1982'!$AO$4)</f>
        <v>0</v>
      </c>
      <c r="AO63" s="7"/>
      <c r="AP63">
        <v>0</v>
      </c>
      <c r="AR63" t="s">
        <v>19</v>
      </c>
      <c r="AT63" s="3" t="s">
        <v>20</v>
      </c>
      <c r="AU63" s="8" t="e">
        <f t="shared" si="3"/>
        <v>#VALUE!</v>
      </c>
      <c r="AV63" s="8" t="e">
        <f t="shared" si="4"/>
        <v>#VALUE!</v>
      </c>
      <c r="AW63" s="8" t="e">
        <f t="shared" si="5"/>
        <v>#VALUE!</v>
      </c>
    </row>
    <row r="64" spans="1:49" x14ac:dyDescent="0.2">
      <c r="A64">
        <v>62</v>
      </c>
      <c r="B64" t="s">
        <v>748</v>
      </c>
      <c r="F64" t="s">
        <v>749</v>
      </c>
      <c r="G64" t="s">
        <v>4</v>
      </c>
      <c r="H64" t="s">
        <v>5</v>
      </c>
      <c r="I64" t="s">
        <v>750</v>
      </c>
      <c r="N64">
        <v>3</v>
      </c>
      <c r="O64" t="s">
        <v>751</v>
      </c>
      <c r="P64" t="s">
        <v>752</v>
      </c>
      <c r="Q64" t="s">
        <v>145</v>
      </c>
      <c r="R64" s="1">
        <v>29952</v>
      </c>
      <c r="S64" s="2">
        <f t="shared" si="0"/>
        <v>1982</v>
      </c>
      <c r="T64" s="2">
        <v>1982</v>
      </c>
      <c r="U64" s="2">
        <f t="shared" si="1"/>
        <v>40</v>
      </c>
      <c r="V64" s="1">
        <v>37226</v>
      </c>
      <c r="W64" t="s">
        <v>753</v>
      </c>
      <c r="X64" s="3" t="s">
        <v>20</v>
      </c>
      <c r="Y64" s="4" t="e">
        <f>(X64-'[1]1982'!$Z$4)/('[1]1982'!$Z$3-'[1]1982'!$Z$4)</f>
        <v>#VALUE!</v>
      </c>
      <c r="AA64">
        <v>5680581</v>
      </c>
      <c r="AB64">
        <v>38513</v>
      </c>
      <c r="AD64" t="s">
        <v>15</v>
      </c>
      <c r="AI64" t="s">
        <v>754</v>
      </c>
      <c r="AK64" t="s">
        <v>755</v>
      </c>
      <c r="AL64">
        <v>0</v>
      </c>
      <c r="AM64" s="5">
        <f t="shared" si="2"/>
        <v>0</v>
      </c>
      <c r="AN64" s="6">
        <f>(AM64-'[1]1982'!$AO$4)/('[1]1982'!$AO$3-'[1]1982'!$AO$4)</f>
        <v>0</v>
      </c>
      <c r="AO64" s="7"/>
      <c r="AP64">
        <v>0</v>
      </c>
      <c r="AR64" t="s">
        <v>19</v>
      </c>
      <c r="AT64" s="3" t="s">
        <v>20</v>
      </c>
      <c r="AU64" s="8" t="e">
        <f t="shared" si="3"/>
        <v>#VALUE!</v>
      </c>
      <c r="AV64" s="8" t="e">
        <f t="shared" si="4"/>
        <v>#VALUE!</v>
      </c>
      <c r="AW64" s="8" t="e">
        <f t="shared" si="5"/>
        <v>#VALUE!</v>
      </c>
    </row>
    <row r="65" spans="1:49" x14ac:dyDescent="0.2">
      <c r="A65">
        <v>63</v>
      </c>
      <c r="B65" t="s">
        <v>756</v>
      </c>
      <c r="F65" t="s">
        <v>757</v>
      </c>
      <c r="G65" t="s">
        <v>4</v>
      </c>
      <c r="H65" t="s">
        <v>5</v>
      </c>
      <c r="I65" t="s">
        <v>758</v>
      </c>
      <c r="N65">
        <v>1</v>
      </c>
      <c r="O65" t="s">
        <v>759</v>
      </c>
      <c r="P65">
        <v>6602732154</v>
      </c>
      <c r="R65" s="1">
        <v>29952</v>
      </c>
      <c r="S65" s="2">
        <f t="shared" si="0"/>
        <v>1982</v>
      </c>
      <c r="T65" s="2">
        <v>1982</v>
      </c>
      <c r="U65" s="2">
        <f t="shared" si="1"/>
        <v>40</v>
      </c>
      <c r="V65" s="1">
        <v>1982</v>
      </c>
      <c r="W65" t="s">
        <v>745</v>
      </c>
      <c r="X65" s="3" t="s">
        <v>20</v>
      </c>
      <c r="Y65" s="4" t="e">
        <f>(X65-'[1]1982'!$Z$4)/('[1]1982'!$Z$3-'[1]1982'!$Z$4)</f>
        <v>#VALUE!</v>
      </c>
      <c r="AA65">
        <v>4999320</v>
      </c>
      <c r="AB65">
        <v>13083</v>
      </c>
      <c r="AD65" t="s">
        <v>15</v>
      </c>
      <c r="AI65" t="s">
        <v>760</v>
      </c>
      <c r="AK65" t="s">
        <v>761</v>
      </c>
      <c r="AL65">
        <v>0</v>
      </c>
      <c r="AM65" s="5">
        <f t="shared" si="2"/>
        <v>0</v>
      </c>
      <c r="AN65" s="6">
        <f>(AM65-'[1]1982'!$AO$4)/('[1]1982'!$AO$3-'[1]1982'!$AO$4)</f>
        <v>0</v>
      </c>
      <c r="AO65" s="7"/>
      <c r="AP65">
        <v>0</v>
      </c>
      <c r="AR65" t="s">
        <v>19</v>
      </c>
      <c r="AT65" s="3" t="s">
        <v>20</v>
      </c>
      <c r="AU65" s="8" t="e">
        <f t="shared" si="3"/>
        <v>#VALUE!</v>
      </c>
      <c r="AV65" s="8" t="e">
        <f t="shared" si="4"/>
        <v>#VALUE!</v>
      </c>
      <c r="AW65" s="8" t="e">
        <f t="shared" si="5"/>
        <v>#VALUE!</v>
      </c>
    </row>
    <row r="66" spans="1:49" x14ac:dyDescent="0.2">
      <c r="A66">
        <v>64</v>
      </c>
      <c r="B66" t="s">
        <v>762</v>
      </c>
      <c r="F66" t="s">
        <v>763</v>
      </c>
      <c r="G66" t="s">
        <v>4</v>
      </c>
      <c r="H66" t="s">
        <v>5</v>
      </c>
      <c r="I66" t="s">
        <v>764</v>
      </c>
      <c r="N66">
        <v>3</v>
      </c>
      <c r="O66" t="s">
        <v>765</v>
      </c>
      <c r="P66" t="s">
        <v>766</v>
      </c>
      <c r="Q66" t="s">
        <v>145</v>
      </c>
      <c r="R66" s="1">
        <v>29952</v>
      </c>
      <c r="S66" s="2">
        <f t="shared" ref="S66:S129" si="6">YEAR(R66)</f>
        <v>1982</v>
      </c>
      <c r="T66" s="2">
        <v>1982</v>
      </c>
      <c r="U66" s="2">
        <f t="shared" ref="U66:U129" si="7">2022-T66</f>
        <v>40</v>
      </c>
      <c r="V66" s="1">
        <v>1982</v>
      </c>
      <c r="W66" t="s">
        <v>767</v>
      </c>
      <c r="X66" s="3" t="s">
        <v>20</v>
      </c>
      <c r="Y66" s="4" t="e">
        <f>(X66-'[1]1982'!$Z$4)/('[1]1982'!$Z$3-'[1]1982'!$Z$4)</f>
        <v>#VALUE!</v>
      </c>
      <c r="AB66">
        <v>72504</v>
      </c>
      <c r="AD66" t="s">
        <v>15</v>
      </c>
      <c r="AI66" t="s">
        <v>768</v>
      </c>
      <c r="AK66" t="s">
        <v>769</v>
      </c>
      <c r="AL66">
        <v>0</v>
      </c>
      <c r="AM66" s="5">
        <f t="shared" ref="AM66:AM129" si="8">AL66/U66</f>
        <v>0</v>
      </c>
      <c r="AN66" s="6">
        <f>(AM66-'[1]1982'!$AO$4)/('[1]1982'!$AO$3-'[1]1982'!$AO$4)</f>
        <v>0</v>
      </c>
      <c r="AO66" s="7"/>
      <c r="AP66">
        <v>0</v>
      </c>
      <c r="AR66" t="s">
        <v>19</v>
      </c>
      <c r="AT66" s="3" t="s">
        <v>20</v>
      </c>
      <c r="AU66" s="8" t="e">
        <f t="shared" ref="AU66:AU129" si="9">(Y66*0.7+AN66*0.3)*100</f>
        <v>#VALUE!</v>
      </c>
      <c r="AV66" s="8" t="e">
        <f t="shared" ref="AV66:AV129" si="10">(Y66*0.5+AN66*0.5)*100</f>
        <v>#VALUE!</v>
      </c>
      <c r="AW66" s="8" t="e">
        <f t="shared" ref="AW66:AW129" si="11">(Y66*0.3+AN66*0.7)*100</f>
        <v>#VALUE!</v>
      </c>
    </row>
    <row r="67" spans="1:49" x14ac:dyDescent="0.2">
      <c r="A67">
        <v>65</v>
      </c>
      <c r="B67" t="s">
        <v>770</v>
      </c>
      <c r="F67" t="s">
        <v>771</v>
      </c>
      <c r="G67" t="s">
        <v>4</v>
      </c>
      <c r="H67" t="s">
        <v>5</v>
      </c>
      <c r="I67" t="s">
        <v>772</v>
      </c>
      <c r="N67">
        <v>1</v>
      </c>
      <c r="O67" t="s">
        <v>773</v>
      </c>
      <c r="P67">
        <v>7006450617</v>
      </c>
      <c r="R67" s="1">
        <v>29952</v>
      </c>
      <c r="S67" s="2">
        <f t="shared" si="6"/>
        <v>1982</v>
      </c>
      <c r="T67" s="2">
        <v>1982</v>
      </c>
      <c r="U67" s="2">
        <f t="shared" si="7"/>
        <v>40</v>
      </c>
      <c r="V67" s="1" t="s">
        <v>774</v>
      </c>
      <c r="W67" t="s">
        <v>745</v>
      </c>
      <c r="X67" s="3" t="s">
        <v>20</v>
      </c>
      <c r="Y67" s="4" t="e">
        <f>(X67-'[1]1982'!$Z$4)/('[1]1982'!$Z$3-'[1]1982'!$Z$4)</f>
        <v>#VALUE!</v>
      </c>
      <c r="AA67">
        <v>4999320</v>
      </c>
      <c r="AB67">
        <v>13083</v>
      </c>
      <c r="AD67" t="s">
        <v>15</v>
      </c>
      <c r="AI67" t="s">
        <v>775</v>
      </c>
      <c r="AK67" t="s">
        <v>776</v>
      </c>
      <c r="AL67">
        <v>1</v>
      </c>
      <c r="AM67" s="5">
        <f t="shared" si="8"/>
        <v>2.5000000000000001E-2</v>
      </c>
      <c r="AN67" s="6">
        <f>(AM67-'[1]1982'!$AO$4)/('[1]1982'!$AO$3-'[1]1982'!$AO$4)</f>
        <v>3.7864445285876567E-5</v>
      </c>
      <c r="AO67" s="7"/>
      <c r="AP67">
        <v>0</v>
      </c>
      <c r="AR67" t="s">
        <v>19</v>
      </c>
      <c r="AT67" s="3" t="s">
        <v>20</v>
      </c>
      <c r="AU67" s="8" t="e">
        <f t="shared" si="9"/>
        <v>#VALUE!</v>
      </c>
      <c r="AV67" s="8" t="e">
        <f t="shared" si="10"/>
        <v>#VALUE!</v>
      </c>
      <c r="AW67" s="8" t="e">
        <f t="shared" si="11"/>
        <v>#VALUE!</v>
      </c>
    </row>
    <row r="68" spans="1:49" x14ac:dyDescent="0.2">
      <c r="A68">
        <v>66</v>
      </c>
      <c r="B68" t="s">
        <v>777</v>
      </c>
      <c r="F68" t="s">
        <v>778</v>
      </c>
      <c r="G68" t="s">
        <v>4</v>
      </c>
      <c r="H68" t="s">
        <v>5</v>
      </c>
      <c r="I68" t="s">
        <v>779</v>
      </c>
      <c r="N68">
        <v>3</v>
      </c>
      <c r="O68" t="s">
        <v>780</v>
      </c>
      <c r="P68" t="s">
        <v>781</v>
      </c>
      <c r="Q68" t="s">
        <v>145</v>
      </c>
      <c r="R68" s="1">
        <v>29952</v>
      </c>
      <c r="S68" s="2">
        <f t="shared" si="6"/>
        <v>1982</v>
      </c>
      <c r="T68" s="2">
        <v>1982</v>
      </c>
      <c r="U68" s="2">
        <f t="shared" si="7"/>
        <v>40</v>
      </c>
      <c r="V68" s="1" t="s">
        <v>717</v>
      </c>
      <c r="W68" t="s">
        <v>753</v>
      </c>
      <c r="X68" s="3" t="s">
        <v>20</v>
      </c>
      <c r="Y68" s="4" t="e">
        <f>(X68-'[1]1982'!$Z$4)/('[1]1982'!$Z$3-'[1]1982'!$Z$4)</f>
        <v>#VALUE!</v>
      </c>
      <c r="AA68">
        <v>5680581</v>
      </c>
      <c r="AB68">
        <v>38513</v>
      </c>
      <c r="AD68" t="s">
        <v>15</v>
      </c>
      <c r="AF68">
        <v>108</v>
      </c>
      <c r="AI68" t="s">
        <v>782</v>
      </c>
      <c r="AK68" t="s">
        <v>783</v>
      </c>
      <c r="AL68">
        <v>0</v>
      </c>
      <c r="AM68" s="5">
        <f t="shared" si="8"/>
        <v>0</v>
      </c>
      <c r="AN68" s="6">
        <f>(AM68-'[1]1982'!$AO$4)/('[1]1982'!$AO$3-'[1]1982'!$AO$4)</f>
        <v>0</v>
      </c>
      <c r="AO68" s="7"/>
      <c r="AP68">
        <v>0</v>
      </c>
      <c r="AR68" t="s">
        <v>19</v>
      </c>
      <c r="AT68" s="3" t="s">
        <v>20</v>
      </c>
      <c r="AU68" s="8" t="e">
        <f t="shared" si="9"/>
        <v>#VALUE!</v>
      </c>
      <c r="AV68" s="8" t="e">
        <f t="shared" si="10"/>
        <v>#VALUE!</v>
      </c>
      <c r="AW68" s="8" t="e">
        <f t="shared" si="11"/>
        <v>#VALUE!</v>
      </c>
    </row>
    <row r="69" spans="1:49" x14ac:dyDescent="0.2">
      <c r="A69">
        <v>67</v>
      </c>
      <c r="B69" t="s">
        <v>784</v>
      </c>
      <c r="F69" t="s">
        <v>785</v>
      </c>
      <c r="G69" t="s">
        <v>4</v>
      </c>
      <c r="H69" t="s">
        <v>5</v>
      </c>
      <c r="I69" t="s">
        <v>786</v>
      </c>
      <c r="N69">
        <v>3</v>
      </c>
      <c r="O69" t="s">
        <v>787</v>
      </c>
      <c r="P69" t="s">
        <v>788</v>
      </c>
      <c r="Q69" t="s">
        <v>145</v>
      </c>
      <c r="R69" s="1">
        <v>29952</v>
      </c>
      <c r="S69" s="2">
        <f t="shared" si="6"/>
        <v>1982</v>
      </c>
      <c r="T69" s="2">
        <v>1982</v>
      </c>
      <c r="U69" s="2">
        <f t="shared" si="7"/>
        <v>40</v>
      </c>
      <c r="V69" s="1" t="s">
        <v>789</v>
      </c>
      <c r="W69" t="s">
        <v>790</v>
      </c>
      <c r="X69" s="3" t="s">
        <v>20</v>
      </c>
      <c r="Y69" s="4" t="e">
        <f>(X69-'[1]1982'!$Z$4)/('[1]1982'!$Z$3-'[1]1982'!$Z$4)</f>
        <v>#VALUE!</v>
      </c>
      <c r="AA69">
        <v>1711342</v>
      </c>
      <c r="AB69">
        <v>31674</v>
      </c>
      <c r="AD69" t="s">
        <v>15</v>
      </c>
      <c r="AI69" t="s">
        <v>791</v>
      </c>
      <c r="AK69" t="s">
        <v>792</v>
      </c>
      <c r="AL69">
        <v>0</v>
      </c>
      <c r="AM69" s="5">
        <f t="shared" si="8"/>
        <v>0</v>
      </c>
      <c r="AN69" s="6">
        <f>(AM69-'[1]1982'!$AO$4)/('[1]1982'!$AO$3-'[1]1982'!$AO$4)</f>
        <v>0</v>
      </c>
      <c r="AO69" s="7"/>
      <c r="AP69">
        <v>0</v>
      </c>
      <c r="AR69" t="s">
        <v>19</v>
      </c>
      <c r="AT69" s="3" t="s">
        <v>20</v>
      </c>
      <c r="AU69" s="8" t="e">
        <f t="shared" si="9"/>
        <v>#VALUE!</v>
      </c>
      <c r="AV69" s="8" t="e">
        <f t="shared" si="10"/>
        <v>#VALUE!</v>
      </c>
      <c r="AW69" s="8" t="e">
        <f t="shared" si="11"/>
        <v>#VALUE!</v>
      </c>
    </row>
    <row r="70" spans="1:49" x14ac:dyDescent="0.2">
      <c r="A70">
        <v>68</v>
      </c>
      <c r="B70" t="s">
        <v>793</v>
      </c>
      <c r="C70" t="s">
        <v>794</v>
      </c>
      <c r="F70" t="s">
        <v>795</v>
      </c>
      <c r="G70" t="s">
        <v>4</v>
      </c>
      <c r="H70" t="s">
        <v>5</v>
      </c>
      <c r="I70" t="s">
        <v>796</v>
      </c>
      <c r="J70">
        <v>100377481</v>
      </c>
      <c r="K70" t="s">
        <v>797</v>
      </c>
      <c r="L70" t="s">
        <v>798</v>
      </c>
      <c r="M70" t="s">
        <v>485</v>
      </c>
      <c r="N70">
        <v>2</v>
      </c>
      <c r="O70" t="s">
        <v>799</v>
      </c>
      <c r="P70" t="s">
        <v>800</v>
      </c>
      <c r="Q70" t="s">
        <v>801</v>
      </c>
      <c r="R70" s="1">
        <v>29952</v>
      </c>
      <c r="S70" s="2">
        <f t="shared" si="6"/>
        <v>1982</v>
      </c>
      <c r="T70" s="2">
        <v>1982</v>
      </c>
      <c r="U70" s="2">
        <f t="shared" si="7"/>
        <v>40</v>
      </c>
      <c r="V70" s="1">
        <v>1982</v>
      </c>
      <c r="W70" t="s">
        <v>802</v>
      </c>
      <c r="X70" s="3">
        <v>0.246</v>
      </c>
      <c r="Y70" s="4">
        <f>(X70-'[1]1982'!$Z$4)/('[1]1982'!$Z$3-'[1]1982'!$Z$4)</f>
        <v>6.5668295026827901E-3</v>
      </c>
      <c r="AA70">
        <v>3854213</v>
      </c>
      <c r="AB70">
        <v>3300147407</v>
      </c>
      <c r="AC70">
        <v>13488147</v>
      </c>
      <c r="AD70" t="s">
        <v>15</v>
      </c>
      <c r="AE70">
        <v>102</v>
      </c>
      <c r="AF70">
        <v>2</v>
      </c>
      <c r="AH70" t="s">
        <v>803</v>
      </c>
      <c r="AL70">
        <v>0</v>
      </c>
      <c r="AM70" s="5">
        <f t="shared" si="8"/>
        <v>0</v>
      </c>
      <c r="AN70" s="6">
        <f>(AM70-'[1]1982'!$AO$4)/('[1]1982'!$AO$3-'[1]1982'!$AO$4)</f>
        <v>0</v>
      </c>
      <c r="AO70" s="7"/>
      <c r="AP70">
        <v>1</v>
      </c>
      <c r="AR70" t="s">
        <v>19</v>
      </c>
      <c r="AT70" s="3" t="s">
        <v>20</v>
      </c>
      <c r="AU70" s="8">
        <f t="shared" si="9"/>
        <v>0.45967806518779525</v>
      </c>
      <c r="AV70" s="8">
        <f t="shared" si="10"/>
        <v>0.32834147513413953</v>
      </c>
      <c r="AW70" s="8">
        <f t="shared" si="11"/>
        <v>0.19700488508048369</v>
      </c>
    </row>
    <row r="71" spans="1:49" x14ac:dyDescent="0.2">
      <c r="A71">
        <v>69</v>
      </c>
      <c r="B71" t="s">
        <v>804</v>
      </c>
      <c r="C71" t="s">
        <v>805</v>
      </c>
      <c r="F71" t="s">
        <v>806</v>
      </c>
      <c r="G71" t="s">
        <v>4</v>
      </c>
      <c r="H71" t="s">
        <v>5</v>
      </c>
      <c r="I71" t="s">
        <v>807</v>
      </c>
      <c r="J71">
        <v>60021097</v>
      </c>
      <c r="K71" t="s">
        <v>808</v>
      </c>
      <c r="L71" t="s">
        <v>809</v>
      </c>
      <c r="M71" t="s">
        <v>94</v>
      </c>
      <c r="N71">
        <v>1</v>
      </c>
      <c r="O71" t="s">
        <v>810</v>
      </c>
      <c r="P71">
        <v>55945017400</v>
      </c>
      <c r="Q71">
        <v>60021097</v>
      </c>
      <c r="R71" s="1">
        <v>29952</v>
      </c>
      <c r="S71" s="2">
        <f t="shared" si="6"/>
        <v>1982</v>
      </c>
      <c r="T71" s="2">
        <v>1982</v>
      </c>
      <c r="U71" s="2">
        <f t="shared" si="7"/>
        <v>40</v>
      </c>
      <c r="V71" s="1">
        <v>29983</v>
      </c>
      <c r="W71" t="s">
        <v>811</v>
      </c>
      <c r="X71" s="3" t="s">
        <v>20</v>
      </c>
      <c r="Y71" s="4" t="e">
        <f>(X71-'[1]1982'!$Z$4)/('[1]1982'!$Z$3-'[1]1982'!$Z$4)</f>
        <v>#VALUE!</v>
      </c>
      <c r="AA71">
        <v>337722</v>
      </c>
      <c r="AB71">
        <v>35312</v>
      </c>
      <c r="AD71" t="s">
        <v>15</v>
      </c>
      <c r="AE71">
        <v>52</v>
      </c>
      <c r="AH71" t="s">
        <v>812</v>
      </c>
      <c r="AI71" t="s">
        <v>813</v>
      </c>
      <c r="AJ71" t="s">
        <v>814</v>
      </c>
      <c r="AK71" t="s">
        <v>815</v>
      </c>
      <c r="AL71">
        <v>0</v>
      </c>
      <c r="AM71" s="5">
        <f t="shared" si="8"/>
        <v>0</v>
      </c>
      <c r="AN71" s="6">
        <f>(AM71-'[1]1982'!$AO$4)/('[1]1982'!$AO$3-'[1]1982'!$AO$4)</f>
        <v>0</v>
      </c>
      <c r="AO71" s="7"/>
      <c r="AP71">
        <v>0</v>
      </c>
      <c r="AR71" t="s">
        <v>19</v>
      </c>
      <c r="AT71" s="3" t="s">
        <v>20</v>
      </c>
      <c r="AU71" s="8" t="e">
        <f t="shared" si="9"/>
        <v>#VALUE!</v>
      </c>
      <c r="AV71" s="8" t="e">
        <f t="shared" si="10"/>
        <v>#VALUE!</v>
      </c>
      <c r="AW71" s="8" t="e">
        <f t="shared" si="11"/>
        <v>#VALUE!</v>
      </c>
    </row>
    <row r="72" spans="1:49" x14ac:dyDescent="0.2">
      <c r="A72">
        <v>70</v>
      </c>
      <c r="B72" t="s">
        <v>816</v>
      </c>
      <c r="C72" t="s">
        <v>817</v>
      </c>
      <c r="F72" t="s">
        <v>818</v>
      </c>
      <c r="G72" t="s">
        <v>4</v>
      </c>
      <c r="H72" t="s">
        <v>5</v>
      </c>
      <c r="I72" t="s">
        <v>819</v>
      </c>
      <c r="N72">
        <v>2</v>
      </c>
      <c r="O72" t="s">
        <v>820</v>
      </c>
      <c r="P72" t="s">
        <v>821</v>
      </c>
      <c r="Q72" t="s">
        <v>156</v>
      </c>
      <c r="R72" s="1">
        <v>29952</v>
      </c>
      <c r="S72" s="2">
        <f t="shared" si="6"/>
        <v>1982</v>
      </c>
      <c r="T72" s="2">
        <v>1982</v>
      </c>
      <c r="U72" s="2">
        <f t="shared" si="7"/>
        <v>40</v>
      </c>
      <c r="V72" s="1">
        <v>1982</v>
      </c>
      <c r="W72" s="11" t="s">
        <v>822</v>
      </c>
      <c r="X72" s="3">
        <v>2.383</v>
      </c>
      <c r="Y72" s="4">
        <f>(X72-'[1]1982'!$Z$4)/('[1]1982'!$Z$3-'[1]1982'!$Z$4)</f>
        <v>6.3612824003630442E-2</v>
      </c>
      <c r="AA72">
        <v>1437070</v>
      </c>
      <c r="AB72">
        <v>39742</v>
      </c>
      <c r="AD72" t="s">
        <v>15</v>
      </c>
      <c r="AE72">
        <v>129</v>
      </c>
      <c r="AF72">
        <v>1</v>
      </c>
      <c r="AH72" t="s">
        <v>823</v>
      </c>
      <c r="AL72">
        <v>0</v>
      </c>
      <c r="AM72" s="5">
        <f t="shared" si="8"/>
        <v>0</v>
      </c>
      <c r="AN72" s="6">
        <f>(AM72-'[1]1982'!$AO$4)/('[1]1982'!$AO$3-'[1]1982'!$AO$4)</f>
        <v>0</v>
      </c>
      <c r="AO72" s="7"/>
      <c r="AP72">
        <v>0</v>
      </c>
      <c r="AR72" t="s">
        <v>19</v>
      </c>
      <c r="AT72" s="3" t="s">
        <v>20</v>
      </c>
      <c r="AU72" s="8">
        <f t="shared" si="9"/>
        <v>4.4528976802541305</v>
      </c>
      <c r="AV72" s="8">
        <f t="shared" si="10"/>
        <v>3.1806412001815221</v>
      </c>
      <c r="AW72" s="8">
        <f t="shared" si="11"/>
        <v>1.9083847201089132</v>
      </c>
    </row>
    <row r="73" spans="1:49" x14ac:dyDescent="0.2">
      <c r="A73">
        <v>71</v>
      </c>
      <c r="B73" t="s">
        <v>824</v>
      </c>
      <c r="C73" t="s">
        <v>825</v>
      </c>
      <c r="F73" t="s">
        <v>826</v>
      </c>
      <c r="G73" t="s">
        <v>4</v>
      </c>
      <c r="H73" t="s">
        <v>5</v>
      </c>
      <c r="I73" t="s">
        <v>827</v>
      </c>
      <c r="J73" t="s">
        <v>828</v>
      </c>
      <c r="K73" t="s">
        <v>829</v>
      </c>
      <c r="L73" t="s">
        <v>830</v>
      </c>
      <c r="M73" t="s">
        <v>500</v>
      </c>
      <c r="N73">
        <v>2</v>
      </c>
      <c r="O73" t="s">
        <v>831</v>
      </c>
      <c r="P73" t="s">
        <v>832</v>
      </c>
      <c r="Q73" t="s">
        <v>828</v>
      </c>
      <c r="R73" s="1">
        <v>29952</v>
      </c>
      <c r="S73" s="2">
        <f t="shared" si="6"/>
        <v>1982</v>
      </c>
      <c r="T73" s="2">
        <v>1982</v>
      </c>
      <c r="U73" s="2">
        <f t="shared" si="7"/>
        <v>40</v>
      </c>
      <c r="V73" s="1">
        <v>1982</v>
      </c>
      <c r="W73" t="s">
        <v>833</v>
      </c>
      <c r="X73" s="3">
        <v>0.46300000000000002</v>
      </c>
      <c r="Y73" s="4">
        <f>(X73-'[1]1982'!$Z$4)/('[1]1982'!$Z$3-'[1]1982'!$Z$4)</f>
        <v>1.2359520568057447E-2</v>
      </c>
      <c r="AA73">
        <v>36862</v>
      </c>
      <c r="AB73">
        <v>19141</v>
      </c>
      <c r="AC73" t="s">
        <v>834</v>
      </c>
      <c r="AD73" t="s">
        <v>15</v>
      </c>
      <c r="AE73">
        <v>17</v>
      </c>
      <c r="AF73">
        <v>1</v>
      </c>
      <c r="AH73" t="s">
        <v>835</v>
      </c>
      <c r="AI73" t="s">
        <v>836</v>
      </c>
      <c r="AK73" t="s">
        <v>837</v>
      </c>
      <c r="AL73">
        <v>18</v>
      </c>
      <c r="AM73" s="5">
        <f t="shared" si="8"/>
        <v>0.45</v>
      </c>
      <c r="AN73" s="6">
        <f>(AM73-'[1]1982'!$AO$4)/('[1]1982'!$AO$3-'[1]1982'!$AO$4)</f>
        <v>6.8156001514577808E-4</v>
      </c>
      <c r="AO73" s="7"/>
      <c r="AP73">
        <v>1</v>
      </c>
      <c r="AR73" t="s">
        <v>19</v>
      </c>
      <c r="AT73" s="3">
        <v>1.403</v>
      </c>
      <c r="AU73" s="8">
        <f t="shared" si="9"/>
        <v>0.88561324021839449</v>
      </c>
      <c r="AV73" s="8">
        <f t="shared" si="10"/>
        <v>0.65205402916016131</v>
      </c>
      <c r="AW73" s="8">
        <f t="shared" si="11"/>
        <v>0.41849481810192785</v>
      </c>
    </row>
    <row r="74" spans="1:49" x14ac:dyDescent="0.2">
      <c r="A74">
        <v>72</v>
      </c>
      <c r="B74" t="s">
        <v>838</v>
      </c>
      <c r="C74" t="s">
        <v>839</v>
      </c>
      <c r="F74" t="s">
        <v>840</v>
      </c>
      <c r="G74" t="s">
        <v>4</v>
      </c>
      <c r="H74" t="s">
        <v>5</v>
      </c>
      <c r="I74" t="s">
        <v>841</v>
      </c>
      <c r="J74">
        <v>60011001</v>
      </c>
      <c r="K74" t="s">
        <v>842</v>
      </c>
      <c r="L74" t="s">
        <v>843</v>
      </c>
      <c r="M74" t="s">
        <v>485</v>
      </c>
      <c r="N74">
        <v>2</v>
      </c>
      <c r="O74" t="s">
        <v>844</v>
      </c>
      <c r="P74" t="s">
        <v>845</v>
      </c>
      <c r="Q74" t="s">
        <v>846</v>
      </c>
      <c r="R74" s="1">
        <v>29952</v>
      </c>
      <c r="S74" s="2">
        <f t="shared" si="6"/>
        <v>1982</v>
      </c>
      <c r="T74" s="2">
        <v>1982</v>
      </c>
      <c r="U74" s="2">
        <f t="shared" si="7"/>
        <v>40</v>
      </c>
      <c r="V74" s="1">
        <v>1982</v>
      </c>
      <c r="W74" t="s">
        <v>833</v>
      </c>
      <c r="X74" s="3">
        <v>0.46300000000000002</v>
      </c>
      <c r="Y74" s="4">
        <f>(X74-'[1]1982'!$Z$4)/('[1]1982'!$Z$3-'[1]1982'!$Z$4)</f>
        <v>1.2359520568057447E-2</v>
      </c>
      <c r="AA74">
        <v>36862</v>
      </c>
      <c r="AB74">
        <v>19141</v>
      </c>
      <c r="AC74" t="s">
        <v>834</v>
      </c>
      <c r="AD74" t="s">
        <v>15</v>
      </c>
      <c r="AE74">
        <v>17</v>
      </c>
      <c r="AF74">
        <v>1</v>
      </c>
      <c r="AH74" t="s">
        <v>847</v>
      </c>
      <c r="AI74" t="s">
        <v>848</v>
      </c>
      <c r="AK74" t="s">
        <v>849</v>
      </c>
      <c r="AL74">
        <v>5</v>
      </c>
      <c r="AM74" s="5">
        <f t="shared" si="8"/>
        <v>0.125</v>
      </c>
      <c r="AN74" s="6">
        <f>(AM74-'[1]1982'!$AO$4)/('[1]1982'!$AO$3-'[1]1982'!$AO$4)</f>
        <v>1.893222264293828E-4</v>
      </c>
      <c r="AO74" s="7"/>
      <c r="AP74">
        <v>1</v>
      </c>
      <c r="AR74" t="s">
        <v>19</v>
      </c>
      <c r="AT74" s="3">
        <v>1.403</v>
      </c>
      <c r="AU74" s="8">
        <f t="shared" si="9"/>
        <v>0.87084610655690264</v>
      </c>
      <c r="AV74" s="8">
        <f t="shared" si="10"/>
        <v>0.62744213972434149</v>
      </c>
      <c r="AW74" s="8">
        <f t="shared" si="11"/>
        <v>0.38403817289178022</v>
      </c>
    </row>
    <row r="75" spans="1:49" x14ac:dyDescent="0.2">
      <c r="A75">
        <v>73</v>
      </c>
      <c r="B75" t="s">
        <v>850</v>
      </c>
      <c r="C75" t="s">
        <v>851</v>
      </c>
      <c r="F75" t="s">
        <v>852</v>
      </c>
      <c r="G75" t="s">
        <v>4</v>
      </c>
      <c r="H75" t="s">
        <v>5</v>
      </c>
      <c r="I75" t="s">
        <v>853</v>
      </c>
      <c r="J75" t="s">
        <v>854</v>
      </c>
      <c r="K75" t="s">
        <v>855</v>
      </c>
      <c r="L75" t="s">
        <v>856</v>
      </c>
      <c r="M75" t="s">
        <v>500</v>
      </c>
      <c r="N75">
        <v>6</v>
      </c>
      <c r="O75" t="s">
        <v>857</v>
      </c>
      <c r="P75" t="s">
        <v>858</v>
      </c>
      <c r="Q75" t="s">
        <v>859</v>
      </c>
      <c r="R75" s="1">
        <v>29952</v>
      </c>
      <c r="S75" s="2">
        <f t="shared" si="6"/>
        <v>1982</v>
      </c>
      <c r="T75" s="2">
        <v>1982</v>
      </c>
      <c r="U75" s="2">
        <f t="shared" si="7"/>
        <v>40</v>
      </c>
      <c r="V75" s="1">
        <v>1982</v>
      </c>
      <c r="W75" t="s">
        <v>833</v>
      </c>
      <c r="X75" s="3">
        <v>0.46300000000000002</v>
      </c>
      <c r="Y75" s="4">
        <f>(X75-'[1]1982'!$Z$4)/('[1]1982'!$Z$3-'[1]1982'!$Z$4)</f>
        <v>1.2359520568057447E-2</v>
      </c>
      <c r="AA75">
        <v>36862</v>
      </c>
      <c r="AB75">
        <v>19141</v>
      </c>
      <c r="AC75" t="s">
        <v>834</v>
      </c>
      <c r="AD75" t="s">
        <v>15</v>
      </c>
      <c r="AE75">
        <v>17</v>
      </c>
      <c r="AF75">
        <v>3</v>
      </c>
      <c r="AH75" t="s">
        <v>860</v>
      </c>
      <c r="AI75" t="s">
        <v>861</v>
      </c>
      <c r="AK75" t="s">
        <v>862</v>
      </c>
      <c r="AL75">
        <v>17</v>
      </c>
      <c r="AM75" s="5">
        <f t="shared" si="8"/>
        <v>0.42499999999999999</v>
      </c>
      <c r="AN75" s="6">
        <f>(AM75-'[1]1982'!$AO$4)/('[1]1982'!$AO$3-'[1]1982'!$AO$4)</f>
        <v>6.4369556985990157E-4</v>
      </c>
      <c r="AO75" s="7"/>
      <c r="AP75">
        <v>1</v>
      </c>
      <c r="AR75" t="s">
        <v>19</v>
      </c>
      <c r="AT75" s="3">
        <v>1.403</v>
      </c>
      <c r="AU75" s="8">
        <f t="shared" si="9"/>
        <v>0.88447730685981829</v>
      </c>
      <c r="AV75" s="8">
        <f t="shared" si="10"/>
        <v>0.65016080689586742</v>
      </c>
      <c r="AW75" s="8">
        <f t="shared" si="11"/>
        <v>0.41584430693191654</v>
      </c>
    </row>
    <row r="76" spans="1:49" x14ac:dyDescent="0.2">
      <c r="A76">
        <v>74</v>
      </c>
      <c r="B76" t="s">
        <v>863</v>
      </c>
      <c r="C76" t="s">
        <v>864</v>
      </c>
      <c r="F76" t="s">
        <v>865</v>
      </c>
      <c r="G76" t="s">
        <v>4</v>
      </c>
      <c r="H76" t="s">
        <v>5</v>
      </c>
      <c r="I76" t="s">
        <v>866</v>
      </c>
      <c r="J76">
        <v>60033192</v>
      </c>
      <c r="K76" t="s">
        <v>867</v>
      </c>
      <c r="L76" t="s">
        <v>868</v>
      </c>
      <c r="M76" t="s">
        <v>485</v>
      </c>
      <c r="N76">
        <v>1</v>
      </c>
      <c r="O76" t="s">
        <v>869</v>
      </c>
      <c r="P76">
        <v>7401570710</v>
      </c>
      <c r="Q76">
        <v>60033192</v>
      </c>
      <c r="R76" s="1">
        <v>29952</v>
      </c>
      <c r="S76" s="2">
        <f t="shared" si="6"/>
        <v>1982</v>
      </c>
      <c r="T76" s="2">
        <v>1982</v>
      </c>
      <c r="U76" s="2">
        <f t="shared" si="7"/>
        <v>40</v>
      </c>
      <c r="V76" s="1">
        <v>1982</v>
      </c>
      <c r="W76" t="s">
        <v>833</v>
      </c>
      <c r="X76" s="3">
        <v>0.46300000000000002</v>
      </c>
      <c r="Y76" s="4">
        <f>(X76-'[1]1982'!$Z$4)/('[1]1982'!$Z$3-'[1]1982'!$Z$4)</f>
        <v>1.2359520568057447E-2</v>
      </c>
      <c r="AA76">
        <v>36862</v>
      </c>
      <c r="AB76">
        <v>19141</v>
      </c>
      <c r="AC76" t="s">
        <v>834</v>
      </c>
      <c r="AD76" t="s">
        <v>15</v>
      </c>
      <c r="AE76">
        <v>17</v>
      </c>
      <c r="AF76">
        <v>4</v>
      </c>
      <c r="AH76" t="s">
        <v>870</v>
      </c>
      <c r="AI76" t="s">
        <v>871</v>
      </c>
      <c r="AK76" t="s">
        <v>872</v>
      </c>
      <c r="AL76">
        <v>8</v>
      </c>
      <c r="AM76" s="5">
        <f t="shared" si="8"/>
        <v>0.2</v>
      </c>
      <c r="AN76" s="6">
        <f>(AM76-'[1]1982'!$AO$4)/('[1]1982'!$AO$3-'[1]1982'!$AO$4)</f>
        <v>3.0291556228701253E-4</v>
      </c>
      <c r="AO76" s="7"/>
      <c r="AP76">
        <v>1</v>
      </c>
      <c r="AR76" t="s">
        <v>19</v>
      </c>
      <c r="AT76" s="3">
        <v>1.403</v>
      </c>
      <c r="AU76" s="8">
        <f t="shared" si="9"/>
        <v>0.87425390663263169</v>
      </c>
      <c r="AV76" s="8">
        <f t="shared" si="10"/>
        <v>0.63312180651722305</v>
      </c>
      <c r="AW76" s="8">
        <f t="shared" si="11"/>
        <v>0.39198970640181424</v>
      </c>
    </row>
    <row r="77" spans="1:49" x14ac:dyDescent="0.2">
      <c r="A77">
        <v>75</v>
      </c>
      <c r="B77" t="s">
        <v>873</v>
      </c>
      <c r="C77" t="s">
        <v>874</v>
      </c>
      <c r="F77" t="s">
        <v>875</v>
      </c>
      <c r="G77" t="s">
        <v>4</v>
      </c>
      <c r="H77" t="s">
        <v>5</v>
      </c>
      <c r="I77" t="s">
        <v>876</v>
      </c>
      <c r="J77">
        <v>60159341</v>
      </c>
      <c r="K77" t="s">
        <v>877</v>
      </c>
      <c r="L77" t="s">
        <v>878</v>
      </c>
      <c r="M77" t="s">
        <v>40</v>
      </c>
      <c r="N77">
        <v>1</v>
      </c>
      <c r="O77" t="s">
        <v>879</v>
      </c>
      <c r="P77">
        <v>6603099985</v>
      </c>
      <c r="Q77">
        <v>60159341</v>
      </c>
      <c r="R77" s="1">
        <v>29952</v>
      </c>
      <c r="S77" s="2">
        <f t="shared" si="6"/>
        <v>1982</v>
      </c>
      <c r="T77" s="2">
        <v>1982</v>
      </c>
      <c r="U77" s="2">
        <f t="shared" si="7"/>
        <v>40</v>
      </c>
      <c r="V77" s="1">
        <v>30072</v>
      </c>
      <c r="W77" t="s">
        <v>880</v>
      </c>
      <c r="X77" s="3">
        <v>0.76500000000000001</v>
      </c>
      <c r="Y77" s="4">
        <f>(X77-'[1]1982'!$Z$4)/('[1]1982'!$Z$3-'[1]1982'!$Z$4)</f>
        <v>2.0421238087611118E-2</v>
      </c>
      <c r="AA77">
        <v>138703</v>
      </c>
      <c r="AB77">
        <v>19793</v>
      </c>
      <c r="AC77">
        <v>15707458</v>
      </c>
      <c r="AD77" t="s">
        <v>15</v>
      </c>
      <c r="AE77">
        <v>31</v>
      </c>
      <c r="AF77">
        <v>4</v>
      </c>
      <c r="AH77" t="s">
        <v>881</v>
      </c>
      <c r="AI77" t="s">
        <v>882</v>
      </c>
      <c r="AJ77" t="s">
        <v>883</v>
      </c>
      <c r="AK77" t="s">
        <v>884</v>
      </c>
      <c r="AL77">
        <v>0</v>
      </c>
      <c r="AM77" s="5">
        <f t="shared" si="8"/>
        <v>0</v>
      </c>
      <c r="AN77" s="6">
        <f>(AM77-'[1]1982'!$AO$4)/('[1]1982'!$AO$3-'[1]1982'!$AO$4)</f>
        <v>0</v>
      </c>
      <c r="AO77" s="7"/>
      <c r="AP77">
        <v>0</v>
      </c>
      <c r="AR77" t="s">
        <v>19</v>
      </c>
      <c r="AT77" s="3" t="s">
        <v>20</v>
      </c>
      <c r="AU77" s="8">
        <f t="shared" si="9"/>
        <v>1.4294866661327781</v>
      </c>
      <c r="AV77" s="8">
        <f t="shared" si="10"/>
        <v>1.0210619043805558</v>
      </c>
      <c r="AW77" s="8">
        <f t="shared" si="11"/>
        <v>0.61263714262833358</v>
      </c>
    </row>
    <row r="78" spans="1:49" x14ac:dyDescent="0.2">
      <c r="A78">
        <v>76</v>
      </c>
      <c r="B78" t="s">
        <v>885</v>
      </c>
      <c r="C78" t="s">
        <v>886</v>
      </c>
      <c r="F78" t="s">
        <v>887</v>
      </c>
      <c r="G78" t="s">
        <v>4</v>
      </c>
      <c r="H78" t="s">
        <v>5</v>
      </c>
      <c r="I78" t="s">
        <v>888</v>
      </c>
      <c r="J78" t="s">
        <v>889</v>
      </c>
      <c r="K78" t="s">
        <v>890</v>
      </c>
      <c r="L78" t="s">
        <v>891</v>
      </c>
      <c r="M78" t="s">
        <v>892</v>
      </c>
      <c r="N78">
        <v>1</v>
      </c>
      <c r="O78" t="s">
        <v>893</v>
      </c>
      <c r="P78">
        <v>7003953871</v>
      </c>
      <c r="Q78" t="s">
        <v>894</v>
      </c>
      <c r="R78" s="1">
        <v>29952</v>
      </c>
      <c r="S78" s="2">
        <f t="shared" si="6"/>
        <v>1982</v>
      </c>
      <c r="T78" s="2">
        <v>1982</v>
      </c>
      <c r="U78" s="2">
        <f t="shared" si="7"/>
        <v>40</v>
      </c>
      <c r="V78" s="1">
        <v>30133</v>
      </c>
      <c r="W78" t="s">
        <v>880</v>
      </c>
      <c r="X78" s="3">
        <v>0.76500000000000001</v>
      </c>
      <c r="Y78" s="4">
        <f>(X78-'[1]1982'!$Z$4)/('[1]1982'!$Z$3-'[1]1982'!$Z$4)</f>
        <v>2.0421238087611118E-2</v>
      </c>
      <c r="AA78">
        <v>138703</v>
      </c>
      <c r="AB78">
        <v>19793</v>
      </c>
      <c r="AC78">
        <v>15707458</v>
      </c>
      <c r="AD78" t="s">
        <v>15</v>
      </c>
      <c r="AE78">
        <v>32</v>
      </c>
      <c r="AF78">
        <v>1</v>
      </c>
      <c r="AH78" t="s">
        <v>895</v>
      </c>
      <c r="AI78" t="s">
        <v>896</v>
      </c>
      <c r="AJ78" t="s">
        <v>897</v>
      </c>
      <c r="AK78" t="s">
        <v>898</v>
      </c>
      <c r="AL78">
        <v>0</v>
      </c>
      <c r="AM78" s="5">
        <f t="shared" si="8"/>
        <v>0</v>
      </c>
      <c r="AN78" s="6">
        <f>(AM78-'[1]1982'!$AO$4)/('[1]1982'!$AO$3-'[1]1982'!$AO$4)</f>
        <v>0</v>
      </c>
      <c r="AO78" s="7"/>
      <c r="AP78">
        <v>0</v>
      </c>
      <c r="AR78" t="s">
        <v>19</v>
      </c>
      <c r="AT78" s="3" t="s">
        <v>20</v>
      </c>
      <c r="AU78" s="8">
        <f t="shared" si="9"/>
        <v>1.4294866661327781</v>
      </c>
      <c r="AV78" s="8">
        <f t="shared" si="10"/>
        <v>1.0210619043805558</v>
      </c>
      <c r="AW78" s="8">
        <f t="shared" si="11"/>
        <v>0.61263714262833358</v>
      </c>
    </row>
    <row r="79" spans="1:49" x14ac:dyDescent="0.2">
      <c r="A79">
        <v>77</v>
      </c>
      <c r="B79" t="s">
        <v>899</v>
      </c>
      <c r="C79" t="s">
        <v>900</v>
      </c>
      <c r="F79" t="s">
        <v>901</v>
      </c>
      <c r="G79" t="s">
        <v>4</v>
      </c>
      <c r="H79" t="s">
        <v>5</v>
      </c>
      <c r="I79" t="s">
        <v>902</v>
      </c>
      <c r="N79">
        <v>3</v>
      </c>
      <c r="O79" t="s">
        <v>903</v>
      </c>
      <c r="P79" t="s">
        <v>273</v>
      </c>
      <c r="Q79" t="s">
        <v>145</v>
      </c>
      <c r="R79" s="1">
        <v>29952</v>
      </c>
      <c r="S79" s="2">
        <f t="shared" si="6"/>
        <v>1982</v>
      </c>
      <c r="T79" s="2">
        <v>1982</v>
      </c>
      <c r="U79" s="2">
        <f t="shared" si="7"/>
        <v>40</v>
      </c>
      <c r="V79" s="1">
        <v>30011</v>
      </c>
      <c r="W79" t="s">
        <v>880</v>
      </c>
      <c r="X79" s="3">
        <v>0.76500000000000001</v>
      </c>
      <c r="Y79" s="4">
        <f>(X79-'[1]1982'!$Z$4)/('[1]1982'!$Z$3-'[1]1982'!$Z$4)</f>
        <v>2.0421238087611118E-2</v>
      </c>
      <c r="AA79">
        <v>138703</v>
      </c>
      <c r="AB79">
        <v>19793</v>
      </c>
      <c r="AC79">
        <v>15707458</v>
      </c>
      <c r="AD79" t="s">
        <v>15</v>
      </c>
      <c r="AE79">
        <v>31</v>
      </c>
      <c r="AF79" s="9">
        <v>44257</v>
      </c>
      <c r="AH79" t="s">
        <v>904</v>
      </c>
      <c r="AJ79" t="s">
        <v>905</v>
      </c>
      <c r="AL79">
        <v>6</v>
      </c>
      <c r="AM79" s="5">
        <f t="shared" si="8"/>
        <v>0.15</v>
      </c>
      <c r="AN79" s="6">
        <f>(AM79-'[1]1982'!$AO$4)/('[1]1982'!$AO$3-'[1]1982'!$AO$4)</f>
        <v>2.2718667171525936E-4</v>
      </c>
      <c r="AO79" s="7"/>
      <c r="AP79">
        <v>0</v>
      </c>
      <c r="AR79" t="s">
        <v>19</v>
      </c>
      <c r="AT79" s="3" t="s">
        <v>20</v>
      </c>
      <c r="AU79" s="8">
        <f t="shared" si="9"/>
        <v>1.436302266284236</v>
      </c>
      <c r="AV79" s="8">
        <f t="shared" si="10"/>
        <v>1.0324212379663189</v>
      </c>
      <c r="AW79" s="8">
        <f t="shared" si="11"/>
        <v>0.62854020964840163</v>
      </c>
    </row>
    <row r="80" spans="1:49" x14ac:dyDescent="0.2">
      <c r="A80">
        <v>78</v>
      </c>
      <c r="B80" t="s">
        <v>906</v>
      </c>
      <c r="C80" t="s">
        <v>907</v>
      </c>
      <c r="F80" t="s">
        <v>908</v>
      </c>
      <c r="G80" t="s">
        <v>4</v>
      </c>
      <c r="H80" t="s">
        <v>5</v>
      </c>
      <c r="I80" t="s">
        <v>909</v>
      </c>
      <c r="J80">
        <v>60030788</v>
      </c>
      <c r="K80" t="s">
        <v>910</v>
      </c>
      <c r="L80" t="s">
        <v>911</v>
      </c>
      <c r="M80" t="s">
        <v>485</v>
      </c>
      <c r="N80">
        <v>2</v>
      </c>
      <c r="O80" t="s">
        <v>912</v>
      </c>
      <c r="P80" t="s">
        <v>913</v>
      </c>
      <c r="Q80" t="s">
        <v>914</v>
      </c>
      <c r="R80" s="1">
        <v>29952</v>
      </c>
      <c r="S80" s="2">
        <f t="shared" si="6"/>
        <v>1982</v>
      </c>
      <c r="T80" s="2">
        <v>1982</v>
      </c>
      <c r="U80" s="2">
        <f t="shared" si="7"/>
        <v>40</v>
      </c>
      <c r="V80" s="1">
        <v>29952</v>
      </c>
      <c r="W80" t="s">
        <v>915</v>
      </c>
      <c r="X80" s="3">
        <v>0.24</v>
      </c>
      <c r="Y80" s="4">
        <f>(X80-'[1]1982'!$Z$4)/('[1]1982'!$Z$3-'[1]1982'!$Z$4)</f>
        <v>6.4066629294466243E-3</v>
      </c>
      <c r="AA80" t="s">
        <v>916</v>
      </c>
      <c r="AB80">
        <v>21967</v>
      </c>
      <c r="AC80">
        <v>18817335</v>
      </c>
      <c r="AD80" t="s">
        <v>15</v>
      </c>
      <c r="AE80">
        <v>16</v>
      </c>
      <c r="AF80">
        <v>4</v>
      </c>
      <c r="AH80" t="s">
        <v>917</v>
      </c>
      <c r="AI80" t="s">
        <v>918</v>
      </c>
      <c r="AK80" t="s">
        <v>919</v>
      </c>
      <c r="AL80">
        <v>3</v>
      </c>
      <c r="AM80" s="5">
        <f t="shared" si="8"/>
        <v>7.4999999999999997E-2</v>
      </c>
      <c r="AN80" s="6">
        <f>(AM80-'[1]1982'!$AO$4)/('[1]1982'!$AO$3-'[1]1982'!$AO$4)</f>
        <v>1.1359333585762968E-4</v>
      </c>
      <c r="AO80" s="7"/>
      <c r="AP80">
        <v>1</v>
      </c>
      <c r="AR80" t="s">
        <v>19</v>
      </c>
      <c r="AT80" s="3">
        <v>0.6</v>
      </c>
      <c r="AU80" s="8">
        <f t="shared" si="9"/>
        <v>0.45187420513699256</v>
      </c>
      <c r="AV80" s="8">
        <f t="shared" si="10"/>
        <v>0.3260128132652127</v>
      </c>
      <c r="AW80" s="8">
        <f t="shared" si="11"/>
        <v>0.20015142139343278</v>
      </c>
    </row>
    <row r="81" spans="1:49" x14ac:dyDescent="0.2">
      <c r="A81">
        <v>79</v>
      </c>
      <c r="B81" t="s">
        <v>920</v>
      </c>
      <c r="C81" t="s">
        <v>921</v>
      </c>
      <c r="F81" t="s">
        <v>922</v>
      </c>
      <c r="G81" t="s">
        <v>4</v>
      </c>
      <c r="H81" t="s">
        <v>5</v>
      </c>
      <c r="I81" t="s">
        <v>923</v>
      </c>
      <c r="J81">
        <v>60014256</v>
      </c>
      <c r="K81" t="s">
        <v>924</v>
      </c>
      <c r="L81" t="s">
        <v>925</v>
      </c>
      <c r="M81" t="s">
        <v>485</v>
      </c>
      <c r="N81">
        <v>2</v>
      </c>
      <c r="O81" t="s">
        <v>926</v>
      </c>
      <c r="P81" t="s">
        <v>927</v>
      </c>
      <c r="Q81" t="s">
        <v>928</v>
      </c>
      <c r="R81" s="1">
        <v>29952</v>
      </c>
      <c r="S81" s="2">
        <f t="shared" si="6"/>
        <v>1982</v>
      </c>
      <c r="T81" s="2">
        <v>1982</v>
      </c>
      <c r="U81" s="2">
        <f t="shared" si="7"/>
        <v>40</v>
      </c>
      <c r="V81" s="1">
        <v>1982</v>
      </c>
      <c r="W81" t="s">
        <v>929</v>
      </c>
      <c r="X81" s="3">
        <v>0.36299999999999999</v>
      </c>
      <c r="Y81" s="4">
        <f>(X81-'[1]1982'!$Z$4)/('[1]1982'!$Z$3-'[1]1982'!$Z$4)</f>
        <v>9.6900776807880198E-3</v>
      </c>
      <c r="AA81">
        <v>214914</v>
      </c>
      <c r="AB81">
        <v>21042</v>
      </c>
      <c r="AC81">
        <v>13476068</v>
      </c>
      <c r="AD81" t="s">
        <v>15</v>
      </c>
      <c r="AE81">
        <v>26</v>
      </c>
      <c r="AF81">
        <v>3</v>
      </c>
      <c r="AH81" t="s">
        <v>930</v>
      </c>
      <c r="AI81" t="s">
        <v>931</v>
      </c>
      <c r="AK81" t="s">
        <v>932</v>
      </c>
      <c r="AL81">
        <v>11</v>
      </c>
      <c r="AM81" s="5">
        <f t="shared" si="8"/>
        <v>0.27500000000000002</v>
      </c>
      <c r="AN81" s="6">
        <f>(AM81-'[1]1982'!$AO$4)/('[1]1982'!$AO$3-'[1]1982'!$AO$4)</f>
        <v>4.1650889814464221E-4</v>
      </c>
      <c r="AO81" s="7"/>
      <c r="AP81">
        <v>1</v>
      </c>
      <c r="AR81" t="s">
        <v>19</v>
      </c>
      <c r="AT81" s="3" t="s">
        <v>20</v>
      </c>
      <c r="AU81" s="8">
        <f t="shared" si="9"/>
        <v>0.6908007045995006</v>
      </c>
      <c r="AV81" s="8">
        <f t="shared" si="10"/>
        <v>0.50532932894663307</v>
      </c>
      <c r="AW81" s="8">
        <f t="shared" si="11"/>
        <v>0.31985795329376554</v>
      </c>
    </row>
    <row r="82" spans="1:49" x14ac:dyDescent="0.2">
      <c r="A82">
        <v>80</v>
      </c>
      <c r="B82" t="s">
        <v>933</v>
      </c>
      <c r="C82" t="s">
        <v>934</v>
      </c>
      <c r="F82" t="s">
        <v>935</v>
      </c>
      <c r="G82" t="s">
        <v>4</v>
      </c>
      <c r="H82" t="s">
        <v>5</v>
      </c>
      <c r="I82" t="s">
        <v>936</v>
      </c>
      <c r="J82">
        <v>60009731</v>
      </c>
      <c r="K82" t="s">
        <v>937</v>
      </c>
      <c r="L82" t="s">
        <v>938</v>
      </c>
      <c r="M82" t="s">
        <v>65</v>
      </c>
      <c r="N82">
        <v>2</v>
      </c>
      <c r="O82" t="s">
        <v>939</v>
      </c>
      <c r="P82" t="s">
        <v>940</v>
      </c>
      <c r="Q82" t="s">
        <v>941</v>
      </c>
      <c r="R82" s="1">
        <v>29952</v>
      </c>
      <c r="S82" s="2">
        <f t="shared" si="6"/>
        <v>1982</v>
      </c>
      <c r="T82" s="2">
        <v>1982</v>
      </c>
      <c r="U82" s="2">
        <f t="shared" si="7"/>
        <v>40</v>
      </c>
      <c r="V82" s="1">
        <v>30133</v>
      </c>
      <c r="W82" t="s">
        <v>942</v>
      </c>
      <c r="X82" s="3">
        <v>0.81799999999999995</v>
      </c>
      <c r="Y82" s="4">
        <f>(X82-'[1]1982'!$Z$4)/('[1]1982'!$Z$3-'[1]1982'!$Z$4)</f>
        <v>2.1836042817863912E-2</v>
      </c>
      <c r="AA82">
        <v>318655</v>
      </c>
      <c r="AB82">
        <v>27010</v>
      </c>
      <c r="AC82">
        <v>17511097</v>
      </c>
      <c r="AD82" t="s">
        <v>15</v>
      </c>
      <c r="AE82">
        <v>36</v>
      </c>
      <c r="AF82">
        <v>1</v>
      </c>
      <c r="AH82" t="s">
        <v>943</v>
      </c>
      <c r="AI82" t="s">
        <v>944</v>
      </c>
      <c r="AK82" t="s">
        <v>945</v>
      </c>
      <c r="AL82">
        <v>21</v>
      </c>
      <c r="AM82" s="5">
        <f t="shared" si="8"/>
        <v>0.52500000000000002</v>
      </c>
      <c r="AN82" s="6">
        <f>(AM82-'[1]1982'!$AO$4)/('[1]1982'!$AO$3-'[1]1982'!$AO$4)</f>
        <v>7.9515335100340781E-4</v>
      </c>
      <c r="AO82" s="7"/>
      <c r="AP82">
        <v>0</v>
      </c>
      <c r="AR82" t="s">
        <v>19</v>
      </c>
      <c r="AT82" s="3">
        <v>3.4209999999999998</v>
      </c>
      <c r="AU82" s="8">
        <f t="shared" si="9"/>
        <v>1.552377597780576</v>
      </c>
      <c r="AV82" s="8">
        <f t="shared" si="10"/>
        <v>1.131559808443366</v>
      </c>
      <c r="AW82" s="8">
        <f t="shared" si="11"/>
        <v>0.71074201910615598</v>
      </c>
    </row>
    <row r="83" spans="1:49" x14ac:dyDescent="0.2">
      <c r="A83">
        <v>81</v>
      </c>
      <c r="B83" t="s">
        <v>946</v>
      </c>
      <c r="C83" t="s">
        <v>947</v>
      </c>
      <c r="F83" t="s">
        <v>948</v>
      </c>
      <c r="G83" t="s">
        <v>4</v>
      </c>
      <c r="H83" t="s">
        <v>5</v>
      </c>
      <c r="I83" t="s">
        <v>949</v>
      </c>
      <c r="J83">
        <v>60026097</v>
      </c>
      <c r="K83" t="s">
        <v>950</v>
      </c>
      <c r="L83" t="s">
        <v>951</v>
      </c>
      <c r="M83" t="s">
        <v>9</v>
      </c>
      <c r="N83">
        <v>1</v>
      </c>
      <c r="O83" t="s">
        <v>952</v>
      </c>
      <c r="P83">
        <v>35617633700</v>
      </c>
      <c r="Q83">
        <v>60026097</v>
      </c>
      <c r="R83" s="1">
        <v>29952</v>
      </c>
      <c r="S83" s="2">
        <f t="shared" si="6"/>
        <v>1982</v>
      </c>
      <c r="T83" s="2">
        <v>1982</v>
      </c>
      <c r="U83" s="2">
        <f t="shared" si="7"/>
        <v>40</v>
      </c>
      <c r="V83" s="1">
        <v>30103</v>
      </c>
      <c r="W83" t="s">
        <v>942</v>
      </c>
      <c r="X83" s="3">
        <v>0.81799999999999995</v>
      </c>
      <c r="Y83" s="4">
        <f>(X83-'[1]1982'!$Z$4)/('[1]1982'!$Z$3-'[1]1982'!$Z$4)</f>
        <v>2.1836042817863912E-2</v>
      </c>
      <c r="AA83">
        <v>318655</v>
      </c>
      <c r="AB83">
        <v>27010</v>
      </c>
      <c r="AC83">
        <v>17511097</v>
      </c>
      <c r="AD83" t="s">
        <v>15</v>
      </c>
      <c r="AE83">
        <v>35</v>
      </c>
      <c r="AF83">
        <v>6</v>
      </c>
      <c r="AH83" t="s">
        <v>953</v>
      </c>
      <c r="AI83" t="s">
        <v>954</v>
      </c>
      <c r="AK83" t="s">
        <v>955</v>
      </c>
      <c r="AL83">
        <v>112</v>
      </c>
      <c r="AM83" s="5">
        <f t="shared" si="8"/>
        <v>2.8</v>
      </c>
      <c r="AN83" s="6">
        <f>(AM83-'[1]1982'!$AO$4)/('[1]1982'!$AO$3-'[1]1982'!$AO$4)</f>
        <v>4.2408178720181747E-3</v>
      </c>
      <c r="AO83" s="7"/>
      <c r="AP83">
        <v>0</v>
      </c>
      <c r="AR83" t="s">
        <v>19</v>
      </c>
      <c r="AT83" s="3">
        <v>3.4209999999999998</v>
      </c>
      <c r="AU83" s="8">
        <f t="shared" si="9"/>
        <v>1.655747533411019</v>
      </c>
      <c r="AV83" s="8">
        <f t="shared" si="10"/>
        <v>1.3038430344941043</v>
      </c>
      <c r="AW83" s="8">
        <f t="shared" si="11"/>
        <v>0.95193853557718966</v>
      </c>
    </row>
    <row r="84" spans="1:49" x14ac:dyDescent="0.2">
      <c r="A84">
        <v>82</v>
      </c>
      <c r="B84" t="s">
        <v>956</v>
      </c>
      <c r="C84" t="s">
        <v>957</v>
      </c>
      <c r="F84" t="s">
        <v>958</v>
      </c>
      <c r="G84" t="s">
        <v>4</v>
      </c>
      <c r="H84" t="s">
        <v>5</v>
      </c>
      <c r="I84" t="s">
        <v>959</v>
      </c>
      <c r="J84">
        <v>60016849</v>
      </c>
      <c r="K84" t="s">
        <v>960</v>
      </c>
      <c r="L84" t="s">
        <v>961</v>
      </c>
      <c r="M84" t="s">
        <v>962</v>
      </c>
      <c r="N84">
        <v>2</v>
      </c>
      <c r="O84" t="s">
        <v>963</v>
      </c>
      <c r="P84" t="s">
        <v>964</v>
      </c>
      <c r="Q84" t="s">
        <v>965</v>
      </c>
      <c r="R84" s="1">
        <v>29952</v>
      </c>
      <c r="S84" s="2">
        <f t="shared" si="6"/>
        <v>1982</v>
      </c>
      <c r="T84" s="2">
        <v>1982</v>
      </c>
      <c r="U84" s="2">
        <f t="shared" si="7"/>
        <v>40</v>
      </c>
      <c r="V84" s="1">
        <v>30011</v>
      </c>
      <c r="W84" t="s">
        <v>966</v>
      </c>
      <c r="X84" s="3">
        <v>0.65200000000000002</v>
      </c>
      <c r="Y84" s="4">
        <f>(X84-'[1]1982'!$Z$4)/('[1]1982'!$Z$3-'[1]1982'!$Z$4)</f>
        <v>1.7404767624996664E-2</v>
      </c>
      <c r="AA84">
        <v>3622525</v>
      </c>
      <c r="AB84">
        <v>29629</v>
      </c>
      <c r="AC84">
        <v>10974687</v>
      </c>
      <c r="AD84" t="s">
        <v>15</v>
      </c>
      <c r="AE84">
        <v>171</v>
      </c>
      <c r="AF84">
        <v>3</v>
      </c>
      <c r="AH84" t="s">
        <v>967</v>
      </c>
      <c r="AI84" t="s">
        <v>968</v>
      </c>
      <c r="AK84" t="s">
        <v>969</v>
      </c>
      <c r="AL84">
        <v>7</v>
      </c>
      <c r="AM84" s="5">
        <f t="shared" si="8"/>
        <v>0.17499999999999999</v>
      </c>
      <c r="AN84" s="6">
        <f>(AM84-'[1]1982'!$AO$4)/('[1]1982'!$AO$3-'[1]1982'!$AO$4)</f>
        <v>2.6505111700113592E-4</v>
      </c>
      <c r="AO84" s="7"/>
      <c r="AP84">
        <v>0</v>
      </c>
      <c r="AR84" t="s">
        <v>19</v>
      </c>
      <c r="AT84" s="3">
        <v>1.804</v>
      </c>
      <c r="AU84" s="8">
        <f t="shared" si="9"/>
        <v>1.2262852672598004</v>
      </c>
      <c r="AV84" s="8">
        <f t="shared" si="10"/>
        <v>0.88349093709989002</v>
      </c>
      <c r="AW84" s="8">
        <f t="shared" si="11"/>
        <v>0.54069660693997945</v>
      </c>
    </row>
    <row r="85" spans="1:49" x14ac:dyDescent="0.2">
      <c r="A85">
        <v>83</v>
      </c>
      <c r="B85" t="s">
        <v>970</v>
      </c>
      <c r="C85" t="s">
        <v>971</v>
      </c>
      <c r="F85" t="s">
        <v>972</v>
      </c>
      <c r="G85" t="s">
        <v>4</v>
      </c>
      <c r="H85" t="s">
        <v>5</v>
      </c>
      <c r="I85" t="s">
        <v>973</v>
      </c>
      <c r="J85" t="s">
        <v>974</v>
      </c>
      <c r="K85" t="s">
        <v>975</v>
      </c>
      <c r="L85" t="s">
        <v>976</v>
      </c>
      <c r="M85" t="s">
        <v>218</v>
      </c>
      <c r="N85">
        <v>1</v>
      </c>
      <c r="O85" t="s">
        <v>977</v>
      </c>
      <c r="P85">
        <v>7406037769</v>
      </c>
      <c r="Q85" t="s">
        <v>978</v>
      </c>
      <c r="R85" s="1">
        <v>29952</v>
      </c>
      <c r="S85" s="2">
        <f t="shared" si="6"/>
        <v>1982</v>
      </c>
      <c r="T85" s="2">
        <v>1982</v>
      </c>
      <c r="U85" s="2">
        <f t="shared" si="7"/>
        <v>40</v>
      </c>
      <c r="V85" s="1">
        <v>30152</v>
      </c>
      <c r="W85" t="s">
        <v>979</v>
      </c>
      <c r="X85" s="3" t="s">
        <v>20</v>
      </c>
      <c r="Y85" s="4" t="e">
        <f>(X85-'[1]1982'!$Z$4)/('[1]1982'!$Z$3-'[1]1982'!$Z$4)</f>
        <v>#VALUE!</v>
      </c>
      <c r="AA85" t="s">
        <v>980</v>
      </c>
      <c r="AB85">
        <v>35950</v>
      </c>
      <c r="AC85" t="s">
        <v>981</v>
      </c>
      <c r="AD85" t="s">
        <v>15</v>
      </c>
      <c r="AE85">
        <v>222</v>
      </c>
      <c r="AF85">
        <v>1</v>
      </c>
      <c r="AH85" t="s">
        <v>982</v>
      </c>
      <c r="AI85" t="s">
        <v>983</v>
      </c>
      <c r="AK85" t="s">
        <v>984</v>
      </c>
      <c r="AL85">
        <v>37</v>
      </c>
      <c r="AM85" s="5">
        <f t="shared" si="8"/>
        <v>0.92500000000000004</v>
      </c>
      <c r="AN85" s="6">
        <f>(AM85-'[1]1982'!$AO$4)/('[1]1982'!$AO$3-'[1]1982'!$AO$4)</f>
        <v>1.4009844755774328E-3</v>
      </c>
      <c r="AO85" s="7"/>
      <c r="AP85">
        <v>0</v>
      </c>
      <c r="AR85" t="s">
        <v>19</v>
      </c>
      <c r="AT85" s="3" t="s">
        <v>20</v>
      </c>
      <c r="AU85" s="8" t="e">
        <f t="shared" si="9"/>
        <v>#VALUE!</v>
      </c>
      <c r="AV85" s="8" t="e">
        <f t="shared" si="10"/>
        <v>#VALUE!</v>
      </c>
      <c r="AW85" s="8" t="e">
        <f t="shared" si="11"/>
        <v>#VALUE!</v>
      </c>
    </row>
    <row r="86" spans="1:49" x14ac:dyDescent="0.2">
      <c r="A86">
        <v>84</v>
      </c>
      <c r="B86" t="s">
        <v>985</v>
      </c>
      <c r="C86" t="s">
        <v>986</v>
      </c>
      <c r="F86" t="s">
        <v>987</v>
      </c>
      <c r="G86" t="s">
        <v>4</v>
      </c>
      <c r="H86" t="s">
        <v>5</v>
      </c>
      <c r="I86" t="s">
        <v>230</v>
      </c>
      <c r="J86">
        <v>117289560</v>
      </c>
      <c r="K86" t="s">
        <v>988</v>
      </c>
      <c r="L86" t="s">
        <v>232</v>
      </c>
      <c r="M86" t="s">
        <v>233</v>
      </c>
      <c r="N86">
        <v>5</v>
      </c>
      <c r="O86" t="s">
        <v>989</v>
      </c>
      <c r="P86" t="s">
        <v>990</v>
      </c>
      <c r="Q86" t="s">
        <v>991</v>
      </c>
      <c r="R86" s="1">
        <v>29952</v>
      </c>
      <c r="S86" s="2">
        <f t="shared" si="6"/>
        <v>1982</v>
      </c>
      <c r="T86" s="2">
        <v>1982</v>
      </c>
      <c r="U86" s="2">
        <f t="shared" si="7"/>
        <v>40</v>
      </c>
      <c r="V86" s="1">
        <v>30011</v>
      </c>
      <c r="W86" t="s">
        <v>942</v>
      </c>
      <c r="X86" s="3">
        <v>0.81799999999999995</v>
      </c>
      <c r="Y86" s="4">
        <f>(X86-'[1]1982'!$Z$4)/('[1]1982'!$Z$3-'[1]1982'!$Z$4)</f>
        <v>2.1836042817863912E-2</v>
      </c>
      <c r="AA86">
        <v>318655</v>
      </c>
      <c r="AB86">
        <v>27010</v>
      </c>
      <c r="AC86">
        <v>17511097</v>
      </c>
      <c r="AD86" t="s">
        <v>15</v>
      </c>
      <c r="AE86">
        <v>35</v>
      </c>
      <c r="AF86">
        <v>3</v>
      </c>
      <c r="AH86" t="s">
        <v>992</v>
      </c>
      <c r="AI86" t="s">
        <v>993</v>
      </c>
      <c r="AK86" t="s">
        <v>994</v>
      </c>
      <c r="AL86">
        <v>11</v>
      </c>
      <c r="AM86" s="5">
        <f t="shared" si="8"/>
        <v>0.27500000000000002</v>
      </c>
      <c r="AN86" s="6">
        <f>(AM86-'[1]1982'!$AO$4)/('[1]1982'!$AO$3-'[1]1982'!$AO$4)</f>
        <v>4.1650889814464221E-4</v>
      </c>
      <c r="AO86" s="7"/>
      <c r="AP86">
        <v>0</v>
      </c>
      <c r="AR86" t="s">
        <v>19</v>
      </c>
      <c r="AT86" s="3">
        <v>3.4209999999999998</v>
      </c>
      <c r="AU86" s="8">
        <f t="shared" si="9"/>
        <v>1.5410182641948129</v>
      </c>
      <c r="AV86" s="8">
        <f t="shared" si="10"/>
        <v>1.1126275858004278</v>
      </c>
      <c r="AW86" s="8">
        <f t="shared" si="11"/>
        <v>0.68423690740604237</v>
      </c>
    </row>
    <row r="87" spans="1:49" x14ac:dyDescent="0.2">
      <c r="A87">
        <v>85</v>
      </c>
      <c r="B87" t="s">
        <v>995</v>
      </c>
      <c r="C87" t="s">
        <v>996</v>
      </c>
      <c r="F87" t="s">
        <v>997</v>
      </c>
      <c r="G87" t="s">
        <v>4</v>
      </c>
      <c r="H87" t="s">
        <v>5</v>
      </c>
      <c r="I87" t="s">
        <v>998</v>
      </c>
      <c r="J87" t="s">
        <v>999</v>
      </c>
      <c r="K87" t="s">
        <v>1000</v>
      </c>
      <c r="L87" t="s">
        <v>1001</v>
      </c>
      <c r="M87" t="s">
        <v>500</v>
      </c>
      <c r="N87">
        <v>2</v>
      </c>
      <c r="O87" t="s">
        <v>1002</v>
      </c>
      <c r="P87" t="s">
        <v>1003</v>
      </c>
      <c r="Q87" t="s">
        <v>1004</v>
      </c>
      <c r="R87" s="1">
        <v>29952</v>
      </c>
      <c r="S87" s="2">
        <f t="shared" si="6"/>
        <v>1982</v>
      </c>
      <c r="T87" s="2">
        <v>1982</v>
      </c>
      <c r="U87" s="2">
        <f t="shared" si="7"/>
        <v>40</v>
      </c>
      <c r="V87" s="1">
        <v>1982</v>
      </c>
      <c r="W87" t="s">
        <v>1005</v>
      </c>
      <c r="X87" s="3">
        <v>0.111</v>
      </c>
      <c r="Y87" s="4">
        <f>(X87-'[1]1982'!$Z$4)/('[1]1982'!$Z$3-'[1]1982'!$Z$4)</f>
        <v>2.9630816048690639E-3</v>
      </c>
      <c r="AA87">
        <v>87566621</v>
      </c>
      <c r="AB87">
        <v>24890</v>
      </c>
      <c r="AC87">
        <v>15206424</v>
      </c>
      <c r="AD87" t="s">
        <v>15</v>
      </c>
      <c r="AE87">
        <v>65</v>
      </c>
      <c r="AF87">
        <v>7</v>
      </c>
      <c r="AH87" t="s">
        <v>1006</v>
      </c>
      <c r="AI87" t="s">
        <v>1007</v>
      </c>
      <c r="AK87" t="s">
        <v>1008</v>
      </c>
      <c r="AL87">
        <v>0</v>
      </c>
      <c r="AM87" s="5">
        <f t="shared" si="8"/>
        <v>0</v>
      </c>
      <c r="AN87" s="6">
        <f>(AM87-'[1]1982'!$AO$4)/('[1]1982'!$AO$3-'[1]1982'!$AO$4)</f>
        <v>0</v>
      </c>
      <c r="AO87" s="7"/>
      <c r="AP87">
        <v>0</v>
      </c>
      <c r="AR87" t="s">
        <v>19</v>
      </c>
      <c r="AT87" s="3" t="s">
        <v>20</v>
      </c>
      <c r="AU87" s="8">
        <f t="shared" si="9"/>
        <v>0.20741571234083445</v>
      </c>
      <c r="AV87" s="8">
        <f t="shared" si="10"/>
        <v>0.1481540802434532</v>
      </c>
      <c r="AW87" s="8">
        <f t="shared" si="11"/>
        <v>8.8892448146071903E-2</v>
      </c>
    </row>
    <row r="88" spans="1:49" x14ac:dyDescent="0.2">
      <c r="A88">
        <v>86</v>
      </c>
      <c r="B88" t="s">
        <v>1009</v>
      </c>
      <c r="C88" t="s">
        <v>1010</v>
      </c>
      <c r="F88" t="s">
        <v>1011</v>
      </c>
      <c r="G88" t="s">
        <v>4</v>
      </c>
      <c r="H88" t="s">
        <v>5</v>
      </c>
      <c r="I88" t="s">
        <v>1012</v>
      </c>
      <c r="J88">
        <v>60005460</v>
      </c>
      <c r="K88" t="s">
        <v>1013</v>
      </c>
      <c r="L88" t="s">
        <v>1014</v>
      </c>
      <c r="M88" t="s">
        <v>65</v>
      </c>
      <c r="N88">
        <v>1</v>
      </c>
      <c r="O88" t="s">
        <v>1015</v>
      </c>
      <c r="P88">
        <v>57198155491</v>
      </c>
      <c r="Q88">
        <v>60005460</v>
      </c>
      <c r="R88" s="1">
        <v>29952</v>
      </c>
      <c r="S88" s="2">
        <f t="shared" si="6"/>
        <v>1982</v>
      </c>
      <c r="T88" s="2">
        <v>1982</v>
      </c>
      <c r="U88" s="2">
        <f t="shared" si="7"/>
        <v>40</v>
      </c>
      <c r="V88" s="1">
        <v>30195</v>
      </c>
      <c r="W88" t="s">
        <v>1016</v>
      </c>
      <c r="X88" s="3">
        <v>0.69299999999999995</v>
      </c>
      <c r="Y88" s="4">
        <f>(X88-'[1]1982'!$Z$4)/('[1]1982'!$Z$3-'[1]1982'!$Z$4)</f>
        <v>1.8499239208777128E-2</v>
      </c>
      <c r="AA88">
        <v>3076962</v>
      </c>
      <c r="AB88">
        <v>21084</v>
      </c>
      <c r="AC88">
        <v>13653032</v>
      </c>
      <c r="AD88" t="s">
        <v>15</v>
      </c>
      <c r="AE88">
        <v>7</v>
      </c>
      <c r="AF88">
        <v>3</v>
      </c>
      <c r="AH88" t="s">
        <v>1017</v>
      </c>
      <c r="AI88" t="s">
        <v>1018</v>
      </c>
      <c r="AJ88" t="s">
        <v>1019</v>
      </c>
      <c r="AK88" t="s">
        <v>1020</v>
      </c>
      <c r="AL88">
        <v>7</v>
      </c>
      <c r="AM88" s="5">
        <f t="shared" si="8"/>
        <v>0.17499999999999999</v>
      </c>
      <c r="AN88" s="6">
        <f>(AM88-'[1]1982'!$AO$4)/('[1]1982'!$AO$3-'[1]1982'!$AO$4)</f>
        <v>2.6505111700113592E-4</v>
      </c>
      <c r="AO88" s="7"/>
      <c r="AP88">
        <v>0</v>
      </c>
      <c r="AR88" t="s">
        <v>19</v>
      </c>
      <c r="AT88" s="3">
        <v>1.833</v>
      </c>
      <c r="AU88" s="8">
        <f t="shared" si="9"/>
        <v>1.3028982781244329</v>
      </c>
      <c r="AV88" s="8">
        <f t="shared" si="10"/>
        <v>0.93821451628891328</v>
      </c>
      <c r="AW88" s="8">
        <f t="shared" si="11"/>
        <v>0.57353075445339341</v>
      </c>
    </row>
    <row r="89" spans="1:49" x14ac:dyDescent="0.2">
      <c r="A89">
        <v>87</v>
      </c>
      <c r="B89" t="s">
        <v>1021</v>
      </c>
      <c r="C89" t="s">
        <v>1022</v>
      </c>
      <c r="F89" t="s">
        <v>1023</v>
      </c>
      <c r="G89" t="s">
        <v>4</v>
      </c>
      <c r="H89" t="s">
        <v>5</v>
      </c>
      <c r="I89" t="s">
        <v>1024</v>
      </c>
      <c r="J89">
        <v>60025038</v>
      </c>
      <c r="K89" t="s">
        <v>116</v>
      </c>
      <c r="L89" t="s">
        <v>117</v>
      </c>
      <c r="M89" t="s">
        <v>9</v>
      </c>
      <c r="N89">
        <v>1</v>
      </c>
      <c r="O89" t="s">
        <v>1025</v>
      </c>
      <c r="P89">
        <v>7006364092</v>
      </c>
      <c r="Q89">
        <v>60025038</v>
      </c>
      <c r="R89" s="1">
        <v>29952</v>
      </c>
      <c r="S89" s="2">
        <f t="shared" si="6"/>
        <v>1982</v>
      </c>
      <c r="T89" s="2">
        <v>1982</v>
      </c>
      <c r="U89" s="2">
        <f t="shared" si="7"/>
        <v>40</v>
      </c>
      <c r="V89" s="1">
        <v>30011</v>
      </c>
      <c r="W89" t="s">
        <v>1016</v>
      </c>
      <c r="X89" s="3">
        <v>0.69299999999999995</v>
      </c>
      <c r="Y89" s="4">
        <f>(X89-'[1]1982'!$Z$4)/('[1]1982'!$Z$3-'[1]1982'!$Z$4)</f>
        <v>1.8499239208777128E-2</v>
      </c>
      <c r="AA89">
        <v>3076962</v>
      </c>
      <c r="AB89">
        <v>21084</v>
      </c>
      <c r="AC89">
        <v>13653032</v>
      </c>
      <c r="AD89" t="s">
        <v>15</v>
      </c>
      <c r="AE89">
        <v>7</v>
      </c>
      <c r="AF89">
        <v>1</v>
      </c>
      <c r="AH89" t="s">
        <v>943</v>
      </c>
      <c r="AI89" t="s">
        <v>1026</v>
      </c>
      <c r="AJ89" t="s">
        <v>1027</v>
      </c>
      <c r="AK89" t="s">
        <v>1028</v>
      </c>
      <c r="AL89">
        <v>10</v>
      </c>
      <c r="AM89" s="5">
        <f t="shared" si="8"/>
        <v>0.25</v>
      </c>
      <c r="AN89" s="6">
        <f>(AM89-'[1]1982'!$AO$4)/('[1]1982'!$AO$3-'[1]1982'!$AO$4)</f>
        <v>3.786444528587656E-4</v>
      </c>
      <c r="AO89" s="7"/>
      <c r="AP89">
        <v>0</v>
      </c>
      <c r="AR89" t="s">
        <v>19</v>
      </c>
      <c r="AT89" s="3">
        <v>1.833</v>
      </c>
      <c r="AU89" s="8">
        <f t="shared" si="9"/>
        <v>1.3063060782001619</v>
      </c>
      <c r="AV89" s="8">
        <f t="shared" si="10"/>
        <v>0.94389418308179462</v>
      </c>
      <c r="AW89" s="8">
        <f t="shared" si="11"/>
        <v>0.58148228796342738</v>
      </c>
    </row>
    <row r="90" spans="1:49" x14ac:dyDescent="0.2">
      <c r="A90">
        <v>88</v>
      </c>
      <c r="B90" t="s">
        <v>1029</v>
      </c>
      <c r="C90" t="s">
        <v>1030</v>
      </c>
      <c r="F90" t="s">
        <v>1031</v>
      </c>
      <c r="G90" t="s">
        <v>4</v>
      </c>
      <c r="H90" t="s">
        <v>5</v>
      </c>
      <c r="I90" t="s">
        <v>1032</v>
      </c>
      <c r="J90">
        <v>60002793</v>
      </c>
      <c r="K90" t="s">
        <v>666</v>
      </c>
      <c r="L90" t="s">
        <v>667</v>
      </c>
      <c r="M90" t="s">
        <v>94</v>
      </c>
      <c r="N90">
        <v>2</v>
      </c>
      <c r="O90" t="s">
        <v>1033</v>
      </c>
      <c r="P90" t="s">
        <v>1034</v>
      </c>
      <c r="Q90" t="s">
        <v>1035</v>
      </c>
      <c r="R90" s="1">
        <v>29952</v>
      </c>
      <c r="S90" s="2">
        <f t="shared" si="6"/>
        <v>1982</v>
      </c>
      <c r="T90" s="2">
        <v>1982</v>
      </c>
      <c r="U90" s="2">
        <f t="shared" si="7"/>
        <v>40</v>
      </c>
      <c r="V90" s="1">
        <v>30286</v>
      </c>
      <c r="W90" t="s">
        <v>1016</v>
      </c>
      <c r="X90" s="3">
        <v>0.69299999999999995</v>
      </c>
      <c r="Y90" s="4">
        <f>(X90-'[1]1982'!$Z$4)/('[1]1982'!$Z$3-'[1]1982'!$Z$4)</f>
        <v>1.8499239208777128E-2</v>
      </c>
      <c r="AA90">
        <v>3076962</v>
      </c>
      <c r="AB90">
        <v>21084</v>
      </c>
      <c r="AC90">
        <v>13653032</v>
      </c>
      <c r="AD90" t="s">
        <v>15</v>
      </c>
      <c r="AE90">
        <v>7</v>
      </c>
      <c r="AF90">
        <v>4</v>
      </c>
      <c r="AH90" t="s">
        <v>1036</v>
      </c>
      <c r="AI90" t="s">
        <v>1037</v>
      </c>
      <c r="AJ90" t="s">
        <v>1038</v>
      </c>
      <c r="AK90" t="s">
        <v>1039</v>
      </c>
      <c r="AL90">
        <v>8</v>
      </c>
      <c r="AM90" s="5">
        <f t="shared" si="8"/>
        <v>0.2</v>
      </c>
      <c r="AN90" s="6">
        <f>(AM90-'[1]1982'!$AO$4)/('[1]1982'!$AO$3-'[1]1982'!$AO$4)</f>
        <v>3.0291556228701253E-4</v>
      </c>
      <c r="AO90" s="7"/>
      <c r="AP90">
        <v>0</v>
      </c>
      <c r="AR90" t="s">
        <v>19</v>
      </c>
      <c r="AT90" s="3">
        <v>1.833</v>
      </c>
      <c r="AU90" s="8">
        <f t="shared" si="9"/>
        <v>1.3040342114830092</v>
      </c>
      <c r="AV90" s="8">
        <f t="shared" si="10"/>
        <v>0.94010773855320706</v>
      </c>
      <c r="AW90" s="8">
        <f t="shared" si="11"/>
        <v>0.57618126562340466</v>
      </c>
    </row>
    <row r="91" spans="1:49" x14ac:dyDescent="0.2">
      <c r="A91">
        <v>89</v>
      </c>
      <c r="B91" t="s">
        <v>1040</v>
      </c>
      <c r="C91" t="s">
        <v>1041</v>
      </c>
      <c r="F91" t="s">
        <v>1042</v>
      </c>
      <c r="G91" t="s">
        <v>4</v>
      </c>
      <c r="H91" t="s">
        <v>5</v>
      </c>
      <c r="I91" t="s">
        <v>1043</v>
      </c>
      <c r="J91" t="s">
        <v>1044</v>
      </c>
      <c r="K91" t="s">
        <v>1045</v>
      </c>
      <c r="L91" t="s">
        <v>1046</v>
      </c>
      <c r="M91" t="s">
        <v>218</v>
      </c>
      <c r="N91">
        <v>3</v>
      </c>
      <c r="O91" t="s">
        <v>1047</v>
      </c>
      <c r="P91" t="s">
        <v>1048</v>
      </c>
      <c r="Q91" t="s">
        <v>1049</v>
      </c>
      <c r="R91" s="1">
        <v>29952</v>
      </c>
      <c r="S91" s="2">
        <f t="shared" si="6"/>
        <v>1982</v>
      </c>
      <c r="T91" s="2">
        <v>1982</v>
      </c>
      <c r="U91" s="2">
        <f t="shared" si="7"/>
        <v>40</v>
      </c>
      <c r="V91" s="1">
        <v>30164</v>
      </c>
      <c r="W91" t="s">
        <v>1050</v>
      </c>
      <c r="X91" s="3" t="s">
        <v>20</v>
      </c>
      <c r="Y91" s="4" t="e">
        <f>(X91-'[1]1982'!$Z$4)/('[1]1982'!$Z$3-'[1]1982'!$Z$4)</f>
        <v>#VALUE!</v>
      </c>
      <c r="AA91" t="s">
        <v>1051</v>
      </c>
      <c r="AB91">
        <v>19716</v>
      </c>
      <c r="AC91">
        <v>19183240</v>
      </c>
      <c r="AD91" t="s">
        <v>15</v>
      </c>
      <c r="AE91">
        <v>114</v>
      </c>
      <c r="AF91">
        <v>8</v>
      </c>
      <c r="AH91" t="s">
        <v>1052</v>
      </c>
      <c r="AI91" t="s">
        <v>1053</v>
      </c>
      <c r="AK91" t="s">
        <v>1054</v>
      </c>
      <c r="AL91">
        <v>6</v>
      </c>
      <c r="AM91" s="5">
        <f t="shared" si="8"/>
        <v>0.15</v>
      </c>
      <c r="AN91" s="6">
        <f>(AM91-'[1]1982'!$AO$4)/('[1]1982'!$AO$3-'[1]1982'!$AO$4)</f>
        <v>2.2718667171525936E-4</v>
      </c>
      <c r="AO91" s="7"/>
      <c r="AP91">
        <v>0</v>
      </c>
      <c r="AQ91" t="s">
        <v>1055</v>
      </c>
      <c r="AR91" t="s">
        <v>19</v>
      </c>
      <c r="AS91" t="s">
        <v>1056</v>
      </c>
      <c r="AT91" s="3" t="s">
        <v>20</v>
      </c>
      <c r="AU91" s="8" t="e">
        <f t="shared" si="9"/>
        <v>#VALUE!</v>
      </c>
      <c r="AV91" s="8" t="e">
        <f t="shared" si="10"/>
        <v>#VALUE!</v>
      </c>
      <c r="AW91" s="8" t="e">
        <f t="shared" si="11"/>
        <v>#VALUE!</v>
      </c>
    </row>
    <row r="92" spans="1:49" x14ac:dyDescent="0.2">
      <c r="A92">
        <v>90</v>
      </c>
      <c r="B92" t="s">
        <v>1057</v>
      </c>
      <c r="C92" t="s">
        <v>1058</v>
      </c>
      <c r="F92" t="s">
        <v>1059</v>
      </c>
      <c r="G92" t="s">
        <v>4</v>
      </c>
      <c r="H92" t="s">
        <v>5</v>
      </c>
      <c r="I92" t="s">
        <v>1060</v>
      </c>
      <c r="J92">
        <v>60108488</v>
      </c>
      <c r="K92" t="s">
        <v>1061</v>
      </c>
      <c r="L92" t="s">
        <v>1062</v>
      </c>
      <c r="M92" t="s">
        <v>40</v>
      </c>
      <c r="N92">
        <v>1</v>
      </c>
      <c r="O92" t="s">
        <v>1063</v>
      </c>
      <c r="P92">
        <v>7005936173</v>
      </c>
      <c r="Q92">
        <v>60108488</v>
      </c>
      <c r="R92" s="1">
        <v>29952</v>
      </c>
      <c r="S92" s="2">
        <f t="shared" si="6"/>
        <v>1982</v>
      </c>
      <c r="T92" s="2">
        <v>1982</v>
      </c>
      <c r="U92" s="2">
        <f t="shared" si="7"/>
        <v>40</v>
      </c>
      <c r="V92" s="1">
        <v>1982</v>
      </c>
      <c r="W92" t="s">
        <v>1064</v>
      </c>
      <c r="X92" s="3">
        <v>0.27800000000000002</v>
      </c>
      <c r="Y92" s="4">
        <f>(X92-'[1]1982'!$Z$4)/('[1]1982'!$Z$3-'[1]1982'!$Z$4)</f>
        <v>7.4210512266090073E-3</v>
      </c>
      <c r="AA92" t="s">
        <v>1065</v>
      </c>
      <c r="AB92">
        <v>21402</v>
      </c>
      <c r="AC92">
        <v>15685403</v>
      </c>
      <c r="AD92" t="s">
        <v>15</v>
      </c>
      <c r="AE92">
        <v>42</v>
      </c>
      <c r="AF92" s="9">
        <v>44256</v>
      </c>
      <c r="AH92" t="s">
        <v>1066</v>
      </c>
      <c r="AI92" t="s">
        <v>1067</v>
      </c>
      <c r="AK92" t="s">
        <v>1068</v>
      </c>
      <c r="AL92">
        <v>6</v>
      </c>
      <c r="AM92" s="5">
        <f t="shared" si="8"/>
        <v>0.15</v>
      </c>
      <c r="AN92" s="6">
        <f>(AM92-'[1]1982'!$AO$4)/('[1]1982'!$AO$3-'[1]1982'!$AO$4)</f>
        <v>2.2718667171525936E-4</v>
      </c>
      <c r="AO92" s="7"/>
      <c r="AP92">
        <v>0</v>
      </c>
      <c r="AR92" t="s">
        <v>19</v>
      </c>
      <c r="AT92" s="3">
        <v>0.52900000000000003</v>
      </c>
      <c r="AU92" s="8">
        <f t="shared" si="9"/>
        <v>0.52628918601408825</v>
      </c>
      <c r="AV92" s="8">
        <f t="shared" si="10"/>
        <v>0.38241189491621336</v>
      </c>
      <c r="AW92" s="8">
        <f t="shared" si="11"/>
        <v>0.23853460381833835</v>
      </c>
    </row>
    <row r="93" spans="1:49" x14ac:dyDescent="0.2">
      <c r="A93">
        <v>91</v>
      </c>
      <c r="B93" t="s">
        <v>1069</v>
      </c>
      <c r="C93" t="s">
        <v>1070</v>
      </c>
      <c r="F93" t="s">
        <v>1071</v>
      </c>
      <c r="G93" t="s">
        <v>4</v>
      </c>
      <c r="H93" t="s">
        <v>5</v>
      </c>
      <c r="I93" t="s">
        <v>1072</v>
      </c>
      <c r="J93" t="s">
        <v>1073</v>
      </c>
      <c r="K93" t="s">
        <v>1074</v>
      </c>
      <c r="L93" t="s">
        <v>1075</v>
      </c>
      <c r="M93" t="s">
        <v>1076</v>
      </c>
      <c r="N93">
        <v>7</v>
      </c>
      <c r="O93" t="s">
        <v>1077</v>
      </c>
      <c r="P93" t="s">
        <v>1078</v>
      </c>
      <c r="Q93" t="s">
        <v>1079</v>
      </c>
      <c r="R93" s="1">
        <v>29952</v>
      </c>
      <c r="S93" s="2">
        <f t="shared" si="6"/>
        <v>1982</v>
      </c>
      <c r="T93" s="2">
        <v>1982</v>
      </c>
      <c r="U93" s="2">
        <f t="shared" si="7"/>
        <v>40</v>
      </c>
      <c r="V93" s="1">
        <v>30103</v>
      </c>
      <c r="W93" t="s">
        <v>1080</v>
      </c>
      <c r="X93" s="3">
        <v>1.774</v>
      </c>
      <c r="Y93" s="4">
        <f>(X93-'[1]1982'!$Z$4)/('[1]1982'!$Z$3-'[1]1982'!$Z$4)</f>
        <v>4.7355916820159633E-2</v>
      </c>
      <c r="AA93">
        <v>295515</v>
      </c>
      <c r="AB93">
        <v>29066</v>
      </c>
      <c r="AC93">
        <v>17414326</v>
      </c>
      <c r="AD93" t="s">
        <v>15</v>
      </c>
      <c r="AE93">
        <v>22</v>
      </c>
      <c r="AF93">
        <v>6</v>
      </c>
      <c r="AH93" t="s">
        <v>1081</v>
      </c>
      <c r="AI93" t="s">
        <v>1082</v>
      </c>
      <c r="AK93" t="s">
        <v>1083</v>
      </c>
      <c r="AL93">
        <v>0</v>
      </c>
      <c r="AM93" s="5">
        <f t="shared" si="8"/>
        <v>0</v>
      </c>
      <c r="AN93" s="6">
        <f>(AM93-'[1]1982'!$AO$4)/('[1]1982'!$AO$3-'[1]1982'!$AO$4)</f>
        <v>0</v>
      </c>
      <c r="AO93" s="7"/>
      <c r="AP93">
        <v>0</v>
      </c>
      <c r="AR93" t="s">
        <v>19</v>
      </c>
      <c r="AT93" s="3">
        <v>3.1789999999999998</v>
      </c>
      <c r="AU93" s="8">
        <f t="shared" si="9"/>
        <v>3.3149141774111741</v>
      </c>
      <c r="AV93" s="8">
        <f t="shared" si="10"/>
        <v>2.3677958410079816</v>
      </c>
      <c r="AW93" s="8">
        <f t="shared" si="11"/>
        <v>1.4206775046047888</v>
      </c>
    </row>
    <row r="94" spans="1:49" x14ac:dyDescent="0.2">
      <c r="A94">
        <v>92</v>
      </c>
      <c r="B94" t="s">
        <v>1084</v>
      </c>
      <c r="C94" t="s">
        <v>1085</v>
      </c>
      <c r="F94" t="s">
        <v>1086</v>
      </c>
      <c r="G94" t="s">
        <v>4</v>
      </c>
      <c r="H94" t="s">
        <v>5</v>
      </c>
      <c r="I94" t="s">
        <v>1087</v>
      </c>
      <c r="J94">
        <v>60030551</v>
      </c>
      <c r="K94" t="s">
        <v>1088</v>
      </c>
      <c r="L94" t="s">
        <v>1089</v>
      </c>
      <c r="M94" t="s">
        <v>9</v>
      </c>
      <c r="N94">
        <v>2</v>
      </c>
      <c r="O94" t="s">
        <v>1090</v>
      </c>
      <c r="P94" t="s">
        <v>1091</v>
      </c>
      <c r="Q94" t="s">
        <v>1092</v>
      </c>
      <c r="R94" s="1">
        <v>29952</v>
      </c>
      <c r="S94" s="2">
        <f t="shared" si="6"/>
        <v>1982</v>
      </c>
      <c r="T94" s="2">
        <v>1982</v>
      </c>
      <c r="U94" s="2">
        <f t="shared" si="7"/>
        <v>40</v>
      </c>
      <c r="V94" s="1">
        <v>1982</v>
      </c>
      <c r="W94" t="s">
        <v>1093</v>
      </c>
      <c r="X94" s="3">
        <v>0.22500000000000001</v>
      </c>
      <c r="Y94" s="4">
        <f>(X94-'[1]1982'!$Z$4)/('[1]1982'!$Z$3-'[1]1982'!$Z$4)</f>
        <v>6.0062464963562111E-3</v>
      </c>
      <c r="AA94">
        <v>2726343</v>
      </c>
      <c r="AB94">
        <v>16128</v>
      </c>
      <c r="AC94" t="s">
        <v>1094</v>
      </c>
      <c r="AD94" t="s">
        <v>15</v>
      </c>
      <c r="AE94">
        <v>2</v>
      </c>
      <c r="AF94">
        <v>1</v>
      </c>
      <c r="AH94" t="s">
        <v>1095</v>
      </c>
      <c r="AI94" t="s">
        <v>1096</v>
      </c>
      <c r="AK94" t="s">
        <v>1097</v>
      </c>
      <c r="AL94">
        <v>18</v>
      </c>
      <c r="AM94" s="5">
        <f t="shared" si="8"/>
        <v>0.45</v>
      </c>
      <c r="AN94" s="6">
        <f>(AM94-'[1]1982'!$AO$4)/('[1]1982'!$AO$3-'[1]1982'!$AO$4)</f>
        <v>6.8156001514577808E-4</v>
      </c>
      <c r="AO94" s="7"/>
      <c r="AP94">
        <v>0</v>
      </c>
      <c r="AR94" t="s">
        <v>19</v>
      </c>
      <c r="AT94" s="3">
        <v>1.099</v>
      </c>
      <c r="AU94" s="8">
        <f t="shared" si="9"/>
        <v>0.44088405519930812</v>
      </c>
      <c r="AV94" s="8">
        <f t="shared" si="10"/>
        <v>0.33439032557509946</v>
      </c>
      <c r="AW94" s="8">
        <f t="shared" si="11"/>
        <v>0.22789659595089082</v>
      </c>
    </row>
    <row r="95" spans="1:49" x14ac:dyDescent="0.2">
      <c r="A95">
        <v>93</v>
      </c>
      <c r="B95" t="s">
        <v>1098</v>
      </c>
      <c r="C95" t="s">
        <v>1099</v>
      </c>
      <c r="F95" t="s">
        <v>1100</v>
      </c>
      <c r="G95" t="s">
        <v>4</v>
      </c>
      <c r="H95" t="s">
        <v>5</v>
      </c>
      <c r="I95" t="s">
        <v>1101</v>
      </c>
      <c r="J95">
        <v>60025757</v>
      </c>
      <c r="K95" t="s">
        <v>1102</v>
      </c>
      <c r="L95" t="s">
        <v>1103</v>
      </c>
      <c r="M95" t="s">
        <v>640</v>
      </c>
      <c r="N95">
        <v>2</v>
      </c>
      <c r="O95" t="s">
        <v>1104</v>
      </c>
      <c r="P95" t="s">
        <v>1105</v>
      </c>
      <c r="Q95" t="s">
        <v>1106</v>
      </c>
      <c r="R95" s="1">
        <v>29952</v>
      </c>
      <c r="S95" s="2">
        <f t="shared" si="6"/>
        <v>1982</v>
      </c>
      <c r="T95" s="2">
        <v>1982</v>
      </c>
      <c r="U95" s="2">
        <f t="shared" si="7"/>
        <v>40</v>
      </c>
      <c r="V95" s="1">
        <v>29952</v>
      </c>
      <c r="W95" t="s">
        <v>1093</v>
      </c>
      <c r="X95" s="3">
        <v>0.22500000000000001</v>
      </c>
      <c r="Y95" s="4">
        <f>(X95-'[1]1982'!$Z$4)/('[1]1982'!$Z$3-'[1]1982'!$Z$4)</f>
        <v>6.0062464963562111E-3</v>
      </c>
      <c r="AA95">
        <v>2726343</v>
      </c>
      <c r="AB95">
        <v>16128</v>
      </c>
      <c r="AC95" t="s">
        <v>1094</v>
      </c>
      <c r="AD95" t="s">
        <v>15</v>
      </c>
      <c r="AE95">
        <v>2</v>
      </c>
      <c r="AF95">
        <v>2</v>
      </c>
      <c r="AH95" t="s">
        <v>1107</v>
      </c>
      <c r="AI95" t="s">
        <v>1108</v>
      </c>
      <c r="AK95" t="s">
        <v>1109</v>
      </c>
      <c r="AL95">
        <v>0</v>
      </c>
      <c r="AM95" s="5">
        <f t="shared" si="8"/>
        <v>0</v>
      </c>
      <c r="AN95" s="6">
        <f>(AM95-'[1]1982'!$AO$4)/('[1]1982'!$AO$3-'[1]1982'!$AO$4)</f>
        <v>0</v>
      </c>
      <c r="AO95" s="7"/>
      <c r="AP95">
        <v>0</v>
      </c>
      <c r="AR95" t="s">
        <v>19</v>
      </c>
      <c r="AT95" s="3">
        <v>1.099</v>
      </c>
      <c r="AU95" s="8">
        <f t="shared" si="9"/>
        <v>0.42043725474493476</v>
      </c>
      <c r="AV95" s="8">
        <f t="shared" si="10"/>
        <v>0.30031232481781056</v>
      </c>
      <c r="AW95" s="8">
        <f t="shared" si="11"/>
        <v>0.18018739489068633</v>
      </c>
    </row>
    <row r="96" spans="1:49" x14ac:dyDescent="0.2">
      <c r="A96">
        <v>94</v>
      </c>
      <c r="B96" t="s">
        <v>1110</v>
      </c>
      <c r="C96" t="s">
        <v>1111</v>
      </c>
      <c r="F96" t="s">
        <v>1112</v>
      </c>
      <c r="G96" t="s">
        <v>4</v>
      </c>
      <c r="H96" t="s">
        <v>5</v>
      </c>
      <c r="I96" t="s">
        <v>1113</v>
      </c>
      <c r="J96">
        <v>60012564</v>
      </c>
      <c r="K96" t="s">
        <v>1114</v>
      </c>
      <c r="L96" t="s">
        <v>1115</v>
      </c>
      <c r="M96" t="s">
        <v>9</v>
      </c>
      <c r="N96">
        <v>1</v>
      </c>
      <c r="O96" t="s">
        <v>1116</v>
      </c>
      <c r="P96">
        <v>56898166100</v>
      </c>
      <c r="Q96">
        <v>60012564</v>
      </c>
      <c r="R96" s="1">
        <v>29952</v>
      </c>
      <c r="S96" s="2">
        <f t="shared" si="6"/>
        <v>1982</v>
      </c>
      <c r="T96" s="2">
        <v>1982</v>
      </c>
      <c r="U96" s="2">
        <f t="shared" si="7"/>
        <v>40</v>
      </c>
      <c r="V96" s="1">
        <v>30195</v>
      </c>
      <c r="W96" t="s">
        <v>1117</v>
      </c>
      <c r="X96" s="3">
        <v>1.6519999999999999</v>
      </c>
      <c r="Y96" s="4">
        <f>(X96-'[1]1982'!$Z$4)/('[1]1982'!$Z$3-'[1]1982'!$Z$4)</f>
        <v>4.409919649769093E-2</v>
      </c>
      <c r="AA96" t="s">
        <v>1118</v>
      </c>
      <c r="AB96">
        <v>17337</v>
      </c>
      <c r="AC96">
        <v>15582221</v>
      </c>
      <c r="AD96" t="s">
        <v>15</v>
      </c>
      <c r="AE96">
        <v>30</v>
      </c>
      <c r="AF96">
        <v>5</v>
      </c>
      <c r="AH96" t="s">
        <v>1119</v>
      </c>
      <c r="AI96" t="s">
        <v>1120</v>
      </c>
      <c r="AK96" t="s">
        <v>1121</v>
      </c>
      <c r="AL96">
        <v>0</v>
      </c>
      <c r="AM96" s="5">
        <f t="shared" si="8"/>
        <v>0</v>
      </c>
      <c r="AN96" s="6">
        <f>(AM96-'[1]1982'!$AO$4)/('[1]1982'!$AO$3-'[1]1982'!$AO$4)</f>
        <v>0</v>
      </c>
      <c r="AO96" s="7"/>
      <c r="AP96">
        <v>0</v>
      </c>
      <c r="AR96" t="s">
        <v>19</v>
      </c>
      <c r="AT96" s="3" t="s">
        <v>20</v>
      </c>
      <c r="AU96" s="8">
        <f t="shared" si="9"/>
        <v>3.0869437548383649</v>
      </c>
      <c r="AV96" s="8">
        <f t="shared" si="10"/>
        <v>2.2049598248845466</v>
      </c>
      <c r="AW96" s="8">
        <f t="shared" si="11"/>
        <v>1.3229758949307278</v>
      </c>
    </row>
    <row r="97" spans="1:49" x14ac:dyDescent="0.2">
      <c r="A97">
        <v>95</v>
      </c>
      <c r="B97" t="s">
        <v>1122</v>
      </c>
      <c r="C97" t="s">
        <v>1123</v>
      </c>
      <c r="F97" t="s">
        <v>1124</v>
      </c>
      <c r="G97" t="s">
        <v>4</v>
      </c>
      <c r="H97" t="s">
        <v>5</v>
      </c>
      <c r="I97" t="s">
        <v>1125</v>
      </c>
      <c r="J97">
        <v>60029575</v>
      </c>
      <c r="K97" t="s">
        <v>1126</v>
      </c>
      <c r="L97" t="s">
        <v>1127</v>
      </c>
      <c r="M97" t="s">
        <v>9</v>
      </c>
      <c r="N97">
        <v>2</v>
      </c>
      <c r="O97" t="s">
        <v>1128</v>
      </c>
      <c r="P97" t="s">
        <v>1129</v>
      </c>
      <c r="Q97" t="s">
        <v>1130</v>
      </c>
      <c r="R97" s="1">
        <v>29952</v>
      </c>
      <c r="S97" s="2">
        <f t="shared" si="6"/>
        <v>1982</v>
      </c>
      <c r="T97" s="2">
        <v>1982</v>
      </c>
      <c r="U97" s="2">
        <f t="shared" si="7"/>
        <v>40</v>
      </c>
      <c r="V97" s="1">
        <v>30256</v>
      </c>
      <c r="W97" t="s">
        <v>1117</v>
      </c>
      <c r="X97" s="3">
        <v>1.6519999999999999</v>
      </c>
      <c r="Y97" s="4">
        <f>(X97-'[1]1982'!$Z$4)/('[1]1982'!$Z$3-'[1]1982'!$Z$4)</f>
        <v>4.409919649769093E-2</v>
      </c>
      <c r="AA97" t="s">
        <v>1118</v>
      </c>
      <c r="AB97">
        <v>17337</v>
      </c>
      <c r="AC97">
        <v>15582221</v>
      </c>
      <c r="AD97" t="s">
        <v>15</v>
      </c>
      <c r="AE97">
        <v>30</v>
      </c>
      <c r="AF97">
        <v>6</v>
      </c>
      <c r="AH97" t="s">
        <v>1131</v>
      </c>
      <c r="AI97" t="s">
        <v>1132</v>
      </c>
      <c r="AK97" t="s">
        <v>1133</v>
      </c>
      <c r="AL97">
        <v>0</v>
      </c>
      <c r="AM97" s="5">
        <f t="shared" si="8"/>
        <v>0</v>
      </c>
      <c r="AN97" s="6">
        <f>(AM97-'[1]1982'!$AO$4)/('[1]1982'!$AO$3-'[1]1982'!$AO$4)</f>
        <v>0</v>
      </c>
      <c r="AO97" s="7"/>
      <c r="AP97">
        <v>0</v>
      </c>
      <c r="AR97" t="s">
        <v>19</v>
      </c>
      <c r="AT97" s="3" t="s">
        <v>20</v>
      </c>
      <c r="AU97" s="8">
        <f t="shared" si="9"/>
        <v>3.0869437548383649</v>
      </c>
      <c r="AV97" s="8">
        <f t="shared" si="10"/>
        <v>2.2049598248845466</v>
      </c>
      <c r="AW97" s="8">
        <f t="shared" si="11"/>
        <v>1.3229758949307278</v>
      </c>
    </row>
    <row r="98" spans="1:49" x14ac:dyDescent="0.2">
      <c r="A98">
        <v>96</v>
      </c>
      <c r="B98" t="s">
        <v>1134</v>
      </c>
      <c r="C98" t="s">
        <v>1135</v>
      </c>
      <c r="F98" t="s">
        <v>1136</v>
      </c>
      <c r="G98" t="s">
        <v>4</v>
      </c>
      <c r="H98" t="s">
        <v>5</v>
      </c>
      <c r="I98" t="s">
        <v>1137</v>
      </c>
      <c r="J98">
        <v>60005304</v>
      </c>
      <c r="K98" t="s">
        <v>1138</v>
      </c>
      <c r="L98" t="s">
        <v>1139</v>
      </c>
      <c r="M98" t="s">
        <v>9</v>
      </c>
      <c r="N98">
        <v>1</v>
      </c>
      <c r="O98" t="s">
        <v>1140</v>
      </c>
      <c r="P98">
        <v>56283853600</v>
      </c>
      <c r="Q98">
        <v>60005304</v>
      </c>
      <c r="R98" s="1">
        <v>29952</v>
      </c>
      <c r="S98" s="2">
        <f t="shared" si="6"/>
        <v>1982</v>
      </c>
      <c r="T98" s="2">
        <v>1982</v>
      </c>
      <c r="U98" s="2">
        <f t="shared" si="7"/>
        <v>40</v>
      </c>
      <c r="V98" s="1">
        <v>30225</v>
      </c>
      <c r="W98" s="11" t="s">
        <v>1141</v>
      </c>
      <c r="X98" s="3">
        <v>1.3280000000000001</v>
      </c>
      <c r="Y98" s="4">
        <f>(X98-'[1]1982'!$Z$4)/('[1]1982'!$Z$3-'[1]1982'!$Z$4)</f>
        <v>3.5450201542937994E-2</v>
      </c>
      <c r="AA98">
        <v>21680329</v>
      </c>
      <c r="AB98">
        <v>21100399421</v>
      </c>
      <c r="AD98" t="s">
        <v>15</v>
      </c>
      <c r="AE98">
        <v>24</v>
      </c>
      <c r="AF98">
        <v>5</v>
      </c>
      <c r="AH98" s="9">
        <v>44443</v>
      </c>
      <c r="AL98">
        <v>0</v>
      </c>
      <c r="AM98" s="5">
        <f t="shared" si="8"/>
        <v>0</v>
      </c>
      <c r="AN98" s="6">
        <f>(AM98-'[1]1982'!$AO$4)/('[1]1982'!$AO$3-'[1]1982'!$AO$4)</f>
        <v>0</v>
      </c>
      <c r="AO98" s="7"/>
      <c r="AP98">
        <v>0</v>
      </c>
      <c r="AR98" t="s">
        <v>19</v>
      </c>
      <c r="AT98" s="3" t="s">
        <v>20</v>
      </c>
      <c r="AU98" s="8">
        <f t="shared" si="9"/>
        <v>2.4815141080056597</v>
      </c>
      <c r="AV98" s="8">
        <f t="shared" si="10"/>
        <v>1.7725100771468998</v>
      </c>
      <c r="AW98" s="8">
        <f t="shared" si="11"/>
        <v>1.0635060462881398</v>
      </c>
    </row>
    <row r="99" spans="1:49" x14ac:dyDescent="0.2">
      <c r="A99">
        <v>97</v>
      </c>
      <c r="B99" t="s">
        <v>1142</v>
      </c>
      <c r="C99" t="s">
        <v>1143</v>
      </c>
      <c r="F99" t="s">
        <v>1144</v>
      </c>
      <c r="G99" t="s">
        <v>4</v>
      </c>
      <c r="H99" t="s">
        <v>5</v>
      </c>
      <c r="I99" t="s">
        <v>1145</v>
      </c>
      <c r="J99">
        <v>100521246</v>
      </c>
      <c r="K99" t="s">
        <v>1146</v>
      </c>
      <c r="L99" t="s">
        <v>1147</v>
      </c>
      <c r="M99" t="s">
        <v>9</v>
      </c>
      <c r="N99">
        <v>2</v>
      </c>
      <c r="O99" t="s">
        <v>1148</v>
      </c>
      <c r="P99" t="s">
        <v>1149</v>
      </c>
      <c r="Q99" t="s">
        <v>1150</v>
      </c>
      <c r="R99" s="1">
        <v>29952</v>
      </c>
      <c r="S99" s="2">
        <f t="shared" si="6"/>
        <v>1982</v>
      </c>
      <c r="T99" s="2">
        <v>1982</v>
      </c>
      <c r="U99" s="2">
        <f t="shared" si="7"/>
        <v>40</v>
      </c>
      <c r="V99" s="1">
        <v>1982</v>
      </c>
      <c r="W99" t="s">
        <v>1151</v>
      </c>
      <c r="X99" s="3" t="s">
        <v>20</v>
      </c>
      <c r="Y99" s="4" t="e">
        <f>(X99-'[1]1982'!$Z$4)/('[1]1982'!$Z$3-'[1]1982'!$Z$4)</f>
        <v>#VALUE!</v>
      </c>
      <c r="AA99">
        <v>167606</v>
      </c>
      <c r="AB99">
        <v>26499</v>
      </c>
      <c r="AD99" t="s">
        <v>15</v>
      </c>
      <c r="AE99">
        <v>93</v>
      </c>
      <c r="AF99">
        <v>1</v>
      </c>
      <c r="AH99" t="s">
        <v>1152</v>
      </c>
      <c r="AI99" t="s">
        <v>1153</v>
      </c>
      <c r="AK99" t="s">
        <v>1154</v>
      </c>
      <c r="AL99">
        <v>16</v>
      </c>
      <c r="AM99" s="5">
        <f t="shared" si="8"/>
        <v>0.4</v>
      </c>
      <c r="AN99" s="6">
        <f>(AM99-'[1]1982'!$AO$4)/('[1]1982'!$AO$3-'[1]1982'!$AO$4)</f>
        <v>6.0583112457402507E-4</v>
      </c>
      <c r="AO99" s="7"/>
      <c r="AP99">
        <v>0</v>
      </c>
      <c r="AR99" t="s">
        <v>19</v>
      </c>
      <c r="AT99" s="3">
        <v>4.7990000000000004</v>
      </c>
      <c r="AU99" s="8" t="e">
        <f t="shared" si="9"/>
        <v>#VALUE!</v>
      </c>
      <c r="AV99" s="8" t="e">
        <f t="shared" si="10"/>
        <v>#VALUE!</v>
      </c>
      <c r="AW99" s="8" t="e">
        <f t="shared" si="11"/>
        <v>#VALUE!</v>
      </c>
    </row>
    <row r="100" spans="1:49" x14ac:dyDescent="0.2">
      <c r="A100">
        <v>98</v>
      </c>
      <c r="B100" t="s">
        <v>1155</v>
      </c>
      <c r="C100" t="s">
        <v>1156</v>
      </c>
      <c r="F100" t="s">
        <v>1157</v>
      </c>
      <c r="G100" t="s">
        <v>4</v>
      </c>
      <c r="H100" t="s">
        <v>5</v>
      </c>
      <c r="I100" t="s">
        <v>1158</v>
      </c>
      <c r="J100" t="s">
        <v>1159</v>
      </c>
      <c r="K100" t="s">
        <v>1160</v>
      </c>
      <c r="L100" t="s">
        <v>1161</v>
      </c>
      <c r="M100" t="s">
        <v>1162</v>
      </c>
      <c r="N100">
        <v>2</v>
      </c>
      <c r="O100" t="s">
        <v>1163</v>
      </c>
      <c r="P100">
        <v>7006054192</v>
      </c>
      <c r="Q100" t="s">
        <v>1164</v>
      </c>
      <c r="R100" s="1">
        <v>29952</v>
      </c>
      <c r="S100" s="2">
        <f t="shared" si="6"/>
        <v>1982</v>
      </c>
      <c r="T100" s="2">
        <v>1982</v>
      </c>
      <c r="U100" s="2">
        <f t="shared" si="7"/>
        <v>40</v>
      </c>
      <c r="V100" s="1">
        <v>1982</v>
      </c>
      <c r="W100" t="s">
        <v>1165</v>
      </c>
      <c r="X100" s="3" t="s">
        <v>20</v>
      </c>
      <c r="Y100" s="4" t="e">
        <f>(X100-'[1]1982'!$Z$4)/('[1]1982'!$Z$3-'[1]1982'!$Z$4)</f>
        <v>#VALUE!</v>
      </c>
      <c r="AA100">
        <v>3749444</v>
      </c>
      <c r="AB100">
        <v>21100446504</v>
      </c>
      <c r="AD100" t="s">
        <v>15</v>
      </c>
      <c r="AE100">
        <v>17</v>
      </c>
      <c r="AF100">
        <v>1</v>
      </c>
      <c r="AH100" t="s">
        <v>1166</v>
      </c>
      <c r="AI100" t="s">
        <v>1167</v>
      </c>
      <c r="AK100" t="s">
        <v>1168</v>
      </c>
      <c r="AL100">
        <v>7</v>
      </c>
      <c r="AM100" s="5">
        <f t="shared" si="8"/>
        <v>0.17499999999999999</v>
      </c>
      <c r="AN100" s="6">
        <f>(AM100-'[1]1982'!$AO$4)/('[1]1982'!$AO$3-'[1]1982'!$AO$4)</f>
        <v>2.6505111700113592E-4</v>
      </c>
      <c r="AO100" s="7"/>
      <c r="AP100">
        <v>1</v>
      </c>
      <c r="AR100" t="s">
        <v>19</v>
      </c>
      <c r="AT100" s="3" t="s">
        <v>20</v>
      </c>
      <c r="AU100" s="8" t="e">
        <f t="shared" si="9"/>
        <v>#VALUE!</v>
      </c>
      <c r="AV100" s="8" t="e">
        <f t="shared" si="10"/>
        <v>#VALUE!</v>
      </c>
      <c r="AW100" s="8" t="e">
        <f t="shared" si="11"/>
        <v>#VALUE!</v>
      </c>
    </row>
    <row r="101" spans="1:49" x14ac:dyDescent="0.2">
      <c r="A101">
        <v>99</v>
      </c>
      <c r="B101" t="s">
        <v>1169</v>
      </c>
      <c r="C101" t="s">
        <v>1170</v>
      </c>
      <c r="D101">
        <v>300962982902304</v>
      </c>
      <c r="F101" t="s">
        <v>1171</v>
      </c>
      <c r="G101" t="s">
        <v>4</v>
      </c>
      <c r="H101" t="s">
        <v>5</v>
      </c>
      <c r="I101" t="s">
        <v>1172</v>
      </c>
      <c r="J101">
        <v>60029747</v>
      </c>
      <c r="K101" t="s">
        <v>1173</v>
      </c>
      <c r="L101" t="s">
        <v>1174</v>
      </c>
      <c r="M101" t="s">
        <v>9</v>
      </c>
      <c r="N101">
        <v>2</v>
      </c>
      <c r="O101" t="s">
        <v>1175</v>
      </c>
      <c r="P101" t="s">
        <v>1176</v>
      </c>
      <c r="Q101" t="s">
        <v>1177</v>
      </c>
      <c r="R101" s="1">
        <v>29952</v>
      </c>
      <c r="S101" s="2">
        <f t="shared" si="6"/>
        <v>1982</v>
      </c>
      <c r="T101" s="2">
        <v>1982</v>
      </c>
      <c r="U101" s="2">
        <f t="shared" si="7"/>
        <v>40</v>
      </c>
      <c r="V101" s="1">
        <v>1982</v>
      </c>
      <c r="W101" t="s">
        <v>1178</v>
      </c>
      <c r="X101" s="3">
        <v>0.64600000000000002</v>
      </c>
      <c r="Y101" s="4">
        <f>(X101-'[1]1982'!$Z$4)/('[1]1982'!$Z$3-'[1]1982'!$Z$4)</f>
        <v>1.72446010517605E-2</v>
      </c>
      <c r="AA101">
        <v>3009629</v>
      </c>
      <c r="AB101">
        <v>23398</v>
      </c>
      <c r="AD101" t="s">
        <v>15</v>
      </c>
      <c r="AE101">
        <v>72</v>
      </c>
      <c r="AF101">
        <v>2</v>
      </c>
      <c r="AH101" t="s">
        <v>1179</v>
      </c>
      <c r="AI101" t="s">
        <v>1180</v>
      </c>
      <c r="AK101" t="s">
        <v>1181</v>
      </c>
      <c r="AL101">
        <v>12</v>
      </c>
      <c r="AM101" s="5">
        <f t="shared" si="8"/>
        <v>0.3</v>
      </c>
      <c r="AN101" s="6">
        <f>(AM101-'[1]1982'!$AO$4)/('[1]1982'!$AO$3-'[1]1982'!$AO$4)</f>
        <v>4.5437334343051872E-4</v>
      </c>
      <c r="AO101" s="7"/>
      <c r="AP101">
        <v>0</v>
      </c>
      <c r="AR101" t="s">
        <v>19</v>
      </c>
      <c r="AT101" s="3" t="s">
        <v>20</v>
      </c>
      <c r="AU101" s="8">
        <f t="shared" si="9"/>
        <v>1.2207532739261506</v>
      </c>
      <c r="AV101" s="8">
        <f t="shared" si="10"/>
        <v>0.88494871975955092</v>
      </c>
      <c r="AW101" s="8">
        <f t="shared" si="11"/>
        <v>0.54914416559295132</v>
      </c>
    </row>
    <row r="102" spans="1:49" x14ac:dyDescent="0.2">
      <c r="A102">
        <v>100</v>
      </c>
      <c r="B102" t="s">
        <v>1182</v>
      </c>
      <c r="F102" t="s">
        <v>1183</v>
      </c>
      <c r="G102" t="s">
        <v>4</v>
      </c>
      <c r="H102" t="s">
        <v>5</v>
      </c>
      <c r="I102" t="s">
        <v>1184</v>
      </c>
      <c r="J102">
        <v>60159341</v>
      </c>
      <c r="K102" t="s">
        <v>877</v>
      </c>
      <c r="L102" t="s">
        <v>878</v>
      </c>
      <c r="M102" t="s">
        <v>40</v>
      </c>
      <c r="N102">
        <v>1</v>
      </c>
      <c r="O102" t="s">
        <v>1185</v>
      </c>
      <c r="P102">
        <v>6603099985</v>
      </c>
      <c r="Q102">
        <v>60159341</v>
      </c>
      <c r="R102" s="1">
        <v>29952</v>
      </c>
      <c r="S102" s="2">
        <f t="shared" si="6"/>
        <v>1982</v>
      </c>
      <c r="T102" s="2">
        <v>1982</v>
      </c>
      <c r="U102" s="2">
        <f t="shared" si="7"/>
        <v>40</v>
      </c>
      <c r="V102" s="1">
        <v>30286</v>
      </c>
      <c r="W102" t="s">
        <v>880</v>
      </c>
      <c r="X102" s="3">
        <v>0.76500000000000001</v>
      </c>
      <c r="Y102" s="4">
        <f>(X102-'[1]1982'!$Z$4)/('[1]1982'!$Z$3-'[1]1982'!$Z$4)</f>
        <v>2.0421238087611118E-2</v>
      </c>
      <c r="AA102">
        <v>138703</v>
      </c>
      <c r="AB102">
        <v>19793</v>
      </c>
      <c r="AC102">
        <v>15707458</v>
      </c>
      <c r="AD102" t="s">
        <v>15</v>
      </c>
      <c r="AE102">
        <v>31</v>
      </c>
      <c r="AF102">
        <v>4</v>
      </c>
      <c r="AH102" t="s">
        <v>881</v>
      </c>
      <c r="AI102" t="s">
        <v>1186</v>
      </c>
      <c r="AJ102" t="s">
        <v>883</v>
      </c>
      <c r="AK102" t="s">
        <v>1187</v>
      </c>
      <c r="AL102">
        <v>2</v>
      </c>
      <c r="AM102" s="5">
        <f t="shared" si="8"/>
        <v>0.05</v>
      </c>
      <c r="AN102" s="6">
        <f>(AM102-'[1]1982'!$AO$4)/('[1]1982'!$AO$3-'[1]1982'!$AO$4)</f>
        <v>7.5728890571753133E-5</v>
      </c>
      <c r="AO102" s="7"/>
      <c r="AP102">
        <v>0</v>
      </c>
      <c r="AR102" t="s">
        <v>19</v>
      </c>
      <c r="AT102" s="3" t="s">
        <v>20</v>
      </c>
      <c r="AU102" s="8">
        <f t="shared" si="9"/>
        <v>1.4317585328499307</v>
      </c>
      <c r="AV102" s="8">
        <f t="shared" si="10"/>
        <v>1.0248483489091436</v>
      </c>
      <c r="AW102" s="8">
        <f t="shared" si="11"/>
        <v>0.6179381649683563</v>
      </c>
    </row>
    <row r="103" spans="1:49" x14ac:dyDescent="0.2">
      <c r="A103">
        <v>101</v>
      </c>
      <c r="B103" t="s">
        <v>1188</v>
      </c>
      <c r="F103" t="s">
        <v>1189</v>
      </c>
      <c r="G103" t="s">
        <v>4</v>
      </c>
      <c r="H103" t="s">
        <v>5</v>
      </c>
      <c r="I103" t="s">
        <v>1190</v>
      </c>
      <c r="J103">
        <v>60005460</v>
      </c>
      <c r="K103" t="s">
        <v>1013</v>
      </c>
      <c r="L103" t="s">
        <v>1014</v>
      </c>
      <c r="M103" t="s">
        <v>65</v>
      </c>
      <c r="N103">
        <v>1</v>
      </c>
      <c r="O103" t="s">
        <v>1191</v>
      </c>
      <c r="P103">
        <v>7003953871</v>
      </c>
      <c r="Q103">
        <v>60005460</v>
      </c>
      <c r="R103" s="1">
        <v>29952</v>
      </c>
      <c r="S103" s="2">
        <f t="shared" si="6"/>
        <v>1982</v>
      </c>
      <c r="T103" s="2">
        <v>1982</v>
      </c>
      <c r="U103" s="2">
        <f t="shared" si="7"/>
        <v>40</v>
      </c>
      <c r="V103" s="1">
        <v>29983</v>
      </c>
      <c r="W103" t="s">
        <v>880</v>
      </c>
      <c r="X103" s="3">
        <v>0.76500000000000001</v>
      </c>
      <c r="Y103" s="4">
        <f>(X103-'[1]1982'!$Z$4)/('[1]1982'!$Z$3-'[1]1982'!$Z$4)</f>
        <v>2.0421238087611118E-2</v>
      </c>
      <c r="AA103">
        <v>138703</v>
      </c>
      <c r="AB103">
        <v>19793</v>
      </c>
      <c r="AC103">
        <v>15707458</v>
      </c>
      <c r="AD103" t="s">
        <v>15</v>
      </c>
      <c r="AE103">
        <v>32</v>
      </c>
      <c r="AF103">
        <v>1</v>
      </c>
      <c r="AH103" t="s">
        <v>895</v>
      </c>
      <c r="AI103" t="s">
        <v>1192</v>
      </c>
      <c r="AJ103" t="s">
        <v>897</v>
      </c>
      <c r="AK103" t="s">
        <v>1193</v>
      </c>
      <c r="AL103">
        <v>4</v>
      </c>
      <c r="AM103" s="5">
        <f t="shared" si="8"/>
        <v>0.1</v>
      </c>
      <c r="AN103" s="6">
        <f>(AM103-'[1]1982'!$AO$4)/('[1]1982'!$AO$3-'[1]1982'!$AO$4)</f>
        <v>1.5145778114350627E-4</v>
      </c>
      <c r="AO103" s="7"/>
      <c r="AP103">
        <v>0</v>
      </c>
      <c r="AR103" t="s">
        <v>19</v>
      </c>
      <c r="AT103" s="3" t="s">
        <v>20</v>
      </c>
      <c r="AU103" s="8">
        <f t="shared" si="9"/>
        <v>1.4340303995670833</v>
      </c>
      <c r="AV103" s="8">
        <f t="shared" si="10"/>
        <v>1.0286347934377311</v>
      </c>
      <c r="AW103" s="8">
        <f t="shared" si="11"/>
        <v>0.62323918730837891</v>
      </c>
    </row>
    <row r="104" spans="1:49" x14ac:dyDescent="0.2">
      <c r="A104">
        <v>102</v>
      </c>
      <c r="B104" t="s">
        <v>1194</v>
      </c>
      <c r="C104" t="s">
        <v>1195</v>
      </c>
      <c r="D104">
        <v>21916982900277</v>
      </c>
      <c r="F104" t="s">
        <v>1196</v>
      </c>
      <c r="G104" t="s">
        <v>4</v>
      </c>
      <c r="H104" t="s">
        <v>5</v>
      </c>
      <c r="I104" t="s">
        <v>1197</v>
      </c>
      <c r="J104">
        <v>60014036</v>
      </c>
      <c r="K104" t="s">
        <v>1198</v>
      </c>
      <c r="L104" t="s">
        <v>1199</v>
      </c>
      <c r="M104" t="s">
        <v>1200</v>
      </c>
      <c r="N104">
        <v>1</v>
      </c>
      <c r="O104" t="s">
        <v>1201</v>
      </c>
      <c r="P104">
        <v>7801481408</v>
      </c>
      <c r="Q104">
        <v>60014036</v>
      </c>
      <c r="R104" s="1">
        <v>29952</v>
      </c>
      <c r="S104" s="2">
        <f t="shared" si="6"/>
        <v>1982</v>
      </c>
      <c r="T104" s="2">
        <v>1982</v>
      </c>
      <c r="U104" s="2">
        <f t="shared" si="7"/>
        <v>40</v>
      </c>
      <c r="V104" s="1">
        <v>30011</v>
      </c>
      <c r="W104" t="s">
        <v>1202</v>
      </c>
      <c r="X104" s="3">
        <v>0.51500000000000001</v>
      </c>
      <c r="Y104" s="4">
        <f>(X104-'[1]1982'!$Z$4)/('[1]1982'!$Z$3-'[1]1982'!$Z$4)</f>
        <v>1.374763086943755E-2</v>
      </c>
      <c r="AA104">
        <v>219169</v>
      </c>
      <c r="AB104">
        <v>30966</v>
      </c>
      <c r="AD104" t="s">
        <v>15</v>
      </c>
      <c r="AE104">
        <v>44</v>
      </c>
      <c r="AF104">
        <v>3</v>
      </c>
      <c r="AH104" t="s">
        <v>1203</v>
      </c>
      <c r="AI104" t="s">
        <v>1204</v>
      </c>
      <c r="AK104" t="s">
        <v>1205</v>
      </c>
      <c r="AL104">
        <v>1</v>
      </c>
      <c r="AM104" s="5">
        <f t="shared" si="8"/>
        <v>2.5000000000000001E-2</v>
      </c>
      <c r="AN104" s="6">
        <f>(AM104-'[1]1982'!$AO$4)/('[1]1982'!$AO$3-'[1]1982'!$AO$4)</f>
        <v>3.7864445285876567E-5</v>
      </c>
      <c r="AO104" s="7"/>
      <c r="AP104">
        <v>0</v>
      </c>
      <c r="AR104" t="s">
        <v>19</v>
      </c>
      <c r="AT104" s="3" t="s">
        <v>20</v>
      </c>
      <c r="AU104" s="8">
        <f t="shared" si="9"/>
        <v>0.9634700942192046</v>
      </c>
      <c r="AV104" s="8">
        <f t="shared" si="10"/>
        <v>0.6892747657361713</v>
      </c>
      <c r="AW104" s="8">
        <f t="shared" si="11"/>
        <v>0.4150794372531379</v>
      </c>
    </row>
    <row r="105" spans="1:49" x14ac:dyDescent="0.2">
      <c r="A105">
        <v>103</v>
      </c>
      <c r="B105" t="s">
        <v>1206</v>
      </c>
      <c r="C105" t="s">
        <v>1207</v>
      </c>
      <c r="D105">
        <v>22231382900631</v>
      </c>
      <c r="F105" t="s">
        <v>1208</v>
      </c>
      <c r="G105" t="s">
        <v>4</v>
      </c>
      <c r="H105" t="s">
        <v>5</v>
      </c>
      <c r="I105" t="s">
        <v>1209</v>
      </c>
      <c r="J105" t="s">
        <v>1210</v>
      </c>
      <c r="K105" t="s">
        <v>1211</v>
      </c>
      <c r="L105" t="s">
        <v>1212</v>
      </c>
      <c r="M105" t="s">
        <v>1213</v>
      </c>
      <c r="N105">
        <v>4</v>
      </c>
      <c r="O105" t="s">
        <v>1214</v>
      </c>
      <c r="P105" t="s">
        <v>1215</v>
      </c>
      <c r="Q105" t="s">
        <v>1216</v>
      </c>
      <c r="R105" s="1">
        <v>29952</v>
      </c>
      <c r="S105" s="2">
        <f t="shared" si="6"/>
        <v>1982</v>
      </c>
      <c r="T105" s="2">
        <v>1982</v>
      </c>
      <c r="U105" s="2">
        <f t="shared" si="7"/>
        <v>40</v>
      </c>
      <c r="V105" s="1" t="s">
        <v>1217</v>
      </c>
      <c r="W105" t="s">
        <v>1218</v>
      </c>
      <c r="X105" s="3">
        <v>0.65200000000000002</v>
      </c>
      <c r="Y105" s="4">
        <f>(X105-'[1]1982'!$Z$4)/('[1]1982'!$Z$3-'[1]1982'!$Z$4)</f>
        <v>1.7404767624996664E-2</v>
      </c>
      <c r="AA105">
        <v>222313</v>
      </c>
      <c r="AB105">
        <v>12179</v>
      </c>
      <c r="AD105" t="s">
        <v>15</v>
      </c>
      <c r="AE105">
        <v>26</v>
      </c>
      <c r="AF105">
        <v>4</v>
      </c>
      <c r="AH105" t="s">
        <v>1219</v>
      </c>
      <c r="AI105" t="s">
        <v>1220</v>
      </c>
      <c r="AK105" t="s">
        <v>1221</v>
      </c>
      <c r="AL105">
        <v>0</v>
      </c>
      <c r="AM105" s="5">
        <f t="shared" si="8"/>
        <v>0</v>
      </c>
      <c r="AN105" s="6">
        <f>(AM105-'[1]1982'!$AO$4)/('[1]1982'!$AO$3-'[1]1982'!$AO$4)</f>
        <v>0</v>
      </c>
      <c r="AO105" s="7"/>
      <c r="AP105">
        <v>0</v>
      </c>
      <c r="AR105" t="s">
        <v>1222</v>
      </c>
      <c r="AT105" s="3">
        <v>3.5990000000000002</v>
      </c>
      <c r="AU105" s="8">
        <f t="shared" si="9"/>
        <v>1.2183337337497664</v>
      </c>
      <c r="AV105" s="8">
        <f t="shared" si="10"/>
        <v>0.87023838124983321</v>
      </c>
      <c r="AW105" s="8">
        <f t="shared" si="11"/>
        <v>0.52214302874989982</v>
      </c>
    </row>
    <row r="106" spans="1:49" x14ac:dyDescent="0.2">
      <c r="A106">
        <v>104</v>
      </c>
      <c r="B106" t="s">
        <v>1223</v>
      </c>
      <c r="C106" t="s">
        <v>1224</v>
      </c>
      <c r="D106">
        <v>273117782902939</v>
      </c>
      <c r="F106" t="s">
        <v>1225</v>
      </c>
      <c r="G106" t="s">
        <v>4</v>
      </c>
      <c r="H106" t="s">
        <v>5</v>
      </c>
      <c r="I106" t="s">
        <v>1226</v>
      </c>
      <c r="J106">
        <v>60031159</v>
      </c>
      <c r="K106" t="s">
        <v>1227</v>
      </c>
      <c r="L106" t="s">
        <v>1228</v>
      </c>
      <c r="M106" t="s">
        <v>424</v>
      </c>
      <c r="N106">
        <v>1</v>
      </c>
      <c r="O106" t="s">
        <v>1229</v>
      </c>
      <c r="P106">
        <v>7003835853</v>
      </c>
      <c r="Q106">
        <v>60031159</v>
      </c>
      <c r="R106" s="1">
        <v>29952</v>
      </c>
      <c r="S106" s="2">
        <f t="shared" si="6"/>
        <v>1982</v>
      </c>
      <c r="T106" s="2">
        <v>1982</v>
      </c>
      <c r="U106" s="2">
        <f t="shared" si="7"/>
        <v>40</v>
      </c>
      <c r="V106" s="1">
        <v>1982</v>
      </c>
      <c r="W106" t="s">
        <v>1230</v>
      </c>
      <c r="X106" s="3">
        <v>0.68200000000000005</v>
      </c>
      <c r="Y106" s="4">
        <f>(X106-'[1]1982'!$Z$4)/('[1]1982'!$Z$3-'[1]1982'!$Z$4)</f>
        <v>1.8205600491177493E-2</v>
      </c>
      <c r="AA106">
        <v>2731177</v>
      </c>
      <c r="AB106">
        <v>12375</v>
      </c>
      <c r="AD106" t="s">
        <v>15</v>
      </c>
      <c r="AE106">
        <v>2</v>
      </c>
      <c r="AF106">
        <v>12</v>
      </c>
      <c r="AH106" t="s">
        <v>1231</v>
      </c>
      <c r="AI106" t="s">
        <v>1232</v>
      </c>
      <c r="AK106" t="s">
        <v>1233</v>
      </c>
      <c r="AL106">
        <v>3</v>
      </c>
      <c r="AM106" s="5">
        <f t="shared" si="8"/>
        <v>7.4999999999999997E-2</v>
      </c>
      <c r="AN106" s="6">
        <f>(AM106-'[1]1982'!$AO$4)/('[1]1982'!$AO$3-'[1]1982'!$AO$4)</f>
        <v>1.1359333585762968E-4</v>
      </c>
      <c r="AO106" s="7"/>
      <c r="AP106">
        <v>0</v>
      </c>
      <c r="AR106" t="s">
        <v>19</v>
      </c>
      <c r="AT106" s="3">
        <v>2.1520000000000001</v>
      </c>
      <c r="AU106" s="8">
        <f t="shared" si="9"/>
        <v>1.2777998344581531</v>
      </c>
      <c r="AV106" s="8">
        <f t="shared" si="10"/>
        <v>0.91595969135175614</v>
      </c>
      <c r="AW106" s="8">
        <f t="shared" si="11"/>
        <v>0.55411954824535892</v>
      </c>
    </row>
    <row r="107" spans="1:49" x14ac:dyDescent="0.2">
      <c r="A107">
        <v>105</v>
      </c>
      <c r="B107" t="s">
        <v>1234</v>
      </c>
      <c r="C107" t="s">
        <v>1235</v>
      </c>
      <c r="F107" t="s">
        <v>1236</v>
      </c>
      <c r="G107" t="s">
        <v>4</v>
      </c>
      <c r="H107" t="s">
        <v>5</v>
      </c>
      <c r="I107" t="s">
        <v>1237</v>
      </c>
      <c r="J107">
        <v>60027550</v>
      </c>
      <c r="K107" t="s">
        <v>1238</v>
      </c>
      <c r="L107" t="s">
        <v>1239</v>
      </c>
      <c r="M107" t="s">
        <v>9</v>
      </c>
      <c r="N107">
        <v>2</v>
      </c>
      <c r="O107" t="s">
        <v>1240</v>
      </c>
      <c r="P107" t="s">
        <v>1241</v>
      </c>
      <c r="Q107" t="s">
        <v>1242</v>
      </c>
      <c r="R107" s="1">
        <v>29952</v>
      </c>
      <c r="S107" s="2">
        <f t="shared" si="6"/>
        <v>1982</v>
      </c>
      <c r="T107" s="2">
        <v>1982</v>
      </c>
      <c r="U107" s="2">
        <f t="shared" si="7"/>
        <v>40</v>
      </c>
      <c r="V107" s="1">
        <v>1982</v>
      </c>
      <c r="W107" t="s">
        <v>1243</v>
      </c>
      <c r="X107" s="3">
        <v>0.70799999999999996</v>
      </c>
      <c r="Y107" s="4">
        <f>(X107-'[1]1982'!$Z$4)/('[1]1982'!$Z$3-'[1]1982'!$Z$4)</f>
        <v>1.8899655641867543E-2</v>
      </c>
      <c r="AA107">
        <v>222488</v>
      </c>
      <c r="AB107">
        <v>28544</v>
      </c>
      <c r="AD107" t="s">
        <v>15</v>
      </c>
      <c r="AE107">
        <v>24</v>
      </c>
      <c r="AF107">
        <v>3</v>
      </c>
      <c r="AH107" t="s">
        <v>1244</v>
      </c>
      <c r="AI107" t="s">
        <v>1245</v>
      </c>
      <c r="AK107" t="s">
        <v>1246</v>
      </c>
      <c r="AL107">
        <v>56</v>
      </c>
      <c r="AM107" s="5">
        <f t="shared" si="8"/>
        <v>1.4</v>
      </c>
      <c r="AN107" s="6">
        <f>(AM107-'[1]1982'!$AO$4)/('[1]1982'!$AO$3-'[1]1982'!$AO$4)</f>
        <v>2.1204089360090874E-3</v>
      </c>
      <c r="AO107" s="7"/>
      <c r="AP107">
        <v>0</v>
      </c>
      <c r="AR107" t="s">
        <v>19</v>
      </c>
      <c r="AT107" s="3">
        <v>1.488</v>
      </c>
      <c r="AU107" s="8">
        <f t="shared" si="9"/>
        <v>1.3865881630110006</v>
      </c>
      <c r="AV107" s="8">
        <f t="shared" si="10"/>
        <v>1.0510032288938316</v>
      </c>
      <c r="AW107" s="8">
        <f t="shared" si="11"/>
        <v>0.7154182947766623</v>
      </c>
    </row>
    <row r="108" spans="1:49" x14ac:dyDescent="0.2">
      <c r="A108">
        <v>106</v>
      </c>
      <c r="B108" t="s">
        <v>1247</v>
      </c>
      <c r="C108" t="s">
        <v>1248</v>
      </c>
      <c r="F108" t="s">
        <v>1249</v>
      </c>
      <c r="G108" t="s">
        <v>4</v>
      </c>
      <c r="H108" t="s">
        <v>5</v>
      </c>
      <c r="I108" t="s">
        <v>1250</v>
      </c>
      <c r="J108">
        <v>60027550</v>
      </c>
      <c r="K108" t="s">
        <v>1238</v>
      </c>
      <c r="L108" t="s">
        <v>1239</v>
      </c>
      <c r="M108" t="s">
        <v>9</v>
      </c>
      <c r="N108">
        <v>3</v>
      </c>
      <c r="O108" t="s">
        <v>1251</v>
      </c>
      <c r="P108" t="s">
        <v>1252</v>
      </c>
      <c r="Q108" t="s">
        <v>1253</v>
      </c>
      <c r="R108" s="1">
        <v>29952</v>
      </c>
      <c r="S108" s="2">
        <f t="shared" si="6"/>
        <v>1982</v>
      </c>
      <c r="T108" s="2">
        <v>1982</v>
      </c>
      <c r="U108" s="2">
        <f t="shared" si="7"/>
        <v>40</v>
      </c>
      <c r="V108" s="1">
        <v>1982</v>
      </c>
      <c r="W108" t="s">
        <v>1254</v>
      </c>
      <c r="X108" s="3">
        <v>1.1879999999999999</v>
      </c>
      <c r="Y108" s="4">
        <f>(X108-'[1]1982'!$Z$4)/('[1]1982'!$Z$3-'[1]1982'!$Z$4)</f>
        <v>3.1712981500760788E-2</v>
      </c>
      <c r="AA108">
        <v>10706631</v>
      </c>
      <c r="AB108">
        <v>29210</v>
      </c>
      <c r="AD108" t="s">
        <v>15</v>
      </c>
      <c r="AE108">
        <v>25</v>
      </c>
      <c r="AF108">
        <v>10</v>
      </c>
      <c r="AH108" t="s">
        <v>1255</v>
      </c>
      <c r="AI108" t="s">
        <v>1256</v>
      </c>
      <c r="AK108" t="s">
        <v>1257</v>
      </c>
      <c r="AL108">
        <v>1</v>
      </c>
      <c r="AM108" s="5">
        <f t="shared" si="8"/>
        <v>2.5000000000000001E-2</v>
      </c>
      <c r="AN108" s="6">
        <f>(AM108-'[1]1982'!$AO$4)/('[1]1982'!$AO$3-'[1]1982'!$AO$4)</f>
        <v>3.7864445285876567E-5</v>
      </c>
      <c r="AO108" s="7"/>
      <c r="AP108">
        <v>0</v>
      </c>
      <c r="AR108" t="s">
        <v>19</v>
      </c>
      <c r="AT108" s="3">
        <v>3.5209999999999999</v>
      </c>
      <c r="AU108" s="8">
        <f t="shared" si="9"/>
        <v>2.221044638411831</v>
      </c>
      <c r="AV108" s="8">
        <f t="shared" si="10"/>
        <v>1.5875422973023332</v>
      </c>
      <c r="AW108" s="8">
        <f t="shared" si="11"/>
        <v>0.9540399561928351</v>
      </c>
    </row>
    <row r="109" spans="1:49" x14ac:dyDescent="0.2">
      <c r="A109">
        <v>107</v>
      </c>
      <c r="B109" t="s">
        <v>1258</v>
      </c>
      <c r="C109" t="s">
        <v>1259</v>
      </c>
      <c r="F109" t="s">
        <v>1260</v>
      </c>
      <c r="G109" t="s">
        <v>4</v>
      </c>
      <c r="H109" t="s">
        <v>5</v>
      </c>
      <c r="I109" t="s">
        <v>1261</v>
      </c>
      <c r="J109" t="s">
        <v>1262</v>
      </c>
      <c r="K109" t="s">
        <v>1263</v>
      </c>
      <c r="L109" t="s">
        <v>1264</v>
      </c>
      <c r="M109" t="s">
        <v>218</v>
      </c>
      <c r="N109">
        <v>2</v>
      </c>
      <c r="O109" t="s">
        <v>1265</v>
      </c>
      <c r="P109" t="s">
        <v>1266</v>
      </c>
      <c r="Q109" t="s">
        <v>1267</v>
      </c>
      <c r="R109" s="1">
        <v>29952</v>
      </c>
      <c r="S109" s="2">
        <f t="shared" si="6"/>
        <v>1982</v>
      </c>
      <c r="T109" s="2">
        <v>1982</v>
      </c>
      <c r="U109" s="2">
        <f t="shared" si="7"/>
        <v>40</v>
      </c>
      <c r="V109" s="1">
        <v>1982</v>
      </c>
      <c r="W109" t="s">
        <v>1268</v>
      </c>
      <c r="X109" s="3">
        <v>1.391</v>
      </c>
      <c r="Y109" s="4">
        <f>(X109-'[1]1982'!$Z$4)/('[1]1982'!$Z$3-'[1]1982'!$Z$4)</f>
        <v>3.7131950561917731E-2</v>
      </c>
      <c r="AA109">
        <v>10502947</v>
      </c>
      <c r="AB109">
        <v>29143</v>
      </c>
      <c r="AD109" t="s">
        <v>15</v>
      </c>
      <c r="AE109">
        <v>25</v>
      </c>
      <c r="AF109">
        <v>2</v>
      </c>
      <c r="AH109" t="s">
        <v>1269</v>
      </c>
      <c r="AI109" t="s">
        <v>1270</v>
      </c>
      <c r="AK109" t="s">
        <v>1271</v>
      </c>
      <c r="AL109">
        <v>4</v>
      </c>
      <c r="AM109" s="5">
        <f t="shared" si="8"/>
        <v>0.1</v>
      </c>
      <c r="AN109" s="6">
        <f>(AM109-'[1]1982'!$AO$4)/('[1]1982'!$AO$3-'[1]1982'!$AO$4)</f>
        <v>1.5145778114350627E-4</v>
      </c>
      <c r="AO109" s="7"/>
      <c r="AP109">
        <v>0</v>
      </c>
      <c r="AR109" t="s">
        <v>19</v>
      </c>
      <c r="AT109" s="3">
        <v>3.14</v>
      </c>
      <c r="AU109" s="8">
        <f t="shared" si="9"/>
        <v>2.6037802727685464</v>
      </c>
      <c r="AV109" s="8">
        <f t="shared" si="10"/>
        <v>1.8641704171530618</v>
      </c>
      <c r="AW109" s="8">
        <f t="shared" si="11"/>
        <v>1.1245605615375773</v>
      </c>
    </row>
    <row r="110" spans="1:49" x14ac:dyDescent="0.2">
      <c r="A110">
        <v>108</v>
      </c>
      <c r="B110" t="s">
        <v>1272</v>
      </c>
      <c r="C110" t="s">
        <v>1273</v>
      </c>
      <c r="F110" t="s">
        <v>1274</v>
      </c>
      <c r="G110" t="s">
        <v>4</v>
      </c>
      <c r="H110" t="s">
        <v>5</v>
      </c>
      <c r="I110" t="s">
        <v>1275</v>
      </c>
      <c r="J110">
        <v>60019615</v>
      </c>
      <c r="K110" t="s">
        <v>469</v>
      </c>
      <c r="L110" t="s">
        <v>470</v>
      </c>
      <c r="M110" t="s">
        <v>40</v>
      </c>
      <c r="N110">
        <v>4</v>
      </c>
      <c r="O110" t="s">
        <v>1276</v>
      </c>
      <c r="P110" t="s">
        <v>1277</v>
      </c>
      <c r="Q110" t="s">
        <v>473</v>
      </c>
      <c r="R110" s="1">
        <v>29952</v>
      </c>
      <c r="S110" s="2">
        <f t="shared" si="6"/>
        <v>1982</v>
      </c>
      <c r="T110" s="2">
        <v>1982</v>
      </c>
      <c r="U110" s="2">
        <f t="shared" si="7"/>
        <v>40</v>
      </c>
      <c r="V110" s="1">
        <v>29952</v>
      </c>
      <c r="W110" t="s">
        <v>1278</v>
      </c>
      <c r="X110" s="3">
        <v>1.1579999999999999</v>
      </c>
      <c r="Y110" s="4">
        <f>(X110-'[1]1982'!$Z$4)/('[1]1982'!$Z$3-'[1]1982'!$Z$4)</f>
        <v>3.0912148634579962E-2</v>
      </c>
      <c r="AA110">
        <v>1668595</v>
      </c>
      <c r="AB110">
        <v>14223</v>
      </c>
      <c r="AC110">
        <v>15735079</v>
      </c>
      <c r="AD110" t="s">
        <v>15</v>
      </c>
      <c r="AE110">
        <v>3</v>
      </c>
      <c r="AF110">
        <v>3</v>
      </c>
      <c r="AH110" t="s">
        <v>1279</v>
      </c>
      <c r="AI110" t="s">
        <v>1280</v>
      </c>
      <c r="AJ110" t="s">
        <v>1281</v>
      </c>
      <c r="AK110" t="s">
        <v>1282</v>
      </c>
      <c r="AL110">
        <v>9</v>
      </c>
      <c r="AM110" s="5">
        <f t="shared" si="8"/>
        <v>0.22500000000000001</v>
      </c>
      <c r="AN110" s="6">
        <f>(AM110-'[1]1982'!$AO$4)/('[1]1982'!$AO$3-'[1]1982'!$AO$4)</f>
        <v>3.4078000757288904E-4</v>
      </c>
      <c r="AO110" s="7"/>
      <c r="AP110">
        <v>0</v>
      </c>
      <c r="AR110" t="s">
        <v>19</v>
      </c>
      <c r="AT110" s="3">
        <v>3.573</v>
      </c>
      <c r="AU110" s="8">
        <f t="shared" si="9"/>
        <v>2.1740738046477839</v>
      </c>
      <c r="AV110" s="8">
        <f t="shared" si="10"/>
        <v>1.5626464321076425</v>
      </c>
      <c r="AW110" s="8">
        <f t="shared" si="11"/>
        <v>0.95121905956750108</v>
      </c>
    </row>
    <row r="111" spans="1:49" x14ac:dyDescent="0.2">
      <c r="A111">
        <v>109</v>
      </c>
      <c r="B111" t="s">
        <v>1283</v>
      </c>
      <c r="C111" t="s">
        <v>1284</v>
      </c>
      <c r="F111" t="s">
        <v>1285</v>
      </c>
      <c r="G111" t="s">
        <v>4</v>
      </c>
      <c r="H111" t="s">
        <v>5</v>
      </c>
      <c r="I111" t="s">
        <v>1286</v>
      </c>
      <c r="J111">
        <v>60015941</v>
      </c>
      <c r="K111" t="s">
        <v>1287</v>
      </c>
      <c r="L111" t="s">
        <v>1288</v>
      </c>
      <c r="M111" t="s">
        <v>9</v>
      </c>
      <c r="N111">
        <v>2</v>
      </c>
      <c r="O111" t="s">
        <v>1289</v>
      </c>
      <c r="P111" t="s">
        <v>1290</v>
      </c>
      <c r="Q111" t="s">
        <v>1291</v>
      </c>
      <c r="R111" s="1">
        <v>29952</v>
      </c>
      <c r="S111" s="2">
        <f t="shared" si="6"/>
        <v>1982</v>
      </c>
      <c r="T111" s="2">
        <v>1982</v>
      </c>
      <c r="U111" s="2">
        <f t="shared" si="7"/>
        <v>40</v>
      </c>
      <c r="V111" s="1">
        <v>30011</v>
      </c>
      <c r="W111" t="s">
        <v>1292</v>
      </c>
      <c r="X111" s="3" t="s">
        <v>20</v>
      </c>
      <c r="Y111" s="4" t="e">
        <f>(X111-'[1]1982'!$Z$4)/('[1]1982'!$Z$3-'[1]1982'!$Z$4)</f>
        <v>#VALUE!</v>
      </c>
      <c r="AA111">
        <v>138959</v>
      </c>
      <c r="AB111">
        <v>75714</v>
      </c>
      <c r="AC111">
        <v>15738248</v>
      </c>
      <c r="AD111" t="s">
        <v>15</v>
      </c>
      <c r="AE111">
        <v>27</v>
      </c>
      <c r="AF111">
        <v>1</v>
      </c>
      <c r="AH111" t="s">
        <v>1293</v>
      </c>
      <c r="AI111" t="s">
        <v>1294</v>
      </c>
      <c r="AK111" t="s">
        <v>1295</v>
      </c>
      <c r="AL111">
        <v>5</v>
      </c>
      <c r="AM111" s="5">
        <f t="shared" si="8"/>
        <v>0.125</v>
      </c>
      <c r="AN111" s="6">
        <f>(AM111-'[1]1982'!$AO$4)/('[1]1982'!$AO$3-'[1]1982'!$AO$4)</f>
        <v>1.893222264293828E-4</v>
      </c>
      <c r="AO111" s="7"/>
      <c r="AP111">
        <v>0</v>
      </c>
      <c r="AR111" t="s">
        <v>19</v>
      </c>
      <c r="AT111" s="3" t="s">
        <v>20</v>
      </c>
      <c r="AU111" s="8" t="e">
        <f t="shared" si="9"/>
        <v>#VALUE!</v>
      </c>
      <c r="AV111" s="8" t="e">
        <f t="shared" si="10"/>
        <v>#VALUE!</v>
      </c>
      <c r="AW111" s="8" t="e">
        <f t="shared" si="11"/>
        <v>#VALUE!</v>
      </c>
    </row>
    <row r="112" spans="1:49" x14ac:dyDescent="0.2">
      <c r="A112">
        <v>110</v>
      </c>
      <c r="B112" t="s">
        <v>1296</v>
      </c>
      <c r="C112" t="s">
        <v>1297</v>
      </c>
      <c r="D112">
        <v>21916982900216</v>
      </c>
      <c r="F112" t="s">
        <v>1298</v>
      </c>
      <c r="G112" t="s">
        <v>4</v>
      </c>
      <c r="H112" t="s">
        <v>5</v>
      </c>
      <c r="I112" t="s">
        <v>1299</v>
      </c>
      <c r="J112">
        <v>60005286</v>
      </c>
      <c r="K112" t="s">
        <v>1300</v>
      </c>
      <c r="L112" t="s">
        <v>1301</v>
      </c>
      <c r="M112" t="s">
        <v>9</v>
      </c>
      <c r="N112">
        <v>2</v>
      </c>
      <c r="O112" t="s">
        <v>1302</v>
      </c>
      <c r="P112" t="s">
        <v>1303</v>
      </c>
      <c r="Q112" t="s">
        <v>1304</v>
      </c>
      <c r="R112" s="1">
        <v>29952</v>
      </c>
      <c r="S112" s="2">
        <f t="shared" si="6"/>
        <v>1982</v>
      </c>
      <c r="T112" s="2">
        <v>1982</v>
      </c>
      <c r="U112" s="2">
        <f t="shared" si="7"/>
        <v>40</v>
      </c>
      <c r="V112" s="1">
        <v>30286</v>
      </c>
      <c r="W112" t="s">
        <v>1202</v>
      </c>
      <c r="X112" s="3">
        <v>0.51500000000000001</v>
      </c>
      <c r="Y112" s="4">
        <f>(X112-'[1]1982'!$Z$4)/('[1]1982'!$Z$3-'[1]1982'!$Z$4)</f>
        <v>1.374763086943755E-2</v>
      </c>
      <c r="AA112">
        <v>219169</v>
      </c>
      <c r="AB112">
        <v>30966</v>
      </c>
      <c r="AD112" t="s">
        <v>15</v>
      </c>
      <c r="AE112">
        <v>44</v>
      </c>
      <c r="AF112">
        <v>12</v>
      </c>
      <c r="AH112" t="s">
        <v>1305</v>
      </c>
      <c r="AI112" t="s">
        <v>1306</v>
      </c>
      <c r="AK112" t="s">
        <v>1307</v>
      </c>
      <c r="AL112">
        <v>7</v>
      </c>
      <c r="AM112" s="5">
        <f t="shared" si="8"/>
        <v>0.17499999999999999</v>
      </c>
      <c r="AN112" s="6">
        <f>(AM112-'[1]1982'!$AO$4)/('[1]1982'!$AO$3-'[1]1982'!$AO$4)</f>
        <v>2.6505111700113592E-4</v>
      </c>
      <c r="AO112" s="7"/>
      <c r="AP112">
        <v>0</v>
      </c>
      <c r="AQ112" t="s">
        <v>208</v>
      </c>
      <c r="AR112" t="s">
        <v>1308</v>
      </c>
      <c r="AS112" t="s">
        <v>210</v>
      </c>
      <c r="AT112" s="3" t="s">
        <v>20</v>
      </c>
      <c r="AU112" s="8">
        <f t="shared" si="9"/>
        <v>0.97028569437066248</v>
      </c>
      <c r="AV112" s="8">
        <f t="shared" si="10"/>
        <v>0.70063409932193432</v>
      </c>
      <c r="AW112" s="8">
        <f t="shared" si="11"/>
        <v>0.43098250427320606</v>
      </c>
    </row>
    <row r="113" spans="1:49" x14ac:dyDescent="0.2">
      <c r="A113">
        <v>111</v>
      </c>
      <c r="B113" t="s">
        <v>1309</v>
      </c>
      <c r="C113" t="s">
        <v>1310</v>
      </c>
      <c r="D113">
        <v>300962982902298</v>
      </c>
      <c r="F113" t="s">
        <v>1311</v>
      </c>
      <c r="G113" t="s">
        <v>4</v>
      </c>
      <c r="H113" t="s">
        <v>5</v>
      </c>
      <c r="I113" t="s">
        <v>1172</v>
      </c>
      <c r="J113">
        <v>60029747</v>
      </c>
      <c r="K113" t="s">
        <v>1173</v>
      </c>
      <c r="L113" t="s">
        <v>1174</v>
      </c>
      <c r="M113" t="s">
        <v>9</v>
      </c>
      <c r="N113">
        <v>2</v>
      </c>
      <c r="O113" t="s">
        <v>1175</v>
      </c>
      <c r="P113" t="s">
        <v>1176</v>
      </c>
      <c r="Q113" t="s">
        <v>1177</v>
      </c>
      <c r="R113" s="1">
        <v>29952</v>
      </c>
      <c r="S113" s="2">
        <f t="shared" si="6"/>
        <v>1982</v>
      </c>
      <c r="T113" s="2">
        <v>1982</v>
      </c>
      <c r="U113" s="2">
        <f t="shared" si="7"/>
        <v>40</v>
      </c>
      <c r="V113" s="1">
        <v>1982</v>
      </c>
      <c r="W113" t="s">
        <v>1178</v>
      </c>
      <c r="X113" s="3">
        <v>0.64600000000000002</v>
      </c>
      <c r="Y113" s="4">
        <f>(X113-'[1]1982'!$Z$4)/('[1]1982'!$Z$3-'[1]1982'!$Z$4)</f>
        <v>1.72446010517605E-2</v>
      </c>
      <c r="AA113">
        <v>3009629</v>
      </c>
      <c r="AB113">
        <v>23398</v>
      </c>
      <c r="AD113" t="s">
        <v>15</v>
      </c>
      <c r="AE113">
        <v>72</v>
      </c>
      <c r="AF113">
        <v>2</v>
      </c>
      <c r="AH113" t="s">
        <v>1312</v>
      </c>
      <c r="AI113" t="s">
        <v>1313</v>
      </c>
      <c r="AK113" t="s">
        <v>1314</v>
      </c>
      <c r="AL113">
        <v>6</v>
      </c>
      <c r="AM113" s="5">
        <f t="shared" si="8"/>
        <v>0.15</v>
      </c>
      <c r="AN113" s="6">
        <f>(AM113-'[1]1982'!$AO$4)/('[1]1982'!$AO$3-'[1]1982'!$AO$4)</f>
        <v>2.2718667171525936E-4</v>
      </c>
      <c r="AO113" s="7"/>
      <c r="AP113">
        <v>0</v>
      </c>
      <c r="AR113" t="s">
        <v>19</v>
      </c>
      <c r="AT113" s="3" t="s">
        <v>20</v>
      </c>
      <c r="AU113" s="8">
        <f t="shared" si="9"/>
        <v>1.2139376737746927</v>
      </c>
      <c r="AV113" s="8">
        <f t="shared" si="10"/>
        <v>0.87358938617378801</v>
      </c>
      <c r="AW113" s="8">
        <f t="shared" si="11"/>
        <v>0.53324109857288315</v>
      </c>
    </row>
    <row r="114" spans="1:49" x14ac:dyDescent="0.2">
      <c r="A114">
        <v>112</v>
      </c>
      <c r="B114" t="s">
        <v>1315</v>
      </c>
      <c r="C114" t="s">
        <v>1316</v>
      </c>
      <c r="D114" t="s">
        <v>1317</v>
      </c>
      <c r="F114" t="s">
        <v>1318</v>
      </c>
      <c r="G114" t="s">
        <v>4</v>
      </c>
      <c r="H114" t="s">
        <v>5</v>
      </c>
      <c r="I114" t="s">
        <v>1319</v>
      </c>
      <c r="J114">
        <v>60006876</v>
      </c>
      <c r="K114" t="s">
        <v>1320</v>
      </c>
      <c r="L114" t="s">
        <v>1321</v>
      </c>
      <c r="M114" t="s">
        <v>1322</v>
      </c>
      <c r="N114">
        <v>1</v>
      </c>
      <c r="O114" t="s">
        <v>1323</v>
      </c>
      <c r="P114">
        <v>7005316480</v>
      </c>
      <c r="Q114">
        <v>60006876</v>
      </c>
      <c r="R114" s="1">
        <v>29952</v>
      </c>
      <c r="S114" s="2">
        <f t="shared" si="6"/>
        <v>1982</v>
      </c>
      <c r="T114" s="2">
        <v>1982</v>
      </c>
      <c r="U114" s="2">
        <f t="shared" si="7"/>
        <v>40</v>
      </c>
      <c r="V114" s="1">
        <v>30011</v>
      </c>
      <c r="W114" t="s">
        <v>1324</v>
      </c>
      <c r="X114" s="3" t="s">
        <v>20</v>
      </c>
      <c r="Y114" s="4" t="e">
        <f>(X114-'[1]1982'!$Z$4)/('[1]1982'!$Z$3-'[1]1982'!$Z$4)</f>
        <v>#VALUE!</v>
      </c>
      <c r="AA114">
        <v>3044211</v>
      </c>
      <c r="AB114">
        <v>11800154301</v>
      </c>
      <c r="AD114" t="s">
        <v>15</v>
      </c>
      <c r="AE114">
        <v>24</v>
      </c>
      <c r="AF114">
        <v>3</v>
      </c>
      <c r="AH114" t="s">
        <v>1325</v>
      </c>
      <c r="AI114" t="s">
        <v>1326</v>
      </c>
      <c r="AK114" t="s">
        <v>1327</v>
      </c>
      <c r="AL114">
        <v>2</v>
      </c>
      <c r="AM114" s="5">
        <f t="shared" si="8"/>
        <v>0.05</v>
      </c>
      <c r="AN114" s="6">
        <f>(AM114-'[1]1982'!$AO$4)/('[1]1982'!$AO$3-'[1]1982'!$AO$4)</f>
        <v>7.5728890571753133E-5</v>
      </c>
      <c r="AO114" s="7"/>
      <c r="AP114">
        <v>0</v>
      </c>
      <c r="AR114" t="s">
        <v>19</v>
      </c>
      <c r="AT114" s="3" t="s">
        <v>20</v>
      </c>
      <c r="AU114" s="8" t="e">
        <f t="shared" si="9"/>
        <v>#VALUE!</v>
      </c>
      <c r="AV114" s="8" t="e">
        <f t="shared" si="10"/>
        <v>#VALUE!</v>
      </c>
      <c r="AW114" s="8" t="e">
        <f t="shared" si="11"/>
        <v>#VALUE!</v>
      </c>
    </row>
    <row r="115" spans="1:49" x14ac:dyDescent="0.2">
      <c r="A115">
        <v>113</v>
      </c>
      <c r="B115" t="s">
        <v>1328</v>
      </c>
      <c r="C115" t="s">
        <v>1329</v>
      </c>
      <c r="F115" t="s">
        <v>1330</v>
      </c>
      <c r="G115" t="s">
        <v>4</v>
      </c>
      <c r="H115" t="s">
        <v>5</v>
      </c>
      <c r="I115" t="s">
        <v>1331</v>
      </c>
      <c r="J115">
        <v>60019615</v>
      </c>
      <c r="K115" t="s">
        <v>469</v>
      </c>
      <c r="L115" t="s">
        <v>470</v>
      </c>
      <c r="M115" t="s">
        <v>40</v>
      </c>
      <c r="N115">
        <v>3</v>
      </c>
      <c r="O115" t="s">
        <v>1332</v>
      </c>
      <c r="P115" t="s">
        <v>1333</v>
      </c>
      <c r="Q115" t="s">
        <v>1334</v>
      </c>
      <c r="R115" s="1">
        <v>29952</v>
      </c>
      <c r="S115" s="2">
        <f t="shared" si="6"/>
        <v>1982</v>
      </c>
      <c r="T115" s="2">
        <v>1982</v>
      </c>
      <c r="U115" s="2">
        <f t="shared" si="7"/>
        <v>40</v>
      </c>
      <c r="V115" s="1">
        <v>29952</v>
      </c>
      <c r="W115" t="s">
        <v>1278</v>
      </c>
      <c r="X115" s="3">
        <v>1.1579999999999999</v>
      </c>
      <c r="Y115" s="4">
        <f>(X115-'[1]1982'!$Z$4)/('[1]1982'!$Z$3-'[1]1982'!$Z$4)</f>
        <v>3.0912148634579962E-2</v>
      </c>
      <c r="AA115">
        <v>1668595</v>
      </c>
      <c r="AB115">
        <v>14223</v>
      </c>
      <c r="AC115">
        <v>15735079</v>
      </c>
      <c r="AD115" t="s">
        <v>15</v>
      </c>
      <c r="AE115">
        <v>3</v>
      </c>
      <c r="AF115">
        <v>3</v>
      </c>
      <c r="AH115" t="s">
        <v>1335</v>
      </c>
      <c r="AI115" t="s">
        <v>1336</v>
      </c>
      <c r="AJ115" t="s">
        <v>1337</v>
      </c>
      <c r="AK115" t="s">
        <v>1338</v>
      </c>
      <c r="AL115">
        <v>23</v>
      </c>
      <c r="AM115" s="5">
        <f t="shared" si="8"/>
        <v>0.57499999999999996</v>
      </c>
      <c r="AN115" s="6">
        <f>(AM115-'[1]1982'!$AO$4)/('[1]1982'!$AO$3-'[1]1982'!$AO$4)</f>
        <v>8.7088224157516082E-4</v>
      </c>
      <c r="AO115" s="7"/>
      <c r="AP115">
        <v>0</v>
      </c>
      <c r="AR115" t="s">
        <v>19</v>
      </c>
      <c r="AT115" s="3">
        <v>3.573</v>
      </c>
      <c r="AU115" s="8">
        <f t="shared" si="9"/>
        <v>2.1899768716678518</v>
      </c>
      <c r="AV115" s="8">
        <f t="shared" si="10"/>
        <v>1.5891515438077561</v>
      </c>
      <c r="AW115" s="8">
        <f t="shared" si="11"/>
        <v>0.98832621594766001</v>
      </c>
    </row>
    <row r="116" spans="1:49" x14ac:dyDescent="0.2">
      <c r="A116">
        <v>114</v>
      </c>
      <c r="B116" t="s">
        <v>1339</v>
      </c>
      <c r="C116" t="s">
        <v>1340</v>
      </c>
      <c r="D116">
        <v>300325682900058</v>
      </c>
      <c r="F116" t="s">
        <v>1341</v>
      </c>
      <c r="G116" t="s">
        <v>4</v>
      </c>
      <c r="H116" t="s">
        <v>5</v>
      </c>
      <c r="I116" t="s">
        <v>1342</v>
      </c>
      <c r="J116">
        <v>60003858</v>
      </c>
      <c r="K116" t="s">
        <v>1343</v>
      </c>
      <c r="L116" t="s">
        <v>1344</v>
      </c>
      <c r="M116" t="s">
        <v>1345</v>
      </c>
      <c r="N116">
        <v>2</v>
      </c>
      <c r="O116" t="s">
        <v>1346</v>
      </c>
      <c r="P116" t="s">
        <v>1347</v>
      </c>
      <c r="Q116" t="s">
        <v>1348</v>
      </c>
      <c r="R116" s="1">
        <v>29952</v>
      </c>
      <c r="S116" s="2">
        <f t="shared" si="6"/>
        <v>1982</v>
      </c>
      <c r="T116" s="2">
        <v>1982</v>
      </c>
      <c r="U116" s="2">
        <f t="shared" si="7"/>
        <v>40</v>
      </c>
      <c r="V116" s="1">
        <v>29952</v>
      </c>
      <c r="W116" t="s">
        <v>1349</v>
      </c>
      <c r="X116" s="3">
        <v>1.204</v>
      </c>
      <c r="Y116" s="4">
        <f>(X116-'[1]1982'!$Z$4)/('[1]1982'!$Z$3-'[1]1982'!$Z$4)</f>
        <v>3.2140092362723902E-2</v>
      </c>
      <c r="AA116">
        <v>3003256</v>
      </c>
      <c r="AB116">
        <v>24546</v>
      </c>
      <c r="AC116">
        <v>14636409</v>
      </c>
      <c r="AD116" t="s">
        <v>15</v>
      </c>
      <c r="AE116">
        <v>11</v>
      </c>
      <c r="AF116">
        <v>1</v>
      </c>
      <c r="AH116" t="s">
        <v>1350</v>
      </c>
      <c r="AI116" t="s">
        <v>1351</v>
      </c>
      <c r="AK116" t="s">
        <v>1352</v>
      </c>
      <c r="AL116">
        <v>22</v>
      </c>
      <c r="AM116" s="5">
        <f t="shared" si="8"/>
        <v>0.55000000000000004</v>
      </c>
      <c r="AN116" s="6">
        <f>(AM116-'[1]1982'!$AO$4)/('[1]1982'!$AO$3-'[1]1982'!$AO$4)</f>
        <v>8.3301779628928443E-4</v>
      </c>
      <c r="AO116" s="7"/>
      <c r="AP116">
        <v>0</v>
      </c>
      <c r="AR116" t="s">
        <v>19</v>
      </c>
      <c r="AT116" s="3">
        <v>3.14</v>
      </c>
      <c r="AU116" s="8">
        <f t="shared" si="9"/>
        <v>2.2747969992793515</v>
      </c>
      <c r="AV116" s="8">
        <f t="shared" si="10"/>
        <v>1.6486555079506593</v>
      </c>
      <c r="AW116" s="8">
        <f t="shared" si="11"/>
        <v>1.0225140166219671</v>
      </c>
    </row>
    <row r="117" spans="1:49" x14ac:dyDescent="0.2">
      <c r="A117">
        <v>115</v>
      </c>
      <c r="B117" t="s">
        <v>1353</v>
      </c>
      <c r="C117" t="s">
        <v>1354</v>
      </c>
      <c r="F117" t="s">
        <v>1355</v>
      </c>
      <c r="G117" t="s">
        <v>4</v>
      </c>
      <c r="H117" t="s">
        <v>5</v>
      </c>
      <c r="I117" t="s">
        <v>1356</v>
      </c>
      <c r="J117">
        <v>60004572</v>
      </c>
      <c r="K117" t="s">
        <v>1357</v>
      </c>
      <c r="L117" t="s">
        <v>1358</v>
      </c>
      <c r="M117" t="s">
        <v>94</v>
      </c>
      <c r="N117">
        <v>3</v>
      </c>
      <c r="O117" t="s">
        <v>1359</v>
      </c>
      <c r="P117" t="s">
        <v>1360</v>
      </c>
      <c r="Q117" t="s">
        <v>1361</v>
      </c>
      <c r="R117" s="1">
        <v>29952</v>
      </c>
      <c r="S117" s="2">
        <f t="shared" si="6"/>
        <v>1982</v>
      </c>
      <c r="T117" s="2">
        <v>1982</v>
      </c>
      <c r="U117" s="2">
        <f t="shared" si="7"/>
        <v>40</v>
      </c>
      <c r="V117" s="1" t="s">
        <v>1362</v>
      </c>
      <c r="W117" t="s">
        <v>1363</v>
      </c>
      <c r="X117" s="3">
        <v>0.51100000000000001</v>
      </c>
      <c r="Y117" s="4">
        <f>(X117-'[1]1982'!$Z$4)/('[1]1982'!$Z$3-'[1]1982'!$Z$4)</f>
        <v>1.3640853153946772E-2</v>
      </c>
      <c r="AA117">
        <v>222933</v>
      </c>
      <c r="AB117">
        <v>29630</v>
      </c>
      <c r="AC117">
        <v>14645262</v>
      </c>
      <c r="AD117" t="s">
        <v>15</v>
      </c>
      <c r="AE117">
        <v>16</v>
      </c>
      <c r="AF117">
        <v>3</v>
      </c>
      <c r="AH117" t="s">
        <v>1364</v>
      </c>
      <c r="AI117" t="s">
        <v>1365</v>
      </c>
      <c r="AK117" t="s">
        <v>1366</v>
      </c>
      <c r="AL117">
        <v>1</v>
      </c>
      <c r="AM117" s="5">
        <f t="shared" si="8"/>
        <v>2.5000000000000001E-2</v>
      </c>
      <c r="AN117" s="6">
        <f>(AM117-'[1]1982'!$AO$4)/('[1]1982'!$AO$3-'[1]1982'!$AO$4)</f>
        <v>3.7864445285876567E-5</v>
      </c>
      <c r="AO117" s="7"/>
      <c r="AP117">
        <v>0</v>
      </c>
      <c r="AR117" t="s">
        <v>19</v>
      </c>
      <c r="AT117" s="3">
        <v>1.016</v>
      </c>
      <c r="AU117" s="8">
        <f t="shared" si="9"/>
        <v>0.95599565413485021</v>
      </c>
      <c r="AV117" s="8">
        <f t="shared" si="10"/>
        <v>0.68393587996163241</v>
      </c>
      <c r="AW117" s="8">
        <f t="shared" si="11"/>
        <v>0.41187610578841455</v>
      </c>
    </row>
    <row r="118" spans="1:49" x14ac:dyDescent="0.2">
      <c r="A118">
        <v>116</v>
      </c>
      <c r="B118" t="s">
        <v>1367</v>
      </c>
      <c r="C118" t="s">
        <v>1368</v>
      </c>
      <c r="F118" t="s">
        <v>1369</v>
      </c>
      <c r="G118" t="s">
        <v>4</v>
      </c>
      <c r="H118" t="s">
        <v>5</v>
      </c>
      <c r="I118" t="s">
        <v>1370</v>
      </c>
      <c r="J118" t="s">
        <v>1371</v>
      </c>
      <c r="K118" t="s">
        <v>1372</v>
      </c>
      <c r="L118" t="s">
        <v>1373</v>
      </c>
      <c r="M118" t="s">
        <v>1374</v>
      </c>
      <c r="N118">
        <v>4</v>
      </c>
      <c r="O118" t="s">
        <v>1375</v>
      </c>
      <c r="P118" t="s">
        <v>1376</v>
      </c>
      <c r="Q118" t="s">
        <v>1377</v>
      </c>
      <c r="R118" s="1">
        <v>29952</v>
      </c>
      <c r="S118" s="2">
        <f t="shared" si="6"/>
        <v>1982</v>
      </c>
      <c r="T118" s="2">
        <v>1982</v>
      </c>
      <c r="U118" s="2">
        <f t="shared" si="7"/>
        <v>40</v>
      </c>
      <c r="V118" s="1">
        <v>1982</v>
      </c>
      <c r="W118" t="s">
        <v>1254</v>
      </c>
      <c r="X118" s="3">
        <v>1.1879999999999999</v>
      </c>
      <c r="Y118" s="4">
        <f>(X118-'[1]1982'!$Z$4)/('[1]1982'!$Z$3-'[1]1982'!$Z$4)</f>
        <v>3.1712981500760788E-2</v>
      </c>
      <c r="AA118">
        <v>10706631</v>
      </c>
      <c r="AB118">
        <v>29210</v>
      </c>
      <c r="AD118" t="s">
        <v>15</v>
      </c>
      <c r="AE118">
        <v>25</v>
      </c>
      <c r="AF118">
        <v>6</v>
      </c>
      <c r="AH118" t="s">
        <v>1378</v>
      </c>
      <c r="AI118" t="s">
        <v>1379</v>
      </c>
      <c r="AK118" t="s">
        <v>1380</v>
      </c>
      <c r="AL118">
        <v>13</v>
      </c>
      <c r="AM118" s="5">
        <f t="shared" si="8"/>
        <v>0.32500000000000001</v>
      </c>
      <c r="AN118" s="6">
        <f>(AM118-'[1]1982'!$AO$4)/('[1]1982'!$AO$3-'[1]1982'!$AO$4)</f>
        <v>4.9223778871639533E-4</v>
      </c>
      <c r="AO118" s="7"/>
      <c r="AP118">
        <v>0</v>
      </c>
      <c r="AR118" t="s">
        <v>19</v>
      </c>
      <c r="AT118" s="3">
        <v>3.5209999999999999</v>
      </c>
      <c r="AU118" s="8">
        <f t="shared" si="9"/>
        <v>2.2346758387147467</v>
      </c>
      <c r="AV118" s="8">
        <f t="shared" si="10"/>
        <v>1.6102609644738592</v>
      </c>
      <c r="AW118" s="8">
        <f t="shared" si="11"/>
        <v>0.98584609023297143</v>
      </c>
    </row>
    <row r="119" spans="1:49" x14ac:dyDescent="0.2">
      <c r="A119">
        <v>117</v>
      </c>
      <c r="B119" t="s">
        <v>1381</v>
      </c>
      <c r="C119" t="s">
        <v>1382</v>
      </c>
      <c r="F119" t="s">
        <v>1383</v>
      </c>
      <c r="G119" t="s">
        <v>4</v>
      </c>
      <c r="H119" t="s">
        <v>5</v>
      </c>
      <c r="I119" t="s">
        <v>1384</v>
      </c>
      <c r="J119" t="s">
        <v>1385</v>
      </c>
      <c r="K119" t="s">
        <v>1386</v>
      </c>
      <c r="L119" t="s">
        <v>1387</v>
      </c>
      <c r="M119" t="s">
        <v>1388</v>
      </c>
      <c r="N119">
        <v>2</v>
      </c>
      <c r="O119" t="s">
        <v>1389</v>
      </c>
      <c r="P119" t="s">
        <v>1390</v>
      </c>
      <c r="Q119" t="s">
        <v>1391</v>
      </c>
      <c r="R119" s="1">
        <v>29952</v>
      </c>
      <c r="S119" s="2">
        <f t="shared" si="6"/>
        <v>1982</v>
      </c>
      <c r="T119" s="2">
        <v>1982</v>
      </c>
      <c r="U119" s="2">
        <f t="shared" si="7"/>
        <v>40</v>
      </c>
      <c r="V119" s="1">
        <v>1982</v>
      </c>
      <c r="W119" t="s">
        <v>1254</v>
      </c>
      <c r="X119" s="3">
        <v>1.1879999999999999</v>
      </c>
      <c r="Y119" s="4">
        <f>(X119-'[1]1982'!$Z$4)/('[1]1982'!$Z$3-'[1]1982'!$Z$4)</f>
        <v>3.1712981500760788E-2</v>
      </c>
      <c r="AA119">
        <v>10706631</v>
      </c>
      <c r="AB119">
        <v>29210</v>
      </c>
      <c r="AD119" t="s">
        <v>15</v>
      </c>
      <c r="AE119">
        <v>25</v>
      </c>
      <c r="AF119">
        <v>3</v>
      </c>
      <c r="AH119" t="s">
        <v>1392</v>
      </c>
      <c r="AI119" t="s">
        <v>1393</v>
      </c>
      <c r="AK119" t="s">
        <v>1394</v>
      </c>
      <c r="AL119">
        <v>5</v>
      </c>
      <c r="AM119" s="5">
        <f t="shared" si="8"/>
        <v>0.125</v>
      </c>
      <c r="AN119" s="6">
        <f>(AM119-'[1]1982'!$AO$4)/('[1]1982'!$AO$3-'[1]1982'!$AO$4)</f>
        <v>1.893222264293828E-4</v>
      </c>
      <c r="AO119" s="7"/>
      <c r="AP119">
        <v>0</v>
      </c>
      <c r="AR119" t="s">
        <v>19</v>
      </c>
      <c r="AT119" s="3">
        <v>3.5209999999999999</v>
      </c>
      <c r="AU119" s="8">
        <f t="shared" si="9"/>
        <v>2.2255883718461362</v>
      </c>
      <c r="AV119" s="8">
        <f t="shared" si="10"/>
        <v>1.5951151863595086</v>
      </c>
      <c r="AW119" s="8">
        <f t="shared" si="11"/>
        <v>0.96464200087288055</v>
      </c>
    </row>
    <row r="120" spans="1:49" x14ac:dyDescent="0.2">
      <c r="A120">
        <v>118</v>
      </c>
      <c r="B120" t="s">
        <v>1395</v>
      </c>
      <c r="F120" t="s">
        <v>1396</v>
      </c>
      <c r="G120" t="s">
        <v>4</v>
      </c>
      <c r="H120" t="s">
        <v>5</v>
      </c>
      <c r="I120" t="s">
        <v>1397</v>
      </c>
      <c r="N120">
        <v>1</v>
      </c>
      <c r="O120" t="s">
        <v>1398</v>
      </c>
      <c r="P120">
        <v>6508241710</v>
      </c>
      <c r="R120" s="1">
        <v>29952</v>
      </c>
      <c r="S120" s="2">
        <f t="shared" si="6"/>
        <v>1982</v>
      </c>
      <c r="T120" s="2">
        <v>1982</v>
      </c>
      <c r="U120" s="2">
        <f t="shared" si="7"/>
        <v>40</v>
      </c>
      <c r="V120" s="1" t="s">
        <v>717</v>
      </c>
      <c r="W120" t="s">
        <v>1399</v>
      </c>
      <c r="X120" s="3" t="s">
        <v>20</v>
      </c>
      <c r="Y120" s="4" t="e">
        <f>(X120-'[1]1982'!$Z$4)/('[1]1982'!$Z$3-'[1]1982'!$Z$4)</f>
        <v>#VALUE!</v>
      </c>
      <c r="AA120">
        <v>262897</v>
      </c>
      <c r="AB120">
        <v>18580</v>
      </c>
      <c r="AD120" t="s">
        <v>15</v>
      </c>
      <c r="AE120">
        <v>25</v>
      </c>
      <c r="AF120">
        <v>12</v>
      </c>
      <c r="AI120" t="s">
        <v>1400</v>
      </c>
      <c r="AK120" t="s">
        <v>1401</v>
      </c>
      <c r="AL120">
        <v>8</v>
      </c>
      <c r="AM120" s="5">
        <f t="shared" si="8"/>
        <v>0.2</v>
      </c>
      <c r="AN120" s="6">
        <f>(AM120-'[1]1982'!$AO$4)/('[1]1982'!$AO$3-'[1]1982'!$AO$4)</f>
        <v>3.0291556228701253E-4</v>
      </c>
      <c r="AO120" s="7"/>
      <c r="AP120">
        <v>0</v>
      </c>
      <c r="AR120" t="s">
        <v>19</v>
      </c>
      <c r="AT120" s="3">
        <v>0.30599999999999999</v>
      </c>
      <c r="AU120" s="8" t="e">
        <f t="shared" si="9"/>
        <v>#VALUE!</v>
      </c>
      <c r="AV120" s="8" t="e">
        <f t="shared" si="10"/>
        <v>#VALUE!</v>
      </c>
      <c r="AW120" s="8" t="e">
        <f t="shared" si="11"/>
        <v>#VALUE!</v>
      </c>
    </row>
    <row r="121" spans="1:49" x14ac:dyDescent="0.2">
      <c r="A121">
        <v>119</v>
      </c>
      <c r="B121" t="s">
        <v>1402</v>
      </c>
      <c r="C121" t="s">
        <v>1403</v>
      </c>
      <c r="F121" t="s">
        <v>1404</v>
      </c>
      <c r="G121" t="s">
        <v>4</v>
      </c>
      <c r="H121" t="s">
        <v>5</v>
      </c>
      <c r="I121" t="s">
        <v>1405</v>
      </c>
      <c r="J121">
        <v>60029622</v>
      </c>
      <c r="K121" t="s">
        <v>1406</v>
      </c>
      <c r="L121" t="s">
        <v>1407</v>
      </c>
      <c r="M121" t="s">
        <v>1408</v>
      </c>
      <c r="N121">
        <v>1</v>
      </c>
      <c r="O121" t="s">
        <v>1409</v>
      </c>
      <c r="P121">
        <v>7003628325</v>
      </c>
      <c r="Q121">
        <v>60029622</v>
      </c>
      <c r="R121" s="1">
        <v>29952</v>
      </c>
      <c r="S121" s="2">
        <f t="shared" si="6"/>
        <v>1982</v>
      </c>
      <c r="T121" s="2">
        <v>1982</v>
      </c>
      <c r="U121" s="2">
        <f t="shared" si="7"/>
        <v>40</v>
      </c>
      <c r="V121" s="1">
        <v>29952</v>
      </c>
      <c r="W121" t="s">
        <v>1410</v>
      </c>
      <c r="X121" s="3">
        <v>0.49099999999999999</v>
      </c>
      <c r="Y121" s="4">
        <f>(X121-'[1]1982'!$Z$4)/('[1]1982'!$Z$3-'[1]1982'!$Z$4)</f>
        <v>1.3106964576492887E-2</v>
      </c>
      <c r="AA121">
        <v>1650424</v>
      </c>
      <c r="AB121">
        <v>19144</v>
      </c>
      <c r="AC121">
        <v>17444152</v>
      </c>
      <c r="AD121" t="s">
        <v>15</v>
      </c>
      <c r="AE121">
        <v>4</v>
      </c>
      <c r="AF121">
        <v>3</v>
      </c>
      <c r="AH121" t="s">
        <v>1411</v>
      </c>
      <c r="AI121" t="s">
        <v>1412</v>
      </c>
      <c r="AK121" t="s">
        <v>1413</v>
      </c>
      <c r="AL121">
        <v>2</v>
      </c>
      <c r="AM121" s="5">
        <f t="shared" si="8"/>
        <v>0.05</v>
      </c>
      <c r="AN121" s="6">
        <f>(AM121-'[1]1982'!$AO$4)/('[1]1982'!$AO$3-'[1]1982'!$AO$4)</f>
        <v>7.5728890571753133E-5</v>
      </c>
      <c r="AO121" s="7"/>
      <c r="AP121">
        <v>0</v>
      </c>
      <c r="AR121" t="s">
        <v>19</v>
      </c>
      <c r="AT121" s="3">
        <v>1.07</v>
      </c>
      <c r="AU121" s="8">
        <f t="shared" si="9"/>
        <v>0.91975938707165461</v>
      </c>
      <c r="AV121" s="8">
        <f t="shared" si="10"/>
        <v>0.65913467335323195</v>
      </c>
      <c r="AW121" s="8">
        <f t="shared" si="11"/>
        <v>0.39850995963480929</v>
      </c>
    </row>
    <row r="122" spans="1:49" x14ac:dyDescent="0.2">
      <c r="A122">
        <v>120</v>
      </c>
      <c r="B122" t="s">
        <v>1414</v>
      </c>
      <c r="C122" t="s">
        <v>1415</v>
      </c>
      <c r="F122" t="s">
        <v>1416</v>
      </c>
      <c r="G122" t="s">
        <v>4</v>
      </c>
      <c r="H122" t="s">
        <v>5</v>
      </c>
      <c r="I122" t="s">
        <v>1417</v>
      </c>
      <c r="J122" t="s">
        <v>1418</v>
      </c>
      <c r="K122" t="s">
        <v>1419</v>
      </c>
      <c r="L122" t="s">
        <v>1420</v>
      </c>
      <c r="M122" t="s">
        <v>1388</v>
      </c>
      <c r="N122">
        <v>9</v>
      </c>
      <c r="O122" t="s">
        <v>1421</v>
      </c>
      <c r="P122" t="s">
        <v>1422</v>
      </c>
      <c r="Q122" t="s">
        <v>1423</v>
      </c>
      <c r="R122" s="1">
        <v>29952</v>
      </c>
      <c r="S122" s="2">
        <f t="shared" si="6"/>
        <v>1982</v>
      </c>
      <c r="T122" s="2">
        <v>1982</v>
      </c>
      <c r="U122" s="2">
        <f t="shared" si="7"/>
        <v>40</v>
      </c>
      <c r="V122" s="1">
        <v>29952</v>
      </c>
      <c r="W122" t="s">
        <v>1424</v>
      </c>
      <c r="X122" s="3">
        <v>0.41499999999999998</v>
      </c>
      <c r="Y122" s="4">
        <f>(X122-'[1]1982'!$Z$4)/('[1]1982'!$Z$3-'[1]1982'!$Z$4)</f>
        <v>1.1078187982168121E-2</v>
      </c>
      <c r="AA122">
        <v>318949</v>
      </c>
      <c r="AB122">
        <v>29122</v>
      </c>
      <c r="AC122">
        <v>14024896</v>
      </c>
      <c r="AD122" t="s">
        <v>15</v>
      </c>
      <c r="AE122">
        <v>1982</v>
      </c>
      <c r="AF122" t="s">
        <v>1425</v>
      </c>
      <c r="AH122" t="s">
        <v>1426</v>
      </c>
      <c r="AI122" t="s">
        <v>1427</v>
      </c>
      <c r="AK122" t="s">
        <v>1428</v>
      </c>
      <c r="AL122">
        <v>26</v>
      </c>
      <c r="AM122" s="5">
        <f t="shared" si="8"/>
        <v>0.65</v>
      </c>
      <c r="AN122" s="6">
        <f>(AM122-'[1]1982'!$AO$4)/('[1]1982'!$AO$3-'[1]1982'!$AO$4)</f>
        <v>9.8447557743279067E-4</v>
      </c>
      <c r="AO122" s="7"/>
      <c r="AP122">
        <v>0</v>
      </c>
      <c r="AR122" t="s">
        <v>19</v>
      </c>
      <c r="AT122" s="3">
        <v>2.4870000000000001</v>
      </c>
      <c r="AU122" s="8">
        <f t="shared" si="9"/>
        <v>0.80500742607475217</v>
      </c>
      <c r="AV122" s="8">
        <f t="shared" si="10"/>
        <v>0.60313317798004562</v>
      </c>
      <c r="AW122" s="8">
        <f t="shared" si="11"/>
        <v>0.40125892988533896</v>
      </c>
    </row>
    <row r="123" spans="1:49" x14ac:dyDescent="0.2">
      <c r="A123">
        <v>121</v>
      </c>
      <c r="B123" t="s">
        <v>1429</v>
      </c>
      <c r="C123" t="s">
        <v>1430</v>
      </c>
      <c r="D123">
        <v>21916982900514</v>
      </c>
      <c r="F123" t="s">
        <v>1431</v>
      </c>
      <c r="G123" t="s">
        <v>4</v>
      </c>
      <c r="H123" t="s">
        <v>5</v>
      </c>
      <c r="I123" t="s">
        <v>1432</v>
      </c>
      <c r="J123">
        <v>60000305</v>
      </c>
      <c r="K123" t="s">
        <v>1433</v>
      </c>
      <c r="L123" t="s">
        <v>1434</v>
      </c>
      <c r="M123" t="s">
        <v>9</v>
      </c>
      <c r="N123">
        <v>2</v>
      </c>
      <c r="O123" t="s">
        <v>1435</v>
      </c>
      <c r="P123" t="s">
        <v>1436</v>
      </c>
      <c r="Q123" t="s">
        <v>1437</v>
      </c>
      <c r="R123" s="1">
        <v>29952</v>
      </c>
      <c r="S123" s="2">
        <f t="shared" si="6"/>
        <v>1982</v>
      </c>
      <c r="T123" s="2">
        <v>1982</v>
      </c>
      <c r="U123" s="2">
        <f t="shared" si="7"/>
        <v>40</v>
      </c>
      <c r="V123" s="1">
        <v>30072</v>
      </c>
      <c r="W123" t="s">
        <v>1202</v>
      </c>
      <c r="X123" s="3">
        <v>0.51500000000000001</v>
      </c>
      <c r="Y123" s="4">
        <f>(X123-'[1]1982'!$Z$4)/('[1]1982'!$Z$3-'[1]1982'!$Z$4)</f>
        <v>1.374763086943755E-2</v>
      </c>
      <c r="AA123">
        <v>219169</v>
      </c>
      <c r="AB123">
        <v>30966</v>
      </c>
      <c r="AD123" t="s">
        <v>15</v>
      </c>
      <c r="AE123">
        <v>44</v>
      </c>
      <c r="AF123">
        <v>5</v>
      </c>
      <c r="AH123" t="s">
        <v>1438</v>
      </c>
      <c r="AI123" t="s">
        <v>1439</v>
      </c>
      <c r="AK123" t="s">
        <v>1440</v>
      </c>
      <c r="AL123">
        <v>18</v>
      </c>
      <c r="AM123" s="5">
        <f t="shared" si="8"/>
        <v>0.45</v>
      </c>
      <c r="AN123" s="6">
        <f>(AM123-'[1]1982'!$AO$4)/('[1]1982'!$AO$3-'[1]1982'!$AO$4)</f>
        <v>6.8156001514577808E-4</v>
      </c>
      <c r="AO123" s="7"/>
      <c r="AP123">
        <v>0</v>
      </c>
      <c r="AQ123" t="s">
        <v>1441</v>
      </c>
      <c r="AR123" t="s">
        <v>19</v>
      </c>
      <c r="AS123" t="s">
        <v>1433</v>
      </c>
      <c r="AT123" s="3" t="s">
        <v>20</v>
      </c>
      <c r="AU123" s="8">
        <f t="shared" si="9"/>
        <v>0.9827809613150017</v>
      </c>
      <c r="AV123" s="8">
        <f t="shared" si="10"/>
        <v>0.72145954422916636</v>
      </c>
      <c r="AW123" s="8">
        <f t="shared" si="11"/>
        <v>0.46013812714333097</v>
      </c>
    </row>
    <row r="124" spans="1:49" x14ac:dyDescent="0.2">
      <c r="A124">
        <v>122</v>
      </c>
      <c r="B124" t="s">
        <v>1442</v>
      </c>
      <c r="C124" t="s">
        <v>1443</v>
      </c>
      <c r="F124" t="s">
        <v>1444</v>
      </c>
      <c r="G124" t="s">
        <v>4</v>
      </c>
      <c r="H124" t="s">
        <v>5</v>
      </c>
      <c r="I124" t="s">
        <v>1445</v>
      </c>
      <c r="J124" t="s">
        <v>1446</v>
      </c>
      <c r="K124" t="s">
        <v>1447</v>
      </c>
      <c r="L124" t="s">
        <v>1448</v>
      </c>
      <c r="M124" t="s">
        <v>1449</v>
      </c>
      <c r="N124">
        <v>8</v>
      </c>
      <c r="O124" t="s">
        <v>1450</v>
      </c>
      <c r="P124" t="s">
        <v>1451</v>
      </c>
      <c r="Q124" t="s">
        <v>1452</v>
      </c>
      <c r="R124" s="1">
        <v>29952</v>
      </c>
      <c r="S124" s="2">
        <f t="shared" si="6"/>
        <v>1982</v>
      </c>
      <c r="T124" s="2">
        <v>1982</v>
      </c>
      <c r="U124" s="2">
        <f t="shared" si="7"/>
        <v>40</v>
      </c>
      <c r="V124" s="1">
        <v>1982</v>
      </c>
      <c r="W124" t="s">
        <v>1254</v>
      </c>
      <c r="X124" s="3">
        <v>1.1879999999999999</v>
      </c>
      <c r="Y124" s="4">
        <f>(X124-'[1]1982'!$Z$4)/('[1]1982'!$Z$3-'[1]1982'!$Z$4)</f>
        <v>3.1712981500760788E-2</v>
      </c>
      <c r="AA124">
        <v>10706631</v>
      </c>
      <c r="AB124">
        <v>29210</v>
      </c>
      <c r="AD124" t="s">
        <v>15</v>
      </c>
      <c r="AE124">
        <v>25</v>
      </c>
      <c r="AF124">
        <v>7</v>
      </c>
      <c r="AH124" t="s">
        <v>1453</v>
      </c>
      <c r="AI124" t="s">
        <v>1454</v>
      </c>
      <c r="AK124" t="s">
        <v>1455</v>
      </c>
      <c r="AL124">
        <v>22</v>
      </c>
      <c r="AM124" s="5">
        <f t="shared" si="8"/>
        <v>0.55000000000000004</v>
      </c>
      <c r="AN124" s="6">
        <f>(AM124-'[1]1982'!$AO$4)/('[1]1982'!$AO$3-'[1]1982'!$AO$4)</f>
        <v>8.3301779628928443E-4</v>
      </c>
      <c r="AO124" s="7"/>
      <c r="AP124">
        <v>0</v>
      </c>
      <c r="AR124" t="s">
        <v>19</v>
      </c>
      <c r="AT124" s="3">
        <v>3.5209999999999999</v>
      </c>
      <c r="AU124" s="8">
        <f t="shared" si="9"/>
        <v>2.2448992389419336</v>
      </c>
      <c r="AV124" s="8">
        <f t="shared" si="10"/>
        <v>1.6272999648525035</v>
      </c>
      <c r="AW124" s="8">
        <f t="shared" si="11"/>
        <v>1.0097006907630737</v>
      </c>
    </row>
    <row r="125" spans="1:49" x14ac:dyDescent="0.2">
      <c r="A125">
        <v>123</v>
      </c>
      <c r="B125" t="s">
        <v>1456</v>
      </c>
      <c r="C125" t="s">
        <v>1457</v>
      </c>
      <c r="D125">
        <v>21916982900320</v>
      </c>
      <c r="F125" t="s">
        <v>1458</v>
      </c>
      <c r="G125" t="s">
        <v>4</v>
      </c>
      <c r="H125" t="s">
        <v>5</v>
      </c>
      <c r="I125" t="s">
        <v>1459</v>
      </c>
      <c r="J125" t="s">
        <v>1460</v>
      </c>
      <c r="K125" t="s">
        <v>1461</v>
      </c>
      <c r="L125" t="s">
        <v>1462</v>
      </c>
      <c r="M125" t="s">
        <v>1463</v>
      </c>
      <c r="N125">
        <v>2</v>
      </c>
      <c r="O125" t="s">
        <v>1464</v>
      </c>
      <c r="P125" t="s">
        <v>1465</v>
      </c>
      <c r="Q125" t="s">
        <v>1460</v>
      </c>
      <c r="R125" s="1">
        <v>29952</v>
      </c>
      <c r="S125" s="2">
        <f t="shared" si="6"/>
        <v>1982</v>
      </c>
      <c r="T125" s="2">
        <v>1982</v>
      </c>
      <c r="U125" s="2">
        <f t="shared" si="7"/>
        <v>40</v>
      </c>
      <c r="V125" s="1">
        <v>30011</v>
      </c>
      <c r="W125" t="s">
        <v>1202</v>
      </c>
      <c r="X125" s="3">
        <v>0.51500000000000001</v>
      </c>
      <c r="Y125" s="4">
        <f>(X125-'[1]1982'!$Z$4)/('[1]1982'!$Z$3-'[1]1982'!$Z$4)</f>
        <v>1.374763086943755E-2</v>
      </c>
      <c r="AA125">
        <v>219169</v>
      </c>
      <c r="AB125">
        <v>30966</v>
      </c>
      <c r="AD125" t="s">
        <v>15</v>
      </c>
      <c r="AE125">
        <v>44</v>
      </c>
      <c r="AF125">
        <v>3</v>
      </c>
      <c r="AH125" t="s">
        <v>1466</v>
      </c>
      <c r="AI125" t="s">
        <v>1467</v>
      </c>
      <c r="AK125" t="s">
        <v>1468</v>
      </c>
      <c r="AL125">
        <v>27</v>
      </c>
      <c r="AM125" s="5">
        <f t="shared" si="8"/>
        <v>0.67500000000000004</v>
      </c>
      <c r="AN125" s="6">
        <f>(AM125-'[1]1982'!$AO$4)/('[1]1982'!$AO$3-'[1]1982'!$AO$4)</f>
        <v>1.0223400227186673E-3</v>
      </c>
      <c r="AO125" s="7"/>
      <c r="AP125">
        <v>0</v>
      </c>
      <c r="AR125" t="s">
        <v>19</v>
      </c>
      <c r="AT125" s="3" t="s">
        <v>20</v>
      </c>
      <c r="AU125" s="8">
        <f t="shared" si="9"/>
        <v>0.99300436154218852</v>
      </c>
      <c r="AV125" s="8">
        <f t="shared" si="10"/>
        <v>0.73849854460781084</v>
      </c>
      <c r="AW125" s="8">
        <f t="shared" si="11"/>
        <v>0.48399272767343327</v>
      </c>
    </row>
    <row r="126" spans="1:49" x14ac:dyDescent="0.2">
      <c r="A126">
        <v>124</v>
      </c>
      <c r="B126" t="s">
        <v>1469</v>
      </c>
      <c r="C126" t="s">
        <v>1470</v>
      </c>
      <c r="F126" t="s">
        <v>1471</v>
      </c>
      <c r="G126" t="s">
        <v>4</v>
      </c>
      <c r="H126" t="s">
        <v>5</v>
      </c>
      <c r="I126" t="s">
        <v>1472</v>
      </c>
      <c r="J126" t="s">
        <v>1473</v>
      </c>
      <c r="K126" t="s">
        <v>1474</v>
      </c>
      <c r="L126" t="s">
        <v>1475</v>
      </c>
      <c r="M126" t="s">
        <v>500</v>
      </c>
      <c r="N126">
        <v>2</v>
      </c>
      <c r="O126" t="s">
        <v>1476</v>
      </c>
      <c r="P126" t="s">
        <v>1477</v>
      </c>
      <c r="Q126" t="s">
        <v>1478</v>
      </c>
      <c r="R126" s="1">
        <v>29952</v>
      </c>
      <c r="S126" s="2">
        <f t="shared" si="6"/>
        <v>1982</v>
      </c>
      <c r="T126" s="2">
        <v>1982</v>
      </c>
      <c r="U126" s="2">
        <f t="shared" si="7"/>
        <v>40</v>
      </c>
      <c r="V126" s="1">
        <v>1982</v>
      </c>
      <c r="W126" t="s">
        <v>1005</v>
      </c>
      <c r="X126" s="3">
        <v>0.111</v>
      </c>
      <c r="Y126" s="4">
        <f>(X126-'[1]1982'!$Z$4)/('[1]1982'!$Z$3-'[1]1982'!$Z$4)</f>
        <v>2.9630816048690639E-3</v>
      </c>
      <c r="AA126">
        <v>87566621</v>
      </c>
      <c r="AB126">
        <v>24890</v>
      </c>
      <c r="AC126">
        <v>15206424</v>
      </c>
      <c r="AD126" t="s">
        <v>15</v>
      </c>
      <c r="AE126">
        <v>65</v>
      </c>
      <c r="AF126">
        <v>8</v>
      </c>
      <c r="AH126" t="s">
        <v>1479</v>
      </c>
      <c r="AI126" t="s">
        <v>1480</v>
      </c>
      <c r="AK126" t="s">
        <v>1481</v>
      </c>
      <c r="AL126">
        <v>3</v>
      </c>
      <c r="AM126" s="5">
        <f t="shared" si="8"/>
        <v>7.4999999999999997E-2</v>
      </c>
      <c r="AN126" s="6">
        <f>(AM126-'[1]1982'!$AO$4)/('[1]1982'!$AO$3-'[1]1982'!$AO$4)</f>
        <v>1.1359333585762968E-4</v>
      </c>
      <c r="AO126" s="7"/>
      <c r="AP126">
        <v>0</v>
      </c>
      <c r="AR126" t="s">
        <v>19</v>
      </c>
      <c r="AT126" s="3" t="s">
        <v>20</v>
      </c>
      <c r="AU126" s="8">
        <f t="shared" si="9"/>
        <v>0.21082351241656336</v>
      </c>
      <c r="AV126" s="8">
        <f t="shared" si="10"/>
        <v>0.15383374703633468</v>
      </c>
      <c r="AW126" s="8">
        <f t="shared" si="11"/>
        <v>9.6843981656105985E-2</v>
      </c>
    </row>
    <row r="127" spans="1:49" x14ac:dyDescent="0.2">
      <c r="A127">
        <v>125</v>
      </c>
      <c r="B127" t="s">
        <v>1482</v>
      </c>
      <c r="C127" t="s">
        <v>1483</v>
      </c>
      <c r="F127" t="s">
        <v>1484</v>
      </c>
      <c r="G127" t="s">
        <v>4</v>
      </c>
      <c r="H127" t="s">
        <v>5</v>
      </c>
      <c r="I127" t="s">
        <v>1485</v>
      </c>
      <c r="J127">
        <v>60006596</v>
      </c>
      <c r="K127" t="s">
        <v>1486</v>
      </c>
      <c r="L127" t="s">
        <v>1487</v>
      </c>
      <c r="M127" t="s">
        <v>640</v>
      </c>
      <c r="N127">
        <v>2</v>
      </c>
      <c r="O127" t="s">
        <v>1488</v>
      </c>
      <c r="P127" t="s">
        <v>1489</v>
      </c>
      <c r="Q127" t="s">
        <v>1490</v>
      </c>
      <c r="R127" s="1">
        <v>29952</v>
      </c>
      <c r="S127" s="2">
        <f t="shared" si="6"/>
        <v>1982</v>
      </c>
      <c r="T127" s="2">
        <v>1982</v>
      </c>
      <c r="U127" s="2">
        <f t="shared" si="7"/>
        <v>40</v>
      </c>
      <c r="V127" s="1" t="s">
        <v>1491</v>
      </c>
      <c r="W127" t="s">
        <v>1492</v>
      </c>
      <c r="X127" s="3" t="s">
        <v>20</v>
      </c>
      <c r="Y127" s="4" t="e">
        <f>(X127-'[1]1982'!$Z$4)/('[1]1982'!$Z$3-'[1]1982'!$Z$4)</f>
        <v>#VALUE!</v>
      </c>
      <c r="AA127">
        <v>442240</v>
      </c>
      <c r="AB127">
        <v>21100829285</v>
      </c>
      <c r="AC127">
        <v>14390418</v>
      </c>
      <c r="AD127" t="s">
        <v>15</v>
      </c>
      <c r="AE127">
        <v>93</v>
      </c>
      <c r="AF127" s="9">
        <v>44317</v>
      </c>
      <c r="AH127" t="s">
        <v>1493</v>
      </c>
      <c r="AI127" t="s">
        <v>1494</v>
      </c>
      <c r="AK127" t="s">
        <v>1495</v>
      </c>
      <c r="AL127">
        <v>34</v>
      </c>
      <c r="AM127" s="5">
        <f t="shared" si="8"/>
        <v>0.85</v>
      </c>
      <c r="AN127" s="6">
        <f>(AM127-'[1]1982'!$AO$4)/('[1]1982'!$AO$3-'[1]1982'!$AO$4)</f>
        <v>1.2873911397198031E-3</v>
      </c>
      <c r="AO127" s="7"/>
      <c r="AP127">
        <v>0</v>
      </c>
      <c r="AR127" t="s">
        <v>19</v>
      </c>
      <c r="AT127" s="3" t="s">
        <v>20</v>
      </c>
      <c r="AU127" s="8" t="e">
        <f t="shared" si="9"/>
        <v>#VALUE!</v>
      </c>
      <c r="AV127" s="8" t="e">
        <f t="shared" si="10"/>
        <v>#VALUE!</v>
      </c>
      <c r="AW127" s="8" t="e">
        <f t="shared" si="11"/>
        <v>#VALUE!</v>
      </c>
    </row>
    <row r="128" spans="1:49" x14ac:dyDescent="0.2">
      <c r="A128">
        <v>126</v>
      </c>
      <c r="B128" t="s">
        <v>1496</v>
      </c>
      <c r="C128" t="s">
        <v>1497</v>
      </c>
      <c r="F128" t="s">
        <v>1498</v>
      </c>
      <c r="G128" t="s">
        <v>4</v>
      </c>
      <c r="H128" t="s">
        <v>5</v>
      </c>
      <c r="I128" t="s">
        <v>1499</v>
      </c>
      <c r="J128">
        <v>60000745</v>
      </c>
      <c r="K128" t="s">
        <v>1500</v>
      </c>
      <c r="L128" t="s">
        <v>1501</v>
      </c>
      <c r="M128" t="s">
        <v>9</v>
      </c>
      <c r="N128">
        <v>2</v>
      </c>
      <c r="O128" t="s">
        <v>1502</v>
      </c>
      <c r="P128" t="s">
        <v>1503</v>
      </c>
      <c r="Q128" t="s">
        <v>1504</v>
      </c>
      <c r="R128" s="1">
        <v>29952</v>
      </c>
      <c r="S128" s="2">
        <f t="shared" si="6"/>
        <v>1982</v>
      </c>
      <c r="T128" s="2">
        <v>1982</v>
      </c>
      <c r="U128" s="2">
        <f t="shared" si="7"/>
        <v>40</v>
      </c>
      <c r="V128" s="1">
        <v>1982</v>
      </c>
      <c r="W128" t="s">
        <v>1505</v>
      </c>
      <c r="X128" s="3">
        <v>7.1150000000000002</v>
      </c>
      <c r="Y128" s="4">
        <f>(X128-'[1]1982'!$Z$4)/('[1]1982'!$Z$3-'[1]1982'!$Z$4)</f>
        <v>0.18993086142921972</v>
      </c>
      <c r="AA128">
        <v>27863</v>
      </c>
      <c r="AB128">
        <v>22680</v>
      </c>
      <c r="AC128">
        <v>15205126</v>
      </c>
      <c r="AD128" t="s">
        <v>15</v>
      </c>
      <c r="AE128">
        <v>104</v>
      </c>
      <c r="AF128">
        <v>12</v>
      </c>
      <c r="AH128" t="s">
        <v>1506</v>
      </c>
      <c r="AI128" t="s">
        <v>1507</v>
      </c>
      <c r="AK128" t="s">
        <v>1508</v>
      </c>
      <c r="AL128">
        <v>18</v>
      </c>
      <c r="AM128" s="5">
        <f t="shared" si="8"/>
        <v>0.45</v>
      </c>
      <c r="AN128" s="6">
        <f>(AM128-'[1]1982'!$AO$4)/('[1]1982'!$AO$3-'[1]1982'!$AO$4)</f>
        <v>6.8156001514577808E-4</v>
      </c>
      <c r="AO128" s="7"/>
      <c r="AP128">
        <v>0</v>
      </c>
      <c r="AR128" t="s">
        <v>19</v>
      </c>
      <c r="AT128" s="3" t="s">
        <v>20</v>
      </c>
      <c r="AU128" s="8">
        <f t="shared" si="9"/>
        <v>13.315607100499754</v>
      </c>
      <c r="AV128" s="8">
        <f t="shared" si="10"/>
        <v>9.530621072218274</v>
      </c>
      <c r="AW128" s="8">
        <f t="shared" si="11"/>
        <v>5.7456350439367965</v>
      </c>
    </row>
    <row r="129" spans="1:49" x14ac:dyDescent="0.2">
      <c r="A129">
        <v>127</v>
      </c>
      <c r="B129" t="s">
        <v>1509</v>
      </c>
      <c r="C129" t="s">
        <v>1510</v>
      </c>
      <c r="F129" t="s">
        <v>1511</v>
      </c>
      <c r="G129" t="s">
        <v>4</v>
      </c>
      <c r="H129" t="s">
        <v>5</v>
      </c>
      <c r="I129" t="s">
        <v>1512</v>
      </c>
      <c r="J129">
        <v>60016849</v>
      </c>
      <c r="K129" t="s">
        <v>960</v>
      </c>
      <c r="L129" t="s">
        <v>961</v>
      </c>
      <c r="M129" t="s">
        <v>962</v>
      </c>
      <c r="N129">
        <v>3</v>
      </c>
      <c r="O129" t="s">
        <v>1513</v>
      </c>
      <c r="P129" t="s">
        <v>1514</v>
      </c>
      <c r="Q129" t="s">
        <v>1515</v>
      </c>
      <c r="R129" s="1">
        <v>29952</v>
      </c>
      <c r="S129" s="2">
        <f t="shared" si="6"/>
        <v>1982</v>
      </c>
      <c r="T129" s="2">
        <v>1982</v>
      </c>
      <c r="U129" s="2">
        <f t="shared" si="7"/>
        <v>40</v>
      </c>
      <c r="V129" s="1">
        <v>1982</v>
      </c>
      <c r="W129" t="s">
        <v>1516</v>
      </c>
      <c r="X129" s="3">
        <v>1.994</v>
      </c>
      <c r="Y129" s="4">
        <f>(X129-'[1]1982'!$Z$4)/('[1]1982'!$Z$3-'[1]1982'!$Z$4)</f>
        <v>5.322869117215237E-2</v>
      </c>
      <c r="AA129">
        <v>249297</v>
      </c>
      <c r="AB129">
        <v>21100779404</v>
      </c>
      <c r="AC129">
        <v>15205835</v>
      </c>
      <c r="AD129" t="s">
        <v>15</v>
      </c>
      <c r="AE129">
        <v>15</v>
      </c>
      <c r="AF129">
        <v>6</v>
      </c>
      <c r="AH129" t="s">
        <v>1517</v>
      </c>
      <c r="AI129" t="s">
        <v>1518</v>
      </c>
      <c r="AK129" t="s">
        <v>1519</v>
      </c>
      <c r="AL129">
        <v>9</v>
      </c>
      <c r="AM129" s="5">
        <f t="shared" si="8"/>
        <v>0.22500000000000001</v>
      </c>
      <c r="AN129" s="6">
        <f>(AM129-'[1]1982'!$AO$4)/('[1]1982'!$AO$3-'[1]1982'!$AO$4)</f>
        <v>3.4078000757288904E-4</v>
      </c>
      <c r="AO129" s="7"/>
      <c r="AP129">
        <v>0</v>
      </c>
      <c r="AR129" t="s">
        <v>19</v>
      </c>
      <c r="AT129" s="3">
        <v>5.9850000000000003</v>
      </c>
      <c r="AU129" s="8">
        <f t="shared" si="9"/>
        <v>3.7362317822778524</v>
      </c>
      <c r="AV129" s="8">
        <f t="shared" si="10"/>
        <v>2.6784735589862629</v>
      </c>
      <c r="AW129" s="8">
        <f t="shared" si="11"/>
        <v>1.6207153356946735</v>
      </c>
    </row>
    <row r="130" spans="1:49" x14ac:dyDescent="0.2">
      <c r="A130">
        <v>128</v>
      </c>
      <c r="B130" t="s">
        <v>1520</v>
      </c>
      <c r="C130" t="s">
        <v>1521</v>
      </c>
      <c r="D130">
        <v>22191082900312</v>
      </c>
      <c r="F130" t="s">
        <v>1522</v>
      </c>
      <c r="G130" t="s">
        <v>4</v>
      </c>
      <c r="H130" t="s">
        <v>5</v>
      </c>
      <c r="I130" t="s">
        <v>1523</v>
      </c>
      <c r="J130" t="s">
        <v>1524</v>
      </c>
      <c r="K130" t="s">
        <v>1525</v>
      </c>
      <c r="L130" t="s">
        <v>1526</v>
      </c>
      <c r="M130" t="s">
        <v>218</v>
      </c>
      <c r="N130">
        <v>3</v>
      </c>
      <c r="O130" t="s">
        <v>1527</v>
      </c>
      <c r="P130" t="s">
        <v>1528</v>
      </c>
      <c r="Q130" t="s">
        <v>1529</v>
      </c>
      <c r="R130" s="1">
        <v>29952</v>
      </c>
      <c r="S130" s="2">
        <f t="shared" ref="S130:S193" si="12">YEAR(R130)</f>
        <v>1982</v>
      </c>
      <c r="T130" s="2">
        <v>1982</v>
      </c>
      <c r="U130" s="2">
        <f t="shared" ref="U130:U193" si="13">2022-T130</f>
        <v>40</v>
      </c>
      <c r="V130" s="1">
        <v>1982</v>
      </c>
      <c r="W130" t="s">
        <v>1530</v>
      </c>
      <c r="X130" s="3">
        <v>0.89900000000000002</v>
      </c>
      <c r="Y130" s="4">
        <f>(X130-'[1]1982'!$Z$4)/('[1]1982'!$Z$3-'[1]1982'!$Z$4)</f>
        <v>2.399829155655215E-2</v>
      </c>
      <c r="AA130">
        <v>221910</v>
      </c>
      <c r="AB130">
        <v>20487</v>
      </c>
      <c r="AD130" t="s">
        <v>15</v>
      </c>
      <c r="AE130">
        <v>28</v>
      </c>
      <c r="AF130">
        <v>6</v>
      </c>
      <c r="AH130" t="s">
        <v>1531</v>
      </c>
      <c r="AI130" t="s">
        <v>1532</v>
      </c>
      <c r="AJ130" t="s">
        <v>1533</v>
      </c>
      <c r="AK130" t="s">
        <v>1534</v>
      </c>
      <c r="AL130">
        <v>13</v>
      </c>
      <c r="AM130" s="5">
        <f t="shared" ref="AM130:AM193" si="14">AL130/U130</f>
        <v>0.32500000000000001</v>
      </c>
      <c r="AN130" s="6">
        <f>(AM130-'[1]1982'!$AO$4)/('[1]1982'!$AO$3-'[1]1982'!$AO$4)</f>
        <v>4.9223778871639533E-4</v>
      </c>
      <c r="AO130" s="7"/>
      <c r="AP130">
        <v>0</v>
      </c>
      <c r="AR130" t="s">
        <v>19</v>
      </c>
      <c r="AT130" s="3">
        <v>2.3540000000000001</v>
      </c>
      <c r="AU130" s="8">
        <f t="shared" ref="AU130:AU193" si="15">(Y130*0.7+AN130*0.3)*100</f>
        <v>1.6946475426201419</v>
      </c>
      <c r="AV130" s="8">
        <f t="shared" ref="AV130:AV193" si="16">(Y130*0.5+AN130*0.5)*100</f>
        <v>1.2245264672634271</v>
      </c>
      <c r="AW130" s="8">
        <f t="shared" ref="AW130:AW193" si="17">(Y130*0.3+AN130*0.7)*100</f>
        <v>0.75440539190671208</v>
      </c>
    </row>
    <row r="131" spans="1:49" x14ac:dyDescent="0.2">
      <c r="A131">
        <v>129</v>
      </c>
      <c r="B131" t="s">
        <v>1535</v>
      </c>
      <c r="C131" t="s">
        <v>1536</v>
      </c>
      <c r="F131" t="s">
        <v>1537</v>
      </c>
      <c r="G131" t="s">
        <v>4</v>
      </c>
      <c r="H131" t="s">
        <v>5</v>
      </c>
      <c r="I131" t="s">
        <v>1538</v>
      </c>
      <c r="J131">
        <v>60021378</v>
      </c>
      <c r="K131" t="s">
        <v>1539</v>
      </c>
      <c r="L131" t="s">
        <v>1540</v>
      </c>
      <c r="M131" t="s">
        <v>9</v>
      </c>
      <c r="N131">
        <v>3</v>
      </c>
      <c r="O131" t="s">
        <v>1541</v>
      </c>
      <c r="P131" t="s">
        <v>1542</v>
      </c>
      <c r="Q131" t="s">
        <v>1543</v>
      </c>
      <c r="R131" s="1">
        <v>29952</v>
      </c>
      <c r="S131" s="2">
        <f t="shared" si="12"/>
        <v>1982</v>
      </c>
      <c r="T131" s="2">
        <v>1982</v>
      </c>
      <c r="U131" s="2">
        <f t="shared" si="13"/>
        <v>40</v>
      </c>
      <c r="V131" s="1">
        <v>1982</v>
      </c>
      <c r="W131" t="s">
        <v>1544</v>
      </c>
      <c r="X131" s="3">
        <v>1.887</v>
      </c>
      <c r="Y131" s="4">
        <f>(X131-'[1]1982'!$Z$4)/('[1]1982'!$Z$3-'[1]1982'!$Z$4)</f>
        <v>5.0372387282774087E-2</v>
      </c>
      <c r="AA131">
        <v>5562821</v>
      </c>
      <c r="AB131">
        <v>29459</v>
      </c>
      <c r="AD131" t="s">
        <v>15</v>
      </c>
      <c r="AE131">
        <v>26</v>
      </c>
      <c r="AF131">
        <v>6</v>
      </c>
      <c r="AH131" t="s">
        <v>1545</v>
      </c>
      <c r="AI131" t="s">
        <v>1546</v>
      </c>
      <c r="AK131" t="s">
        <v>1547</v>
      </c>
      <c r="AL131">
        <v>6</v>
      </c>
      <c r="AM131" s="5">
        <f t="shared" si="14"/>
        <v>0.15</v>
      </c>
      <c r="AN131" s="6">
        <f>(AM131-'[1]1982'!$AO$4)/('[1]1982'!$AO$3-'[1]1982'!$AO$4)</f>
        <v>2.2718667171525936E-4</v>
      </c>
      <c r="AO131" s="7"/>
      <c r="AP131">
        <v>0</v>
      </c>
      <c r="AR131" t="s">
        <v>19</v>
      </c>
      <c r="AT131" s="3">
        <v>5.2960000000000003</v>
      </c>
      <c r="AU131" s="8">
        <f t="shared" si="15"/>
        <v>3.5328827099456435</v>
      </c>
      <c r="AV131" s="8">
        <f t="shared" si="16"/>
        <v>2.5299786977244674</v>
      </c>
      <c r="AW131" s="8">
        <f t="shared" si="17"/>
        <v>1.5270746855032908</v>
      </c>
    </row>
    <row r="132" spans="1:49" x14ac:dyDescent="0.2">
      <c r="A132">
        <v>130</v>
      </c>
      <c r="B132" t="s">
        <v>1548</v>
      </c>
      <c r="C132" t="s">
        <v>1549</v>
      </c>
      <c r="D132" t="s">
        <v>1550</v>
      </c>
      <c r="F132" t="s">
        <v>1551</v>
      </c>
      <c r="G132" t="s">
        <v>4</v>
      </c>
      <c r="H132" t="s">
        <v>5</v>
      </c>
      <c r="I132" t="s">
        <v>1552</v>
      </c>
      <c r="J132" t="s">
        <v>1553</v>
      </c>
      <c r="K132" t="s">
        <v>1554</v>
      </c>
      <c r="L132" t="s">
        <v>1555</v>
      </c>
      <c r="M132" t="s">
        <v>1556</v>
      </c>
      <c r="N132">
        <v>5</v>
      </c>
      <c r="O132" t="s">
        <v>1557</v>
      </c>
      <c r="P132" t="s">
        <v>1558</v>
      </c>
      <c r="Q132" t="s">
        <v>1559</v>
      </c>
      <c r="R132" s="1">
        <v>29952</v>
      </c>
      <c r="S132" s="2">
        <f t="shared" si="12"/>
        <v>1982</v>
      </c>
      <c r="T132" s="2">
        <v>1982</v>
      </c>
      <c r="U132" s="2">
        <f t="shared" si="13"/>
        <v>40</v>
      </c>
      <c r="V132" s="1">
        <v>1982</v>
      </c>
      <c r="W132" t="s">
        <v>1230</v>
      </c>
      <c r="X132" s="3">
        <v>0.68200000000000005</v>
      </c>
      <c r="Y132" s="4">
        <f>(X132-'[1]1982'!$Z$4)/('[1]1982'!$Z$3-'[1]1982'!$Z$4)</f>
        <v>1.8205600491177493E-2</v>
      </c>
      <c r="AA132">
        <v>2731177</v>
      </c>
      <c r="AB132">
        <v>12375</v>
      </c>
      <c r="AD132" t="s">
        <v>15</v>
      </c>
      <c r="AE132">
        <v>2</v>
      </c>
      <c r="AF132">
        <v>7</v>
      </c>
      <c r="AH132" t="s">
        <v>1560</v>
      </c>
      <c r="AI132" t="s">
        <v>1561</v>
      </c>
      <c r="AK132" t="s">
        <v>1562</v>
      </c>
      <c r="AL132">
        <v>5</v>
      </c>
      <c r="AM132" s="5">
        <f t="shared" si="14"/>
        <v>0.125</v>
      </c>
      <c r="AN132" s="6">
        <f>(AM132-'[1]1982'!$AO$4)/('[1]1982'!$AO$3-'[1]1982'!$AO$4)</f>
        <v>1.893222264293828E-4</v>
      </c>
      <c r="AO132" s="7"/>
      <c r="AP132">
        <v>0</v>
      </c>
      <c r="AR132" t="s">
        <v>19</v>
      </c>
      <c r="AT132" s="3">
        <v>2.1520000000000001</v>
      </c>
      <c r="AU132" s="8">
        <f t="shared" si="15"/>
        <v>1.2800717011753058</v>
      </c>
      <c r="AV132" s="8">
        <f t="shared" si="16"/>
        <v>0.91974613588034393</v>
      </c>
      <c r="AW132" s="8">
        <f t="shared" si="17"/>
        <v>0.55942057058538164</v>
      </c>
    </row>
    <row r="133" spans="1:49" x14ac:dyDescent="0.2">
      <c r="A133">
        <v>131</v>
      </c>
      <c r="B133" t="s">
        <v>1563</v>
      </c>
      <c r="C133" t="s">
        <v>1564</v>
      </c>
      <c r="F133" t="s">
        <v>1565</v>
      </c>
      <c r="G133" t="s">
        <v>4</v>
      </c>
      <c r="H133" t="s">
        <v>5</v>
      </c>
      <c r="I133" t="s">
        <v>1566</v>
      </c>
      <c r="J133" t="s">
        <v>1567</v>
      </c>
      <c r="K133" t="s">
        <v>1568</v>
      </c>
      <c r="L133" t="s">
        <v>1569</v>
      </c>
      <c r="M133" t="s">
        <v>655</v>
      </c>
      <c r="N133">
        <v>2</v>
      </c>
      <c r="O133" t="s">
        <v>1570</v>
      </c>
      <c r="P133" t="s">
        <v>1571</v>
      </c>
      <c r="Q133" t="s">
        <v>1572</v>
      </c>
      <c r="R133" s="1">
        <v>29952</v>
      </c>
      <c r="S133" s="2">
        <f t="shared" si="12"/>
        <v>1982</v>
      </c>
      <c r="T133" s="2">
        <v>1982</v>
      </c>
      <c r="U133" s="2">
        <f t="shared" si="13"/>
        <v>40</v>
      </c>
      <c r="V133" s="1">
        <v>1982</v>
      </c>
      <c r="W133" t="s">
        <v>1573</v>
      </c>
      <c r="X133" s="3" t="s">
        <v>20</v>
      </c>
      <c r="Y133" s="4" t="e">
        <f>(X133-'[1]1982'!$Z$4)/('[1]1982'!$Z$3-'[1]1982'!$Z$4)</f>
        <v>#VALUE!</v>
      </c>
      <c r="AA133">
        <v>282960</v>
      </c>
      <c r="AB133">
        <v>37615</v>
      </c>
      <c r="AD133" t="s">
        <v>15</v>
      </c>
      <c r="AE133">
        <v>33</v>
      </c>
      <c r="AF133">
        <v>4</v>
      </c>
      <c r="AH133" t="s">
        <v>1574</v>
      </c>
      <c r="AI133" t="s">
        <v>1575</v>
      </c>
      <c r="AK133" t="s">
        <v>1576</v>
      </c>
      <c r="AL133">
        <v>10</v>
      </c>
      <c r="AM133" s="5">
        <f t="shared" si="14"/>
        <v>0.25</v>
      </c>
      <c r="AN133" s="6">
        <f>(AM133-'[1]1982'!$AO$4)/('[1]1982'!$AO$3-'[1]1982'!$AO$4)</f>
        <v>3.786444528587656E-4</v>
      </c>
      <c r="AO133" s="7"/>
      <c r="AP133">
        <v>0</v>
      </c>
      <c r="AR133" t="s">
        <v>19</v>
      </c>
      <c r="AT133" s="3" t="s">
        <v>20</v>
      </c>
      <c r="AU133" s="8" t="e">
        <f t="shared" si="15"/>
        <v>#VALUE!</v>
      </c>
      <c r="AV133" s="8" t="e">
        <f t="shared" si="16"/>
        <v>#VALUE!</v>
      </c>
      <c r="AW133" s="8" t="e">
        <f t="shared" si="17"/>
        <v>#VALUE!</v>
      </c>
    </row>
    <row r="134" spans="1:49" x14ac:dyDescent="0.2">
      <c r="A134">
        <v>132</v>
      </c>
      <c r="B134" t="s">
        <v>1577</v>
      </c>
      <c r="C134" t="s">
        <v>1578</v>
      </c>
      <c r="D134" t="s">
        <v>1579</v>
      </c>
      <c r="F134" t="s">
        <v>1580</v>
      </c>
      <c r="G134" t="s">
        <v>4</v>
      </c>
      <c r="H134" t="s">
        <v>5</v>
      </c>
      <c r="I134" t="s">
        <v>1581</v>
      </c>
      <c r="J134">
        <v>60013373</v>
      </c>
      <c r="K134" t="s">
        <v>1582</v>
      </c>
      <c r="L134" t="s">
        <v>1583</v>
      </c>
      <c r="M134" t="s">
        <v>40</v>
      </c>
      <c r="N134">
        <v>1</v>
      </c>
      <c r="O134" t="s">
        <v>1584</v>
      </c>
      <c r="P134">
        <v>16477462400</v>
      </c>
      <c r="Q134">
        <v>60013373</v>
      </c>
      <c r="R134" s="1">
        <v>29952</v>
      </c>
      <c r="S134" s="2">
        <f t="shared" si="12"/>
        <v>1982</v>
      </c>
      <c r="T134" s="2">
        <v>1982</v>
      </c>
      <c r="U134" s="2">
        <f t="shared" si="13"/>
        <v>40</v>
      </c>
      <c r="V134" s="1">
        <v>1982</v>
      </c>
      <c r="W134" t="s">
        <v>1585</v>
      </c>
      <c r="X134" s="3" t="s">
        <v>20</v>
      </c>
      <c r="Y134" s="4" t="e">
        <f>(X134-'[1]1982'!$Z$4)/('[1]1982'!$Z$3-'[1]1982'!$Z$4)</f>
        <v>#VALUE!</v>
      </c>
      <c r="AA134">
        <v>2700255</v>
      </c>
      <c r="AB134">
        <v>38292</v>
      </c>
      <c r="AD134" t="s">
        <v>15</v>
      </c>
      <c r="AE134">
        <v>3</v>
      </c>
      <c r="AF134">
        <v>3</v>
      </c>
      <c r="AH134" t="s">
        <v>1586</v>
      </c>
      <c r="AI134" t="s">
        <v>1587</v>
      </c>
      <c r="AK134" t="s">
        <v>1588</v>
      </c>
      <c r="AL134">
        <v>0</v>
      </c>
      <c r="AM134" s="5">
        <f t="shared" si="14"/>
        <v>0</v>
      </c>
      <c r="AN134" s="6">
        <f>(AM134-'[1]1982'!$AO$4)/('[1]1982'!$AO$3-'[1]1982'!$AO$4)</f>
        <v>0</v>
      </c>
      <c r="AO134" s="7"/>
      <c r="AP134">
        <v>1</v>
      </c>
      <c r="AR134" t="s">
        <v>19</v>
      </c>
      <c r="AT134" s="3" t="s">
        <v>20</v>
      </c>
      <c r="AU134" s="8" t="e">
        <f t="shared" si="15"/>
        <v>#VALUE!</v>
      </c>
      <c r="AV134" s="8" t="e">
        <f t="shared" si="16"/>
        <v>#VALUE!</v>
      </c>
      <c r="AW134" s="8" t="e">
        <f t="shared" si="17"/>
        <v>#VALUE!</v>
      </c>
    </row>
    <row r="135" spans="1:49" x14ac:dyDescent="0.2">
      <c r="A135">
        <v>133</v>
      </c>
      <c r="B135" t="s">
        <v>1589</v>
      </c>
      <c r="C135" t="s">
        <v>1590</v>
      </c>
      <c r="E135">
        <v>6760701</v>
      </c>
      <c r="F135" t="s">
        <v>1591</v>
      </c>
      <c r="G135" t="s">
        <v>4</v>
      </c>
      <c r="H135" t="s">
        <v>5</v>
      </c>
      <c r="I135" t="s">
        <v>1592</v>
      </c>
      <c r="N135">
        <v>3</v>
      </c>
      <c r="O135" t="s">
        <v>1593</v>
      </c>
      <c r="P135" t="s">
        <v>1594</v>
      </c>
      <c r="Q135" t="s">
        <v>145</v>
      </c>
      <c r="R135" s="1">
        <v>29952</v>
      </c>
      <c r="S135" s="2">
        <f t="shared" si="12"/>
        <v>1982</v>
      </c>
      <c r="T135" s="2">
        <v>1982</v>
      </c>
      <c r="U135" s="2">
        <f t="shared" si="13"/>
        <v>40</v>
      </c>
      <c r="V135" s="1">
        <v>1982</v>
      </c>
      <c r="W135" t="s">
        <v>1595</v>
      </c>
      <c r="X135" s="3" t="s">
        <v>20</v>
      </c>
      <c r="Y135" s="4" t="e">
        <f>(X135-'[1]1982'!$Z$4)/('[1]1982'!$Z$3-'[1]1982'!$Z$4)</f>
        <v>#VALUE!</v>
      </c>
      <c r="AA135">
        <v>652598</v>
      </c>
      <c r="AB135">
        <v>26761</v>
      </c>
      <c r="AD135" t="s">
        <v>15</v>
      </c>
      <c r="AE135">
        <v>157</v>
      </c>
      <c r="AH135" t="s">
        <v>1596</v>
      </c>
      <c r="AI135" t="s">
        <v>1597</v>
      </c>
      <c r="AK135" t="s">
        <v>1598</v>
      </c>
      <c r="AL135">
        <v>2</v>
      </c>
      <c r="AM135" s="5">
        <f t="shared" si="14"/>
        <v>0.05</v>
      </c>
      <c r="AN135" s="6">
        <f>(AM135-'[1]1982'!$AO$4)/('[1]1982'!$AO$3-'[1]1982'!$AO$4)</f>
        <v>7.5728890571753133E-5</v>
      </c>
      <c r="AO135" s="7"/>
      <c r="AP135">
        <v>0</v>
      </c>
      <c r="AR135" t="s">
        <v>19</v>
      </c>
      <c r="AT135" s="3">
        <v>2.6219999999999999</v>
      </c>
      <c r="AU135" s="8" t="e">
        <f t="shared" si="15"/>
        <v>#VALUE!</v>
      </c>
      <c r="AV135" s="8" t="e">
        <f t="shared" si="16"/>
        <v>#VALUE!</v>
      </c>
      <c r="AW135" s="8" t="e">
        <f t="shared" si="17"/>
        <v>#VALUE!</v>
      </c>
    </row>
    <row r="136" spans="1:49" x14ac:dyDescent="0.2">
      <c r="A136">
        <v>134</v>
      </c>
      <c r="B136" t="s">
        <v>1599</v>
      </c>
      <c r="C136" t="s">
        <v>1600</v>
      </c>
      <c r="E136">
        <v>7181964</v>
      </c>
      <c r="F136" t="s">
        <v>1601</v>
      </c>
      <c r="G136" t="s">
        <v>4</v>
      </c>
      <c r="H136" t="s">
        <v>5</v>
      </c>
      <c r="I136" t="s">
        <v>1602</v>
      </c>
      <c r="J136">
        <v>60032179</v>
      </c>
      <c r="K136" t="s">
        <v>1603</v>
      </c>
      <c r="L136" t="s">
        <v>1604</v>
      </c>
      <c r="M136" t="s">
        <v>9</v>
      </c>
      <c r="N136">
        <v>1</v>
      </c>
      <c r="O136" t="s">
        <v>1605</v>
      </c>
      <c r="P136">
        <v>7006727535</v>
      </c>
      <c r="Q136">
        <v>60032179</v>
      </c>
      <c r="R136" s="1">
        <v>29952</v>
      </c>
      <c r="S136" s="2">
        <f t="shared" si="12"/>
        <v>1982</v>
      </c>
      <c r="T136" s="2">
        <v>1982</v>
      </c>
      <c r="U136" s="2">
        <f t="shared" si="13"/>
        <v>40</v>
      </c>
      <c r="V136" s="1">
        <v>1982</v>
      </c>
      <c r="W136" t="s">
        <v>1606</v>
      </c>
      <c r="X136" s="3">
        <v>0.435</v>
      </c>
      <c r="Y136" s="4">
        <f>(X136-'[1]1982'!$Z$4)/('[1]1982'!$Z$3-'[1]1982'!$Z$4)</f>
        <v>1.1612076559622007E-2</v>
      </c>
      <c r="AA136">
        <v>1978462</v>
      </c>
      <c r="AB136">
        <v>14839</v>
      </c>
      <c r="AC136" t="s">
        <v>1607</v>
      </c>
      <c r="AD136" t="s">
        <v>15</v>
      </c>
      <c r="AE136">
        <v>3</v>
      </c>
      <c r="AF136">
        <v>4</v>
      </c>
      <c r="AH136" t="s">
        <v>1608</v>
      </c>
      <c r="AI136" t="s">
        <v>1609</v>
      </c>
      <c r="AJ136" t="s">
        <v>1610</v>
      </c>
      <c r="AK136" t="s">
        <v>1611</v>
      </c>
      <c r="AL136">
        <v>5</v>
      </c>
      <c r="AM136" s="5">
        <f t="shared" si="14"/>
        <v>0.125</v>
      </c>
      <c r="AN136" s="6">
        <f>(AM136-'[1]1982'!$AO$4)/('[1]1982'!$AO$3-'[1]1982'!$AO$4)</f>
        <v>1.893222264293828E-4</v>
      </c>
      <c r="AO136" s="7"/>
      <c r="AP136">
        <v>0</v>
      </c>
      <c r="AR136" t="s">
        <v>19</v>
      </c>
      <c r="AT136" s="3">
        <v>2.0099999999999998</v>
      </c>
      <c r="AU136" s="8">
        <f t="shared" si="15"/>
        <v>0.81852502596642185</v>
      </c>
      <c r="AV136" s="8">
        <f t="shared" si="16"/>
        <v>0.59006993930256946</v>
      </c>
      <c r="AW136" s="8">
        <f t="shared" si="17"/>
        <v>0.36161485263871701</v>
      </c>
    </row>
    <row r="137" spans="1:49" x14ac:dyDescent="0.2">
      <c r="A137">
        <v>135</v>
      </c>
      <c r="B137" t="s">
        <v>1612</v>
      </c>
      <c r="C137" t="s">
        <v>1613</v>
      </c>
      <c r="F137" t="s">
        <v>1614</v>
      </c>
      <c r="G137" t="s">
        <v>4</v>
      </c>
      <c r="H137" t="s">
        <v>5</v>
      </c>
      <c r="I137" t="s">
        <v>1615</v>
      </c>
      <c r="J137" t="s">
        <v>1616</v>
      </c>
      <c r="K137" t="s">
        <v>1617</v>
      </c>
      <c r="L137" t="s">
        <v>1618</v>
      </c>
      <c r="M137" t="s">
        <v>1619</v>
      </c>
      <c r="N137">
        <v>8</v>
      </c>
      <c r="O137" t="s">
        <v>1620</v>
      </c>
      <c r="P137" t="s">
        <v>1621</v>
      </c>
      <c r="Q137" t="s">
        <v>1622</v>
      </c>
      <c r="R137" s="1">
        <v>29952</v>
      </c>
      <c r="S137" s="2">
        <f t="shared" si="12"/>
        <v>1982</v>
      </c>
      <c r="T137" s="2">
        <v>1982</v>
      </c>
      <c r="U137" s="2">
        <f t="shared" si="13"/>
        <v>40</v>
      </c>
      <c r="V137" s="1">
        <v>30286</v>
      </c>
      <c r="W137" t="s">
        <v>942</v>
      </c>
      <c r="X137" s="3">
        <v>0.81799999999999995</v>
      </c>
      <c r="Y137" s="4">
        <f>(X137-'[1]1982'!$Z$4)/('[1]1982'!$Z$3-'[1]1982'!$Z$4)</f>
        <v>2.1836042817863912E-2</v>
      </c>
      <c r="AA137">
        <v>318655</v>
      </c>
      <c r="AB137">
        <v>27010</v>
      </c>
      <c r="AC137">
        <v>17511097</v>
      </c>
      <c r="AD137" t="s">
        <v>15</v>
      </c>
      <c r="AE137">
        <v>36</v>
      </c>
      <c r="AF137">
        <v>6</v>
      </c>
      <c r="AH137" t="s">
        <v>1623</v>
      </c>
      <c r="AI137" t="s">
        <v>1624</v>
      </c>
      <c r="AK137" t="s">
        <v>1625</v>
      </c>
      <c r="AL137">
        <v>32</v>
      </c>
      <c r="AM137" s="5">
        <f t="shared" si="14"/>
        <v>0.8</v>
      </c>
      <c r="AN137" s="6">
        <f>(AM137-'[1]1982'!$AO$4)/('[1]1982'!$AO$3-'[1]1982'!$AO$4)</f>
        <v>1.2116622491480501E-3</v>
      </c>
      <c r="AO137" s="7"/>
      <c r="AP137">
        <v>0</v>
      </c>
      <c r="AR137" t="s">
        <v>19</v>
      </c>
      <c r="AT137" s="3">
        <v>3.4209999999999998</v>
      </c>
      <c r="AU137" s="8">
        <f t="shared" si="15"/>
        <v>1.564872864724915</v>
      </c>
      <c r="AV137" s="8">
        <f t="shared" si="16"/>
        <v>1.1523852533505983</v>
      </c>
      <c r="AW137" s="8">
        <f t="shared" si="17"/>
        <v>0.73989764197628083</v>
      </c>
    </row>
    <row r="138" spans="1:49" x14ac:dyDescent="0.2">
      <c r="A138">
        <v>136</v>
      </c>
      <c r="B138" t="s">
        <v>1626</v>
      </c>
      <c r="E138">
        <v>6922933</v>
      </c>
      <c r="F138" t="s">
        <v>1627</v>
      </c>
      <c r="G138" t="s">
        <v>4</v>
      </c>
      <c r="H138" t="s">
        <v>5</v>
      </c>
      <c r="I138" t="s">
        <v>1628</v>
      </c>
      <c r="J138">
        <v>60104665</v>
      </c>
      <c r="K138" t="s">
        <v>1629</v>
      </c>
      <c r="L138" t="s">
        <v>1630</v>
      </c>
      <c r="M138" t="s">
        <v>40</v>
      </c>
      <c r="N138">
        <v>3</v>
      </c>
      <c r="O138" t="s">
        <v>1631</v>
      </c>
      <c r="P138" t="s">
        <v>1632</v>
      </c>
      <c r="Q138" t="s">
        <v>1633</v>
      </c>
      <c r="R138" s="1">
        <v>29952</v>
      </c>
      <c r="S138" s="2">
        <f t="shared" si="12"/>
        <v>1982</v>
      </c>
      <c r="T138" s="2">
        <v>1982</v>
      </c>
      <c r="U138" s="2">
        <f t="shared" si="13"/>
        <v>40</v>
      </c>
      <c r="V138" s="1">
        <v>1982</v>
      </c>
      <c r="W138" t="s">
        <v>1634</v>
      </c>
      <c r="X138" s="3" t="s">
        <v>20</v>
      </c>
      <c r="Y138" s="4" t="e">
        <f>(X138-'[1]1982'!$Z$4)/('[1]1982'!$Z$3-'[1]1982'!$Z$4)</f>
        <v>#VALUE!</v>
      </c>
      <c r="AA138">
        <v>222739</v>
      </c>
      <c r="AB138">
        <v>33110</v>
      </c>
      <c r="AD138" t="s">
        <v>15</v>
      </c>
      <c r="AE138">
        <v>17</v>
      </c>
      <c r="AF138">
        <v>2</v>
      </c>
      <c r="AH138" t="s">
        <v>1635</v>
      </c>
      <c r="AI138" t="s">
        <v>1636</v>
      </c>
      <c r="AK138" t="s">
        <v>1637</v>
      </c>
      <c r="AL138">
        <v>7</v>
      </c>
      <c r="AM138" s="5">
        <f t="shared" si="14"/>
        <v>0.17499999999999999</v>
      </c>
      <c r="AN138" s="6">
        <f>(AM138-'[1]1982'!$AO$4)/('[1]1982'!$AO$3-'[1]1982'!$AO$4)</f>
        <v>2.6505111700113592E-4</v>
      </c>
      <c r="AO138" s="7"/>
      <c r="AP138">
        <v>0</v>
      </c>
      <c r="AR138" t="s">
        <v>19</v>
      </c>
      <c r="AT138" s="3" t="s">
        <v>20</v>
      </c>
      <c r="AU138" s="8" t="e">
        <f t="shared" si="15"/>
        <v>#VALUE!</v>
      </c>
      <c r="AV138" s="8" t="e">
        <f t="shared" si="16"/>
        <v>#VALUE!</v>
      </c>
      <c r="AW138" s="8" t="e">
        <f t="shared" si="17"/>
        <v>#VALUE!</v>
      </c>
    </row>
    <row r="139" spans="1:49" x14ac:dyDescent="0.2">
      <c r="A139">
        <v>137</v>
      </c>
      <c r="B139" t="s">
        <v>1638</v>
      </c>
      <c r="F139" t="s">
        <v>1639</v>
      </c>
      <c r="G139" t="s">
        <v>4</v>
      </c>
      <c r="H139" t="s">
        <v>5</v>
      </c>
      <c r="I139" t="s">
        <v>1640</v>
      </c>
      <c r="N139">
        <v>2</v>
      </c>
      <c r="O139" t="s">
        <v>1641</v>
      </c>
      <c r="P139" t="s">
        <v>1642</v>
      </c>
      <c r="Q139" t="s">
        <v>156</v>
      </c>
      <c r="R139" s="1">
        <v>29952</v>
      </c>
      <c r="S139" s="2">
        <f t="shared" si="12"/>
        <v>1982</v>
      </c>
      <c r="T139" s="2">
        <v>1982</v>
      </c>
      <c r="U139" s="2">
        <f t="shared" si="13"/>
        <v>40</v>
      </c>
      <c r="V139" s="1" t="s">
        <v>717</v>
      </c>
      <c r="W139" t="s">
        <v>1643</v>
      </c>
      <c r="X139" s="3" t="s">
        <v>20</v>
      </c>
      <c r="Y139" s="4" t="e">
        <f>(X139-'[1]1982'!$Z$4)/('[1]1982'!$Z$3-'[1]1982'!$Z$4)</f>
        <v>#VALUE!</v>
      </c>
      <c r="AA139">
        <v>337889</v>
      </c>
      <c r="AB139">
        <v>40920</v>
      </c>
      <c r="AD139" t="s">
        <v>15</v>
      </c>
      <c r="AE139">
        <v>27</v>
      </c>
      <c r="AF139">
        <v>12</v>
      </c>
      <c r="AH139" t="s">
        <v>1644</v>
      </c>
      <c r="AI139" t="s">
        <v>1645</v>
      </c>
      <c r="AK139" t="s">
        <v>1646</v>
      </c>
      <c r="AL139">
        <v>0</v>
      </c>
      <c r="AM139" s="5">
        <f t="shared" si="14"/>
        <v>0</v>
      </c>
      <c r="AN139" s="6">
        <f>(AM139-'[1]1982'!$AO$4)/('[1]1982'!$AO$3-'[1]1982'!$AO$4)</f>
        <v>0</v>
      </c>
      <c r="AO139" s="7"/>
      <c r="AP139">
        <v>0</v>
      </c>
      <c r="AR139" t="s">
        <v>19</v>
      </c>
      <c r="AT139" s="3" t="s">
        <v>20</v>
      </c>
      <c r="AU139" s="8" t="e">
        <f t="shared" si="15"/>
        <v>#VALUE!</v>
      </c>
      <c r="AV139" s="8" t="e">
        <f t="shared" si="16"/>
        <v>#VALUE!</v>
      </c>
      <c r="AW139" s="8" t="e">
        <f t="shared" si="17"/>
        <v>#VALUE!</v>
      </c>
    </row>
    <row r="140" spans="1:49" x14ac:dyDescent="0.2">
      <c r="A140">
        <v>138</v>
      </c>
      <c r="B140" t="s">
        <v>1647</v>
      </c>
      <c r="F140" t="s">
        <v>1648</v>
      </c>
      <c r="G140" t="s">
        <v>4</v>
      </c>
      <c r="H140" t="s">
        <v>5</v>
      </c>
      <c r="I140" t="s">
        <v>1649</v>
      </c>
      <c r="N140">
        <v>1</v>
      </c>
      <c r="O140" t="s">
        <v>1650</v>
      </c>
      <c r="P140">
        <v>7006583304</v>
      </c>
      <c r="R140" s="1">
        <v>29952</v>
      </c>
      <c r="S140" s="2">
        <f t="shared" si="12"/>
        <v>1982</v>
      </c>
      <c r="T140" s="2">
        <v>1982</v>
      </c>
      <c r="U140" s="2">
        <f t="shared" si="13"/>
        <v>40</v>
      </c>
      <c r="V140" s="1">
        <v>1982</v>
      </c>
      <c r="W140" t="s">
        <v>1651</v>
      </c>
      <c r="X140" s="3" t="s">
        <v>20</v>
      </c>
      <c r="Y140" s="4" t="e">
        <f>(X140-'[1]1982'!$Z$4)/('[1]1982'!$Z$3-'[1]1982'!$Z$4)</f>
        <v>#VALUE!</v>
      </c>
      <c r="AA140">
        <v>289108</v>
      </c>
      <c r="AB140">
        <v>78703</v>
      </c>
      <c r="AD140" t="s">
        <v>15</v>
      </c>
      <c r="AE140">
        <v>22</v>
      </c>
      <c r="AF140">
        <v>97</v>
      </c>
      <c r="AH140" t="s">
        <v>1652</v>
      </c>
      <c r="AI140" t="s">
        <v>1653</v>
      </c>
      <c r="AK140" t="s">
        <v>1654</v>
      </c>
      <c r="AL140">
        <v>0</v>
      </c>
      <c r="AM140" s="5">
        <f t="shared" si="14"/>
        <v>0</v>
      </c>
      <c r="AN140" s="6">
        <f>(AM140-'[1]1982'!$AO$4)/('[1]1982'!$AO$3-'[1]1982'!$AO$4)</f>
        <v>0</v>
      </c>
      <c r="AO140" s="7"/>
      <c r="AP140">
        <v>0</v>
      </c>
      <c r="AR140" t="s">
        <v>19</v>
      </c>
      <c r="AT140" s="3" t="s">
        <v>20</v>
      </c>
      <c r="AU140" s="8" t="e">
        <f t="shared" si="15"/>
        <v>#VALUE!</v>
      </c>
      <c r="AV140" s="8" t="e">
        <f t="shared" si="16"/>
        <v>#VALUE!</v>
      </c>
      <c r="AW140" s="8" t="e">
        <f t="shared" si="17"/>
        <v>#VALUE!</v>
      </c>
    </row>
    <row r="141" spans="1:49" x14ac:dyDescent="0.2">
      <c r="A141">
        <v>139</v>
      </c>
      <c r="B141" t="s">
        <v>1655</v>
      </c>
      <c r="F141" t="s">
        <v>1656</v>
      </c>
      <c r="G141" t="s">
        <v>4</v>
      </c>
      <c r="H141" t="s">
        <v>5</v>
      </c>
      <c r="I141" t="s">
        <v>1657</v>
      </c>
      <c r="J141">
        <v>60027165</v>
      </c>
      <c r="K141" t="s">
        <v>1658</v>
      </c>
      <c r="L141" t="s">
        <v>1659</v>
      </c>
      <c r="M141" t="s">
        <v>9</v>
      </c>
      <c r="N141">
        <v>1</v>
      </c>
      <c r="O141" t="s">
        <v>1660</v>
      </c>
      <c r="P141">
        <v>7005144526</v>
      </c>
      <c r="Q141">
        <v>60027165</v>
      </c>
      <c r="R141" s="1">
        <v>29952</v>
      </c>
      <c r="S141" s="2">
        <f t="shared" si="12"/>
        <v>1982</v>
      </c>
      <c r="T141" s="2">
        <v>1982</v>
      </c>
      <c r="U141" s="2">
        <f t="shared" si="13"/>
        <v>40</v>
      </c>
      <c r="V141" s="1">
        <v>1982</v>
      </c>
      <c r="W141" t="s">
        <v>1661</v>
      </c>
      <c r="X141" s="3" t="s">
        <v>20</v>
      </c>
      <c r="Y141" s="4" t="e">
        <f>(X141-'[1]1982'!$Z$4)/('[1]1982'!$Z$3-'[1]1982'!$Z$4)</f>
        <v>#VALUE!</v>
      </c>
      <c r="AB141">
        <v>19492</v>
      </c>
      <c r="AD141" t="s">
        <v>15</v>
      </c>
      <c r="AE141" t="s">
        <v>1662</v>
      </c>
      <c r="AH141" t="s">
        <v>1663</v>
      </c>
      <c r="AI141" t="s">
        <v>1664</v>
      </c>
      <c r="AK141" t="s">
        <v>1665</v>
      </c>
      <c r="AL141">
        <v>4</v>
      </c>
      <c r="AM141" s="5">
        <f t="shared" si="14"/>
        <v>0.1</v>
      </c>
      <c r="AN141" s="6">
        <f>(AM141-'[1]1982'!$AO$4)/('[1]1982'!$AO$3-'[1]1982'!$AO$4)</f>
        <v>1.5145778114350627E-4</v>
      </c>
      <c r="AO141" s="7"/>
      <c r="AP141">
        <v>0</v>
      </c>
      <c r="AR141" t="s">
        <v>19</v>
      </c>
      <c r="AT141" s="3" t="s">
        <v>20</v>
      </c>
      <c r="AU141" s="8" t="e">
        <f t="shared" si="15"/>
        <v>#VALUE!</v>
      </c>
      <c r="AV141" s="8" t="e">
        <f t="shared" si="16"/>
        <v>#VALUE!</v>
      </c>
      <c r="AW141" s="8" t="e">
        <f t="shared" si="17"/>
        <v>#VALUE!</v>
      </c>
    </row>
    <row r="142" spans="1:49" x14ac:dyDescent="0.2">
      <c r="A142">
        <v>140</v>
      </c>
      <c r="B142" t="s">
        <v>1666</v>
      </c>
      <c r="C142" t="s">
        <v>1667</v>
      </c>
      <c r="D142">
        <v>40816682900398</v>
      </c>
      <c r="E142">
        <v>6890723</v>
      </c>
      <c r="F142" t="s">
        <v>1668</v>
      </c>
      <c r="G142" t="s">
        <v>4</v>
      </c>
      <c r="H142" t="s">
        <v>5</v>
      </c>
      <c r="I142" t="s">
        <v>1669</v>
      </c>
      <c r="J142">
        <v>60005460</v>
      </c>
      <c r="K142" t="s">
        <v>1013</v>
      </c>
      <c r="L142" t="s">
        <v>1014</v>
      </c>
      <c r="M142" t="s">
        <v>65</v>
      </c>
      <c r="N142">
        <v>1</v>
      </c>
      <c r="O142" t="s">
        <v>1670</v>
      </c>
      <c r="P142">
        <v>26643587600</v>
      </c>
      <c r="Q142">
        <v>60005460</v>
      </c>
      <c r="R142" s="1">
        <v>29952</v>
      </c>
      <c r="S142" s="2">
        <f t="shared" si="12"/>
        <v>1982</v>
      </c>
      <c r="T142" s="2">
        <v>1982</v>
      </c>
      <c r="U142" s="2">
        <f t="shared" si="13"/>
        <v>40</v>
      </c>
      <c r="V142" s="1">
        <v>1982</v>
      </c>
      <c r="W142" t="s">
        <v>1671</v>
      </c>
      <c r="X142" s="3">
        <v>0.58399999999999996</v>
      </c>
      <c r="Y142" s="4">
        <f>(X142-'[1]1982'!$Z$4)/('[1]1982'!$Z$3-'[1]1982'!$Z$4)</f>
        <v>1.5589546461653453E-2</v>
      </c>
      <c r="AA142">
        <v>408166</v>
      </c>
      <c r="AB142">
        <v>19057</v>
      </c>
      <c r="AD142" t="s">
        <v>15</v>
      </c>
      <c r="AE142">
        <v>14</v>
      </c>
      <c r="AF142">
        <v>3</v>
      </c>
      <c r="AH142" t="s">
        <v>1672</v>
      </c>
      <c r="AI142" t="s">
        <v>1673</v>
      </c>
      <c r="AJ142" t="s">
        <v>1674</v>
      </c>
      <c r="AK142" t="s">
        <v>1675</v>
      </c>
      <c r="AL142">
        <v>52</v>
      </c>
      <c r="AM142" s="5">
        <f t="shared" si="14"/>
        <v>1.3</v>
      </c>
      <c r="AN142" s="6">
        <f>(AM142-'[1]1982'!$AO$4)/('[1]1982'!$AO$3-'[1]1982'!$AO$4)</f>
        <v>1.9689511548655813E-3</v>
      </c>
      <c r="AO142" s="7"/>
      <c r="AP142">
        <v>0</v>
      </c>
      <c r="AR142" t="s">
        <v>19</v>
      </c>
      <c r="AT142" s="3" t="s">
        <v>20</v>
      </c>
      <c r="AU142" s="8">
        <f t="shared" si="15"/>
        <v>1.1503367869617092</v>
      </c>
      <c r="AV142" s="8">
        <f t="shared" si="16"/>
        <v>0.87792488082595166</v>
      </c>
      <c r="AW142" s="8">
        <f t="shared" si="17"/>
        <v>0.60551297469019427</v>
      </c>
    </row>
    <row r="143" spans="1:49" x14ac:dyDescent="0.2">
      <c r="A143">
        <v>141</v>
      </c>
      <c r="B143" t="s">
        <v>1676</v>
      </c>
      <c r="C143" t="s">
        <v>1677</v>
      </c>
      <c r="F143" t="s">
        <v>1678</v>
      </c>
      <c r="G143" t="s">
        <v>4</v>
      </c>
      <c r="H143" t="s">
        <v>5</v>
      </c>
      <c r="I143" t="s">
        <v>1679</v>
      </c>
      <c r="J143">
        <v>60024116</v>
      </c>
      <c r="K143" t="s">
        <v>1680</v>
      </c>
      <c r="L143" t="s">
        <v>1681</v>
      </c>
      <c r="M143" t="s">
        <v>485</v>
      </c>
      <c r="N143">
        <v>7</v>
      </c>
      <c r="O143" t="s">
        <v>1682</v>
      </c>
      <c r="P143" t="s">
        <v>1683</v>
      </c>
      <c r="Q143" t="s">
        <v>1684</v>
      </c>
      <c r="R143" s="1">
        <v>29952</v>
      </c>
      <c r="S143" s="2">
        <f t="shared" si="12"/>
        <v>1982</v>
      </c>
      <c r="T143" s="2">
        <v>1982</v>
      </c>
      <c r="U143" s="2">
        <f t="shared" si="13"/>
        <v>40</v>
      </c>
      <c r="V143" s="1">
        <v>29952</v>
      </c>
      <c r="W143" t="s">
        <v>1685</v>
      </c>
      <c r="X143" s="3">
        <v>0.107</v>
      </c>
      <c r="Y143" s="4">
        <f>(X143-'[1]1982'!$Z$4)/('[1]1982'!$Z$3-'[1]1982'!$Z$4)</f>
        <v>2.8563038893782869E-3</v>
      </c>
      <c r="AA143">
        <v>3871207</v>
      </c>
      <c r="AB143">
        <v>28328</v>
      </c>
      <c r="AD143" t="s">
        <v>15</v>
      </c>
      <c r="AE143">
        <v>24</v>
      </c>
      <c r="AF143">
        <v>10</v>
      </c>
      <c r="AH143" t="s">
        <v>1686</v>
      </c>
      <c r="AI143" t="s">
        <v>1687</v>
      </c>
      <c r="AK143" t="s">
        <v>1688</v>
      </c>
      <c r="AL143">
        <v>36</v>
      </c>
      <c r="AM143" s="5">
        <f t="shared" si="14"/>
        <v>0.9</v>
      </c>
      <c r="AN143" s="6">
        <f>(AM143-'[1]1982'!$AO$4)/('[1]1982'!$AO$3-'[1]1982'!$AO$4)</f>
        <v>1.3631200302915562E-3</v>
      </c>
      <c r="AO143" s="7"/>
      <c r="AP143">
        <v>0</v>
      </c>
      <c r="AR143" t="s">
        <v>19</v>
      </c>
      <c r="AT143" s="3" t="s">
        <v>20</v>
      </c>
      <c r="AU143" s="8">
        <f t="shared" si="15"/>
        <v>0.24083487316522678</v>
      </c>
      <c r="AV143" s="8">
        <f t="shared" si="16"/>
        <v>0.21097119598349215</v>
      </c>
      <c r="AW143" s="8">
        <f t="shared" si="17"/>
        <v>0.18110751880175752</v>
      </c>
    </row>
    <row r="144" spans="1:49" x14ac:dyDescent="0.2">
      <c r="A144">
        <v>142</v>
      </c>
      <c r="B144" t="s">
        <v>1689</v>
      </c>
      <c r="F144" t="s">
        <v>1690</v>
      </c>
      <c r="G144" t="s">
        <v>4</v>
      </c>
      <c r="H144" t="s">
        <v>5</v>
      </c>
      <c r="I144" t="s">
        <v>1691</v>
      </c>
      <c r="N144">
        <v>1</v>
      </c>
      <c r="O144" t="s">
        <v>1692</v>
      </c>
      <c r="P144">
        <v>7006461984</v>
      </c>
      <c r="R144" s="1">
        <v>29952</v>
      </c>
      <c r="S144" s="2">
        <f t="shared" si="12"/>
        <v>1982</v>
      </c>
      <c r="T144" s="2">
        <v>1982</v>
      </c>
      <c r="U144" s="2">
        <f t="shared" si="13"/>
        <v>40</v>
      </c>
      <c r="V144" s="1" t="s">
        <v>717</v>
      </c>
      <c r="W144" t="s">
        <v>1643</v>
      </c>
      <c r="X144" s="3" t="s">
        <v>20</v>
      </c>
      <c r="Y144" s="4" t="e">
        <f>(X144-'[1]1982'!$Z$4)/('[1]1982'!$Z$3-'[1]1982'!$Z$4)</f>
        <v>#VALUE!</v>
      </c>
      <c r="AA144">
        <v>337889</v>
      </c>
      <c r="AB144">
        <v>40920</v>
      </c>
      <c r="AD144" t="s">
        <v>15</v>
      </c>
      <c r="AE144">
        <v>27</v>
      </c>
      <c r="AF144">
        <v>12</v>
      </c>
      <c r="AH144" t="s">
        <v>1693</v>
      </c>
      <c r="AI144" t="s">
        <v>1694</v>
      </c>
      <c r="AK144" t="s">
        <v>1695</v>
      </c>
      <c r="AL144">
        <v>0</v>
      </c>
      <c r="AM144" s="5">
        <f t="shared" si="14"/>
        <v>0</v>
      </c>
      <c r="AN144" s="6">
        <f>(AM144-'[1]1982'!$AO$4)/('[1]1982'!$AO$3-'[1]1982'!$AO$4)</f>
        <v>0</v>
      </c>
      <c r="AO144" s="7"/>
      <c r="AP144">
        <v>0</v>
      </c>
      <c r="AR144" t="s">
        <v>19</v>
      </c>
      <c r="AT144" s="3" t="s">
        <v>20</v>
      </c>
      <c r="AU144" s="8" t="e">
        <f t="shared" si="15"/>
        <v>#VALUE!</v>
      </c>
      <c r="AV144" s="8" t="e">
        <f t="shared" si="16"/>
        <v>#VALUE!</v>
      </c>
      <c r="AW144" s="8" t="e">
        <f t="shared" si="17"/>
        <v>#VALUE!</v>
      </c>
    </row>
    <row r="145" spans="1:49" x14ac:dyDescent="0.2">
      <c r="A145">
        <v>143</v>
      </c>
      <c r="B145" t="s">
        <v>1696</v>
      </c>
      <c r="F145" t="s">
        <v>1697</v>
      </c>
      <c r="G145" t="s">
        <v>4</v>
      </c>
      <c r="H145" t="s">
        <v>5</v>
      </c>
      <c r="I145" t="s">
        <v>1698</v>
      </c>
      <c r="N145">
        <v>3</v>
      </c>
      <c r="O145" t="s">
        <v>1699</v>
      </c>
      <c r="P145" t="s">
        <v>1700</v>
      </c>
      <c r="Q145" t="s">
        <v>145</v>
      </c>
      <c r="R145" s="1">
        <v>29952</v>
      </c>
      <c r="S145" s="2">
        <f t="shared" si="12"/>
        <v>1982</v>
      </c>
      <c r="T145" s="2">
        <v>1982</v>
      </c>
      <c r="U145" s="2">
        <f t="shared" si="13"/>
        <v>40</v>
      </c>
      <c r="V145" s="1">
        <v>1982</v>
      </c>
      <c r="W145" t="s">
        <v>1701</v>
      </c>
      <c r="X145" s="3">
        <v>0.156</v>
      </c>
      <c r="Y145" s="4">
        <f>(X145-'[1]1982'!$Z$4)/('[1]1982'!$Z$3-'[1]1982'!$Z$4)</f>
        <v>4.164330904140306E-3</v>
      </c>
      <c r="AA145">
        <v>857289</v>
      </c>
      <c r="AB145">
        <v>29821</v>
      </c>
      <c r="AD145" t="s">
        <v>15</v>
      </c>
      <c r="AE145">
        <v>76</v>
      </c>
      <c r="AH145" t="s">
        <v>1702</v>
      </c>
      <c r="AI145" t="s">
        <v>1703</v>
      </c>
      <c r="AK145" t="s">
        <v>1704</v>
      </c>
      <c r="AL145">
        <v>1</v>
      </c>
      <c r="AM145" s="5">
        <f t="shared" si="14"/>
        <v>2.5000000000000001E-2</v>
      </c>
      <c r="AN145" s="6">
        <f>(AM145-'[1]1982'!$AO$4)/('[1]1982'!$AO$3-'[1]1982'!$AO$4)</f>
        <v>3.7864445285876567E-5</v>
      </c>
      <c r="AO145" s="7"/>
      <c r="AP145">
        <v>0</v>
      </c>
      <c r="AR145" t="s">
        <v>19</v>
      </c>
      <c r="AT145" s="3" t="s">
        <v>20</v>
      </c>
      <c r="AU145" s="8">
        <f t="shared" si="15"/>
        <v>0.29263909664839771</v>
      </c>
      <c r="AV145" s="8">
        <f t="shared" si="16"/>
        <v>0.21010976747130911</v>
      </c>
      <c r="AW145" s="8">
        <f t="shared" si="17"/>
        <v>0.12758043829422053</v>
      </c>
    </row>
    <row r="146" spans="1:49" x14ac:dyDescent="0.2">
      <c r="A146">
        <v>144</v>
      </c>
      <c r="B146" t="s">
        <v>1705</v>
      </c>
      <c r="F146" t="s">
        <v>1706</v>
      </c>
      <c r="G146" t="s">
        <v>4</v>
      </c>
      <c r="H146" t="s">
        <v>5</v>
      </c>
      <c r="I146" t="s">
        <v>715</v>
      </c>
      <c r="N146">
        <v>1</v>
      </c>
      <c r="O146" t="s">
        <v>716</v>
      </c>
      <c r="P146">
        <v>1</v>
      </c>
      <c r="R146" s="1">
        <v>29952</v>
      </c>
      <c r="S146" s="2">
        <f t="shared" si="12"/>
        <v>1982</v>
      </c>
      <c r="T146" s="2">
        <v>1982</v>
      </c>
      <c r="U146" s="2">
        <f t="shared" si="13"/>
        <v>40</v>
      </c>
      <c r="V146" s="1">
        <v>1982</v>
      </c>
      <c r="W146" t="s">
        <v>1707</v>
      </c>
      <c r="X146" s="3" t="s">
        <v>20</v>
      </c>
      <c r="Y146" s="4" t="e">
        <f>(X146-'[1]1982'!$Z$4)/('[1]1982'!$Z$3-'[1]1982'!$Z$4)</f>
        <v>#VALUE!</v>
      </c>
      <c r="AA146">
        <v>1631888</v>
      </c>
      <c r="AB146">
        <v>38583</v>
      </c>
      <c r="AD146" t="s">
        <v>15</v>
      </c>
      <c r="AE146">
        <v>5</v>
      </c>
      <c r="AF146">
        <v>4</v>
      </c>
      <c r="AH146" s="9">
        <v>44383</v>
      </c>
      <c r="AI146" t="s">
        <v>1708</v>
      </c>
      <c r="AK146" t="s">
        <v>1709</v>
      </c>
      <c r="AL146">
        <v>0</v>
      </c>
      <c r="AM146" s="5">
        <f t="shared" si="14"/>
        <v>0</v>
      </c>
      <c r="AN146" s="6">
        <f>(AM146-'[1]1982'!$AO$4)/('[1]1982'!$AO$3-'[1]1982'!$AO$4)</f>
        <v>0</v>
      </c>
      <c r="AO146" s="7"/>
      <c r="AP146">
        <v>0</v>
      </c>
      <c r="AR146" t="s">
        <v>19</v>
      </c>
      <c r="AT146" s="3" t="s">
        <v>20</v>
      </c>
      <c r="AU146" s="8" t="e">
        <f t="shared" si="15"/>
        <v>#VALUE!</v>
      </c>
      <c r="AV146" s="8" t="e">
        <f t="shared" si="16"/>
        <v>#VALUE!</v>
      </c>
      <c r="AW146" s="8" t="e">
        <f t="shared" si="17"/>
        <v>#VALUE!</v>
      </c>
    </row>
    <row r="147" spans="1:49" x14ac:dyDescent="0.2">
      <c r="A147">
        <v>145</v>
      </c>
      <c r="B147" t="s">
        <v>1710</v>
      </c>
      <c r="F147" t="s">
        <v>1711</v>
      </c>
      <c r="G147" t="s">
        <v>4</v>
      </c>
      <c r="H147" t="s">
        <v>5</v>
      </c>
      <c r="I147" t="s">
        <v>1712</v>
      </c>
      <c r="N147">
        <v>1</v>
      </c>
      <c r="O147" t="s">
        <v>1713</v>
      </c>
      <c r="P147">
        <v>6507530563</v>
      </c>
      <c r="R147" s="1">
        <v>29952</v>
      </c>
      <c r="S147" s="2">
        <f t="shared" si="12"/>
        <v>1982</v>
      </c>
      <c r="T147" s="2">
        <v>1982</v>
      </c>
      <c r="U147" s="2">
        <f t="shared" si="13"/>
        <v>40</v>
      </c>
      <c r="V147" s="1">
        <v>1982</v>
      </c>
      <c r="W147" t="s">
        <v>1651</v>
      </c>
      <c r="X147" s="3" t="s">
        <v>20</v>
      </c>
      <c r="Y147" s="4" t="e">
        <f>(X147-'[1]1982'!$Z$4)/('[1]1982'!$Z$3-'[1]1982'!$Z$4)</f>
        <v>#VALUE!</v>
      </c>
      <c r="AA147">
        <v>289108</v>
      </c>
      <c r="AB147">
        <v>78703</v>
      </c>
      <c r="AD147" t="s">
        <v>15</v>
      </c>
      <c r="AE147">
        <v>22</v>
      </c>
      <c r="AF147">
        <v>98</v>
      </c>
      <c r="AH147" s="9">
        <v>44477</v>
      </c>
      <c r="AI147" t="s">
        <v>1714</v>
      </c>
      <c r="AK147" t="s">
        <v>1715</v>
      </c>
      <c r="AL147">
        <v>0</v>
      </c>
      <c r="AM147" s="5">
        <f t="shared" si="14"/>
        <v>0</v>
      </c>
      <c r="AN147" s="6">
        <f>(AM147-'[1]1982'!$AO$4)/('[1]1982'!$AO$3-'[1]1982'!$AO$4)</f>
        <v>0</v>
      </c>
      <c r="AO147" s="7"/>
      <c r="AP147">
        <v>0</v>
      </c>
      <c r="AR147" t="s">
        <v>19</v>
      </c>
      <c r="AT147" s="3" t="s">
        <v>20</v>
      </c>
      <c r="AU147" s="8" t="e">
        <f t="shared" si="15"/>
        <v>#VALUE!</v>
      </c>
      <c r="AV147" s="8" t="e">
        <f t="shared" si="16"/>
        <v>#VALUE!</v>
      </c>
      <c r="AW147" s="8" t="e">
        <f t="shared" si="17"/>
        <v>#VALUE!</v>
      </c>
    </row>
    <row r="148" spans="1:49" x14ac:dyDescent="0.2">
      <c r="A148">
        <v>146</v>
      </c>
      <c r="B148" t="s">
        <v>1716</v>
      </c>
      <c r="C148" t="s">
        <v>1717</v>
      </c>
      <c r="F148" t="s">
        <v>1718</v>
      </c>
      <c r="G148" t="s">
        <v>4</v>
      </c>
      <c r="H148" t="s">
        <v>5</v>
      </c>
      <c r="I148" t="s">
        <v>1719</v>
      </c>
      <c r="J148">
        <v>60000928</v>
      </c>
      <c r="K148" t="s">
        <v>1720</v>
      </c>
      <c r="L148" t="s">
        <v>1721</v>
      </c>
      <c r="M148" t="s">
        <v>9</v>
      </c>
      <c r="N148">
        <v>1</v>
      </c>
      <c r="O148" t="s">
        <v>1722</v>
      </c>
      <c r="P148">
        <v>7005186422</v>
      </c>
      <c r="Q148">
        <v>60000928</v>
      </c>
      <c r="R148" s="1">
        <v>29952</v>
      </c>
      <c r="S148" s="2">
        <f t="shared" si="12"/>
        <v>1982</v>
      </c>
      <c r="T148" s="2">
        <v>1982</v>
      </c>
      <c r="U148" s="2">
        <f t="shared" si="13"/>
        <v>40</v>
      </c>
      <c r="V148" s="1">
        <v>1982</v>
      </c>
      <c r="W148" t="s">
        <v>1723</v>
      </c>
      <c r="X148" s="3">
        <v>0.34200000000000003</v>
      </c>
      <c r="Y148" s="4">
        <f>(X148-'[1]1982'!$Z$4)/('[1]1982'!$Z$3-'[1]1982'!$Z$4)</f>
        <v>9.1294946744614417E-3</v>
      </c>
      <c r="AA148">
        <v>30031</v>
      </c>
      <c r="AB148">
        <v>19296</v>
      </c>
      <c r="AD148" t="s">
        <v>15</v>
      </c>
      <c r="AE148">
        <v>107</v>
      </c>
      <c r="AF148">
        <v>2</v>
      </c>
      <c r="AH148" t="s">
        <v>1724</v>
      </c>
      <c r="AI148" t="s">
        <v>1725</v>
      </c>
      <c r="AK148" t="s">
        <v>1726</v>
      </c>
      <c r="AL148">
        <v>13</v>
      </c>
      <c r="AM148" s="5">
        <f t="shared" si="14"/>
        <v>0.32500000000000001</v>
      </c>
      <c r="AN148" s="6">
        <f>(AM148-'[1]1982'!$AO$4)/('[1]1982'!$AO$3-'[1]1982'!$AO$4)</f>
        <v>4.9223778871639533E-4</v>
      </c>
      <c r="AO148" s="7"/>
      <c r="AP148">
        <v>0</v>
      </c>
      <c r="AR148" t="s">
        <v>19</v>
      </c>
      <c r="AT148" s="3">
        <v>0.73499999999999999</v>
      </c>
      <c r="AU148" s="8">
        <f t="shared" si="15"/>
        <v>0.65383176087379269</v>
      </c>
      <c r="AV148" s="8">
        <f t="shared" si="16"/>
        <v>0.48108662315889184</v>
      </c>
      <c r="AW148" s="8">
        <f t="shared" si="17"/>
        <v>0.30834148544399093</v>
      </c>
    </row>
    <row r="149" spans="1:49" x14ac:dyDescent="0.2">
      <c r="A149">
        <v>147</v>
      </c>
      <c r="B149" t="s">
        <v>1727</v>
      </c>
      <c r="F149" t="s">
        <v>1728</v>
      </c>
      <c r="G149" t="s">
        <v>4</v>
      </c>
      <c r="H149" t="s">
        <v>5</v>
      </c>
      <c r="I149" t="s">
        <v>1729</v>
      </c>
      <c r="N149">
        <v>2</v>
      </c>
      <c r="O149" t="s">
        <v>1730</v>
      </c>
      <c r="P149" t="s">
        <v>1731</v>
      </c>
      <c r="Q149" t="s">
        <v>156</v>
      </c>
      <c r="R149" s="1">
        <v>29952</v>
      </c>
      <c r="S149" s="2">
        <f t="shared" si="12"/>
        <v>1982</v>
      </c>
      <c r="T149" s="2">
        <v>1982</v>
      </c>
      <c r="U149" s="2">
        <f t="shared" si="13"/>
        <v>40</v>
      </c>
      <c r="V149" s="1" t="s">
        <v>717</v>
      </c>
      <c r="W149" t="s">
        <v>1643</v>
      </c>
      <c r="X149" s="3" t="s">
        <v>20</v>
      </c>
      <c r="Y149" s="4" t="e">
        <f>(X149-'[1]1982'!$Z$4)/('[1]1982'!$Z$3-'[1]1982'!$Z$4)</f>
        <v>#VALUE!</v>
      </c>
      <c r="AA149">
        <v>337889</v>
      </c>
      <c r="AB149">
        <v>40920</v>
      </c>
      <c r="AD149" t="s">
        <v>15</v>
      </c>
      <c r="AE149">
        <v>27</v>
      </c>
      <c r="AF149">
        <v>12</v>
      </c>
      <c r="AH149" t="s">
        <v>1732</v>
      </c>
      <c r="AI149" t="s">
        <v>1733</v>
      </c>
      <c r="AK149" t="s">
        <v>1734</v>
      </c>
      <c r="AL149">
        <v>0</v>
      </c>
      <c r="AM149" s="5">
        <f t="shared" si="14"/>
        <v>0</v>
      </c>
      <c r="AN149" s="6">
        <f>(AM149-'[1]1982'!$AO$4)/('[1]1982'!$AO$3-'[1]1982'!$AO$4)</f>
        <v>0</v>
      </c>
      <c r="AO149" s="7"/>
      <c r="AP149">
        <v>0</v>
      </c>
      <c r="AR149" t="s">
        <v>19</v>
      </c>
      <c r="AT149" s="3" t="s">
        <v>20</v>
      </c>
      <c r="AU149" s="8" t="e">
        <f t="shared" si="15"/>
        <v>#VALUE!</v>
      </c>
      <c r="AV149" s="8" t="e">
        <f t="shared" si="16"/>
        <v>#VALUE!</v>
      </c>
      <c r="AW149" s="8" t="e">
        <f t="shared" si="17"/>
        <v>#VALUE!</v>
      </c>
    </row>
    <row r="150" spans="1:49" x14ac:dyDescent="0.2">
      <c r="A150">
        <v>148</v>
      </c>
      <c r="B150" t="s">
        <v>1735</v>
      </c>
      <c r="F150" t="s">
        <v>1736</v>
      </c>
      <c r="G150" t="s">
        <v>4</v>
      </c>
      <c r="H150" t="s">
        <v>5</v>
      </c>
      <c r="I150" t="s">
        <v>1737</v>
      </c>
      <c r="N150">
        <v>2</v>
      </c>
      <c r="O150" t="s">
        <v>1738</v>
      </c>
      <c r="P150" t="s">
        <v>1739</v>
      </c>
      <c r="Q150" t="s">
        <v>156</v>
      </c>
      <c r="R150" s="1">
        <v>29952</v>
      </c>
      <c r="S150" s="2">
        <f t="shared" si="12"/>
        <v>1982</v>
      </c>
      <c r="T150" s="2">
        <v>1982</v>
      </c>
      <c r="U150" s="2">
        <f t="shared" si="13"/>
        <v>40</v>
      </c>
      <c r="V150" s="1">
        <v>1982</v>
      </c>
      <c r="W150" t="s">
        <v>1651</v>
      </c>
      <c r="X150" s="3" t="s">
        <v>20</v>
      </c>
      <c r="Y150" s="4" t="e">
        <f>(X150-'[1]1982'!$Z$4)/('[1]1982'!$Z$3-'[1]1982'!$Z$4)</f>
        <v>#VALUE!</v>
      </c>
      <c r="AA150">
        <v>289108</v>
      </c>
      <c r="AB150">
        <v>78703</v>
      </c>
      <c r="AD150" t="s">
        <v>15</v>
      </c>
      <c r="AE150">
        <v>22</v>
      </c>
      <c r="AF150">
        <v>97</v>
      </c>
      <c r="AH150" t="s">
        <v>1740</v>
      </c>
      <c r="AI150" t="s">
        <v>1741</v>
      </c>
      <c r="AK150" t="s">
        <v>1742</v>
      </c>
      <c r="AL150">
        <v>0</v>
      </c>
      <c r="AM150" s="5">
        <f t="shared" si="14"/>
        <v>0</v>
      </c>
      <c r="AN150" s="6">
        <f>(AM150-'[1]1982'!$AO$4)/('[1]1982'!$AO$3-'[1]1982'!$AO$4)</f>
        <v>0</v>
      </c>
      <c r="AO150" s="7"/>
      <c r="AP150">
        <v>0</v>
      </c>
      <c r="AR150" t="s">
        <v>19</v>
      </c>
      <c r="AT150" s="3" t="s">
        <v>20</v>
      </c>
      <c r="AU150" s="8" t="e">
        <f t="shared" si="15"/>
        <v>#VALUE!</v>
      </c>
      <c r="AV150" s="8" t="e">
        <f t="shared" si="16"/>
        <v>#VALUE!</v>
      </c>
      <c r="AW150" s="8" t="e">
        <f t="shared" si="17"/>
        <v>#VALUE!</v>
      </c>
    </row>
    <row r="151" spans="1:49" x14ac:dyDescent="0.2">
      <c r="A151">
        <v>149</v>
      </c>
      <c r="B151" t="s">
        <v>1743</v>
      </c>
      <c r="F151" t="s">
        <v>1744</v>
      </c>
      <c r="G151" t="s">
        <v>4</v>
      </c>
      <c r="H151" t="s">
        <v>5</v>
      </c>
      <c r="I151" t="s">
        <v>1745</v>
      </c>
      <c r="N151">
        <v>1</v>
      </c>
      <c r="O151" t="s">
        <v>1746</v>
      </c>
      <c r="P151">
        <v>7201745320</v>
      </c>
      <c r="R151" s="1">
        <v>29952</v>
      </c>
      <c r="S151" s="2">
        <f t="shared" si="12"/>
        <v>1982</v>
      </c>
      <c r="T151" s="2">
        <v>1982</v>
      </c>
      <c r="U151" s="2">
        <f t="shared" si="13"/>
        <v>40</v>
      </c>
      <c r="V151" s="1">
        <v>1982</v>
      </c>
      <c r="W151" t="s">
        <v>1651</v>
      </c>
      <c r="X151" s="3" t="s">
        <v>20</v>
      </c>
      <c r="Y151" s="4" t="e">
        <f>(X151-'[1]1982'!$Z$4)/('[1]1982'!$Z$3-'[1]1982'!$Z$4)</f>
        <v>#VALUE!</v>
      </c>
      <c r="AA151">
        <v>289108</v>
      </c>
      <c r="AB151">
        <v>78703</v>
      </c>
      <c r="AD151" t="s">
        <v>15</v>
      </c>
      <c r="AE151">
        <v>22</v>
      </c>
      <c r="AF151">
        <v>96</v>
      </c>
      <c r="AH151" s="10">
        <v>42705</v>
      </c>
      <c r="AI151" t="s">
        <v>1747</v>
      </c>
      <c r="AK151" t="s">
        <v>1748</v>
      </c>
      <c r="AL151">
        <v>0</v>
      </c>
      <c r="AM151" s="5">
        <f t="shared" si="14"/>
        <v>0</v>
      </c>
      <c r="AN151" s="6">
        <f>(AM151-'[1]1982'!$AO$4)/('[1]1982'!$AO$3-'[1]1982'!$AO$4)</f>
        <v>0</v>
      </c>
      <c r="AO151" s="7"/>
      <c r="AP151">
        <v>0</v>
      </c>
      <c r="AR151" t="s">
        <v>19</v>
      </c>
      <c r="AT151" s="3" t="s">
        <v>20</v>
      </c>
      <c r="AU151" s="8" t="e">
        <f t="shared" si="15"/>
        <v>#VALUE!</v>
      </c>
      <c r="AV151" s="8" t="e">
        <f t="shared" si="16"/>
        <v>#VALUE!</v>
      </c>
      <c r="AW151" s="8" t="e">
        <f t="shared" si="17"/>
        <v>#VALUE!</v>
      </c>
    </row>
    <row r="152" spans="1:49" x14ac:dyDescent="0.2">
      <c r="A152">
        <v>150</v>
      </c>
      <c r="B152" t="s">
        <v>1749</v>
      </c>
      <c r="F152" t="s">
        <v>1750</v>
      </c>
      <c r="G152" t="s">
        <v>4</v>
      </c>
      <c r="H152" t="s">
        <v>5</v>
      </c>
      <c r="I152" t="s">
        <v>1745</v>
      </c>
      <c r="N152">
        <v>1</v>
      </c>
      <c r="O152" t="s">
        <v>1746</v>
      </c>
      <c r="P152">
        <v>7201745320</v>
      </c>
      <c r="R152" s="1">
        <v>29952</v>
      </c>
      <c r="S152" s="2">
        <f t="shared" si="12"/>
        <v>1982</v>
      </c>
      <c r="T152" s="2">
        <v>1982</v>
      </c>
      <c r="U152" s="2">
        <f t="shared" si="13"/>
        <v>40</v>
      </c>
      <c r="V152" s="1">
        <v>1982</v>
      </c>
      <c r="W152" t="s">
        <v>1651</v>
      </c>
      <c r="X152" s="3" t="s">
        <v>20</v>
      </c>
      <c r="Y152" s="4" t="e">
        <f>(X152-'[1]1982'!$Z$4)/('[1]1982'!$Z$3-'[1]1982'!$Z$4)</f>
        <v>#VALUE!</v>
      </c>
      <c r="AA152">
        <v>289108</v>
      </c>
      <c r="AB152">
        <v>78703</v>
      </c>
      <c r="AD152" t="s">
        <v>15</v>
      </c>
      <c r="AE152">
        <v>22</v>
      </c>
      <c r="AF152">
        <v>98</v>
      </c>
      <c r="AH152" t="s">
        <v>1751</v>
      </c>
      <c r="AI152" t="s">
        <v>1752</v>
      </c>
      <c r="AK152" t="s">
        <v>1753</v>
      </c>
      <c r="AL152">
        <v>0</v>
      </c>
      <c r="AM152" s="5">
        <f t="shared" si="14"/>
        <v>0</v>
      </c>
      <c r="AN152" s="6">
        <f>(AM152-'[1]1982'!$AO$4)/('[1]1982'!$AO$3-'[1]1982'!$AO$4)</f>
        <v>0</v>
      </c>
      <c r="AO152" s="7"/>
      <c r="AP152">
        <v>0</v>
      </c>
      <c r="AR152" t="s">
        <v>19</v>
      </c>
      <c r="AT152" s="3" t="s">
        <v>20</v>
      </c>
      <c r="AU152" s="8" t="e">
        <f t="shared" si="15"/>
        <v>#VALUE!</v>
      </c>
      <c r="AV152" s="8" t="e">
        <f t="shared" si="16"/>
        <v>#VALUE!</v>
      </c>
      <c r="AW152" s="8" t="e">
        <f t="shared" si="17"/>
        <v>#VALUE!</v>
      </c>
    </row>
    <row r="153" spans="1:49" x14ac:dyDescent="0.2">
      <c r="A153">
        <v>151</v>
      </c>
      <c r="B153" t="s">
        <v>1754</v>
      </c>
      <c r="C153" t="s">
        <v>1755</v>
      </c>
      <c r="E153">
        <v>7129469</v>
      </c>
      <c r="F153" t="s">
        <v>1756</v>
      </c>
      <c r="G153" t="s">
        <v>4</v>
      </c>
      <c r="H153" t="s">
        <v>5</v>
      </c>
      <c r="I153" t="s">
        <v>1757</v>
      </c>
      <c r="J153" t="s">
        <v>1758</v>
      </c>
      <c r="K153" t="s">
        <v>1759</v>
      </c>
      <c r="L153" t="s">
        <v>1760</v>
      </c>
      <c r="M153" t="s">
        <v>218</v>
      </c>
      <c r="N153">
        <v>3</v>
      </c>
      <c r="O153" t="s">
        <v>1761</v>
      </c>
      <c r="P153" t="s">
        <v>1762</v>
      </c>
      <c r="Q153" t="s">
        <v>1763</v>
      </c>
      <c r="R153" s="1">
        <v>29952</v>
      </c>
      <c r="S153" s="2">
        <f t="shared" si="12"/>
        <v>1982</v>
      </c>
      <c r="T153" s="2">
        <v>1982</v>
      </c>
      <c r="U153" s="2">
        <f t="shared" si="13"/>
        <v>40</v>
      </c>
      <c r="V153" s="1">
        <v>30195</v>
      </c>
      <c r="W153" t="s">
        <v>1764</v>
      </c>
      <c r="X153" s="3">
        <v>1.1479999999999999</v>
      </c>
      <c r="Y153" s="4">
        <f>(X153-'[1]1982'!$Z$4)/('[1]1982'!$Z$3-'[1]1982'!$Z$4)</f>
        <v>3.0645204345853019E-2</v>
      </c>
      <c r="AA153">
        <v>189294</v>
      </c>
      <c r="AB153">
        <v>16318</v>
      </c>
      <c r="AC153">
        <v>15582531</v>
      </c>
      <c r="AD153" t="s">
        <v>15</v>
      </c>
      <c r="AE153" t="s">
        <v>1765</v>
      </c>
      <c r="AF153">
        <v>9</v>
      </c>
      <c r="AH153" t="s">
        <v>1766</v>
      </c>
      <c r="AI153" t="s">
        <v>1767</v>
      </c>
      <c r="AK153" t="s">
        <v>1768</v>
      </c>
      <c r="AL153">
        <v>55</v>
      </c>
      <c r="AM153" s="5">
        <f t="shared" si="14"/>
        <v>1.375</v>
      </c>
      <c r="AN153" s="6">
        <f>(AM153-'[1]1982'!$AO$4)/('[1]1982'!$AO$3-'[1]1982'!$AO$4)</f>
        <v>2.0825444907232107E-3</v>
      </c>
      <c r="AO153" s="7"/>
      <c r="AP153">
        <v>0</v>
      </c>
      <c r="AR153" t="s">
        <v>19</v>
      </c>
      <c r="AT153" s="3" t="s">
        <v>20</v>
      </c>
      <c r="AU153" s="8">
        <f t="shared" si="15"/>
        <v>2.2076406389314078</v>
      </c>
      <c r="AV153" s="8">
        <f t="shared" si="16"/>
        <v>1.6363874418288114</v>
      </c>
      <c r="AW153" s="8">
        <f t="shared" si="17"/>
        <v>1.0651342447262153</v>
      </c>
    </row>
    <row r="154" spans="1:49" x14ac:dyDescent="0.2">
      <c r="A154">
        <v>152</v>
      </c>
      <c r="B154" t="s">
        <v>1769</v>
      </c>
      <c r="C154" t="s">
        <v>1770</v>
      </c>
      <c r="F154" t="s">
        <v>1771</v>
      </c>
      <c r="G154" t="s">
        <v>4</v>
      </c>
      <c r="H154" t="s">
        <v>5</v>
      </c>
      <c r="I154" t="s">
        <v>1772</v>
      </c>
      <c r="J154">
        <v>60028333</v>
      </c>
      <c r="K154" t="s">
        <v>1773</v>
      </c>
      <c r="L154" t="s">
        <v>1774</v>
      </c>
      <c r="M154" t="s">
        <v>1775</v>
      </c>
      <c r="N154">
        <v>2</v>
      </c>
      <c r="O154" t="s">
        <v>1776</v>
      </c>
      <c r="P154" t="s">
        <v>1777</v>
      </c>
      <c r="Q154" t="s">
        <v>1778</v>
      </c>
      <c r="R154" s="1">
        <v>29952</v>
      </c>
      <c r="S154" s="2">
        <f t="shared" si="12"/>
        <v>1982</v>
      </c>
      <c r="T154" s="2">
        <v>1982</v>
      </c>
      <c r="U154" s="2">
        <f t="shared" si="13"/>
        <v>40</v>
      </c>
      <c r="V154" s="1">
        <v>30011</v>
      </c>
      <c r="W154" t="s">
        <v>1779</v>
      </c>
      <c r="X154" s="3" t="s">
        <v>20</v>
      </c>
      <c r="Y154" s="4" t="e">
        <f>(X154-'[1]1982'!$Z$4)/('[1]1982'!$Z$3-'[1]1982'!$Z$4)</f>
        <v>#VALUE!</v>
      </c>
      <c r="AA154">
        <v>50326</v>
      </c>
      <c r="AB154">
        <v>27527</v>
      </c>
      <c r="AD154" t="s">
        <v>15</v>
      </c>
      <c r="AE154">
        <v>31</v>
      </c>
      <c r="AF154">
        <v>1</v>
      </c>
      <c r="AH154" t="s">
        <v>1780</v>
      </c>
      <c r="AI154" t="s">
        <v>1781</v>
      </c>
      <c r="AK154" t="s">
        <v>1782</v>
      </c>
      <c r="AL154">
        <v>1</v>
      </c>
      <c r="AM154" s="5">
        <f t="shared" si="14"/>
        <v>2.5000000000000001E-2</v>
      </c>
      <c r="AN154" s="6">
        <f>(AM154-'[1]1982'!$AO$4)/('[1]1982'!$AO$3-'[1]1982'!$AO$4)</f>
        <v>3.7864445285876567E-5</v>
      </c>
      <c r="AO154" s="7"/>
      <c r="AP154">
        <v>0</v>
      </c>
      <c r="AQ154" t="s">
        <v>1783</v>
      </c>
      <c r="AR154" t="s">
        <v>19</v>
      </c>
      <c r="AS154" t="s">
        <v>1784</v>
      </c>
      <c r="AT154" s="3" t="s">
        <v>20</v>
      </c>
      <c r="AU154" s="8" t="e">
        <f t="shared" si="15"/>
        <v>#VALUE!</v>
      </c>
      <c r="AV154" s="8" t="e">
        <f t="shared" si="16"/>
        <v>#VALUE!</v>
      </c>
      <c r="AW154" s="8" t="e">
        <f t="shared" si="17"/>
        <v>#VALUE!</v>
      </c>
    </row>
    <row r="155" spans="1:49" x14ac:dyDescent="0.2">
      <c r="A155">
        <v>153</v>
      </c>
      <c r="B155" t="s">
        <v>1785</v>
      </c>
      <c r="C155" t="s">
        <v>1786</v>
      </c>
      <c r="F155" t="s">
        <v>1787</v>
      </c>
      <c r="G155" t="s">
        <v>4</v>
      </c>
      <c r="H155" t="s">
        <v>5</v>
      </c>
      <c r="I155" t="s">
        <v>1788</v>
      </c>
      <c r="J155">
        <v>60017161</v>
      </c>
      <c r="K155" t="s">
        <v>1789</v>
      </c>
      <c r="L155" t="s">
        <v>1790</v>
      </c>
      <c r="M155" t="s">
        <v>1791</v>
      </c>
      <c r="N155">
        <v>2</v>
      </c>
      <c r="O155" t="s">
        <v>1792</v>
      </c>
      <c r="P155" t="s">
        <v>1793</v>
      </c>
      <c r="Q155" t="s">
        <v>1794</v>
      </c>
      <c r="R155" s="1">
        <v>29952</v>
      </c>
      <c r="S155" s="2">
        <f t="shared" si="12"/>
        <v>1982</v>
      </c>
      <c r="T155" s="2">
        <v>1982</v>
      </c>
      <c r="U155" s="2">
        <f t="shared" si="13"/>
        <v>40</v>
      </c>
      <c r="V155" s="1">
        <v>30256</v>
      </c>
      <c r="W155" t="s">
        <v>1795</v>
      </c>
      <c r="X155" s="3">
        <v>1.3720000000000001</v>
      </c>
      <c r="Y155" s="4">
        <f>(X155-'[1]1982'!$Z$4)/('[1]1982'!$Z$3-'[1]1982'!$Z$4)</f>
        <v>3.662475641333654E-2</v>
      </c>
      <c r="AA155">
        <v>189480</v>
      </c>
      <c r="AB155">
        <v>17366</v>
      </c>
      <c r="AC155">
        <v>15579670</v>
      </c>
      <c r="AD155" t="s">
        <v>15</v>
      </c>
      <c r="AE155">
        <v>30</v>
      </c>
      <c r="AF155">
        <v>11</v>
      </c>
      <c r="AH155" t="s">
        <v>1796</v>
      </c>
      <c r="AI155" t="s">
        <v>1797</v>
      </c>
      <c r="AK155" t="s">
        <v>1798</v>
      </c>
      <c r="AL155">
        <v>0</v>
      </c>
      <c r="AM155" s="5">
        <f t="shared" si="14"/>
        <v>0</v>
      </c>
      <c r="AN155" s="6">
        <f>(AM155-'[1]1982'!$AO$4)/('[1]1982'!$AO$3-'[1]1982'!$AO$4)</f>
        <v>0</v>
      </c>
      <c r="AO155" s="7"/>
      <c r="AP155">
        <v>0</v>
      </c>
      <c r="AR155" t="s">
        <v>19</v>
      </c>
      <c r="AT155" s="3" t="s">
        <v>20</v>
      </c>
      <c r="AU155" s="8">
        <f t="shared" si="15"/>
        <v>2.5637329489335574</v>
      </c>
      <c r="AV155" s="8">
        <f t="shared" si="16"/>
        <v>1.8312378206668269</v>
      </c>
      <c r="AW155" s="8">
        <f t="shared" si="17"/>
        <v>1.0987426924000963</v>
      </c>
    </row>
    <row r="156" spans="1:49" x14ac:dyDescent="0.2">
      <c r="A156">
        <v>154</v>
      </c>
      <c r="B156" t="s">
        <v>1799</v>
      </c>
      <c r="C156" t="s">
        <v>1800</v>
      </c>
      <c r="F156" t="s">
        <v>1801</v>
      </c>
      <c r="G156" t="s">
        <v>4</v>
      </c>
      <c r="H156" t="s">
        <v>5</v>
      </c>
      <c r="I156" t="s">
        <v>1802</v>
      </c>
      <c r="J156">
        <v>60021243</v>
      </c>
      <c r="K156" t="s">
        <v>1803</v>
      </c>
      <c r="L156" t="s">
        <v>1804</v>
      </c>
      <c r="M156" t="s">
        <v>9</v>
      </c>
      <c r="N156">
        <v>2</v>
      </c>
      <c r="O156" t="s">
        <v>1805</v>
      </c>
      <c r="P156" t="s">
        <v>1806</v>
      </c>
      <c r="Q156" t="s">
        <v>1807</v>
      </c>
      <c r="R156" s="1">
        <v>29952</v>
      </c>
      <c r="S156" s="2">
        <f t="shared" si="12"/>
        <v>1982</v>
      </c>
      <c r="T156" s="2">
        <v>1982</v>
      </c>
      <c r="U156" s="2">
        <f t="shared" si="13"/>
        <v>40</v>
      </c>
      <c r="V156" s="1">
        <v>1982</v>
      </c>
      <c r="W156" t="s">
        <v>1808</v>
      </c>
      <c r="X156" s="3" t="s">
        <v>20</v>
      </c>
      <c r="Y156" s="4" t="e">
        <f>(X156-'[1]1982'!$Z$4)/('[1]1982'!$Z$3-'[1]1982'!$Z$4)</f>
        <v>#VALUE!</v>
      </c>
      <c r="AA156">
        <v>8948763</v>
      </c>
      <c r="AB156">
        <v>13548</v>
      </c>
      <c r="AD156" t="s">
        <v>15</v>
      </c>
      <c r="AE156">
        <v>21</v>
      </c>
      <c r="AF156">
        <v>12</v>
      </c>
      <c r="AH156" t="s">
        <v>1809</v>
      </c>
      <c r="AI156" t="s">
        <v>1810</v>
      </c>
      <c r="AK156" t="s">
        <v>1811</v>
      </c>
      <c r="AL156">
        <v>16</v>
      </c>
      <c r="AM156" s="5">
        <f t="shared" si="14"/>
        <v>0.4</v>
      </c>
      <c r="AN156" s="6">
        <f>(AM156-'[1]1982'!$AO$4)/('[1]1982'!$AO$3-'[1]1982'!$AO$4)</f>
        <v>6.0583112457402507E-4</v>
      </c>
      <c r="AO156" s="7"/>
      <c r="AP156">
        <v>0</v>
      </c>
      <c r="AR156" t="s">
        <v>19</v>
      </c>
      <c r="AT156" s="3" t="s">
        <v>20</v>
      </c>
      <c r="AU156" s="8" t="e">
        <f t="shared" si="15"/>
        <v>#VALUE!</v>
      </c>
      <c r="AV156" s="8" t="e">
        <f t="shared" si="16"/>
        <v>#VALUE!</v>
      </c>
      <c r="AW156" s="8" t="e">
        <f t="shared" si="17"/>
        <v>#VALUE!</v>
      </c>
    </row>
    <row r="157" spans="1:49" x14ac:dyDescent="0.2">
      <c r="A157">
        <v>155</v>
      </c>
      <c r="B157" t="s">
        <v>1812</v>
      </c>
      <c r="C157" t="s">
        <v>1813</v>
      </c>
      <c r="E157">
        <v>6925592</v>
      </c>
      <c r="F157" t="s">
        <v>1814</v>
      </c>
      <c r="G157" t="s">
        <v>4</v>
      </c>
      <c r="H157" t="s">
        <v>5</v>
      </c>
      <c r="I157" t="s">
        <v>1815</v>
      </c>
      <c r="J157">
        <v>60002286</v>
      </c>
      <c r="K157" t="s">
        <v>1816</v>
      </c>
      <c r="L157" t="s">
        <v>1817</v>
      </c>
      <c r="M157" t="s">
        <v>424</v>
      </c>
      <c r="N157">
        <v>2</v>
      </c>
      <c r="O157" t="s">
        <v>1818</v>
      </c>
      <c r="P157" t="s">
        <v>1819</v>
      </c>
      <c r="Q157" t="s">
        <v>1820</v>
      </c>
      <c r="R157" s="1">
        <v>29952</v>
      </c>
      <c r="S157" s="2">
        <f t="shared" si="12"/>
        <v>1982</v>
      </c>
      <c r="T157" s="2">
        <v>1982</v>
      </c>
      <c r="U157" s="2">
        <f t="shared" si="13"/>
        <v>40</v>
      </c>
      <c r="V157" s="1">
        <v>1982</v>
      </c>
      <c r="W157" t="s">
        <v>1634</v>
      </c>
      <c r="X157" s="3" t="s">
        <v>20</v>
      </c>
      <c r="Y157" s="4" t="e">
        <f>(X157-'[1]1982'!$Z$4)/('[1]1982'!$Z$3-'[1]1982'!$Z$4)</f>
        <v>#VALUE!</v>
      </c>
      <c r="AA157">
        <v>222739</v>
      </c>
      <c r="AB157">
        <v>33110</v>
      </c>
      <c r="AD157" t="s">
        <v>15</v>
      </c>
      <c r="AE157">
        <v>17</v>
      </c>
      <c r="AF157">
        <v>3</v>
      </c>
      <c r="AH157" t="s">
        <v>1821</v>
      </c>
      <c r="AI157" t="s">
        <v>1822</v>
      </c>
      <c r="AK157" t="s">
        <v>1823</v>
      </c>
      <c r="AL157">
        <v>18</v>
      </c>
      <c r="AM157" s="5">
        <f t="shared" si="14"/>
        <v>0.45</v>
      </c>
      <c r="AN157" s="6">
        <f>(AM157-'[1]1982'!$AO$4)/('[1]1982'!$AO$3-'[1]1982'!$AO$4)</f>
        <v>6.8156001514577808E-4</v>
      </c>
      <c r="AO157" s="7"/>
      <c r="AP157">
        <v>0</v>
      </c>
      <c r="AR157" t="s">
        <v>19</v>
      </c>
      <c r="AT157" s="3" t="s">
        <v>20</v>
      </c>
      <c r="AU157" s="8" t="e">
        <f t="shared" si="15"/>
        <v>#VALUE!</v>
      </c>
      <c r="AV157" s="8" t="e">
        <f t="shared" si="16"/>
        <v>#VALUE!</v>
      </c>
      <c r="AW157" s="8" t="e">
        <f t="shared" si="17"/>
        <v>#VALUE!</v>
      </c>
    </row>
    <row r="158" spans="1:49" x14ac:dyDescent="0.2">
      <c r="A158">
        <v>156</v>
      </c>
      <c r="B158" t="s">
        <v>1824</v>
      </c>
      <c r="C158" t="s">
        <v>1825</v>
      </c>
      <c r="F158" t="s">
        <v>1826</v>
      </c>
      <c r="G158" t="s">
        <v>4</v>
      </c>
      <c r="H158" t="s">
        <v>5</v>
      </c>
      <c r="I158" t="s">
        <v>1827</v>
      </c>
      <c r="J158" t="s">
        <v>1828</v>
      </c>
      <c r="K158" t="s">
        <v>1829</v>
      </c>
      <c r="L158" t="s">
        <v>1830</v>
      </c>
      <c r="M158" t="s">
        <v>1076</v>
      </c>
      <c r="N158">
        <v>3</v>
      </c>
      <c r="O158" t="s">
        <v>1831</v>
      </c>
      <c r="P158" t="s">
        <v>1832</v>
      </c>
      <c r="Q158" t="s">
        <v>1833</v>
      </c>
      <c r="R158" s="1">
        <v>29952</v>
      </c>
      <c r="S158" s="2">
        <f t="shared" si="12"/>
        <v>1982</v>
      </c>
      <c r="T158" s="2">
        <v>1982</v>
      </c>
      <c r="U158" s="2">
        <f t="shared" si="13"/>
        <v>40</v>
      </c>
      <c r="V158" s="1">
        <v>29952</v>
      </c>
      <c r="W158" t="s">
        <v>1834</v>
      </c>
      <c r="X158" s="3">
        <v>0.91800000000000004</v>
      </c>
      <c r="Y158" s="4">
        <f>(X158-'[1]1982'!$Z$4)/('[1]1982'!$Z$3-'[1]1982'!$Z$4)</f>
        <v>2.4505485705133341E-2</v>
      </c>
      <c r="AA158">
        <v>1431161</v>
      </c>
      <c r="AB158">
        <v>22674</v>
      </c>
      <c r="AC158">
        <v>13665901</v>
      </c>
      <c r="AD158" t="s">
        <v>15</v>
      </c>
      <c r="AE158">
        <v>3</v>
      </c>
      <c r="AF158">
        <v>4</v>
      </c>
      <c r="AH158" t="s">
        <v>1835</v>
      </c>
      <c r="AI158" t="s">
        <v>1836</v>
      </c>
      <c r="AK158" t="s">
        <v>1837</v>
      </c>
      <c r="AL158">
        <v>8</v>
      </c>
      <c r="AM158" s="5">
        <f t="shared" si="14"/>
        <v>0.2</v>
      </c>
      <c r="AN158" s="6">
        <f>(AM158-'[1]1982'!$AO$4)/('[1]1982'!$AO$3-'[1]1982'!$AO$4)</f>
        <v>3.0291556228701253E-4</v>
      </c>
      <c r="AO158" s="7"/>
      <c r="AP158">
        <v>0</v>
      </c>
      <c r="AR158" t="s">
        <v>19</v>
      </c>
      <c r="AT158" s="3" t="s">
        <v>20</v>
      </c>
      <c r="AU158" s="8">
        <f t="shared" si="15"/>
        <v>1.7244714662279441</v>
      </c>
      <c r="AV158" s="8">
        <f t="shared" si="16"/>
        <v>1.2404200633710176</v>
      </c>
      <c r="AW158" s="8">
        <f t="shared" si="17"/>
        <v>0.75636866051409102</v>
      </c>
    </row>
    <row r="159" spans="1:49" x14ac:dyDescent="0.2">
      <c r="A159">
        <v>157</v>
      </c>
      <c r="B159" t="s">
        <v>1838</v>
      </c>
      <c r="C159" t="s">
        <v>1839</v>
      </c>
      <c r="E159">
        <v>6926529</v>
      </c>
      <c r="F159" t="s">
        <v>1840</v>
      </c>
      <c r="G159" t="s">
        <v>4</v>
      </c>
      <c r="H159" t="s">
        <v>5</v>
      </c>
      <c r="I159" t="s">
        <v>1841</v>
      </c>
      <c r="N159">
        <v>3</v>
      </c>
      <c r="O159" t="s">
        <v>1842</v>
      </c>
      <c r="P159" t="s">
        <v>1843</v>
      </c>
      <c r="Q159" t="s">
        <v>145</v>
      </c>
      <c r="R159" s="1">
        <v>29952</v>
      </c>
      <c r="S159" s="2">
        <f t="shared" si="12"/>
        <v>1982</v>
      </c>
      <c r="T159" s="2">
        <v>1982</v>
      </c>
      <c r="U159" s="2">
        <f t="shared" si="13"/>
        <v>40</v>
      </c>
      <c r="V159" s="1" t="s">
        <v>717</v>
      </c>
      <c r="W159" t="s">
        <v>1634</v>
      </c>
      <c r="X159" s="3" t="s">
        <v>20</v>
      </c>
      <c r="Y159" s="4" t="e">
        <f>(X159-'[1]1982'!$Z$4)/('[1]1982'!$Z$3-'[1]1982'!$Z$4)</f>
        <v>#VALUE!</v>
      </c>
      <c r="AA159">
        <v>222739</v>
      </c>
      <c r="AB159">
        <v>33110</v>
      </c>
      <c r="AD159" t="s">
        <v>15</v>
      </c>
      <c r="AE159">
        <v>17</v>
      </c>
      <c r="AF159">
        <v>4</v>
      </c>
      <c r="AH159" t="s">
        <v>1844</v>
      </c>
      <c r="AI159" t="s">
        <v>1845</v>
      </c>
      <c r="AK159" t="s">
        <v>1846</v>
      </c>
      <c r="AL159">
        <v>7</v>
      </c>
      <c r="AM159" s="5">
        <f t="shared" si="14"/>
        <v>0.17499999999999999</v>
      </c>
      <c r="AN159" s="6">
        <f>(AM159-'[1]1982'!$AO$4)/('[1]1982'!$AO$3-'[1]1982'!$AO$4)</f>
        <v>2.6505111700113592E-4</v>
      </c>
      <c r="AO159" s="7"/>
      <c r="AP159">
        <v>0</v>
      </c>
      <c r="AR159" t="s">
        <v>19</v>
      </c>
      <c r="AT159" s="3" t="s">
        <v>20</v>
      </c>
      <c r="AU159" s="8" t="e">
        <f t="shared" si="15"/>
        <v>#VALUE!</v>
      </c>
      <c r="AV159" s="8" t="e">
        <f t="shared" si="16"/>
        <v>#VALUE!</v>
      </c>
      <c r="AW159" s="8" t="e">
        <f t="shared" si="17"/>
        <v>#VALUE!</v>
      </c>
    </row>
    <row r="160" spans="1:49" x14ac:dyDescent="0.2">
      <c r="A160">
        <v>158</v>
      </c>
      <c r="B160" t="s">
        <v>1847</v>
      </c>
      <c r="F160" t="s">
        <v>1848</v>
      </c>
      <c r="G160" t="s">
        <v>4</v>
      </c>
      <c r="H160" t="s">
        <v>5</v>
      </c>
      <c r="I160" t="s">
        <v>1849</v>
      </c>
      <c r="J160">
        <v>60064745</v>
      </c>
      <c r="K160" t="s">
        <v>1850</v>
      </c>
      <c r="L160" t="s">
        <v>1851</v>
      </c>
      <c r="M160" t="s">
        <v>962</v>
      </c>
      <c r="N160">
        <v>1</v>
      </c>
      <c r="O160" t="s">
        <v>1852</v>
      </c>
      <c r="P160">
        <v>7004634981</v>
      </c>
      <c r="Q160">
        <v>60064745</v>
      </c>
      <c r="R160" s="1">
        <v>29952</v>
      </c>
      <c r="S160" s="2">
        <f t="shared" si="12"/>
        <v>1982</v>
      </c>
      <c r="T160" s="2">
        <v>1982</v>
      </c>
      <c r="U160" s="2">
        <f t="shared" si="13"/>
        <v>40</v>
      </c>
      <c r="V160" s="1">
        <v>1982</v>
      </c>
      <c r="W160" t="s">
        <v>1853</v>
      </c>
      <c r="X160" s="3" t="s">
        <v>20</v>
      </c>
      <c r="Y160" s="4" t="e">
        <f>(X160-'[1]1982'!$Z$4)/('[1]1982'!$Z$3-'[1]1982'!$Z$4)</f>
        <v>#VALUE!</v>
      </c>
      <c r="AA160">
        <v>3919889</v>
      </c>
      <c r="AB160">
        <v>39039</v>
      </c>
      <c r="AD160" t="s">
        <v>15</v>
      </c>
      <c r="AE160">
        <v>4</v>
      </c>
      <c r="AF160">
        <v>1</v>
      </c>
      <c r="AH160" t="s">
        <v>1854</v>
      </c>
      <c r="AI160" t="s">
        <v>1855</v>
      </c>
      <c r="AK160" t="s">
        <v>1856</v>
      </c>
      <c r="AL160">
        <v>0</v>
      </c>
      <c r="AM160" s="5">
        <f t="shared" si="14"/>
        <v>0</v>
      </c>
      <c r="AN160" s="6">
        <f>(AM160-'[1]1982'!$AO$4)/('[1]1982'!$AO$3-'[1]1982'!$AO$4)</f>
        <v>0</v>
      </c>
      <c r="AO160" s="7"/>
      <c r="AP160">
        <v>0</v>
      </c>
      <c r="AR160" t="s">
        <v>19</v>
      </c>
      <c r="AT160" s="3" t="s">
        <v>20</v>
      </c>
      <c r="AU160" s="8" t="e">
        <f t="shared" si="15"/>
        <v>#VALUE!</v>
      </c>
      <c r="AV160" s="8" t="e">
        <f t="shared" si="16"/>
        <v>#VALUE!</v>
      </c>
      <c r="AW160" s="8" t="e">
        <f t="shared" si="17"/>
        <v>#VALUE!</v>
      </c>
    </row>
    <row r="161" spans="1:49" x14ac:dyDescent="0.2">
      <c r="A161">
        <v>159</v>
      </c>
      <c r="B161" t="s">
        <v>1857</v>
      </c>
      <c r="C161" t="s">
        <v>1858</v>
      </c>
      <c r="D161">
        <v>40816682900155</v>
      </c>
      <c r="E161">
        <v>6211800</v>
      </c>
      <c r="F161" t="s">
        <v>1859</v>
      </c>
      <c r="G161" t="s">
        <v>4</v>
      </c>
      <c r="H161" t="s">
        <v>5</v>
      </c>
      <c r="I161" t="s">
        <v>1860</v>
      </c>
      <c r="J161" t="s">
        <v>1861</v>
      </c>
      <c r="K161" t="s">
        <v>1862</v>
      </c>
      <c r="L161" t="s">
        <v>1863</v>
      </c>
      <c r="M161" t="s">
        <v>218</v>
      </c>
      <c r="N161">
        <v>4</v>
      </c>
      <c r="O161" t="s">
        <v>1864</v>
      </c>
      <c r="P161" t="s">
        <v>1865</v>
      </c>
      <c r="Q161" t="s">
        <v>1866</v>
      </c>
      <c r="R161" s="1">
        <v>29952</v>
      </c>
      <c r="S161" s="2">
        <f t="shared" si="12"/>
        <v>1982</v>
      </c>
      <c r="T161" s="2">
        <v>1982</v>
      </c>
      <c r="U161" s="2">
        <f t="shared" si="13"/>
        <v>40</v>
      </c>
      <c r="V161" s="1">
        <v>1982</v>
      </c>
      <c r="W161" t="s">
        <v>1671</v>
      </c>
      <c r="X161" s="3">
        <v>0.58399999999999996</v>
      </c>
      <c r="Y161" s="4">
        <f>(X161-'[1]1982'!$Z$4)/('[1]1982'!$Z$3-'[1]1982'!$Z$4)</f>
        <v>1.5589546461653453E-2</v>
      </c>
      <c r="AA161">
        <v>408166</v>
      </c>
      <c r="AB161">
        <v>19057</v>
      </c>
      <c r="AD161" t="s">
        <v>15</v>
      </c>
      <c r="AE161">
        <v>14</v>
      </c>
      <c r="AF161">
        <v>1</v>
      </c>
      <c r="AH161" t="s">
        <v>1867</v>
      </c>
      <c r="AI161" t="s">
        <v>1868</v>
      </c>
      <c r="AJ161" t="s">
        <v>1869</v>
      </c>
      <c r="AK161" t="s">
        <v>1870</v>
      </c>
      <c r="AL161">
        <v>6</v>
      </c>
      <c r="AM161" s="5">
        <f t="shared" si="14"/>
        <v>0.15</v>
      </c>
      <c r="AN161" s="6">
        <f>(AM161-'[1]1982'!$AO$4)/('[1]1982'!$AO$3-'[1]1982'!$AO$4)</f>
        <v>2.2718667171525936E-4</v>
      </c>
      <c r="AO161" s="7"/>
      <c r="AP161">
        <v>0</v>
      </c>
      <c r="AQ161" t="s">
        <v>1871</v>
      </c>
      <c r="AR161" t="s">
        <v>19</v>
      </c>
      <c r="AS161" t="s">
        <v>1872</v>
      </c>
      <c r="AT161" s="3" t="s">
        <v>20</v>
      </c>
      <c r="AU161" s="8">
        <f t="shared" si="15"/>
        <v>1.0980838524671994</v>
      </c>
      <c r="AV161" s="8">
        <f t="shared" si="16"/>
        <v>0.79083665666843561</v>
      </c>
      <c r="AW161" s="8">
        <f t="shared" si="17"/>
        <v>0.48358946086967175</v>
      </c>
    </row>
    <row r="162" spans="1:49" x14ac:dyDescent="0.2">
      <c r="A162">
        <v>160</v>
      </c>
      <c r="B162" t="s">
        <v>1873</v>
      </c>
      <c r="C162" t="s">
        <v>1874</v>
      </c>
      <c r="E162">
        <v>7116205</v>
      </c>
      <c r="F162" t="s">
        <v>1875</v>
      </c>
      <c r="G162" t="s">
        <v>4</v>
      </c>
      <c r="H162" t="s">
        <v>5</v>
      </c>
      <c r="I162" t="s">
        <v>1876</v>
      </c>
      <c r="J162">
        <v>60024895</v>
      </c>
      <c r="K162" t="s">
        <v>1877</v>
      </c>
      <c r="L162" t="s">
        <v>1878</v>
      </c>
      <c r="M162" t="s">
        <v>1879</v>
      </c>
      <c r="N162">
        <v>4</v>
      </c>
      <c r="O162" t="s">
        <v>1880</v>
      </c>
      <c r="P162" t="s">
        <v>1881</v>
      </c>
      <c r="Q162" t="s">
        <v>1882</v>
      </c>
      <c r="R162" s="1">
        <v>29952</v>
      </c>
      <c r="S162" s="2">
        <f t="shared" si="12"/>
        <v>1982</v>
      </c>
      <c r="T162" s="2">
        <v>1982</v>
      </c>
      <c r="U162" s="2">
        <f t="shared" si="13"/>
        <v>40</v>
      </c>
      <c r="V162" s="1">
        <v>1982</v>
      </c>
      <c r="W162" t="s">
        <v>1883</v>
      </c>
      <c r="X162" s="3" t="s">
        <v>20</v>
      </c>
      <c r="Y162" s="4" t="e">
        <f>(X162-'[1]1982'!$Z$4)/('[1]1982'!$Z$3-'[1]1982'!$Z$4)</f>
        <v>#VALUE!</v>
      </c>
      <c r="AA162">
        <v>84018</v>
      </c>
      <c r="AB162">
        <v>34298</v>
      </c>
      <c r="AD162" t="s">
        <v>15</v>
      </c>
      <c r="AE162">
        <v>60</v>
      </c>
      <c r="AF162">
        <v>6</v>
      </c>
      <c r="AH162" t="s">
        <v>1884</v>
      </c>
      <c r="AI162" t="s">
        <v>1885</v>
      </c>
      <c r="AK162" t="s">
        <v>1886</v>
      </c>
      <c r="AL162">
        <v>70</v>
      </c>
      <c r="AM162" s="5">
        <f t="shared" si="14"/>
        <v>1.75</v>
      </c>
      <c r="AN162" s="6">
        <f>(AM162-'[1]1982'!$AO$4)/('[1]1982'!$AO$3-'[1]1982'!$AO$4)</f>
        <v>2.6505111700113595E-3</v>
      </c>
      <c r="AO162" s="7"/>
      <c r="AP162">
        <v>0</v>
      </c>
      <c r="AR162" t="s">
        <v>19</v>
      </c>
      <c r="AT162" s="3" t="s">
        <v>20</v>
      </c>
      <c r="AU162" s="8" t="e">
        <f t="shared" si="15"/>
        <v>#VALUE!</v>
      </c>
      <c r="AV162" s="8" t="e">
        <f t="shared" si="16"/>
        <v>#VALUE!</v>
      </c>
      <c r="AW162" s="8" t="e">
        <f t="shared" si="17"/>
        <v>#VALUE!</v>
      </c>
    </row>
    <row r="163" spans="1:49" x14ac:dyDescent="0.2">
      <c r="A163">
        <v>161</v>
      </c>
      <c r="B163" t="s">
        <v>1887</v>
      </c>
      <c r="C163" t="s">
        <v>1888</v>
      </c>
      <c r="D163" t="s">
        <v>1889</v>
      </c>
      <c r="F163" t="s">
        <v>1890</v>
      </c>
      <c r="G163" t="s">
        <v>4</v>
      </c>
      <c r="H163" t="s">
        <v>5</v>
      </c>
      <c r="I163" t="s">
        <v>1891</v>
      </c>
      <c r="J163" t="s">
        <v>1892</v>
      </c>
      <c r="K163" t="s">
        <v>1893</v>
      </c>
      <c r="L163" t="s">
        <v>1894</v>
      </c>
      <c r="M163" t="s">
        <v>500</v>
      </c>
      <c r="N163">
        <v>9</v>
      </c>
      <c r="O163" t="s">
        <v>1895</v>
      </c>
      <c r="P163" t="s">
        <v>1896</v>
      </c>
      <c r="Q163" t="s">
        <v>1897</v>
      </c>
      <c r="R163" s="1">
        <v>29952</v>
      </c>
      <c r="S163" s="2">
        <f t="shared" si="12"/>
        <v>1982</v>
      </c>
      <c r="T163" s="2">
        <v>1982</v>
      </c>
      <c r="U163" s="2">
        <f t="shared" si="13"/>
        <v>40</v>
      </c>
      <c r="V163" s="1">
        <v>30286</v>
      </c>
      <c r="W163" t="s">
        <v>1898</v>
      </c>
      <c r="X163" s="3">
        <v>1.1339999999999999</v>
      </c>
      <c r="Y163" s="4">
        <f>(X163-'[1]1982'!$Z$4)/('[1]1982'!$Z$3-'[1]1982'!$Z$4)</f>
        <v>3.0271482341635299E-2</v>
      </c>
      <c r="AA163">
        <v>945765</v>
      </c>
      <c r="AB163">
        <v>12372</v>
      </c>
      <c r="AD163" t="s">
        <v>15</v>
      </c>
      <c r="AE163">
        <v>9</v>
      </c>
      <c r="AF163">
        <v>12</v>
      </c>
      <c r="AH163" t="s">
        <v>1899</v>
      </c>
      <c r="AI163" t="s">
        <v>1900</v>
      </c>
      <c r="AK163" t="s">
        <v>1901</v>
      </c>
      <c r="AL163">
        <v>1</v>
      </c>
      <c r="AM163" s="5">
        <f t="shared" si="14"/>
        <v>2.5000000000000001E-2</v>
      </c>
      <c r="AN163" s="6">
        <f>(AM163-'[1]1982'!$AO$4)/('[1]1982'!$AO$3-'[1]1982'!$AO$4)</f>
        <v>3.7864445285876567E-5</v>
      </c>
      <c r="AO163" s="7"/>
      <c r="AP163">
        <v>0</v>
      </c>
      <c r="AR163" t="s">
        <v>19</v>
      </c>
      <c r="AT163" s="3">
        <v>2.4129999999999998</v>
      </c>
      <c r="AU163" s="8">
        <f t="shared" si="15"/>
        <v>2.1201396972730469</v>
      </c>
      <c r="AV163" s="8">
        <f t="shared" si="16"/>
        <v>1.5154673393460587</v>
      </c>
      <c r="AW163" s="8">
        <f t="shared" si="17"/>
        <v>0.91079498141907034</v>
      </c>
    </row>
    <row r="164" spans="1:49" x14ac:dyDescent="0.2">
      <c r="A164">
        <v>162</v>
      </c>
      <c r="B164" t="s">
        <v>1902</v>
      </c>
      <c r="C164" t="s">
        <v>1903</v>
      </c>
      <c r="F164" t="s">
        <v>1904</v>
      </c>
      <c r="G164" t="s">
        <v>4</v>
      </c>
      <c r="H164" t="s">
        <v>5</v>
      </c>
      <c r="I164" t="s">
        <v>1905</v>
      </c>
      <c r="N164">
        <v>2</v>
      </c>
      <c r="O164" t="s">
        <v>1906</v>
      </c>
      <c r="P164" t="s">
        <v>1907</v>
      </c>
      <c r="Q164" t="s">
        <v>156</v>
      </c>
      <c r="R164" s="1">
        <v>29952</v>
      </c>
      <c r="S164" s="2">
        <f t="shared" si="12"/>
        <v>1982</v>
      </c>
      <c r="T164" s="2">
        <v>1982</v>
      </c>
      <c r="U164" s="2">
        <f t="shared" si="13"/>
        <v>40</v>
      </c>
      <c r="V164" s="1" t="s">
        <v>717</v>
      </c>
      <c r="W164" s="11" t="s">
        <v>1908</v>
      </c>
      <c r="X164" s="3">
        <v>2.383</v>
      </c>
      <c r="Y164" s="4">
        <f>(X164-'[1]1982'!$Z$4)/('[1]1982'!$Z$3-'[1]1982'!$Z$4)</f>
        <v>6.3612824003630442E-2</v>
      </c>
      <c r="AA164">
        <v>1437097</v>
      </c>
      <c r="AB164">
        <v>101236</v>
      </c>
      <c r="AD164" t="s">
        <v>15</v>
      </c>
      <c r="AE164">
        <v>129</v>
      </c>
      <c r="AF164">
        <v>6</v>
      </c>
      <c r="AH164" t="s">
        <v>1909</v>
      </c>
      <c r="AI164" t="s">
        <v>1910</v>
      </c>
      <c r="AK164" t="s">
        <v>1911</v>
      </c>
      <c r="AL164">
        <v>11</v>
      </c>
      <c r="AM164" s="5">
        <f t="shared" si="14"/>
        <v>0.27500000000000002</v>
      </c>
      <c r="AN164" s="6">
        <f>(AM164-'[1]1982'!$AO$4)/('[1]1982'!$AO$3-'[1]1982'!$AO$4)</f>
        <v>4.1650889814464221E-4</v>
      </c>
      <c r="AO164" s="7"/>
      <c r="AP164">
        <v>0</v>
      </c>
      <c r="AR164" t="s">
        <v>19</v>
      </c>
      <c r="AT164" s="3" t="s">
        <v>20</v>
      </c>
      <c r="AU164" s="8">
        <f t="shared" si="15"/>
        <v>4.4653929471984704</v>
      </c>
      <c r="AV164" s="8">
        <f t="shared" si="16"/>
        <v>3.2014666450887539</v>
      </c>
      <c r="AW164" s="8">
        <f t="shared" si="17"/>
        <v>1.9375403429790383</v>
      </c>
    </row>
    <row r="165" spans="1:49" x14ac:dyDescent="0.2">
      <c r="A165">
        <v>163</v>
      </c>
      <c r="B165" t="s">
        <v>1912</v>
      </c>
      <c r="C165" t="s">
        <v>1913</v>
      </c>
      <c r="F165" t="s">
        <v>1914</v>
      </c>
      <c r="G165" t="s">
        <v>4</v>
      </c>
      <c r="H165" t="s">
        <v>5</v>
      </c>
      <c r="I165" t="s">
        <v>1915</v>
      </c>
      <c r="N165">
        <v>4</v>
      </c>
      <c r="O165" t="s">
        <v>1916</v>
      </c>
      <c r="P165" t="s">
        <v>1917</v>
      </c>
      <c r="Q165" t="s">
        <v>165</v>
      </c>
      <c r="R165" s="1">
        <v>29952</v>
      </c>
      <c r="S165" s="2">
        <f t="shared" si="12"/>
        <v>1982</v>
      </c>
      <c r="T165" s="2">
        <v>1982</v>
      </c>
      <c r="U165" s="2">
        <f t="shared" si="13"/>
        <v>40</v>
      </c>
      <c r="V165" s="1" t="s">
        <v>717</v>
      </c>
      <c r="W165" s="11" t="s">
        <v>1908</v>
      </c>
      <c r="X165" s="3">
        <v>2.383</v>
      </c>
      <c r="Y165" s="4">
        <f>(X165-'[1]1982'!$Z$4)/('[1]1982'!$Z$3-'[1]1982'!$Z$4)</f>
        <v>6.3612824003630442E-2</v>
      </c>
      <c r="AA165">
        <v>1437097</v>
      </c>
      <c r="AB165">
        <v>101236</v>
      </c>
      <c r="AD165" t="s">
        <v>15</v>
      </c>
      <c r="AE165">
        <v>129</v>
      </c>
      <c r="AF165">
        <v>6</v>
      </c>
      <c r="AH165" t="s">
        <v>1918</v>
      </c>
      <c r="AI165" t="s">
        <v>1919</v>
      </c>
      <c r="AK165" t="s">
        <v>1920</v>
      </c>
      <c r="AL165">
        <v>1</v>
      </c>
      <c r="AM165" s="5">
        <f t="shared" si="14"/>
        <v>2.5000000000000001E-2</v>
      </c>
      <c r="AN165" s="6">
        <f>(AM165-'[1]1982'!$AO$4)/('[1]1982'!$AO$3-'[1]1982'!$AO$4)</f>
        <v>3.7864445285876567E-5</v>
      </c>
      <c r="AO165" s="7"/>
      <c r="AP165">
        <v>0</v>
      </c>
      <c r="AR165" t="s">
        <v>19</v>
      </c>
      <c r="AT165" s="3" t="s">
        <v>20</v>
      </c>
      <c r="AU165" s="8">
        <f t="shared" si="15"/>
        <v>4.4540336136127072</v>
      </c>
      <c r="AV165" s="8">
        <f t="shared" si="16"/>
        <v>3.1825344224458161</v>
      </c>
      <c r="AW165" s="8">
        <f t="shared" si="17"/>
        <v>1.9110352312789247</v>
      </c>
    </row>
    <row r="166" spans="1:49" x14ac:dyDescent="0.2">
      <c r="A166">
        <v>164</v>
      </c>
      <c r="B166" t="s">
        <v>1921</v>
      </c>
      <c r="F166" t="s">
        <v>1922</v>
      </c>
      <c r="G166" t="s">
        <v>4</v>
      </c>
      <c r="H166" t="s">
        <v>5</v>
      </c>
      <c r="I166" t="s">
        <v>1923</v>
      </c>
      <c r="N166">
        <v>5</v>
      </c>
      <c r="O166" t="s">
        <v>1924</v>
      </c>
      <c r="P166" t="s">
        <v>1925</v>
      </c>
      <c r="Q166" t="s">
        <v>56</v>
      </c>
      <c r="R166" s="1">
        <v>29952</v>
      </c>
      <c r="S166" s="2">
        <f t="shared" si="12"/>
        <v>1982</v>
      </c>
      <c r="T166" s="2">
        <v>1982</v>
      </c>
      <c r="U166" s="2">
        <f t="shared" si="13"/>
        <v>40</v>
      </c>
      <c r="V166" s="1" t="s">
        <v>717</v>
      </c>
      <c r="W166" t="s">
        <v>1399</v>
      </c>
      <c r="X166" s="3" t="s">
        <v>20</v>
      </c>
      <c r="Y166" s="4" t="e">
        <f>(X166-'[1]1982'!$Z$4)/('[1]1982'!$Z$3-'[1]1982'!$Z$4)</f>
        <v>#VALUE!</v>
      </c>
      <c r="AA166">
        <v>262897</v>
      </c>
      <c r="AB166">
        <v>18580</v>
      </c>
      <c r="AD166" t="s">
        <v>15</v>
      </c>
      <c r="AE166">
        <v>25</v>
      </c>
      <c r="AF166">
        <v>12</v>
      </c>
      <c r="AH166" t="s">
        <v>1926</v>
      </c>
      <c r="AI166" t="s">
        <v>1927</v>
      </c>
      <c r="AK166" t="s">
        <v>1928</v>
      </c>
      <c r="AL166">
        <v>10</v>
      </c>
      <c r="AM166" s="5">
        <f t="shared" si="14"/>
        <v>0.25</v>
      </c>
      <c r="AN166" s="6">
        <f>(AM166-'[1]1982'!$AO$4)/('[1]1982'!$AO$3-'[1]1982'!$AO$4)</f>
        <v>3.786444528587656E-4</v>
      </c>
      <c r="AO166" s="7"/>
      <c r="AP166">
        <v>0</v>
      </c>
      <c r="AR166" t="s">
        <v>19</v>
      </c>
      <c r="AT166" s="3">
        <v>0.30599999999999999</v>
      </c>
      <c r="AU166" s="8" t="e">
        <f t="shared" si="15"/>
        <v>#VALUE!</v>
      </c>
      <c r="AV166" s="8" t="e">
        <f t="shared" si="16"/>
        <v>#VALUE!</v>
      </c>
      <c r="AW166" s="8" t="e">
        <f t="shared" si="17"/>
        <v>#VALUE!</v>
      </c>
    </row>
    <row r="167" spans="1:49" x14ac:dyDescent="0.2">
      <c r="A167">
        <v>165</v>
      </c>
      <c r="B167" t="s">
        <v>1929</v>
      </c>
      <c r="F167" t="s">
        <v>1930</v>
      </c>
      <c r="G167" t="s">
        <v>4</v>
      </c>
      <c r="H167" t="s">
        <v>5</v>
      </c>
      <c r="I167" t="s">
        <v>1931</v>
      </c>
      <c r="N167">
        <v>1</v>
      </c>
      <c r="O167" t="s">
        <v>1932</v>
      </c>
      <c r="P167">
        <v>6701516847</v>
      </c>
      <c r="R167" s="1">
        <v>29952</v>
      </c>
      <c r="S167" s="2">
        <f t="shared" si="12"/>
        <v>1982</v>
      </c>
      <c r="T167" s="2">
        <v>1982</v>
      </c>
      <c r="U167" s="2">
        <f t="shared" si="13"/>
        <v>40</v>
      </c>
      <c r="V167" s="1">
        <v>1982</v>
      </c>
      <c r="W167" t="s">
        <v>1933</v>
      </c>
      <c r="X167" s="3">
        <v>0.10299999999999999</v>
      </c>
      <c r="Y167" s="4">
        <f>(X167-'[1]1982'!$Z$4)/('[1]1982'!$Z$3-'[1]1982'!$Z$4)</f>
        <v>2.7495261738875098E-3</v>
      </c>
      <c r="AA167">
        <v>137308</v>
      </c>
      <c r="AB167">
        <v>16662</v>
      </c>
      <c r="AD167" t="s">
        <v>15</v>
      </c>
      <c r="AE167">
        <v>59</v>
      </c>
      <c r="AF167">
        <v>10</v>
      </c>
      <c r="AH167" t="s">
        <v>943</v>
      </c>
      <c r="AI167" t="s">
        <v>1934</v>
      </c>
      <c r="AK167" t="s">
        <v>1935</v>
      </c>
      <c r="AL167">
        <v>0</v>
      </c>
      <c r="AM167" s="5">
        <f t="shared" si="14"/>
        <v>0</v>
      </c>
      <c r="AN167" s="6">
        <f>(AM167-'[1]1982'!$AO$4)/('[1]1982'!$AO$3-'[1]1982'!$AO$4)</f>
        <v>0</v>
      </c>
      <c r="AO167" s="7"/>
      <c r="AP167">
        <v>0</v>
      </c>
      <c r="AR167" t="s">
        <v>19</v>
      </c>
      <c r="AT167" s="3" t="s">
        <v>20</v>
      </c>
      <c r="AU167" s="8">
        <f t="shared" si="15"/>
        <v>0.19246683217212568</v>
      </c>
      <c r="AV167" s="8">
        <f t="shared" si="16"/>
        <v>0.13747630869437549</v>
      </c>
      <c r="AW167" s="8">
        <f t="shared" si="17"/>
        <v>8.2485785216625293E-2</v>
      </c>
    </row>
    <row r="168" spans="1:49" x14ac:dyDescent="0.2">
      <c r="A168">
        <v>166</v>
      </c>
      <c r="B168" t="s">
        <v>1936</v>
      </c>
      <c r="F168" t="s">
        <v>1937</v>
      </c>
      <c r="G168" t="s">
        <v>4</v>
      </c>
      <c r="H168" t="s">
        <v>5</v>
      </c>
      <c r="I168" t="s">
        <v>1938</v>
      </c>
      <c r="N168">
        <v>2</v>
      </c>
      <c r="O168" t="s">
        <v>1939</v>
      </c>
      <c r="P168" t="s">
        <v>1940</v>
      </c>
      <c r="Q168" t="s">
        <v>156</v>
      </c>
      <c r="R168" s="1">
        <v>29952</v>
      </c>
      <c r="S168" s="2">
        <f t="shared" si="12"/>
        <v>1982</v>
      </c>
      <c r="T168" s="2">
        <v>1982</v>
      </c>
      <c r="U168" s="2">
        <f t="shared" si="13"/>
        <v>40</v>
      </c>
      <c r="V168" s="1">
        <v>1982</v>
      </c>
      <c r="W168" t="s">
        <v>1941</v>
      </c>
      <c r="X168" s="3" t="s">
        <v>20</v>
      </c>
      <c r="Y168" s="4" t="e">
        <f>(X168-'[1]1982'!$Z$4)/('[1]1982'!$Z$3-'[1]1982'!$Z$4)</f>
        <v>#VALUE!</v>
      </c>
      <c r="AA168">
        <v>1919067</v>
      </c>
      <c r="AB168">
        <v>95489</v>
      </c>
      <c r="AD168" t="s">
        <v>15</v>
      </c>
      <c r="AE168">
        <v>3</v>
      </c>
      <c r="AF168">
        <v>4</v>
      </c>
      <c r="AH168" t="s">
        <v>1942</v>
      </c>
      <c r="AI168" t="s">
        <v>1943</v>
      </c>
      <c r="AK168" t="s">
        <v>1944</v>
      </c>
      <c r="AL168">
        <v>0</v>
      </c>
      <c r="AM168" s="5">
        <f t="shared" si="14"/>
        <v>0</v>
      </c>
      <c r="AN168" s="6">
        <f>(AM168-'[1]1982'!$AO$4)/('[1]1982'!$AO$3-'[1]1982'!$AO$4)</f>
        <v>0</v>
      </c>
      <c r="AO168" s="7"/>
      <c r="AP168">
        <v>0</v>
      </c>
      <c r="AR168" t="s">
        <v>19</v>
      </c>
      <c r="AT168" s="3" t="s">
        <v>20</v>
      </c>
      <c r="AU168" s="8" t="e">
        <f t="shared" si="15"/>
        <v>#VALUE!</v>
      </c>
      <c r="AV168" s="8" t="e">
        <f t="shared" si="16"/>
        <v>#VALUE!</v>
      </c>
      <c r="AW168" s="8" t="e">
        <f t="shared" si="17"/>
        <v>#VALUE!</v>
      </c>
    </row>
    <row r="169" spans="1:49" x14ac:dyDescent="0.2">
      <c r="A169">
        <v>167</v>
      </c>
      <c r="B169" t="s">
        <v>1945</v>
      </c>
      <c r="C169" t="s">
        <v>1946</v>
      </c>
      <c r="F169" t="s">
        <v>1947</v>
      </c>
      <c r="G169" t="s">
        <v>4</v>
      </c>
      <c r="H169" t="s">
        <v>5</v>
      </c>
      <c r="I169" t="s">
        <v>1948</v>
      </c>
      <c r="N169">
        <v>1</v>
      </c>
      <c r="O169" t="s">
        <v>1949</v>
      </c>
      <c r="P169">
        <v>7006111874</v>
      </c>
      <c r="R169" s="1">
        <v>29952</v>
      </c>
      <c r="S169" s="2">
        <f t="shared" si="12"/>
        <v>1982</v>
      </c>
      <c r="T169" s="2">
        <v>1982</v>
      </c>
      <c r="U169" s="2">
        <f t="shared" si="13"/>
        <v>40</v>
      </c>
      <c r="V169" s="1" t="s">
        <v>717</v>
      </c>
      <c r="W169" t="s">
        <v>1950</v>
      </c>
      <c r="X169" s="3">
        <v>0.251</v>
      </c>
      <c r="Y169" s="4">
        <f>(X169-'[1]1982'!$Z$4)/('[1]1982'!$Z$3-'[1]1982'!$Z$4)</f>
        <v>6.7003016470462617E-3</v>
      </c>
      <c r="AA169">
        <v>207217</v>
      </c>
      <c r="AB169">
        <v>26145</v>
      </c>
      <c r="AD169" t="s">
        <v>15</v>
      </c>
      <c r="AE169">
        <v>53</v>
      </c>
      <c r="AF169">
        <v>6</v>
      </c>
      <c r="AH169" t="s">
        <v>1951</v>
      </c>
      <c r="AI169" t="s">
        <v>1952</v>
      </c>
      <c r="AK169" t="s">
        <v>1953</v>
      </c>
      <c r="AL169">
        <v>45</v>
      </c>
      <c r="AM169" s="5">
        <f t="shared" si="14"/>
        <v>1.125</v>
      </c>
      <c r="AN169" s="6">
        <f>(AM169-'[1]1982'!$AO$4)/('[1]1982'!$AO$3-'[1]1982'!$AO$4)</f>
        <v>1.7039000378644452E-3</v>
      </c>
      <c r="AO169" s="7"/>
      <c r="AP169">
        <v>0</v>
      </c>
      <c r="AQ169" t="s">
        <v>1954</v>
      </c>
      <c r="AR169" t="s">
        <v>1955</v>
      </c>
      <c r="AS169" t="s">
        <v>1956</v>
      </c>
      <c r="AT169" s="3">
        <v>1.3360000000000001</v>
      </c>
      <c r="AU169" s="8">
        <f t="shared" si="15"/>
        <v>0.52013811642917163</v>
      </c>
      <c r="AV169" s="8">
        <f t="shared" si="16"/>
        <v>0.4202100842455353</v>
      </c>
      <c r="AW169" s="8">
        <f t="shared" si="17"/>
        <v>0.32028205206189903</v>
      </c>
    </row>
    <row r="170" spans="1:49" x14ac:dyDescent="0.2">
      <c r="A170">
        <v>168</v>
      </c>
      <c r="B170" t="s">
        <v>1957</v>
      </c>
      <c r="C170" t="s">
        <v>1958</v>
      </c>
      <c r="F170" t="s">
        <v>1959</v>
      </c>
      <c r="G170" t="s">
        <v>4</v>
      </c>
      <c r="H170" t="s">
        <v>5</v>
      </c>
      <c r="I170" t="s">
        <v>1960</v>
      </c>
      <c r="J170" t="s">
        <v>1961</v>
      </c>
      <c r="K170" t="s">
        <v>1962</v>
      </c>
      <c r="L170" t="s">
        <v>1963</v>
      </c>
      <c r="M170" t="s">
        <v>500</v>
      </c>
      <c r="N170">
        <v>4</v>
      </c>
      <c r="O170" t="s">
        <v>1964</v>
      </c>
      <c r="P170" t="s">
        <v>1965</v>
      </c>
      <c r="Q170" t="s">
        <v>1966</v>
      </c>
      <c r="R170" s="1">
        <v>29952</v>
      </c>
      <c r="S170" s="2">
        <f t="shared" si="12"/>
        <v>1982</v>
      </c>
      <c r="T170" s="2">
        <v>1982</v>
      </c>
      <c r="U170" s="2">
        <f t="shared" si="13"/>
        <v>40</v>
      </c>
      <c r="V170" s="1">
        <v>30286</v>
      </c>
      <c r="W170" t="s">
        <v>1967</v>
      </c>
      <c r="X170" s="3">
        <v>0.82</v>
      </c>
      <c r="Y170" s="4">
        <f>(X170-'[1]1982'!$Z$4)/('[1]1982'!$Z$3-'[1]1982'!$Z$4)</f>
        <v>2.1889431675609299E-2</v>
      </c>
      <c r="AA170">
        <v>189456</v>
      </c>
      <c r="AB170">
        <v>15361</v>
      </c>
      <c r="AC170">
        <v>15579662</v>
      </c>
      <c r="AD170" t="s">
        <v>15</v>
      </c>
      <c r="AE170" t="s">
        <v>1968</v>
      </c>
      <c r="AF170">
        <v>4</v>
      </c>
      <c r="AH170" t="s">
        <v>1969</v>
      </c>
      <c r="AI170" t="s">
        <v>1970</v>
      </c>
      <c r="AK170" t="s">
        <v>1971</v>
      </c>
      <c r="AL170">
        <v>3</v>
      </c>
      <c r="AM170" s="5">
        <f t="shared" si="14"/>
        <v>7.4999999999999997E-2</v>
      </c>
      <c r="AN170" s="6">
        <f>(AM170-'[1]1982'!$AO$4)/('[1]1982'!$AO$3-'[1]1982'!$AO$4)</f>
        <v>1.1359333585762968E-4</v>
      </c>
      <c r="AO170" s="7"/>
      <c r="AP170">
        <v>0</v>
      </c>
      <c r="AR170" t="s">
        <v>19</v>
      </c>
      <c r="AT170" s="3" t="s">
        <v>20</v>
      </c>
      <c r="AU170" s="8">
        <f t="shared" si="15"/>
        <v>1.5356680173683797</v>
      </c>
      <c r="AV170" s="8">
        <f t="shared" si="16"/>
        <v>1.1001512505733464</v>
      </c>
      <c r="AW170" s="8">
        <f t="shared" si="17"/>
        <v>0.66463448377831302</v>
      </c>
    </row>
    <row r="171" spans="1:49" x14ac:dyDescent="0.2">
      <c r="A171">
        <v>169</v>
      </c>
      <c r="B171" t="s">
        <v>1972</v>
      </c>
      <c r="F171" t="s">
        <v>1973</v>
      </c>
      <c r="G171" t="s">
        <v>4</v>
      </c>
      <c r="H171" t="s">
        <v>5</v>
      </c>
      <c r="I171" t="s">
        <v>1974</v>
      </c>
      <c r="N171">
        <v>3</v>
      </c>
      <c r="O171" t="s">
        <v>1975</v>
      </c>
      <c r="P171" t="s">
        <v>1976</v>
      </c>
      <c r="Q171" t="s">
        <v>145</v>
      </c>
      <c r="R171" s="1">
        <v>29952</v>
      </c>
      <c r="S171" s="2">
        <f t="shared" si="12"/>
        <v>1982</v>
      </c>
      <c r="T171" s="2">
        <v>1982</v>
      </c>
      <c r="U171" s="2">
        <f t="shared" si="13"/>
        <v>40</v>
      </c>
      <c r="V171" s="1" t="s">
        <v>717</v>
      </c>
      <c r="W171" t="s">
        <v>1977</v>
      </c>
      <c r="X171" s="3" t="s">
        <v>20</v>
      </c>
      <c r="Y171" s="4" t="e">
        <f>(X171-'[1]1982'!$Z$4)/('[1]1982'!$Z$3-'[1]1982'!$Z$4)</f>
        <v>#VALUE!</v>
      </c>
      <c r="AB171">
        <v>18207</v>
      </c>
      <c r="AD171" t="s">
        <v>15</v>
      </c>
      <c r="AE171">
        <v>10</v>
      </c>
      <c r="AF171">
        <v>6</v>
      </c>
      <c r="AH171" t="s">
        <v>1978</v>
      </c>
      <c r="AI171" t="s">
        <v>1979</v>
      </c>
      <c r="AK171" t="s">
        <v>1980</v>
      </c>
      <c r="AL171">
        <v>0</v>
      </c>
      <c r="AM171" s="5">
        <f t="shared" si="14"/>
        <v>0</v>
      </c>
      <c r="AN171" s="6">
        <f>(AM171-'[1]1982'!$AO$4)/('[1]1982'!$AO$3-'[1]1982'!$AO$4)</f>
        <v>0</v>
      </c>
      <c r="AO171" s="7"/>
      <c r="AP171">
        <v>0</v>
      </c>
      <c r="AR171" t="s">
        <v>19</v>
      </c>
      <c r="AT171" s="3" t="s">
        <v>20</v>
      </c>
      <c r="AU171" s="8" t="e">
        <f t="shared" si="15"/>
        <v>#VALUE!</v>
      </c>
      <c r="AV171" s="8" t="e">
        <f t="shared" si="16"/>
        <v>#VALUE!</v>
      </c>
      <c r="AW171" s="8" t="e">
        <f t="shared" si="17"/>
        <v>#VALUE!</v>
      </c>
    </row>
    <row r="172" spans="1:49" x14ac:dyDescent="0.2">
      <c r="A172">
        <v>170</v>
      </c>
      <c r="B172" t="s">
        <v>1981</v>
      </c>
      <c r="F172" t="s">
        <v>1982</v>
      </c>
      <c r="G172" t="s">
        <v>4</v>
      </c>
      <c r="H172" t="s">
        <v>5</v>
      </c>
      <c r="I172" t="s">
        <v>1983</v>
      </c>
      <c r="N172">
        <v>1</v>
      </c>
      <c r="O172" t="s">
        <v>1984</v>
      </c>
      <c r="P172">
        <v>6603823434</v>
      </c>
      <c r="R172" s="1">
        <v>29952</v>
      </c>
      <c r="S172" s="2">
        <f t="shared" si="12"/>
        <v>1982</v>
      </c>
      <c r="T172" s="2">
        <v>1982</v>
      </c>
      <c r="U172" s="2">
        <f t="shared" si="13"/>
        <v>40</v>
      </c>
      <c r="V172" s="1" t="s">
        <v>717</v>
      </c>
      <c r="W172" t="s">
        <v>1985</v>
      </c>
      <c r="X172" s="3" t="s">
        <v>20</v>
      </c>
      <c r="Y172" s="4" t="e">
        <f>(X172-'[1]1982'!$Z$4)/('[1]1982'!$Z$3-'[1]1982'!$Z$4)</f>
        <v>#VALUE!</v>
      </c>
      <c r="AA172">
        <v>2511096</v>
      </c>
      <c r="AB172">
        <v>26110</v>
      </c>
      <c r="AD172" t="s">
        <v>15</v>
      </c>
      <c r="AE172">
        <v>63</v>
      </c>
      <c r="AF172" t="s">
        <v>1986</v>
      </c>
      <c r="AH172" t="s">
        <v>1987</v>
      </c>
      <c r="AI172" t="s">
        <v>1988</v>
      </c>
      <c r="AK172" t="s">
        <v>1989</v>
      </c>
      <c r="AL172">
        <v>0</v>
      </c>
      <c r="AM172" s="5">
        <f t="shared" si="14"/>
        <v>0</v>
      </c>
      <c r="AN172" s="6">
        <f>(AM172-'[1]1982'!$AO$4)/('[1]1982'!$AO$3-'[1]1982'!$AO$4)</f>
        <v>0</v>
      </c>
      <c r="AO172" s="7"/>
      <c r="AP172">
        <v>0</v>
      </c>
      <c r="AR172" t="s">
        <v>19</v>
      </c>
      <c r="AT172" s="3" t="s">
        <v>20</v>
      </c>
      <c r="AU172" s="8" t="e">
        <f t="shared" si="15"/>
        <v>#VALUE!</v>
      </c>
      <c r="AV172" s="8" t="e">
        <f t="shared" si="16"/>
        <v>#VALUE!</v>
      </c>
      <c r="AW172" s="8" t="e">
        <f t="shared" si="17"/>
        <v>#VALUE!</v>
      </c>
    </row>
    <row r="173" spans="1:49" x14ac:dyDescent="0.2">
      <c r="A173">
        <v>171</v>
      </c>
      <c r="B173" t="s">
        <v>1990</v>
      </c>
      <c r="C173" t="s">
        <v>1991</v>
      </c>
      <c r="F173" t="s">
        <v>1992</v>
      </c>
      <c r="G173" t="s">
        <v>4</v>
      </c>
      <c r="H173" t="s">
        <v>5</v>
      </c>
      <c r="I173" t="s">
        <v>1993</v>
      </c>
      <c r="J173">
        <v>60025525</v>
      </c>
      <c r="K173" t="s">
        <v>1994</v>
      </c>
      <c r="L173" t="s">
        <v>1995</v>
      </c>
      <c r="M173" t="s">
        <v>65</v>
      </c>
      <c r="N173">
        <v>4</v>
      </c>
      <c r="O173" t="s">
        <v>1996</v>
      </c>
      <c r="P173" t="s">
        <v>1997</v>
      </c>
      <c r="Q173" t="s">
        <v>1998</v>
      </c>
      <c r="R173" s="1">
        <v>29952</v>
      </c>
      <c r="S173" s="2">
        <f t="shared" si="12"/>
        <v>1982</v>
      </c>
      <c r="T173" s="2">
        <v>1982</v>
      </c>
      <c r="U173" s="2">
        <f t="shared" si="13"/>
        <v>40</v>
      </c>
      <c r="V173" s="1">
        <v>29952</v>
      </c>
      <c r="W173" t="s">
        <v>98</v>
      </c>
      <c r="X173" s="3">
        <v>0.8</v>
      </c>
      <c r="Y173" s="4">
        <f>(X173-'[1]1982'!$Z$4)/('[1]1982'!$Z$3-'[1]1982'!$Z$4)</f>
        <v>2.1355543098155415E-2</v>
      </c>
      <c r="AA173">
        <v>3407594</v>
      </c>
      <c r="AB173">
        <v>23456</v>
      </c>
      <c r="AC173">
        <v>14321351</v>
      </c>
      <c r="AD173" t="s">
        <v>15</v>
      </c>
      <c r="AE173">
        <v>149</v>
      </c>
      <c r="AF173">
        <v>3</v>
      </c>
      <c r="AH173" t="s">
        <v>1999</v>
      </c>
      <c r="AI173" t="s">
        <v>2000</v>
      </c>
      <c r="AK173" t="s">
        <v>2001</v>
      </c>
      <c r="AL173">
        <v>15</v>
      </c>
      <c r="AM173" s="5">
        <f t="shared" si="14"/>
        <v>0.375</v>
      </c>
      <c r="AN173" s="6">
        <f>(AM173-'[1]1982'!$AO$4)/('[1]1982'!$AO$3-'[1]1982'!$AO$4)</f>
        <v>5.6796667928814845E-4</v>
      </c>
      <c r="AO173" s="7"/>
      <c r="AP173">
        <v>0</v>
      </c>
      <c r="AR173" t="s">
        <v>19</v>
      </c>
      <c r="AT173" s="3" t="s">
        <v>20</v>
      </c>
      <c r="AU173" s="8">
        <f t="shared" si="15"/>
        <v>1.5119270172495234</v>
      </c>
      <c r="AV173" s="8">
        <f t="shared" si="16"/>
        <v>1.0961754888721782</v>
      </c>
      <c r="AW173" s="8">
        <f t="shared" si="17"/>
        <v>0.68042396049483289</v>
      </c>
    </row>
    <row r="174" spans="1:49" x14ac:dyDescent="0.2">
      <c r="A174">
        <v>172</v>
      </c>
      <c r="B174" t="s">
        <v>2002</v>
      </c>
      <c r="C174" t="s">
        <v>2003</v>
      </c>
      <c r="F174" t="s">
        <v>2004</v>
      </c>
      <c r="G174" t="s">
        <v>4</v>
      </c>
      <c r="H174" t="s">
        <v>5</v>
      </c>
      <c r="I174" t="s">
        <v>2005</v>
      </c>
      <c r="N174">
        <v>1</v>
      </c>
      <c r="O174" t="s">
        <v>2006</v>
      </c>
      <c r="P174">
        <v>7202832083</v>
      </c>
      <c r="R174" s="1">
        <v>29952</v>
      </c>
      <c r="S174" s="2">
        <f t="shared" si="12"/>
        <v>1982</v>
      </c>
      <c r="T174" s="2">
        <v>1982</v>
      </c>
      <c r="U174" s="2">
        <f t="shared" si="13"/>
        <v>40</v>
      </c>
      <c r="V174" s="1" t="s">
        <v>717</v>
      </c>
      <c r="W174" s="11" t="s">
        <v>1908</v>
      </c>
      <c r="X174" s="3">
        <v>2.383</v>
      </c>
      <c r="Y174" s="4">
        <f>(X174-'[1]1982'!$Z$4)/('[1]1982'!$Z$3-'[1]1982'!$Z$4)</f>
        <v>6.3612824003630442E-2</v>
      </c>
      <c r="AA174">
        <v>1437097</v>
      </c>
      <c r="AB174">
        <v>101236</v>
      </c>
      <c r="AD174" t="s">
        <v>15</v>
      </c>
      <c r="AE174">
        <v>129</v>
      </c>
      <c r="AF174">
        <v>6</v>
      </c>
      <c r="AH174" t="s">
        <v>2007</v>
      </c>
      <c r="AI174" t="s">
        <v>2008</v>
      </c>
      <c r="AK174" t="s">
        <v>2009</v>
      </c>
      <c r="AL174">
        <v>15</v>
      </c>
      <c r="AM174" s="5">
        <f t="shared" si="14"/>
        <v>0.375</v>
      </c>
      <c r="AN174" s="6">
        <f>(AM174-'[1]1982'!$AO$4)/('[1]1982'!$AO$3-'[1]1982'!$AO$4)</f>
        <v>5.6796667928814845E-4</v>
      </c>
      <c r="AO174" s="7"/>
      <c r="AP174">
        <v>0</v>
      </c>
      <c r="AR174" t="s">
        <v>19</v>
      </c>
      <c r="AT174" s="3" t="s">
        <v>20</v>
      </c>
      <c r="AU174" s="8">
        <f t="shared" si="15"/>
        <v>4.4699366806327756</v>
      </c>
      <c r="AV174" s="8">
        <f t="shared" si="16"/>
        <v>3.209039534145929</v>
      </c>
      <c r="AW174" s="8">
        <f t="shared" si="17"/>
        <v>1.9481423876590835</v>
      </c>
    </row>
    <row r="175" spans="1:49" x14ac:dyDescent="0.2">
      <c r="A175">
        <v>173</v>
      </c>
      <c r="B175" t="s">
        <v>2010</v>
      </c>
      <c r="C175" t="s">
        <v>2011</v>
      </c>
      <c r="F175" t="s">
        <v>2012</v>
      </c>
      <c r="G175" t="s">
        <v>4</v>
      </c>
      <c r="H175" t="s">
        <v>5</v>
      </c>
      <c r="I175" t="s">
        <v>2013</v>
      </c>
      <c r="J175" t="s">
        <v>2014</v>
      </c>
      <c r="K175" t="s">
        <v>2015</v>
      </c>
      <c r="L175" t="s">
        <v>2016</v>
      </c>
      <c r="M175" t="s">
        <v>218</v>
      </c>
      <c r="N175">
        <v>5</v>
      </c>
      <c r="O175" t="s">
        <v>2017</v>
      </c>
      <c r="P175" t="s">
        <v>2018</v>
      </c>
      <c r="Q175" t="s">
        <v>2019</v>
      </c>
      <c r="R175" s="1">
        <v>29952</v>
      </c>
      <c r="S175" s="2">
        <f t="shared" si="12"/>
        <v>1982</v>
      </c>
      <c r="T175" s="2">
        <v>1982</v>
      </c>
      <c r="U175" s="2">
        <f t="shared" si="13"/>
        <v>40</v>
      </c>
      <c r="V175" s="1">
        <v>30286</v>
      </c>
      <c r="W175" t="s">
        <v>2020</v>
      </c>
      <c r="X175" s="3">
        <v>0.53700000000000003</v>
      </c>
      <c r="Y175" s="4">
        <f>(X175-'[1]1982'!$Z$4)/('[1]1982'!$Z$3-'[1]1982'!$Z$4)</f>
        <v>1.4334908304636823E-2</v>
      </c>
      <c r="AA175">
        <v>189499</v>
      </c>
      <c r="AB175">
        <v>17368</v>
      </c>
      <c r="AC175">
        <v>15581578</v>
      </c>
      <c r="AD175" t="s">
        <v>15</v>
      </c>
      <c r="AE175">
        <v>29</v>
      </c>
      <c r="AF175">
        <v>6</v>
      </c>
      <c r="AH175" t="s">
        <v>2021</v>
      </c>
      <c r="AI175" t="s">
        <v>2022</v>
      </c>
      <c r="AK175" t="s">
        <v>2023</v>
      </c>
      <c r="AL175">
        <v>1</v>
      </c>
      <c r="AM175" s="5">
        <f t="shared" si="14"/>
        <v>2.5000000000000001E-2</v>
      </c>
      <c r="AN175" s="6">
        <f>(AM175-'[1]1982'!$AO$4)/('[1]1982'!$AO$3-'[1]1982'!$AO$4)</f>
        <v>3.7864445285876567E-5</v>
      </c>
      <c r="AO175" s="7"/>
      <c r="AP175">
        <v>0</v>
      </c>
      <c r="AR175" t="s">
        <v>19</v>
      </c>
      <c r="AT175" s="3">
        <v>1.679</v>
      </c>
      <c r="AU175" s="8">
        <f t="shared" si="15"/>
        <v>1.0045795146831538</v>
      </c>
      <c r="AV175" s="8">
        <f t="shared" si="16"/>
        <v>0.71863863749613499</v>
      </c>
      <c r="AW175" s="8">
        <f t="shared" si="17"/>
        <v>0.43269776030911605</v>
      </c>
    </row>
    <row r="176" spans="1:49" x14ac:dyDescent="0.2">
      <c r="A176">
        <v>174</v>
      </c>
      <c r="B176" t="s">
        <v>2024</v>
      </c>
      <c r="F176" t="s">
        <v>2025</v>
      </c>
      <c r="G176" t="s">
        <v>4</v>
      </c>
      <c r="H176" t="s">
        <v>5</v>
      </c>
      <c r="I176" t="s">
        <v>183</v>
      </c>
      <c r="N176">
        <v>1</v>
      </c>
      <c r="O176" t="s">
        <v>2026</v>
      </c>
      <c r="P176">
        <v>7007048290</v>
      </c>
      <c r="R176" s="1">
        <v>29952</v>
      </c>
      <c r="S176" s="2">
        <f t="shared" si="12"/>
        <v>1982</v>
      </c>
      <c r="T176" s="2">
        <v>1982</v>
      </c>
      <c r="U176" s="2">
        <f t="shared" si="13"/>
        <v>40</v>
      </c>
      <c r="V176" s="1" t="s">
        <v>717</v>
      </c>
      <c r="W176" t="s">
        <v>2027</v>
      </c>
      <c r="X176" s="3">
        <v>0.10100000000000001</v>
      </c>
      <c r="Y176" s="4">
        <f>(X176-'[1]1982'!$Z$4)/('[1]1982'!$Z$3-'[1]1982'!$Z$4)</f>
        <v>2.6961373161421215E-3</v>
      </c>
      <c r="AA176">
        <v>7452883</v>
      </c>
      <c r="AB176">
        <v>18563</v>
      </c>
      <c r="AD176" t="s">
        <v>15</v>
      </c>
      <c r="AE176">
        <v>21</v>
      </c>
      <c r="AF176">
        <v>13</v>
      </c>
      <c r="AI176" t="s">
        <v>2028</v>
      </c>
      <c r="AK176" t="s">
        <v>2029</v>
      </c>
      <c r="AL176">
        <v>0</v>
      </c>
      <c r="AM176" s="5">
        <f t="shared" si="14"/>
        <v>0</v>
      </c>
      <c r="AN176" s="6">
        <f>(AM176-'[1]1982'!$AO$4)/('[1]1982'!$AO$3-'[1]1982'!$AO$4)</f>
        <v>0</v>
      </c>
      <c r="AO176" s="7"/>
      <c r="AP176">
        <v>0</v>
      </c>
      <c r="AR176" t="s">
        <v>19</v>
      </c>
      <c r="AT176" s="3" t="s">
        <v>20</v>
      </c>
      <c r="AU176" s="8">
        <f t="shared" si="15"/>
        <v>0.18872961212994849</v>
      </c>
      <c r="AV176" s="8">
        <f t="shared" si="16"/>
        <v>0.13480686580710607</v>
      </c>
      <c r="AW176" s="8">
        <f t="shared" si="17"/>
        <v>8.0884119484263647E-2</v>
      </c>
    </row>
    <row r="177" spans="1:49" x14ac:dyDescent="0.2">
      <c r="A177">
        <v>175</v>
      </c>
      <c r="B177" t="s">
        <v>2030</v>
      </c>
      <c r="C177" t="s">
        <v>2031</v>
      </c>
      <c r="F177" t="s">
        <v>2032</v>
      </c>
      <c r="G177" t="s">
        <v>4</v>
      </c>
      <c r="H177" t="s">
        <v>5</v>
      </c>
      <c r="I177" t="s">
        <v>2033</v>
      </c>
      <c r="J177">
        <v>60015720</v>
      </c>
      <c r="K177" t="s">
        <v>2034</v>
      </c>
      <c r="L177" t="s">
        <v>2035</v>
      </c>
      <c r="M177" t="s">
        <v>9</v>
      </c>
      <c r="N177">
        <v>1</v>
      </c>
      <c r="O177" t="s">
        <v>2036</v>
      </c>
      <c r="P177">
        <v>35569375100</v>
      </c>
      <c r="Q177">
        <v>60015720</v>
      </c>
      <c r="R177" s="1">
        <v>29952</v>
      </c>
      <c r="S177" s="2">
        <f t="shared" si="12"/>
        <v>1982</v>
      </c>
      <c r="T177" s="2">
        <v>1982</v>
      </c>
      <c r="U177" s="2">
        <f t="shared" si="13"/>
        <v>40</v>
      </c>
      <c r="V177" s="1">
        <v>30286</v>
      </c>
      <c r="W177" t="s">
        <v>2037</v>
      </c>
      <c r="X177" s="3">
        <v>0.61899999999999999</v>
      </c>
      <c r="Y177" s="4">
        <f>(X177-'[1]1982'!$Z$4)/('[1]1982'!$Z$3-'[1]1982'!$Z$4)</f>
        <v>1.6523851472197752E-2</v>
      </c>
      <c r="AA177">
        <v>14966</v>
      </c>
      <c r="AB177">
        <v>12936</v>
      </c>
      <c r="AC177" t="s">
        <v>2038</v>
      </c>
      <c r="AD177" t="s">
        <v>15</v>
      </c>
      <c r="AE177">
        <v>72</v>
      </c>
      <c r="AF177">
        <v>6</v>
      </c>
      <c r="AH177" t="s">
        <v>2039</v>
      </c>
      <c r="AI177" t="s">
        <v>2040</v>
      </c>
      <c r="AJ177" t="s">
        <v>2041</v>
      </c>
      <c r="AK177" t="s">
        <v>2042</v>
      </c>
      <c r="AL177">
        <v>27</v>
      </c>
      <c r="AM177" s="5">
        <f t="shared" si="14"/>
        <v>0.67500000000000004</v>
      </c>
      <c r="AN177" s="6">
        <f>(AM177-'[1]1982'!$AO$4)/('[1]1982'!$AO$3-'[1]1982'!$AO$4)</f>
        <v>1.0223400227186673E-3</v>
      </c>
      <c r="AO177" s="7"/>
      <c r="AP177">
        <v>0</v>
      </c>
      <c r="AR177" t="s">
        <v>19</v>
      </c>
      <c r="AT177" s="3" t="s">
        <v>20</v>
      </c>
      <c r="AU177" s="8">
        <f t="shared" si="15"/>
        <v>1.1873398037354026</v>
      </c>
      <c r="AV177" s="8">
        <f t="shared" si="16"/>
        <v>0.87730957474582094</v>
      </c>
      <c r="AW177" s="8">
        <f t="shared" si="17"/>
        <v>0.56727934575623928</v>
      </c>
    </row>
    <row r="178" spans="1:49" x14ac:dyDescent="0.2">
      <c r="A178">
        <v>176</v>
      </c>
      <c r="B178" t="s">
        <v>2043</v>
      </c>
      <c r="F178" t="s">
        <v>2044</v>
      </c>
      <c r="G178" t="s">
        <v>4</v>
      </c>
      <c r="H178" t="s">
        <v>5</v>
      </c>
      <c r="I178" t="s">
        <v>2045</v>
      </c>
      <c r="N178">
        <v>3</v>
      </c>
      <c r="O178" t="s">
        <v>2046</v>
      </c>
      <c r="P178" t="s">
        <v>2047</v>
      </c>
      <c r="Q178" t="s">
        <v>145</v>
      </c>
      <c r="R178" s="1">
        <v>29952</v>
      </c>
      <c r="S178" s="2">
        <f t="shared" si="12"/>
        <v>1982</v>
      </c>
      <c r="T178" s="2">
        <v>1982</v>
      </c>
      <c r="U178" s="2">
        <f t="shared" si="13"/>
        <v>40</v>
      </c>
      <c r="V178" s="1" t="s">
        <v>717</v>
      </c>
      <c r="W178" t="s">
        <v>1399</v>
      </c>
      <c r="X178" s="3" t="s">
        <v>20</v>
      </c>
      <c r="Y178" s="4" t="e">
        <f>(X178-'[1]1982'!$Z$4)/('[1]1982'!$Z$3-'[1]1982'!$Z$4)</f>
        <v>#VALUE!</v>
      </c>
      <c r="AA178">
        <v>262897</v>
      </c>
      <c r="AB178">
        <v>18580</v>
      </c>
      <c r="AD178" t="s">
        <v>15</v>
      </c>
      <c r="AE178">
        <v>25</v>
      </c>
      <c r="AF178">
        <v>12</v>
      </c>
      <c r="AI178" t="s">
        <v>2048</v>
      </c>
      <c r="AK178" t="s">
        <v>2049</v>
      </c>
      <c r="AL178">
        <v>0</v>
      </c>
      <c r="AM178" s="5">
        <f t="shared" si="14"/>
        <v>0</v>
      </c>
      <c r="AN178" s="6">
        <f>(AM178-'[1]1982'!$AO$4)/('[1]1982'!$AO$3-'[1]1982'!$AO$4)</f>
        <v>0</v>
      </c>
      <c r="AO178" s="7"/>
      <c r="AP178">
        <v>0</v>
      </c>
      <c r="AR178" t="s">
        <v>19</v>
      </c>
      <c r="AT178" s="3">
        <v>0.30599999999999999</v>
      </c>
      <c r="AU178" s="8" t="e">
        <f t="shared" si="15"/>
        <v>#VALUE!</v>
      </c>
      <c r="AV178" s="8" t="e">
        <f t="shared" si="16"/>
        <v>#VALUE!</v>
      </c>
      <c r="AW178" s="8" t="e">
        <f t="shared" si="17"/>
        <v>#VALUE!</v>
      </c>
    </row>
    <row r="179" spans="1:49" x14ac:dyDescent="0.2">
      <c r="A179">
        <v>177</v>
      </c>
      <c r="B179" t="s">
        <v>2050</v>
      </c>
      <c r="C179" t="s">
        <v>2051</v>
      </c>
      <c r="F179" t="s">
        <v>2052</v>
      </c>
      <c r="G179" t="s">
        <v>4</v>
      </c>
      <c r="H179" t="s">
        <v>5</v>
      </c>
      <c r="I179" t="s">
        <v>2053</v>
      </c>
      <c r="J179">
        <v>60025555</v>
      </c>
      <c r="K179" t="s">
        <v>2054</v>
      </c>
      <c r="L179" t="s">
        <v>583</v>
      </c>
      <c r="M179" t="s">
        <v>485</v>
      </c>
      <c r="N179">
        <v>1</v>
      </c>
      <c r="O179" t="s">
        <v>2055</v>
      </c>
      <c r="P179">
        <v>7003864682</v>
      </c>
      <c r="Q179">
        <v>60025555</v>
      </c>
      <c r="R179" s="1">
        <v>29952</v>
      </c>
      <c r="S179" s="2">
        <f t="shared" si="12"/>
        <v>1982</v>
      </c>
      <c r="T179" s="2">
        <v>1982</v>
      </c>
      <c r="U179" s="2">
        <f t="shared" si="13"/>
        <v>40</v>
      </c>
      <c r="V179" s="1">
        <v>30286</v>
      </c>
      <c r="W179" s="11" t="s">
        <v>822</v>
      </c>
      <c r="X179" s="3">
        <v>2.383</v>
      </c>
      <c r="Y179" s="4">
        <f>(X179-'[1]1982'!$Z$4)/('[1]1982'!$Z$3-'[1]1982'!$Z$4)</f>
        <v>6.3612824003630442E-2</v>
      </c>
      <c r="AA179">
        <v>1437070</v>
      </c>
      <c r="AB179">
        <v>39742</v>
      </c>
      <c r="AD179" t="s">
        <v>15</v>
      </c>
      <c r="AE179">
        <v>129</v>
      </c>
      <c r="AF179">
        <v>6</v>
      </c>
      <c r="AH179" t="s">
        <v>2056</v>
      </c>
      <c r="AI179" t="s">
        <v>2057</v>
      </c>
      <c r="AJ179" t="s">
        <v>2058</v>
      </c>
      <c r="AK179" t="s">
        <v>2059</v>
      </c>
      <c r="AL179">
        <v>2</v>
      </c>
      <c r="AM179" s="5">
        <f t="shared" si="14"/>
        <v>0.05</v>
      </c>
      <c r="AN179" s="6">
        <f>(AM179-'[1]1982'!$AO$4)/('[1]1982'!$AO$3-'[1]1982'!$AO$4)</f>
        <v>7.5728890571753133E-5</v>
      </c>
      <c r="AO179" s="7"/>
      <c r="AP179">
        <v>0</v>
      </c>
      <c r="AR179" t="s">
        <v>19</v>
      </c>
      <c r="AT179" s="3" t="s">
        <v>20</v>
      </c>
      <c r="AU179" s="8">
        <f t="shared" si="15"/>
        <v>4.4551695469712831</v>
      </c>
      <c r="AV179" s="8">
        <f t="shared" si="16"/>
        <v>3.1844276447101096</v>
      </c>
      <c r="AW179" s="8">
        <f t="shared" si="17"/>
        <v>1.913685742448936</v>
      </c>
    </row>
    <row r="180" spans="1:49" x14ac:dyDescent="0.2">
      <c r="A180">
        <v>178</v>
      </c>
      <c r="B180" t="s">
        <v>2060</v>
      </c>
      <c r="C180" t="s">
        <v>2061</v>
      </c>
      <c r="F180" t="s">
        <v>2062</v>
      </c>
      <c r="G180" t="s">
        <v>4</v>
      </c>
      <c r="H180" t="s">
        <v>5</v>
      </c>
      <c r="I180" t="s">
        <v>2063</v>
      </c>
      <c r="J180" t="s">
        <v>2064</v>
      </c>
      <c r="K180" t="s">
        <v>2065</v>
      </c>
      <c r="L180" t="s">
        <v>1894</v>
      </c>
      <c r="M180" t="s">
        <v>500</v>
      </c>
      <c r="N180">
        <v>5</v>
      </c>
      <c r="O180" t="s">
        <v>2066</v>
      </c>
      <c r="P180" t="s">
        <v>2067</v>
      </c>
      <c r="Q180" t="s">
        <v>2068</v>
      </c>
      <c r="R180" s="1">
        <v>29952</v>
      </c>
      <c r="S180" s="2">
        <f t="shared" si="12"/>
        <v>1982</v>
      </c>
      <c r="T180" s="2">
        <v>1982</v>
      </c>
      <c r="U180" s="2">
        <f t="shared" si="13"/>
        <v>40</v>
      </c>
      <c r="V180" s="1">
        <v>30286</v>
      </c>
      <c r="W180" t="s">
        <v>2069</v>
      </c>
      <c r="X180" s="3">
        <v>0.78200000000000003</v>
      </c>
      <c r="Y180" s="4">
        <f>(X180-'[1]1982'!$Z$4)/('[1]1982'!$Z$3-'[1]1982'!$Z$4)</f>
        <v>2.0875043378446919E-2</v>
      </c>
      <c r="AA180">
        <v>189316</v>
      </c>
      <c r="AB180">
        <v>19901</v>
      </c>
      <c r="AC180">
        <v>15579611</v>
      </c>
      <c r="AD180" t="s">
        <v>15</v>
      </c>
      <c r="AE180" t="s">
        <v>2070</v>
      </c>
      <c r="AF180">
        <v>4</v>
      </c>
      <c r="AH180" t="s">
        <v>2071</v>
      </c>
      <c r="AI180" t="s">
        <v>2072</v>
      </c>
      <c r="AK180" t="s">
        <v>2073</v>
      </c>
      <c r="AL180">
        <v>3</v>
      </c>
      <c r="AM180" s="5">
        <f t="shared" si="14"/>
        <v>7.4999999999999997E-2</v>
      </c>
      <c r="AN180" s="6">
        <f>(AM180-'[1]1982'!$AO$4)/('[1]1982'!$AO$3-'[1]1982'!$AO$4)</f>
        <v>1.1359333585762968E-4</v>
      </c>
      <c r="AO180" s="7"/>
      <c r="AP180">
        <v>0</v>
      </c>
      <c r="AR180" t="s">
        <v>19</v>
      </c>
      <c r="AT180" s="3">
        <v>3.863</v>
      </c>
      <c r="AU180" s="8">
        <f t="shared" si="15"/>
        <v>1.4646608365670131</v>
      </c>
      <c r="AV180" s="8">
        <f t="shared" si="16"/>
        <v>1.0494318357152275</v>
      </c>
      <c r="AW180" s="8">
        <f t="shared" si="17"/>
        <v>0.63420283486344164</v>
      </c>
    </row>
    <row r="181" spans="1:49" x14ac:dyDescent="0.2">
      <c r="A181">
        <v>179</v>
      </c>
      <c r="B181" t="s">
        <v>2074</v>
      </c>
      <c r="F181" t="s">
        <v>2075</v>
      </c>
      <c r="G181" t="s">
        <v>4</v>
      </c>
      <c r="H181" t="s">
        <v>5</v>
      </c>
      <c r="I181" t="s">
        <v>2076</v>
      </c>
      <c r="N181">
        <v>2</v>
      </c>
      <c r="O181" t="s">
        <v>2077</v>
      </c>
      <c r="P181" t="s">
        <v>2078</v>
      </c>
      <c r="Q181" t="s">
        <v>156</v>
      </c>
      <c r="R181" s="1">
        <v>29952</v>
      </c>
      <c r="S181" s="2">
        <f t="shared" si="12"/>
        <v>1982</v>
      </c>
      <c r="T181" s="2">
        <v>1982</v>
      </c>
      <c r="U181" s="2">
        <f t="shared" si="13"/>
        <v>40</v>
      </c>
      <c r="V181" s="1">
        <v>1982</v>
      </c>
      <c r="W181" t="s">
        <v>2079</v>
      </c>
      <c r="X181" s="3">
        <v>0.35699999999999998</v>
      </c>
      <c r="Y181" s="4">
        <f>(X181-'[1]1982'!$Z$4)/('[1]1982'!$Z$3-'[1]1982'!$Z$4)</f>
        <v>9.5299111075518531E-3</v>
      </c>
      <c r="AA181">
        <v>2624893</v>
      </c>
      <c r="AB181">
        <v>13572</v>
      </c>
      <c r="AD181" t="s">
        <v>15</v>
      </c>
      <c r="AE181">
        <v>1</v>
      </c>
      <c r="AF181">
        <v>2</v>
      </c>
      <c r="AH181" t="s">
        <v>2080</v>
      </c>
      <c r="AI181" t="s">
        <v>2081</v>
      </c>
      <c r="AK181" t="s">
        <v>2082</v>
      </c>
      <c r="AL181">
        <v>0</v>
      </c>
      <c r="AM181" s="5">
        <f t="shared" si="14"/>
        <v>0</v>
      </c>
      <c r="AN181" s="6">
        <f>(AM181-'[1]1982'!$AO$4)/('[1]1982'!$AO$3-'[1]1982'!$AO$4)</f>
        <v>0</v>
      </c>
      <c r="AO181" s="7"/>
      <c r="AP181">
        <v>0</v>
      </c>
      <c r="AR181" t="s">
        <v>19</v>
      </c>
      <c r="AT181" s="3">
        <v>2.0529999999999999</v>
      </c>
      <c r="AU181" s="8">
        <f t="shared" si="15"/>
        <v>0.66709377752862975</v>
      </c>
      <c r="AV181" s="8">
        <f t="shared" si="16"/>
        <v>0.47649555537759264</v>
      </c>
      <c r="AW181" s="8">
        <f t="shared" si="17"/>
        <v>0.28589733322655558</v>
      </c>
    </row>
    <row r="182" spans="1:49" x14ac:dyDescent="0.2">
      <c r="A182">
        <v>180</v>
      </c>
      <c r="B182" t="s">
        <v>2083</v>
      </c>
      <c r="F182" t="s">
        <v>2084</v>
      </c>
      <c r="G182" t="s">
        <v>4</v>
      </c>
      <c r="H182" t="s">
        <v>5</v>
      </c>
      <c r="I182" t="s">
        <v>2085</v>
      </c>
      <c r="N182">
        <v>3</v>
      </c>
      <c r="O182" t="s">
        <v>2086</v>
      </c>
      <c r="P182" t="s">
        <v>2087</v>
      </c>
      <c r="Q182" t="s">
        <v>145</v>
      </c>
      <c r="R182" s="1">
        <v>29952</v>
      </c>
      <c r="S182" s="2">
        <f t="shared" si="12"/>
        <v>1982</v>
      </c>
      <c r="T182" s="2">
        <v>1982</v>
      </c>
      <c r="U182" s="2">
        <f t="shared" si="13"/>
        <v>40</v>
      </c>
      <c r="V182" s="1" t="s">
        <v>717</v>
      </c>
      <c r="W182" t="s">
        <v>2088</v>
      </c>
      <c r="X182" s="3" t="s">
        <v>20</v>
      </c>
      <c r="Y182" s="4" t="e">
        <f>(X182-'[1]1982'!$Z$4)/('[1]1982'!$Z$3-'[1]1982'!$Z$4)</f>
        <v>#VALUE!</v>
      </c>
      <c r="AA182">
        <v>3444880</v>
      </c>
      <c r="AB182">
        <v>38773</v>
      </c>
      <c r="AD182" t="s">
        <v>15</v>
      </c>
      <c r="AE182">
        <v>5</v>
      </c>
      <c r="AF182">
        <v>4</v>
      </c>
      <c r="AH182" t="s">
        <v>2089</v>
      </c>
      <c r="AI182" t="s">
        <v>2090</v>
      </c>
      <c r="AK182" t="s">
        <v>2091</v>
      </c>
      <c r="AL182">
        <v>0</v>
      </c>
      <c r="AM182" s="5">
        <f t="shared" si="14"/>
        <v>0</v>
      </c>
      <c r="AN182" s="6">
        <f>(AM182-'[1]1982'!$AO$4)/('[1]1982'!$AO$3-'[1]1982'!$AO$4)</f>
        <v>0</v>
      </c>
      <c r="AO182" s="7"/>
      <c r="AP182">
        <v>0</v>
      </c>
      <c r="AR182" t="s">
        <v>19</v>
      </c>
      <c r="AT182" s="3" t="s">
        <v>20</v>
      </c>
      <c r="AU182" s="8" t="e">
        <f t="shared" si="15"/>
        <v>#VALUE!</v>
      </c>
      <c r="AV182" s="8" t="e">
        <f t="shared" si="16"/>
        <v>#VALUE!</v>
      </c>
      <c r="AW182" s="8" t="e">
        <f t="shared" si="17"/>
        <v>#VALUE!</v>
      </c>
    </row>
    <row r="183" spans="1:49" x14ac:dyDescent="0.2">
      <c r="A183">
        <v>181</v>
      </c>
      <c r="B183" t="s">
        <v>2092</v>
      </c>
      <c r="C183" t="s">
        <v>2093</v>
      </c>
      <c r="F183" t="s">
        <v>2094</v>
      </c>
      <c r="G183" t="s">
        <v>4</v>
      </c>
      <c r="H183" t="s">
        <v>5</v>
      </c>
      <c r="I183" t="s">
        <v>2095</v>
      </c>
      <c r="N183">
        <v>2</v>
      </c>
      <c r="O183" t="s">
        <v>2096</v>
      </c>
      <c r="P183" t="s">
        <v>2097</v>
      </c>
      <c r="Q183" t="s">
        <v>156</v>
      </c>
      <c r="R183" s="1">
        <v>29952</v>
      </c>
      <c r="S183" s="2">
        <f t="shared" si="12"/>
        <v>1982</v>
      </c>
      <c r="T183" s="2">
        <v>1982</v>
      </c>
      <c r="U183" s="2">
        <f t="shared" si="13"/>
        <v>40</v>
      </c>
      <c r="V183" s="1" t="s">
        <v>717</v>
      </c>
      <c r="W183" s="11" t="s">
        <v>1908</v>
      </c>
      <c r="X183" s="3">
        <v>2.383</v>
      </c>
      <c r="Y183" s="4">
        <f>(X183-'[1]1982'!$Z$4)/('[1]1982'!$Z$3-'[1]1982'!$Z$4)</f>
        <v>6.3612824003630442E-2</v>
      </c>
      <c r="AA183">
        <v>1437097</v>
      </c>
      <c r="AB183">
        <v>101236</v>
      </c>
      <c r="AD183" t="s">
        <v>15</v>
      </c>
      <c r="AE183">
        <v>129</v>
      </c>
      <c r="AF183">
        <v>6</v>
      </c>
      <c r="AH183" t="s">
        <v>2098</v>
      </c>
      <c r="AI183" t="s">
        <v>2099</v>
      </c>
      <c r="AK183" t="s">
        <v>2100</v>
      </c>
      <c r="AL183">
        <v>1</v>
      </c>
      <c r="AM183" s="5">
        <f t="shared" si="14"/>
        <v>2.5000000000000001E-2</v>
      </c>
      <c r="AN183" s="6">
        <f>(AM183-'[1]1982'!$AO$4)/('[1]1982'!$AO$3-'[1]1982'!$AO$4)</f>
        <v>3.7864445285876567E-5</v>
      </c>
      <c r="AO183" s="7"/>
      <c r="AP183">
        <v>0</v>
      </c>
      <c r="AR183" t="s">
        <v>19</v>
      </c>
      <c r="AT183" s="3" t="s">
        <v>20</v>
      </c>
      <c r="AU183" s="8">
        <f t="shared" si="15"/>
        <v>4.4540336136127072</v>
      </c>
      <c r="AV183" s="8">
        <f t="shared" si="16"/>
        <v>3.1825344224458161</v>
      </c>
      <c r="AW183" s="8">
        <f t="shared" si="17"/>
        <v>1.9110352312789247</v>
      </c>
    </row>
    <row r="184" spans="1:49" x14ac:dyDescent="0.2">
      <c r="A184">
        <v>182</v>
      </c>
      <c r="B184" t="s">
        <v>2101</v>
      </c>
      <c r="F184" t="s">
        <v>2102</v>
      </c>
      <c r="G184" t="s">
        <v>4</v>
      </c>
      <c r="H184" t="s">
        <v>5</v>
      </c>
      <c r="I184" t="s">
        <v>2103</v>
      </c>
      <c r="N184">
        <v>1</v>
      </c>
      <c r="O184" t="s">
        <v>2104</v>
      </c>
      <c r="P184">
        <v>55905735200</v>
      </c>
      <c r="R184" s="1">
        <v>29952</v>
      </c>
      <c r="S184" s="2">
        <f t="shared" si="12"/>
        <v>1982</v>
      </c>
      <c r="T184" s="2">
        <v>1982</v>
      </c>
      <c r="U184" s="2">
        <f t="shared" si="13"/>
        <v>40</v>
      </c>
      <c r="V184" s="1">
        <v>1982</v>
      </c>
      <c r="W184" t="s">
        <v>2105</v>
      </c>
      <c r="X184" s="3" t="s">
        <v>20</v>
      </c>
      <c r="Y184" s="4" t="e">
        <f>(X184-'[1]1982'!$Z$4)/('[1]1982'!$Z$3-'[1]1982'!$Z$4)</f>
        <v>#VALUE!</v>
      </c>
      <c r="AA184">
        <v>14125</v>
      </c>
      <c r="AB184">
        <v>30659</v>
      </c>
      <c r="AD184" t="s">
        <v>15</v>
      </c>
      <c r="AE184">
        <v>30</v>
      </c>
      <c r="AF184" s="9">
        <v>44228</v>
      </c>
      <c r="AH184" t="s">
        <v>2106</v>
      </c>
      <c r="AI184" t="s">
        <v>2107</v>
      </c>
      <c r="AK184" t="s">
        <v>2108</v>
      </c>
      <c r="AL184">
        <v>0</v>
      </c>
      <c r="AM184" s="5">
        <f t="shared" si="14"/>
        <v>0</v>
      </c>
      <c r="AN184" s="6">
        <f>(AM184-'[1]1982'!$AO$4)/('[1]1982'!$AO$3-'[1]1982'!$AO$4)</f>
        <v>0</v>
      </c>
      <c r="AO184" s="7"/>
      <c r="AP184">
        <v>0</v>
      </c>
      <c r="AR184" t="s">
        <v>19</v>
      </c>
      <c r="AT184" s="3" t="s">
        <v>20</v>
      </c>
      <c r="AU184" s="8" t="e">
        <f t="shared" si="15"/>
        <v>#VALUE!</v>
      </c>
      <c r="AV184" s="8" t="e">
        <f t="shared" si="16"/>
        <v>#VALUE!</v>
      </c>
      <c r="AW184" s="8" t="e">
        <f t="shared" si="17"/>
        <v>#VALUE!</v>
      </c>
    </row>
    <row r="185" spans="1:49" x14ac:dyDescent="0.2">
      <c r="A185">
        <v>183</v>
      </c>
      <c r="B185" t="s">
        <v>2109</v>
      </c>
      <c r="C185" t="s">
        <v>2110</v>
      </c>
      <c r="F185" t="s">
        <v>2111</v>
      </c>
      <c r="G185" t="s">
        <v>4</v>
      </c>
      <c r="H185" t="s">
        <v>5</v>
      </c>
      <c r="I185" t="s">
        <v>2112</v>
      </c>
      <c r="N185">
        <v>1</v>
      </c>
      <c r="O185" t="s">
        <v>2113</v>
      </c>
      <c r="P185">
        <v>57200704839</v>
      </c>
      <c r="R185" s="1">
        <v>29952</v>
      </c>
      <c r="S185" s="2">
        <f t="shared" si="12"/>
        <v>1982</v>
      </c>
      <c r="T185" s="2">
        <v>1982</v>
      </c>
      <c r="U185" s="2">
        <f t="shared" si="13"/>
        <v>40</v>
      </c>
      <c r="V185" s="1" t="s">
        <v>717</v>
      </c>
      <c r="W185" s="11" t="s">
        <v>1908</v>
      </c>
      <c r="X185" s="3">
        <v>2.383</v>
      </c>
      <c r="Y185" s="4">
        <f>(X185-'[1]1982'!$Z$4)/('[1]1982'!$Z$3-'[1]1982'!$Z$4)</f>
        <v>6.3612824003630442E-2</v>
      </c>
      <c r="AA185">
        <v>1437097</v>
      </c>
      <c r="AB185">
        <v>101236</v>
      </c>
      <c r="AD185" t="s">
        <v>15</v>
      </c>
      <c r="AE185">
        <v>129</v>
      </c>
      <c r="AF185">
        <v>6</v>
      </c>
      <c r="AH185" t="s">
        <v>2114</v>
      </c>
      <c r="AI185" t="s">
        <v>2115</v>
      </c>
      <c r="AK185" t="s">
        <v>2116</v>
      </c>
      <c r="AL185">
        <v>0</v>
      </c>
      <c r="AM185" s="5">
        <f t="shared" si="14"/>
        <v>0</v>
      </c>
      <c r="AN185" s="6">
        <f>(AM185-'[1]1982'!$AO$4)/('[1]1982'!$AO$3-'[1]1982'!$AO$4)</f>
        <v>0</v>
      </c>
      <c r="AO185" s="7"/>
      <c r="AP185">
        <v>0</v>
      </c>
      <c r="AR185" t="s">
        <v>19</v>
      </c>
      <c r="AT185" s="3" t="s">
        <v>20</v>
      </c>
      <c r="AU185" s="8">
        <f t="shared" si="15"/>
        <v>4.4528976802541305</v>
      </c>
      <c r="AV185" s="8">
        <f t="shared" si="16"/>
        <v>3.1806412001815221</v>
      </c>
      <c r="AW185" s="8">
        <f t="shared" si="17"/>
        <v>1.9083847201089132</v>
      </c>
    </row>
    <row r="186" spans="1:49" x14ac:dyDescent="0.2">
      <c r="A186">
        <v>184</v>
      </c>
      <c r="B186" t="s">
        <v>2117</v>
      </c>
      <c r="F186" t="s">
        <v>2118</v>
      </c>
      <c r="G186" t="s">
        <v>4</v>
      </c>
      <c r="H186" t="s">
        <v>5</v>
      </c>
      <c r="I186" t="s">
        <v>2119</v>
      </c>
      <c r="N186">
        <v>2</v>
      </c>
      <c r="O186" t="s">
        <v>2120</v>
      </c>
      <c r="P186" t="s">
        <v>2121</v>
      </c>
      <c r="Q186" t="s">
        <v>156</v>
      </c>
      <c r="R186" s="1">
        <v>29952</v>
      </c>
      <c r="S186" s="2">
        <f t="shared" si="12"/>
        <v>1982</v>
      </c>
      <c r="T186" s="2">
        <v>1982</v>
      </c>
      <c r="U186" s="2">
        <f t="shared" si="13"/>
        <v>40</v>
      </c>
      <c r="V186" s="1">
        <v>1982</v>
      </c>
      <c r="W186" t="s">
        <v>1941</v>
      </c>
      <c r="X186" s="3" t="s">
        <v>20</v>
      </c>
      <c r="Y186" s="4" t="e">
        <f>(X186-'[1]1982'!$Z$4)/('[1]1982'!$Z$3-'[1]1982'!$Z$4)</f>
        <v>#VALUE!</v>
      </c>
      <c r="AA186">
        <v>1919067</v>
      </c>
      <c r="AB186">
        <v>95489</v>
      </c>
      <c r="AD186" t="s">
        <v>15</v>
      </c>
      <c r="AE186">
        <v>3</v>
      </c>
      <c r="AF186">
        <v>4</v>
      </c>
      <c r="AH186" t="s">
        <v>2122</v>
      </c>
      <c r="AI186" t="s">
        <v>2123</v>
      </c>
      <c r="AK186" t="s">
        <v>2124</v>
      </c>
      <c r="AL186">
        <v>2</v>
      </c>
      <c r="AM186" s="5">
        <f t="shared" si="14"/>
        <v>0.05</v>
      </c>
      <c r="AN186" s="6">
        <f>(AM186-'[1]1982'!$AO$4)/('[1]1982'!$AO$3-'[1]1982'!$AO$4)</f>
        <v>7.5728890571753133E-5</v>
      </c>
      <c r="AO186" s="7"/>
      <c r="AP186">
        <v>0</v>
      </c>
      <c r="AR186" t="s">
        <v>19</v>
      </c>
      <c r="AT186" s="3" t="s">
        <v>20</v>
      </c>
      <c r="AU186" s="8" t="e">
        <f t="shared" si="15"/>
        <v>#VALUE!</v>
      </c>
      <c r="AV186" s="8" t="e">
        <f t="shared" si="16"/>
        <v>#VALUE!</v>
      </c>
      <c r="AW186" s="8" t="e">
        <f t="shared" si="17"/>
        <v>#VALUE!</v>
      </c>
    </row>
    <row r="187" spans="1:49" x14ac:dyDescent="0.2">
      <c r="A187">
        <v>185</v>
      </c>
      <c r="B187" t="s">
        <v>2125</v>
      </c>
      <c r="F187" t="s">
        <v>2126</v>
      </c>
      <c r="G187" t="s">
        <v>4</v>
      </c>
      <c r="H187" t="s">
        <v>5</v>
      </c>
      <c r="I187" t="s">
        <v>2119</v>
      </c>
      <c r="N187">
        <v>3</v>
      </c>
      <c r="O187" t="s">
        <v>2127</v>
      </c>
      <c r="P187" t="s">
        <v>2128</v>
      </c>
      <c r="Q187" t="s">
        <v>145</v>
      </c>
      <c r="R187" s="1">
        <v>29952</v>
      </c>
      <c r="S187" s="2">
        <f t="shared" si="12"/>
        <v>1982</v>
      </c>
      <c r="T187" s="2">
        <v>1982</v>
      </c>
      <c r="U187" s="2">
        <f t="shared" si="13"/>
        <v>40</v>
      </c>
      <c r="V187" s="1">
        <v>1982</v>
      </c>
      <c r="W187" t="s">
        <v>1941</v>
      </c>
      <c r="X187" s="3" t="s">
        <v>20</v>
      </c>
      <c r="Y187" s="4" t="e">
        <f>(X187-'[1]1982'!$Z$4)/('[1]1982'!$Z$3-'[1]1982'!$Z$4)</f>
        <v>#VALUE!</v>
      </c>
      <c r="AA187">
        <v>1919067</v>
      </c>
      <c r="AB187">
        <v>95489</v>
      </c>
      <c r="AD187" t="s">
        <v>15</v>
      </c>
      <c r="AE187">
        <v>3</v>
      </c>
      <c r="AF187">
        <v>4</v>
      </c>
      <c r="AH187" t="s">
        <v>2129</v>
      </c>
      <c r="AI187" t="s">
        <v>2130</v>
      </c>
      <c r="AK187" t="s">
        <v>2131</v>
      </c>
      <c r="AL187">
        <v>2</v>
      </c>
      <c r="AM187" s="5">
        <f t="shared" si="14"/>
        <v>0.05</v>
      </c>
      <c r="AN187" s="6">
        <f>(AM187-'[1]1982'!$AO$4)/('[1]1982'!$AO$3-'[1]1982'!$AO$4)</f>
        <v>7.5728890571753133E-5</v>
      </c>
      <c r="AO187" s="7"/>
      <c r="AP187">
        <v>0</v>
      </c>
      <c r="AR187" t="s">
        <v>19</v>
      </c>
      <c r="AT187" s="3" t="s">
        <v>20</v>
      </c>
      <c r="AU187" s="8" t="e">
        <f t="shared" si="15"/>
        <v>#VALUE!</v>
      </c>
      <c r="AV187" s="8" t="e">
        <f t="shared" si="16"/>
        <v>#VALUE!</v>
      </c>
      <c r="AW187" s="8" t="e">
        <f t="shared" si="17"/>
        <v>#VALUE!</v>
      </c>
    </row>
    <row r="188" spans="1:49" x14ac:dyDescent="0.2">
      <c r="A188">
        <v>186</v>
      </c>
      <c r="B188" t="s">
        <v>2132</v>
      </c>
      <c r="C188" t="s">
        <v>2133</v>
      </c>
      <c r="F188" t="s">
        <v>2134</v>
      </c>
      <c r="G188" t="s">
        <v>4</v>
      </c>
      <c r="H188" t="s">
        <v>5</v>
      </c>
      <c r="I188" t="s">
        <v>2135</v>
      </c>
      <c r="J188" t="s">
        <v>2136</v>
      </c>
      <c r="K188" t="s">
        <v>2137</v>
      </c>
      <c r="L188" t="s">
        <v>2138</v>
      </c>
      <c r="M188" t="s">
        <v>2139</v>
      </c>
      <c r="N188">
        <v>4</v>
      </c>
      <c r="O188" t="s">
        <v>2140</v>
      </c>
      <c r="P188" t="s">
        <v>2141</v>
      </c>
      <c r="Q188" t="s">
        <v>2142</v>
      </c>
      <c r="R188" s="1">
        <v>29952</v>
      </c>
      <c r="S188" s="2">
        <f t="shared" si="12"/>
        <v>1982</v>
      </c>
      <c r="T188" s="2">
        <v>1982</v>
      </c>
      <c r="U188" s="2">
        <f t="shared" si="13"/>
        <v>40</v>
      </c>
      <c r="V188" s="1">
        <v>30286</v>
      </c>
      <c r="W188" t="s">
        <v>2069</v>
      </c>
      <c r="X188" s="3">
        <v>0.78200000000000003</v>
      </c>
      <c r="Y188" s="4">
        <f>(X188-'[1]1982'!$Z$4)/('[1]1982'!$Z$3-'[1]1982'!$Z$4)</f>
        <v>2.0875043378446919E-2</v>
      </c>
      <c r="AA188">
        <v>189316</v>
      </c>
      <c r="AB188">
        <v>19901</v>
      </c>
      <c r="AC188">
        <v>15579611</v>
      </c>
      <c r="AD188" t="s">
        <v>15</v>
      </c>
      <c r="AE188" t="s">
        <v>2070</v>
      </c>
      <c r="AF188">
        <v>4</v>
      </c>
      <c r="AH188" t="s">
        <v>2143</v>
      </c>
      <c r="AI188" t="s">
        <v>2144</v>
      </c>
      <c r="AK188" t="s">
        <v>2145</v>
      </c>
      <c r="AL188">
        <v>1</v>
      </c>
      <c r="AM188" s="5">
        <f t="shared" si="14"/>
        <v>2.5000000000000001E-2</v>
      </c>
      <c r="AN188" s="6">
        <f>(AM188-'[1]1982'!$AO$4)/('[1]1982'!$AO$3-'[1]1982'!$AO$4)</f>
        <v>3.7864445285876567E-5</v>
      </c>
      <c r="AO188" s="7"/>
      <c r="AP188">
        <v>0</v>
      </c>
      <c r="AR188" t="s">
        <v>19</v>
      </c>
      <c r="AT188" s="3">
        <v>3.863</v>
      </c>
      <c r="AU188" s="8">
        <f t="shared" si="15"/>
        <v>1.4623889698498604</v>
      </c>
      <c r="AV188" s="8">
        <f t="shared" si="16"/>
        <v>1.0456453911866397</v>
      </c>
      <c r="AW188" s="8">
        <f t="shared" si="17"/>
        <v>0.62890181252341892</v>
      </c>
    </row>
    <row r="189" spans="1:49" x14ac:dyDescent="0.2">
      <c r="A189">
        <v>187</v>
      </c>
      <c r="B189" t="s">
        <v>2146</v>
      </c>
      <c r="F189" t="s">
        <v>2147</v>
      </c>
      <c r="G189" t="s">
        <v>4</v>
      </c>
      <c r="H189" t="s">
        <v>5</v>
      </c>
      <c r="I189" t="s">
        <v>2148</v>
      </c>
      <c r="N189">
        <v>3</v>
      </c>
      <c r="O189" t="s">
        <v>2149</v>
      </c>
      <c r="P189" t="s">
        <v>2150</v>
      </c>
      <c r="Q189" t="s">
        <v>145</v>
      </c>
      <c r="R189" s="1">
        <v>29952</v>
      </c>
      <c r="S189" s="2">
        <f t="shared" si="12"/>
        <v>1982</v>
      </c>
      <c r="T189" s="2">
        <v>1982</v>
      </c>
      <c r="U189" s="2">
        <f t="shared" si="13"/>
        <v>40</v>
      </c>
      <c r="V189" s="1">
        <v>1982</v>
      </c>
      <c r="W189" t="s">
        <v>2151</v>
      </c>
      <c r="X189" s="3" t="s">
        <v>20</v>
      </c>
      <c r="Y189" s="4" t="e">
        <f>(X189-'[1]1982'!$Z$4)/('[1]1982'!$Z$3-'[1]1982'!$Z$4)</f>
        <v>#VALUE!</v>
      </c>
      <c r="AB189">
        <v>34899</v>
      </c>
      <c r="AD189" t="s">
        <v>15</v>
      </c>
      <c r="AE189">
        <v>6</v>
      </c>
      <c r="AF189">
        <v>4</v>
      </c>
      <c r="AH189" t="s">
        <v>2152</v>
      </c>
      <c r="AI189" t="s">
        <v>2153</v>
      </c>
      <c r="AK189" t="s">
        <v>2154</v>
      </c>
      <c r="AL189">
        <v>4</v>
      </c>
      <c r="AM189" s="5">
        <f t="shared" si="14"/>
        <v>0.1</v>
      </c>
      <c r="AN189" s="6">
        <f>(AM189-'[1]1982'!$AO$4)/('[1]1982'!$AO$3-'[1]1982'!$AO$4)</f>
        <v>1.5145778114350627E-4</v>
      </c>
      <c r="AO189" s="7"/>
      <c r="AP189">
        <v>0</v>
      </c>
      <c r="AR189" t="s">
        <v>19</v>
      </c>
      <c r="AT189" s="3" t="s">
        <v>20</v>
      </c>
      <c r="AU189" s="8" t="e">
        <f t="shared" si="15"/>
        <v>#VALUE!</v>
      </c>
      <c r="AV189" s="8" t="e">
        <f t="shared" si="16"/>
        <v>#VALUE!</v>
      </c>
      <c r="AW189" s="8" t="e">
        <f t="shared" si="17"/>
        <v>#VALUE!</v>
      </c>
    </row>
    <row r="190" spans="1:49" x14ac:dyDescent="0.2">
      <c r="A190">
        <v>188</v>
      </c>
      <c r="B190" t="s">
        <v>2155</v>
      </c>
      <c r="C190" t="s">
        <v>2156</v>
      </c>
      <c r="F190" t="s">
        <v>2157</v>
      </c>
      <c r="G190" t="s">
        <v>4</v>
      </c>
      <c r="H190" t="s">
        <v>5</v>
      </c>
      <c r="I190" t="s">
        <v>2158</v>
      </c>
      <c r="J190" t="s">
        <v>2159</v>
      </c>
      <c r="K190" t="s">
        <v>2160</v>
      </c>
      <c r="L190" t="s">
        <v>2161</v>
      </c>
      <c r="M190" t="s">
        <v>1556</v>
      </c>
      <c r="N190">
        <v>3</v>
      </c>
      <c r="O190" t="s">
        <v>2162</v>
      </c>
      <c r="P190" t="s">
        <v>2163</v>
      </c>
      <c r="Q190" t="s">
        <v>2164</v>
      </c>
      <c r="R190" s="1">
        <v>29952</v>
      </c>
      <c r="S190" s="2">
        <f t="shared" si="12"/>
        <v>1982</v>
      </c>
      <c r="T190" s="2">
        <v>1982</v>
      </c>
      <c r="U190" s="2">
        <f t="shared" si="13"/>
        <v>40</v>
      </c>
      <c r="V190" s="1">
        <v>30286</v>
      </c>
      <c r="W190" t="s">
        <v>1967</v>
      </c>
      <c r="X190" s="3">
        <v>0.82</v>
      </c>
      <c r="Y190" s="4">
        <f>(X190-'[1]1982'!$Z$4)/('[1]1982'!$Z$3-'[1]1982'!$Z$4)</f>
        <v>2.1889431675609299E-2</v>
      </c>
      <c r="AA190">
        <v>189456</v>
      </c>
      <c r="AB190">
        <v>15361</v>
      </c>
      <c r="AC190">
        <v>15579662</v>
      </c>
      <c r="AD190" t="s">
        <v>15</v>
      </c>
      <c r="AE190" t="s">
        <v>1968</v>
      </c>
      <c r="AF190">
        <v>4</v>
      </c>
      <c r="AH190" t="s">
        <v>2165</v>
      </c>
      <c r="AI190" t="s">
        <v>2166</v>
      </c>
      <c r="AK190" t="s">
        <v>2167</v>
      </c>
      <c r="AL190">
        <v>8</v>
      </c>
      <c r="AM190" s="5">
        <f t="shared" si="14"/>
        <v>0.2</v>
      </c>
      <c r="AN190" s="6">
        <f>(AM190-'[1]1982'!$AO$4)/('[1]1982'!$AO$3-'[1]1982'!$AO$4)</f>
        <v>3.0291556228701253E-4</v>
      </c>
      <c r="AO190" s="7"/>
      <c r="AP190">
        <v>0</v>
      </c>
      <c r="AR190" t="s">
        <v>19</v>
      </c>
      <c r="AT190" s="3" t="s">
        <v>20</v>
      </c>
      <c r="AU190" s="8">
        <f t="shared" si="15"/>
        <v>1.5413476841612612</v>
      </c>
      <c r="AV190" s="8">
        <f t="shared" si="16"/>
        <v>1.1096173618948155</v>
      </c>
      <c r="AW190" s="8">
        <f t="shared" si="17"/>
        <v>0.67788703962836983</v>
      </c>
    </row>
    <row r="191" spans="1:49" x14ac:dyDescent="0.2">
      <c r="A191">
        <v>189</v>
      </c>
      <c r="B191" t="s">
        <v>2168</v>
      </c>
      <c r="C191" t="s">
        <v>2169</v>
      </c>
      <c r="F191" t="s">
        <v>2170</v>
      </c>
      <c r="G191" t="s">
        <v>4</v>
      </c>
      <c r="H191" t="s">
        <v>5</v>
      </c>
      <c r="I191" t="s">
        <v>2171</v>
      </c>
      <c r="J191">
        <v>60019983</v>
      </c>
      <c r="K191" t="s">
        <v>2172</v>
      </c>
      <c r="L191" t="s">
        <v>2173</v>
      </c>
      <c r="M191" t="s">
        <v>485</v>
      </c>
      <c r="N191">
        <v>3</v>
      </c>
      <c r="O191" t="s">
        <v>2174</v>
      </c>
      <c r="P191" t="s">
        <v>2175</v>
      </c>
      <c r="Q191" t="s">
        <v>2176</v>
      </c>
      <c r="R191" s="1">
        <v>29952</v>
      </c>
      <c r="S191" s="2">
        <f t="shared" si="12"/>
        <v>1982</v>
      </c>
      <c r="T191" s="2">
        <v>1982</v>
      </c>
      <c r="U191" s="2">
        <f t="shared" si="13"/>
        <v>40</v>
      </c>
      <c r="V191" s="1">
        <v>1982</v>
      </c>
      <c r="W191" t="s">
        <v>1005</v>
      </c>
      <c r="X191" s="3">
        <v>0.111</v>
      </c>
      <c r="Y191" s="4">
        <f>(X191-'[1]1982'!$Z$4)/('[1]1982'!$Z$3-'[1]1982'!$Z$4)</f>
        <v>2.9630816048690639E-3</v>
      </c>
      <c r="AA191">
        <v>87566621</v>
      </c>
      <c r="AB191">
        <v>24890</v>
      </c>
      <c r="AC191">
        <v>15206424</v>
      </c>
      <c r="AD191" t="s">
        <v>15</v>
      </c>
      <c r="AE191">
        <v>65</v>
      </c>
      <c r="AF191">
        <v>12</v>
      </c>
      <c r="AH191" t="s">
        <v>2177</v>
      </c>
      <c r="AI191" t="s">
        <v>2178</v>
      </c>
      <c r="AK191" t="s">
        <v>2179</v>
      </c>
      <c r="AL191">
        <v>2</v>
      </c>
      <c r="AM191" s="5">
        <f t="shared" si="14"/>
        <v>0.05</v>
      </c>
      <c r="AN191" s="6">
        <f>(AM191-'[1]1982'!$AO$4)/('[1]1982'!$AO$3-'[1]1982'!$AO$4)</f>
        <v>7.5728890571753133E-5</v>
      </c>
      <c r="AO191" s="7"/>
      <c r="AP191">
        <v>0</v>
      </c>
      <c r="AR191" t="s">
        <v>19</v>
      </c>
      <c r="AT191" s="3" t="s">
        <v>20</v>
      </c>
      <c r="AU191" s="8">
        <f t="shared" si="15"/>
        <v>0.20968757905798704</v>
      </c>
      <c r="AV191" s="8">
        <f t="shared" si="16"/>
        <v>0.15194052477204087</v>
      </c>
      <c r="AW191" s="8">
        <f t="shared" si="17"/>
        <v>9.4193470486094624E-2</v>
      </c>
    </row>
    <row r="192" spans="1:49" x14ac:dyDescent="0.2">
      <c r="A192">
        <v>190</v>
      </c>
      <c r="B192" t="s">
        <v>2180</v>
      </c>
      <c r="F192" t="s">
        <v>2181</v>
      </c>
      <c r="G192" t="s">
        <v>4</v>
      </c>
      <c r="H192" t="s">
        <v>5</v>
      </c>
      <c r="I192" t="s">
        <v>2182</v>
      </c>
      <c r="N192">
        <v>2</v>
      </c>
      <c r="O192" t="s">
        <v>2183</v>
      </c>
      <c r="P192" t="s">
        <v>2184</v>
      </c>
      <c r="Q192" t="s">
        <v>156</v>
      </c>
      <c r="R192" s="1">
        <v>29952</v>
      </c>
      <c r="S192" s="2">
        <f t="shared" si="12"/>
        <v>1982</v>
      </c>
      <c r="T192" s="2">
        <v>1982</v>
      </c>
      <c r="U192" s="2">
        <f t="shared" si="13"/>
        <v>40</v>
      </c>
      <c r="V192" s="1" t="s">
        <v>717</v>
      </c>
      <c r="W192" t="s">
        <v>2185</v>
      </c>
      <c r="X192" s="3">
        <v>0.14099999999999999</v>
      </c>
      <c r="Y192" s="4">
        <f>(X192-'[1]1982'!$Z$4)/('[1]1982'!$Z$3-'[1]1982'!$Z$4)</f>
        <v>3.7639144710498915E-3</v>
      </c>
      <c r="AA192">
        <v>402508</v>
      </c>
      <c r="AB192">
        <v>20868</v>
      </c>
      <c r="AD192" t="s">
        <v>15</v>
      </c>
      <c r="AE192" t="s">
        <v>2186</v>
      </c>
      <c r="AF192">
        <v>12</v>
      </c>
      <c r="AH192" t="s">
        <v>2187</v>
      </c>
      <c r="AI192" t="s">
        <v>2188</v>
      </c>
      <c r="AK192" t="s">
        <v>2189</v>
      </c>
      <c r="AL192">
        <v>0</v>
      </c>
      <c r="AM192" s="5">
        <f t="shared" si="14"/>
        <v>0</v>
      </c>
      <c r="AN192" s="6">
        <f>(AM192-'[1]1982'!$AO$4)/('[1]1982'!$AO$3-'[1]1982'!$AO$4)</f>
        <v>0</v>
      </c>
      <c r="AO192" s="7"/>
      <c r="AP192">
        <v>0</v>
      </c>
      <c r="AR192" t="s">
        <v>19</v>
      </c>
      <c r="AT192" s="3" t="s">
        <v>20</v>
      </c>
      <c r="AU192" s="8">
        <f t="shared" si="15"/>
        <v>0.26347401297349238</v>
      </c>
      <c r="AV192" s="8">
        <f t="shared" si="16"/>
        <v>0.18819572355249459</v>
      </c>
      <c r="AW192" s="8">
        <f t="shared" si="17"/>
        <v>0.11291743413149673</v>
      </c>
    </row>
    <row r="193" spans="1:49" x14ac:dyDescent="0.2">
      <c r="A193">
        <v>191</v>
      </c>
      <c r="B193" t="s">
        <v>2190</v>
      </c>
      <c r="F193" t="s">
        <v>2191</v>
      </c>
      <c r="G193" t="s">
        <v>4</v>
      </c>
      <c r="H193" t="s">
        <v>5</v>
      </c>
      <c r="I193" t="s">
        <v>2192</v>
      </c>
      <c r="N193">
        <v>2</v>
      </c>
      <c r="O193" t="s">
        <v>2193</v>
      </c>
      <c r="P193" t="s">
        <v>2194</v>
      </c>
      <c r="Q193" t="s">
        <v>156</v>
      </c>
      <c r="R193" s="1">
        <v>29952</v>
      </c>
      <c r="S193" s="2">
        <f t="shared" si="12"/>
        <v>1982</v>
      </c>
      <c r="T193" s="2">
        <v>1982</v>
      </c>
      <c r="U193" s="2">
        <f t="shared" si="13"/>
        <v>40</v>
      </c>
      <c r="V193" s="1" t="s">
        <v>717</v>
      </c>
      <c r="W193" t="s">
        <v>2185</v>
      </c>
      <c r="X193" s="3">
        <v>0.14099999999999999</v>
      </c>
      <c r="Y193" s="4">
        <f>(X193-'[1]1982'!$Z$4)/('[1]1982'!$Z$3-'[1]1982'!$Z$4)</f>
        <v>3.7639144710498915E-3</v>
      </c>
      <c r="AA193">
        <v>402508</v>
      </c>
      <c r="AB193">
        <v>20868</v>
      </c>
      <c r="AD193" t="s">
        <v>15</v>
      </c>
      <c r="AE193" t="s">
        <v>2186</v>
      </c>
      <c r="AF193">
        <v>12</v>
      </c>
      <c r="AH193" t="s">
        <v>2195</v>
      </c>
      <c r="AI193" t="s">
        <v>2196</v>
      </c>
      <c r="AK193" t="s">
        <v>2197</v>
      </c>
      <c r="AL193">
        <v>0</v>
      </c>
      <c r="AM193" s="5">
        <f t="shared" si="14"/>
        <v>0</v>
      </c>
      <c r="AN193" s="6">
        <f>(AM193-'[1]1982'!$AO$4)/('[1]1982'!$AO$3-'[1]1982'!$AO$4)</f>
        <v>0</v>
      </c>
      <c r="AO193" s="7"/>
      <c r="AP193">
        <v>0</v>
      </c>
      <c r="AR193" t="s">
        <v>19</v>
      </c>
      <c r="AT193" s="3" t="s">
        <v>20</v>
      </c>
      <c r="AU193" s="8">
        <f t="shared" si="15"/>
        <v>0.26347401297349238</v>
      </c>
      <c r="AV193" s="8">
        <f t="shared" si="16"/>
        <v>0.18819572355249459</v>
      </c>
      <c r="AW193" s="8">
        <f t="shared" si="17"/>
        <v>0.11291743413149673</v>
      </c>
    </row>
    <row r="194" spans="1:49" x14ac:dyDescent="0.2">
      <c r="A194">
        <v>192</v>
      </c>
      <c r="B194" t="s">
        <v>2198</v>
      </c>
      <c r="F194" t="s">
        <v>2199</v>
      </c>
      <c r="G194" t="s">
        <v>4</v>
      </c>
      <c r="H194" t="s">
        <v>5</v>
      </c>
      <c r="I194" t="s">
        <v>2200</v>
      </c>
      <c r="N194">
        <v>3</v>
      </c>
      <c r="O194" t="s">
        <v>2201</v>
      </c>
      <c r="P194" t="s">
        <v>2202</v>
      </c>
      <c r="Q194" t="s">
        <v>145</v>
      </c>
      <c r="R194" s="1">
        <v>29952</v>
      </c>
      <c r="S194" s="2">
        <f t="shared" ref="S194:S257" si="18">YEAR(R194)</f>
        <v>1982</v>
      </c>
      <c r="T194" s="2">
        <v>1982</v>
      </c>
      <c r="U194" s="2">
        <f t="shared" ref="U194:U257" si="19">2022-T194</f>
        <v>40</v>
      </c>
      <c r="V194" s="1">
        <v>1982</v>
      </c>
      <c r="W194" t="s">
        <v>2203</v>
      </c>
      <c r="X194" s="3" t="s">
        <v>20</v>
      </c>
      <c r="Y194" s="4" t="e">
        <f>(X194-'[1]1982'!$Z$4)/('[1]1982'!$Z$3-'[1]1982'!$Z$4)</f>
        <v>#VALUE!</v>
      </c>
      <c r="AA194">
        <v>271349</v>
      </c>
      <c r="AB194">
        <v>28721</v>
      </c>
      <c r="AD194" t="s">
        <v>15</v>
      </c>
      <c r="AE194">
        <v>37</v>
      </c>
      <c r="AF194">
        <v>4</v>
      </c>
      <c r="AH194" t="s">
        <v>2204</v>
      </c>
      <c r="AI194" t="s">
        <v>2205</v>
      </c>
      <c r="AK194" t="s">
        <v>2206</v>
      </c>
      <c r="AL194">
        <v>0</v>
      </c>
      <c r="AM194" s="5">
        <f t="shared" ref="AM194:AM257" si="20">AL194/U194</f>
        <v>0</v>
      </c>
      <c r="AN194" s="6">
        <f>(AM194-'[1]1982'!$AO$4)/('[1]1982'!$AO$3-'[1]1982'!$AO$4)</f>
        <v>0</v>
      </c>
      <c r="AO194" s="7"/>
      <c r="AP194">
        <v>0</v>
      </c>
      <c r="AR194" t="s">
        <v>19</v>
      </c>
      <c r="AT194" s="3" t="s">
        <v>20</v>
      </c>
      <c r="AU194" s="8" t="e">
        <f t="shared" ref="AU194:AU257" si="21">(Y194*0.7+AN194*0.3)*100</f>
        <v>#VALUE!</v>
      </c>
      <c r="AV194" s="8" t="e">
        <f t="shared" ref="AV194:AV257" si="22">(Y194*0.5+AN194*0.5)*100</f>
        <v>#VALUE!</v>
      </c>
      <c r="AW194" s="8" t="e">
        <f t="shared" ref="AW194:AW257" si="23">(Y194*0.3+AN194*0.7)*100</f>
        <v>#VALUE!</v>
      </c>
    </row>
    <row r="195" spans="1:49" x14ac:dyDescent="0.2">
      <c r="A195">
        <v>193</v>
      </c>
      <c r="B195" t="s">
        <v>2207</v>
      </c>
      <c r="F195" t="s">
        <v>2208</v>
      </c>
      <c r="G195" t="s">
        <v>4</v>
      </c>
      <c r="H195" t="s">
        <v>5</v>
      </c>
      <c r="I195" t="s">
        <v>2209</v>
      </c>
      <c r="N195">
        <v>4</v>
      </c>
      <c r="O195" t="s">
        <v>2210</v>
      </c>
      <c r="P195" t="s">
        <v>2211</v>
      </c>
      <c r="Q195" t="s">
        <v>165</v>
      </c>
      <c r="R195" s="1">
        <v>29952</v>
      </c>
      <c r="S195" s="2">
        <f t="shared" si="18"/>
        <v>1982</v>
      </c>
      <c r="T195" s="2">
        <v>1982</v>
      </c>
      <c r="U195" s="2">
        <f t="shared" si="19"/>
        <v>40</v>
      </c>
      <c r="V195" s="1" t="s">
        <v>717</v>
      </c>
      <c r="W195" t="s">
        <v>2185</v>
      </c>
      <c r="X195" s="3">
        <v>0.14099999999999999</v>
      </c>
      <c r="Y195" s="4">
        <f>(X195-'[1]1982'!$Z$4)/('[1]1982'!$Z$3-'[1]1982'!$Z$4)</f>
        <v>3.7639144710498915E-3</v>
      </c>
      <c r="AA195">
        <v>402508</v>
      </c>
      <c r="AB195">
        <v>20868</v>
      </c>
      <c r="AD195" t="s">
        <v>15</v>
      </c>
      <c r="AE195" t="s">
        <v>2186</v>
      </c>
      <c r="AF195">
        <v>12</v>
      </c>
      <c r="AH195" t="s">
        <v>2212</v>
      </c>
      <c r="AI195" t="s">
        <v>2213</v>
      </c>
      <c r="AK195" t="s">
        <v>2214</v>
      </c>
      <c r="AL195">
        <v>0</v>
      </c>
      <c r="AM195" s="5">
        <f t="shared" si="20"/>
        <v>0</v>
      </c>
      <c r="AN195" s="6">
        <f>(AM195-'[1]1982'!$AO$4)/('[1]1982'!$AO$3-'[1]1982'!$AO$4)</f>
        <v>0</v>
      </c>
      <c r="AO195" s="7"/>
      <c r="AP195">
        <v>0</v>
      </c>
      <c r="AR195" t="s">
        <v>19</v>
      </c>
      <c r="AT195" s="3" t="s">
        <v>20</v>
      </c>
      <c r="AU195" s="8">
        <f t="shared" si="21"/>
        <v>0.26347401297349238</v>
      </c>
      <c r="AV195" s="8">
        <f t="shared" si="22"/>
        <v>0.18819572355249459</v>
      </c>
      <c r="AW195" s="8">
        <f t="shared" si="23"/>
        <v>0.11291743413149673</v>
      </c>
    </row>
    <row r="196" spans="1:49" x14ac:dyDescent="0.2">
      <c r="A196">
        <v>194</v>
      </c>
      <c r="B196" t="s">
        <v>2215</v>
      </c>
      <c r="F196" t="s">
        <v>2216</v>
      </c>
      <c r="G196" t="s">
        <v>4</v>
      </c>
      <c r="H196" t="s">
        <v>5</v>
      </c>
      <c r="I196" t="s">
        <v>2217</v>
      </c>
      <c r="N196">
        <v>3</v>
      </c>
      <c r="O196" t="s">
        <v>2218</v>
      </c>
      <c r="P196" t="s">
        <v>2219</v>
      </c>
      <c r="Q196" t="s">
        <v>145</v>
      </c>
      <c r="R196" s="1">
        <v>29952</v>
      </c>
      <c r="S196" s="2">
        <f t="shared" si="18"/>
        <v>1982</v>
      </c>
      <c r="T196" s="2">
        <v>1982</v>
      </c>
      <c r="U196" s="2">
        <f t="shared" si="19"/>
        <v>40</v>
      </c>
      <c r="V196" s="1" t="s">
        <v>717</v>
      </c>
      <c r="W196" t="s">
        <v>2185</v>
      </c>
      <c r="X196" s="3">
        <v>0.14099999999999999</v>
      </c>
      <c r="Y196" s="4">
        <f>(X196-'[1]1982'!$Z$4)/('[1]1982'!$Z$3-'[1]1982'!$Z$4)</f>
        <v>3.7639144710498915E-3</v>
      </c>
      <c r="AA196">
        <v>402508</v>
      </c>
      <c r="AB196">
        <v>20868</v>
      </c>
      <c r="AD196" t="s">
        <v>15</v>
      </c>
      <c r="AE196" t="s">
        <v>2186</v>
      </c>
      <c r="AF196">
        <v>12</v>
      </c>
      <c r="AH196" t="s">
        <v>2220</v>
      </c>
      <c r="AI196" t="s">
        <v>2221</v>
      </c>
      <c r="AK196" t="s">
        <v>2222</v>
      </c>
      <c r="AL196">
        <v>0</v>
      </c>
      <c r="AM196" s="5">
        <f t="shared" si="20"/>
        <v>0</v>
      </c>
      <c r="AN196" s="6">
        <f>(AM196-'[1]1982'!$AO$4)/('[1]1982'!$AO$3-'[1]1982'!$AO$4)</f>
        <v>0</v>
      </c>
      <c r="AO196" s="7"/>
      <c r="AP196">
        <v>0</v>
      </c>
      <c r="AR196" t="s">
        <v>19</v>
      </c>
      <c r="AT196" s="3" t="s">
        <v>20</v>
      </c>
      <c r="AU196" s="8">
        <f t="shared" si="21"/>
        <v>0.26347401297349238</v>
      </c>
      <c r="AV196" s="8">
        <f t="shared" si="22"/>
        <v>0.18819572355249459</v>
      </c>
      <c r="AW196" s="8">
        <f t="shared" si="23"/>
        <v>0.11291743413149673</v>
      </c>
    </row>
    <row r="197" spans="1:49" x14ac:dyDescent="0.2">
      <c r="A197">
        <v>195</v>
      </c>
      <c r="B197" t="s">
        <v>2223</v>
      </c>
      <c r="F197" t="s">
        <v>2224</v>
      </c>
      <c r="G197" t="s">
        <v>4</v>
      </c>
      <c r="H197" t="s">
        <v>5</v>
      </c>
      <c r="I197" t="s">
        <v>2225</v>
      </c>
      <c r="N197">
        <v>1</v>
      </c>
      <c r="O197" t="s">
        <v>2226</v>
      </c>
      <c r="P197">
        <v>57203737489</v>
      </c>
      <c r="R197" s="1">
        <v>29952</v>
      </c>
      <c r="S197" s="2">
        <f t="shared" si="18"/>
        <v>1982</v>
      </c>
      <c r="T197" s="2">
        <v>1982</v>
      </c>
      <c r="U197" s="2">
        <f t="shared" si="19"/>
        <v>40</v>
      </c>
      <c r="V197" s="1">
        <v>1982</v>
      </c>
      <c r="W197" t="s">
        <v>2227</v>
      </c>
      <c r="X197" s="3" t="s">
        <v>20</v>
      </c>
      <c r="Y197" s="4" t="e">
        <f>(X197-'[1]1982'!$Z$4)/('[1]1982'!$Z$3-'[1]1982'!$Z$4)</f>
        <v>#VALUE!</v>
      </c>
      <c r="AA197">
        <v>3779254</v>
      </c>
      <c r="AB197">
        <v>95454</v>
      </c>
      <c r="AD197" t="s">
        <v>15</v>
      </c>
      <c r="AE197">
        <v>8</v>
      </c>
      <c r="AF197">
        <v>2</v>
      </c>
      <c r="AH197" t="s">
        <v>2228</v>
      </c>
      <c r="AI197" t="s">
        <v>2229</v>
      </c>
      <c r="AK197" t="s">
        <v>2230</v>
      </c>
      <c r="AL197">
        <v>0</v>
      </c>
      <c r="AM197" s="5">
        <f t="shared" si="20"/>
        <v>0</v>
      </c>
      <c r="AN197" s="6">
        <f>(AM197-'[1]1982'!$AO$4)/('[1]1982'!$AO$3-'[1]1982'!$AO$4)</f>
        <v>0</v>
      </c>
      <c r="AO197" s="7"/>
      <c r="AP197">
        <v>0</v>
      </c>
      <c r="AR197" t="s">
        <v>19</v>
      </c>
      <c r="AT197" s="3" t="s">
        <v>20</v>
      </c>
      <c r="AU197" s="8" t="e">
        <f t="shared" si="21"/>
        <v>#VALUE!</v>
      </c>
      <c r="AV197" s="8" t="e">
        <f t="shared" si="22"/>
        <v>#VALUE!</v>
      </c>
      <c r="AW197" s="8" t="e">
        <f t="shared" si="23"/>
        <v>#VALUE!</v>
      </c>
    </row>
    <row r="198" spans="1:49" x14ac:dyDescent="0.2">
      <c r="A198">
        <v>196</v>
      </c>
      <c r="B198" t="s">
        <v>2231</v>
      </c>
      <c r="C198" t="s">
        <v>2232</v>
      </c>
      <c r="E198">
        <v>6152896</v>
      </c>
      <c r="F198" t="s">
        <v>2233</v>
      </c>
      <c r="G198" t="s">
        <v>4</v>
      </c>
      <c r="H198" t="s">
        <v>5</v>
      </c>
      <c r="I198" t="s">
        <v>2234</v>
      </c>
      <c r="N198">
        <v>2</v>
      </c>
      <c r="O198" t="s">
        <v>2235</v>
      </c>
      <c r="P198" t="s">
        <v>2236</v>
      </c>
      <c r="Q198" t="s">
        <v>156</v>
      </c>
      <c r="R198" s="1">
        <v>29952</v>
      </c>
      <c r="S198" s="2">
        <f t="shared" si="18"/>
        <v>1982</v>
      </c>
      <c r="T198" s="2">
        <v>1982</v>
      </c>
      <c r="U198" s="2">
        <f t="shared" si="19"/>
        <v>40</v>
      </c>
      <c r="V198" s="1">
        <v>1982</v>
      </c>
      <c r="W198" t="s">
        <v>2237</v>
      </c>
      <c r="X198" s="3" t="s">
        <v>20</v>
      </c>
      <c r="Y198" s="4" t="e">
        <f>(X198-'[1]1982'!$Z$4)/('[1]1982'!$Z$3-'[1]1982'!$Z$4)</f>
        <v>#VALUE!</v>
      </c>
      <c r="AA198">
        <v>2614189</v>
      </c>
      <c r="AB198">
        <v>17435</v>
      </c>
      <c r="AD198" t="s">
        <v>15</v>
      </c>
      <c r="AE198">
        <v>1</v>
      </c>
      <c r="AF198">
        <v>7</v>
      </c>
      <c r="AH198" t="s">
        <v>2238</v>
      </c>
      <c r="AI198" t="s">
        <v>2239</v>
      </c>
      <c r="AK198" t="s">
        <v>2240</v>
      </c>
      <c r="AL198">
        <v>95</v>
      </c>
      <c r="AM198" s="5">
        <f t="shared" si="20"/>
        <v>2.375</v>
      </c>
      <c r="AN198" s="6">
        <f>(AM198-'[1]1982'!$AO$4)/('[1]1982'!$AO$3-'[1]1982'!$AO$4)</f>
        <v>3.5971223021582736E-3</v>
      </c>
      <c r="AO198" s="7"/>
      <c r="AP198">
        <v>1</v>
      </c>
      <c r="AR198" t="s">
        <v>19</v>
      </c>
      <c r="AT198" s="3" t="s">
        <v>20</v>
      </c>
      <c r="AU198" s="8" t="e">
        <f t="shared" si="21"/>
        <v>#VALUE!</v>
      </c>
      <c r="AV198" s="8" t="e">
        <f t="shared" si="22"/>
        <v>#VALUE!</v>
      </c>
      <c r="AW198" s="8" t="e">
        <f t="shared" si="23"/>
        <v>#VALUE!</v>
      </c>
    </row>
    <row r="199" spans="1:49" x14ac:dyDescent="0.2">
      <c r="A199">
        <v>197</v>
      </c>
      <c r="B199" t="s">
        <v>2241</v>
      </c>
      <c r="C199" t="s">
        <v>2242</v>
      </c>
      <c r="D199">
        <v>12160682900653</v>
      </c>
      <c r="E199">
        <v>6818065</v>
      </c>
      <c r="F199" t="s">
        <v>2243</v>
      </c>
      <c r="G199" t="s">
        <v>4</v>
      </c>
      <c r="H199" t="s">
        <v>5</v>
      </c>
      <c r="I199" t="s">
        <v>2244</v>
      </c>
      <c r="J199">
        <v>60024631</v>
      </c>
      <c r="K199" t="s">
        <v>2245</v>
      </c>
      <c r="L199" t="s">
        <v>2246</v>
      </c>
      <c r="M199" t="s">
        <v>2247</v>
      </c>
      <c r="N199">
        <v>1</v>
      </c>
      <c r="O199" t="s">
        <v>2248</v>
      </c>
      <c r="P199">
        <v>7103138484</v>
      </c>
      <c r="Q199">
        <v>60024631</v>
      </c>
      <c r="R199" s="1">
        <v>29952</v>
      </c>
      <c r="S199" s="2">
        <f t="shared" si="18"/>
        <v>1982</v>
      </c>
      <c r="T199" s="2">
        <v>1982</v>
      </c>
      <c r="U199" s="2">
        <f t="shared" si="19"/>
        <v>40</v>
      </c>
      <c r="V199" s="1">
        <v>30256</v>
      </c>
      <c r="W199" t="s">
        <v>2249</v>
      </c>
      <c r="X199" s="3">
        <v>1.77</v>
      </c>
      <c r="Y199" s="4">
        <f>(X199-'[1]1982'!$Z$4)/('[1]1982'!$Z$3-'[1]1982'!$Z$4)</f>
        <v>4.7249139104668859E-2</v>
      </c>
      <c r="AA199">
        <v>121606</v>
      </c>
      <c r="AB199">
        <v>14536</v>
      </c>
      <c r="AD199" t="s">
        <v>15</v>
      </c>
      <c r="AE199">
        <v>94</v>
      </c>
      <c r="AF199">
        <v>1</v>
      </c>
      <c r="AH199" t="s">
        <v>2250</v>
      </c>
      <c r="AI199" t="s">
        <v>2251</v>
      </c>
      <c r="AK199" t="s">
        <v>2252</v>
      </c>
      <c r="AL199">
        <v>15</v>
      </c>
      <c r="AM199" s="5">
        <f t="shared" si="20"/>
        <v>0.375</v>
      </c>
      <c r="AN199" s="6">
        <f>(AM199-'[1]1982'!$AO$4)/('[1]1982'!$AO$3-'[1]1982'!$AO$4)</f>
        <v>5.6796667928814845E-4</v>
      </c>
      <c r="AO199" s="7"/>
      <c r="AP199">
        <v>0</v>
      </c>
      <c r="AQ199" t="s">
        <v>2253</v>
      </c>
      <c r="AR199" t="s">
        <v>2254</v>
      </c>
      <c r="AS199" t="s">
        <v>2255</v>
      </c>
      <c r="AT199" s="3">
        <v>3.5819999999999999</v>
      </c>
      <c r="AU199" s="8">
        <f t="shared" si="21"/>
        <v>3.3244787377054643</v>
      </c>
      <c r="AV199" s="8">
        <f t="shared" si="22"/>
        <v>2.3908552891978503</v>
      </c>
      <c r="AW199" s="8">
        <f t="shared" si="23"/>
        <v>1.457231840690236</v>
      </c>
    </row>
    <row r="200" spans="1:49" x14ac:dyDescent="0.2">
      <c r="A200">
        <v>198</v>
      </c>
      <c r="B200" t="s">
        <v>2256</v>
      </c>
      <c r="F200" t="s">
        <v>2257</v>
      </c>
      <c r="G200" t="s">
        <v>4</v>
      </c>
      <c r="H200" t="s">
        <v>5</v>
      </c>
      <c r="I200" t="s">
        <v>2258</v>
      </c>
      <c r="N200">
        <v>1</v>
      </c>
      <c r="O200" t="s">
        <v>2259</v>
      </c>
      <c r="P200">
        <v>7003805994</v>
      </c>
      <c r="R200" s="1">
        <v>29952</v>
      </c>
      <c r="S200" s="2">
        <f t="shared" si="18"/>
        <v>1982</v>
      </c>
      <c r="T200" s="2">
        <v>1982</v>
      </c>
      <c r="U200" s="2">
        <f t="shared" si="19"/>
        <v>40</v>
      </c>
      <c r="V200" s="1" t="s">
        <v>2260</v>
      </c>
      <c r="W200" t="s">
        <v>1643</v>
      </c>
      <c r="X200" s="3" t="s">
        <v>20</v>
      </c>
      <c r="Y200" s="4" t="e">
        <f>(X200-'[1]1982'!$Z$4)/('[1]1982'!$Z$3-'[1]1982'!$Z$4)</f>
        <v>#VALUE!</v>
      </c>
      <c r="AA200">
        <v>337889</v>
      </c>
      <c r="AB200">
        <v>40920</v>
      </c>
      <c r="AD200" t="s">
        <v>15</v>
      </c>
      <c r="AE200">
        <v>27</v>
      </c>
      <c r="AF200">
        <v>11</v>
      </c>
      <c r="AH200" t="s">
        <v>2261</v>
      </c>
      <c r="AI200" t="s">
        <v>2262</v>
      </c>
      <c r="AK200" t="s">
        <v>2263</v>
      </c>
      <c r="AL200">
        <v>0</v>
      </c>
      <c r="AM200" s="5">
        <f t="shared" si="20"/>
        <v>0</v>
      </c>
      <c r="AN200" s="6">
        <f>(AM200-'[1]1982'!$AO$4)/('[1]1982'!$AO$3-'[1]1982'!$AO$4)</f>
        <v>0</v>
      </c>
      <c r="AO200" s="7"/>
      <c r="AP200">
        <v>0</v>
      </c>
      <c r="AR200" t="s">
        <v>19</v>
      </c>
      <c r="AT200" s="3" t="s">
        <v>20</v>
      </c>
      <c r="AU200" s="8" t="e">
        <f t="shared" si="21"/>
        <v>#VALUE!</v>
      </c>
      <c r="AV200" s="8" t="e">
        <f t="shared" si="22"/>
        <v>#VALUE!</v>
      </c>
      <c r="AW200" s="8" t="e">
        <f t="shared" si="23"/>
        <v>#VALUE!</v>
      </c>
    </row>
    <row r="201" spans="1:49" x14ac:dyDescent="0.2">
      <c r="A201">
        <v>199</v>
      </c>
      <c r="B201" t="s">
        <v>2264</v>
      </c>
      <c r="C201" t="s">
        <v>2265</v>
      </c>
      <c r="D201" t="s">
        <v>2266</v>
      </c>
      <c r="E201">
        <v>6295282</v>
      </c>
      <c r="F201" t="s">
        <v>2267</v>
      </c>
      <c r="G201" t="s">
        <v>4</v>
      </c>
      <c r="H201" t="s">
        <v>5</v>
      </c>
      <c r="I201" t="s">
        <v>2268</v>
      </c>
      <c r="J201">
        <v>60025272</v>
      </c>
      <c r="K201" t="s">
        <v>2269</v>
      </c>
      <c r="L201" t="s">
        <v>583</v>
      </c>
      <c r="M201" t="s">
        <v>485</v>
      </c>
      <c r="N201">
        <v>2</v>
      </c>
      <c r="O201" t="s">
        <v>2270</v>
      </c>
      <c r="P201" t="s">
        <v>2271</v>
      </c>
      <c r="Q201" t="s">
        <v>2272</v>
      </c>
      <c r="R201" s="1">
        <v>29952</v>
      </c>
      <c r="S201" s="2">
        <f t="shared" si="18"/>
        <v>1982</v>
      </c>
      <c r="T201" s="2">
        <v>1982</v>
      </c>
      <c r="U201" s="2">
        <f t="shared" si="19"/>
        <v>40</v>
      </c>
      <c r="V201" s="1">
        <v>30256</v>
      </c>
      <c r="W201" t="s">
        <v>2273</v>
      </c>
      <c r="X201" s="3">
        <v>1.097</v>
      </c>
      <c r="Y201" s="4">
        <f>(X201-'[1]1982'!$Z$4)/('[1]1982'!$Z$3-'[1]1982'!$Z$4)</f>
        <v>2.9283788473345614E-2</v>
      </c>
      <c r="AA201">
        <v>39861</v>
      </c>
      <c r="AB201">
        <v>16811</v>
      </c>
      <c r="AC201">
        <v>10960384</v>
      </c>
      <c r="AD201" t="s">
        <v>15</v>
      </c>
      <c r="AE201">
        <v>219</v>
      </c>
      <c r="AF201">
        <v>1</v>
      </c>
      <c r="AH201" t="s">
        <v>2274</v>
      </c>
      <c r="AI201" t="s">
        <v>2275</v>
      </c>
      <c r="AK201" t="s">
        <v>2276</v>
      </c>
      <c r="AL201">
        <v>36</v>
      </c>
      <c r="AM201" s="5">
        <f t="shared" si="20"/>
        <v>0.9</v>
      </c>
      <c r="AN201" s="6">
        <f>(AM201-'[1]1982'!$AO$4)/('[1]1982'!$AO$3-'[1]1982'!$AO$4)</f>
        <v>1.3631200302915562E-3</v>
      </c>
      <c r="AO201" s="7"/>
      <c r="AP201">
        <v>0</v>
      </c>
      <c r="AQ201" t="s">
        <v>2277</v>
      </c>
      <c r="AR201" t="s">
        <v>19</v>
      </c>
      <c r="AS201" t="s">
        <v>2278</v>
      </c>
      <c r="AT201" s="3" t="s">
        <v>20</v>
      </c>
      <c r="AU201" s="8">
        <f t="shared" si="21"/>
        <v>2.0907587940429395</v>
      </c>
      <c r="AV201" s="8">
        <f t="shared" si="22"/>
        <v>1.5323454251818585</v>
      </c>
      <c r="AW201" s="8">
        <f t="shared" si="23"/>
        <v>0.97393205632077728</v>
      </c>
    </row>
    <row r="202" spans="1:49" x14ac:dyDescent="0.2">
      <c r="A202">
        <v>200</v>
      </c>
      <c r="B202" t="s">
        <v>2279</v>
      </c>
      <c r="F202" t="s">
        <v>2280</v>
      </c>
      <c r="G202" t="s">
        <v>4</v>
      </c>
      <c r="H202" t="s">
        <v>5</v>
      </c>
      <c r="I202" t="s">
        <v>2281</v>
      </c>
      <c r="N202">
        <v>2</v>
      </c>
      <c r="O202" t="s">
        <v>2282</v>
      </c>
      <c r="P202" t="s">
        <v>2283</v>
      </c>
      <c r="Q202" t="s">
        <v>156</v>
      </c>
      <c r="R202" s="1">
        <v>29952</v>
      </c>
      <c r="S202" s="2">
        <f t="shared" si="18"/>
        <v>1982</v>
      </c>
      <c r="T202" s="2">
        <v>1982</v>
      </c>
      <c r="U202" s="2">
        <f t="shared" si="19"/>
        <v>40</v>
      </c>
      <c r="V202" s="1" t="s">
        <v>2260</v>
      </c>
      <c r="W202" t="s">
        <v>1643</v>
      </c>
      <c r="X202" s="3" t="s">
        <v>20</v>
      </c>
      <c r="Y202" s="4" t="e">
        <f>(X202-'[1]1982'!$Z$4)/('[1]1982'!$Z$3-'[1]1982'!$Z$4)</f>
        <v>#VALUE!</v>
      </c>
      <c r="AA202">
        <v>337889</v>
      </c>
      <c r="AB202">
        <v>40920</v>
      </c>
      <c r="AD202" t="s">
        <v>15</v>
      </c>
      <c r="AE202">
        <v>27</v>
      </c>
      <c r="AF202">
        <v>11</v>
      </c>
      <c r="AH202" t="s">
        <v>2284</v>
      </c>
      <c r="AI202" t="s">
        <v>2285</v>
      </c>
      <c r="AK202" t="s">
        <v>2286</v>
      </c>
      <c r="AL202">
        <v>0</v>
      </c>
      <c r="AM202" s="5">
        <f t="shared" si="20"/>
        <v>0</v>
      </c>
      <c r="AN202" s="6">
        <f>(AM202-'[1]1982'!$AO$4)/('[1]1982'!$AO$3-'[1]1982'!$AO$4)</f>
        <v>0</v>
      </c>
      <c r="AO202" s="7"/>
      <c r="AP202">
        <v>0</v>
      </c>
      <c r="AR202" t="s">
        <v>19</v>
      </c>
      <c r="AT202" s="3" t="s">
        <v>20</v>
      </c>
      <c r="AU202" s="8" t="e">
        <f t="shared" si="21"/>
        <v>#VALUE!</v>
      </c>
      <c r="AV202" s="8" t="e">
        <f t="shared" si="22"/>
        <v>#VALUE!</v>
      </c>
      <c r="AW202" s="8" t="e">
        <f t="shared" si="23"/>
        <v>#VALUE!</v>
      </c>
    </row>
    <row r="203" spans="1:49" x14ac:dyDescent="0.2">
      <c r="A203">
        <v>201</v>
      </c>
      <c r="B203" t="s">
        <v>2287</v>
      </c>
      <c r="F203" t="s">
        <v>2288</v>
      </c>
      <c r="G203" t="s">
        <v>4</v>
      </c>
      <c r="H203" t="s">
        <v>5</v>
      </c>
      <c r="I203" t="s">
        <v>2289</v>
      </c>
      <c r="N203">
        <v>2</v>
      </c>
      <c r="O203" t="s">
        <v>2290</v>
      </c>
      <c r="P203" t="s">
        <v>2291</v>
      </c>
      <c r="Q203" t="s">
        <v>156</v>
      </c>
      <c r="R203" s="1">
        <v>29952</v>
      </c>
      <c r="S203" s="2">
        <f t="shared" si="18"/>
        <v>1982</v>
      </c>
      <c r="T203" s="2">
        <v>1982</v>
      </c>
      <c r="U203" s="2">
        <f t="shared" si="19"/>
        <v>40</v>
      </c>
      <c r="V203" s="1" t="s">
        <v>2260</v>
      </c>
      <c r="W203" t="s">
        <v>1643</v>
      </c>
      <c r="X203" s="3" t="s">
        <v>20</v>
      </c>
      <c r="Y203" s="4" t="e">
        <f>(X203-'[1]1982'!$Z$4)/('[1]1982'!$Z$3-'[1]1982'!$Z$4)</f>
        <v>#VALUE!</v>
      </c>
      <c r="AA203">
        <v>337889</v>
      </c>
      <c r="AB203">
        <v>40920</v>
      </c>
      <c r="AD203" t="s">
        <v>15</v>
      </c>
      <c r="AE203">
        <v>27</v>
      </c>
      <c r="AF203">
        <v>11</v>
      </c>
      <c r="AH203" s="10">
        <v>46023</v>
      </c>
      <c r="AI203" t="s">
        <v>2292</v>
      </c>
      <c r="AK203" t="s">
        <v>2293</v>
      </c>
      <c r="AL203">
        <v>0</v>
      </c>
      <c r="AM203" s="5">
        <f t="shared" si="20"/>
        <v>0</v>
      </c>
      <c r="AN203" s="6">
        <f>(AM203-'[1]1982'!$AO$4)/('[1]1982'!$AO$3-'[1]1982'!$AO$4)</f>
        <v>0</v>
      </c>
      <c r="AO203" s="7"/>
      <c r="AP203">
        <v>0</v>
      </c>
      <c r="AR203" t="s">
        <v>19</v>
      </c>
      <c r="AT203" s="3" t="s">
        <v>20</v>
      </c>
      <c r="AU203" s="8" t="e">
        <f t="shared" si="21"/>
        <v>#VALUE!</v>
      </c>
      <c r="AV203" s="8" t="e">
        <f t="shared" si="22"/>
        <v>#VALUE!</v>
      </c>
      <c r="AW203" s="8" t="e">
        <f t="shared" si="23"/>
        <v>#VALUE!</v>
      </c>
    </row>
    <row r="204" spans="1:49" x14ac:dyDescent="0.2">
      <c r="A204">
        <v>202</v>
      </c>
      <c r="B204" t="s">
        <v>2294</v>
      </c>
      <c r="C204" t="s">
        <v>2295</v>
      </c>
      <c r="F204" t="s">
        <v>2296</v>
      </c>
      <c r="G204" t="s">
        <v>4</v>
      </c>
      <c r="H204" t="s">
        <v>5</v>
      </c>
      <c r="I204" t="s">
        <v>2297</v>
      </c>
      <c r="N204">
        <v>1</v>
      </c>
      <c r="O204" t="s">
        <v>2298</v>
      </c>
      <c r="P204">
        <v>6603878896</v>
      </c>
      <c r="R204" s="1">
        <v>29952</v>
      </c>
      <c r="S204" s="2">
        <f t="shared" si="18"/>
        <v>1982</v>
      </c>
      <c r="T204" s="2">
        <v>1982</v>
      </c>
      <c r="U204" s="2">
        <f t="shared" si="19"/>
        <v>40</v>
      </c>
      <c r="V204" s="1">
        <v>30256</v>
      </c>
      <c r="W204" t="s">
        <v>2299</v>
      </c>
      <c r="X204" s="3">
        <v>0.32300000000000001</v>
      </c>
      <c r="Y204" s="4">
        <f>(X204-'[1]1982'!$Z$4)/('[1]1982'!$Z$3-'[1]1982'!$Z$4)</f>
        <v>8.6223005258802502E-3</v>
      </c>
      <c r="AA204">
        <v>58580</v>
      </c>
      <c r="AB204">
        <v>36492</v>
      </c>
      <c r="AC204">
        <v>15387305</v>
      </c>
      <c r="AD204" t="s">
        <v>15</v>
      </c>
      <c r="AE204">
        <v>61</v>
      </c>
      <c r="AF204">
        <v>9</v>
      </c>
      <c r="AH204" t="s">
        <v>2300</v>
      </c>
      <c r="AI204" t="s">
        <v>2301</v>
      </c>
      <c r="AK204" t="s">
        <v>2302</v>
      </c>
      <c r="AL204">
        <v>18</v>
      </c>
      <c r="AM204" s="5">
        <f t="shared" si="20"/>
        <v>0.45</v>
      </c>
      <c r="AN204" s="6">
        <f>(AM204-'[1]1982'!$AO$4)/('[1]1982'!$AO$3-'[1]1982'!$AO$4)</f>
        <v>6.8156001514577808E-4</v>
      </c>
      <c r="AO204" s="7"/>
      <c r="AP204">
        <v>0</v>
      </c>
      <c r="AR204" t="s">
        <v>19</v>
      </c>
      <c r="AT204" s="3" t="s">
        <v>20</v>
      </c>
      <c r="AU204" s="8">
        <f t="shared" si="21"/>
        <v>0.62400783726599085</v>
      </c>
      <c r="AV204" s="8">
        <f t="shared" si="22"/>
        <v>0.46519302705130144</v>
      </c>
      <c r="AW204" s="8">
        <f t="shared" si="23"/>
        <v>0.30637821683661193</v>
      </c>
    </row>
    <row r="205" spans="1:49" x14ac:dyDescent="0.2">
      <c r="A205">
        <v>203</v>
      </c>
      <c r="B205" t="s">
        <v>2303</v>
      </c>
      <c r="C205" t="s">
        <v>2304</v>
      </c>
      <c r="F205" t="s">
        <v>2305</v>
      </c>
      <c r="G205" t="s">
        <v>4</v>
      </c>
      <c r="H205" t="s">
        <v>5</v>
      </c>
      <c r="I205" t="s">
        <v>2306</v>
      </c>
      <c r="J205" t="s">
        <v>2307</v>
      </c>
      <c r="K205" t="s">
        <v>2308</v>
      </c>
      <c r="L205" t="s">
        <v>2309</v>
      </c>
      <c r="M205" t="s">
        <v>218</v>
      </c>
      <c r="N205">
        <v>1</v>
      </c>
      <c r="O205" t="s">
        <v>2310</v>
      </c>
      <c r="P205">
        <v>7202442110</v>
      </c>
      <c r="Q205" t="s">
        <v>2311</v>
      </c>
      <c r="R205" s="1">
        <v>29952</v>
      </c>
      <c r="S205" s="2">
        <f t="shared" si="18"/>
        <v>1982</v>
      </c>
      <c r="T205" s="2">
        <v>1982</v>
      </c>
      <c r="U205" s="2">
        <f t="shared" si="19"/>
        <v>40</v>
      </c>
      <c r="V205" s="1">
        <v>30256</v>
      </c>
      <c r="W205" t="s">
        <v>1117</v>
      </c>
      <c r="X205" s="3">
        <v>1.6519999999999999</v>
      </c>
      <c r="Y205" s="4">
        <f>(X205-'[1]1982'!$Z$4)/('[1]1982'!$Z$3-'[1]1982'!$Z$4)</f>
        <v>4.409919649769093E-2</v>
      </c>
      <c r="AA205" t="s">
        <v>1118</v>
      </c>
      <c r="AB205">
        <v>17337</v>
      </c>
      <c r="AC205">
        <v>15582221</v>
      </c>
      <c r="AD205" t="s">
        <v>15</v>
      </c>
      <c r="AE205">
        <v>30</v>
      </c>
      <c r="AF205">
        <v>6</v>
      </c>
      <c r="AH205" t="s">
        <v>2312</v>
      </c>
      <c r="AI205" t="s">
        <v>2313</v>
      </c>
      <c r="AK205" t="s">
        <v>2314</v>
      </c>
      <c r="AL205">
        <v>8</v>
      </c>
      <c r="AM205" s="5">
        <f t="shared" si="20"/>
        <v>0.2</v>
      </c>
      <c r="AN205" s="6">
        <f>(AM205-'[1]1982'!$AO$4)/('[1]1982'!$AO$3-'[1]1982'!$AO$4)</f>
        <v>3.0291556228701253E-4</v>
      </c>
      <c r="AO205" s="7"/>
      <c r="AP205">
        <v>0</v>
      </c>
      <c r="AR205" t="s">
        <v>19</v>
      </c>
      <c r="AT205" s="3" t="s">
        <v>20</v>
      </c>
      <c r="AU205" s="8">
        <f t="shared" si="21"/>
        <v>3.0960312217069754</v>
      </c>
      <c r="AV205" s="8">
        <f t="shared" si="22"/>
        <v>2.2201056029988968</v>
      </c>
      <c r="AW205" s="8">
        <f t="shared" si="23"/>
        <v>1.3441799842908186</v>
      </c>
    </row>
    <row r="206" spans="1:49" x14ac:dyDescent="0.2">
      <c r="A206">
        <v>204</v>
      </c>
      <c r="B206" t="s">
        <v>2315</v>
      </c>
      <c r="C206" t="s">
        <v>2316</v>
      </c>
      <c r="F206" t="s">
        <v>2317</v>
      </c>
      <c r="G206" t="s">
        <v>4</v>
      </c>
      <c r="H206" t="s">
        <v>5</v>
      </c>
      <c r="I206" t="s">
        <v>2318</v>
      </c>
      <c r="J206">
        <v>60027271</v>
      </c>
      <c r="K206" t="s">
        <v>2319</v>
      </c>
      <c r="L206" t="s">
        <v>513</v>
      </c>
      <c r="M206" t="s">
        <v>9</v>
      </c>
      <c r="N206">
        <v>1</v>
      </c>
      <c r="O206" t="s">
        <v>2320</v>
      </c>
      <c r="P206">
        <v>7402367504</v>
      </c>
      <c r="Q206">
        <v>60027271</v>
      </c>
      <c r="R206" s="1">
        <v>29952</v>
      </c>
      <c r="S206" s="2">
        <f t="shared" si="18"/>
        <v>1982</v>
      </c>
      <c r="T206" s="2">
        <v>1982</v>
      </c>
      <c r="U206" s="2">
        <f t="shared" si="19"/>
        <v>40</v>
      </c>
      <c r="V206" s="1">
        <v>30256</v>
      </c>
      <c r="W206" t="s">
        <v>1117</v>
      </c>
      <c r="X206" s="3">
        <v>1.6519999999999999</v>
      </c>
      <c r="Y206" s="4">
        <f>(X206-'[1]1982'!$Z$4)/('[1]1982'!$Z$3-'[1]1982'!$Z$4)</f>
        <v>4.409919649769093E-2</v>
      </c>
      <c r="AA206" t="s">
        <v>1118</v>
      </c>
      <c r="AB206">
        <v>17337</v>
      </c>
      <c r="AC206">
        <v>15582221</v>
      </c>
      <c r="AD206" t="s">
        <v>15</v>
      </c>
      <c r="AE206">
        <v>30</v>
      </c>
      <c r="AF206">
        <v>6</v>
      </c>
      <c r="AH206" t="s">
        <v>2321</v>
      </c>
      <c r="AI206" t="s">
        <v>2322</v>
      </c>
      <c r="AK206" t="s">
        <v>2323</v>
      </c>
      <c r="AL206">
        <v>30</v>
      </c>
      <c r="AM206" s="5">
        <f t="shared" si="20"/>
        <v>0.75</v>
      </c>
      <c r="AN206" s="6">
        <f>(AM206-'[1]1982'!$AO$4)/('[1]1982'!$AO$3-'[1]1982'!$AO$4)</f>
        <v>1.1359333585762969E-3</v>
      </c>
      <c r="AO206" s="7"/>
      <c r="AP206">
        <v>0</v>
      </c>
      <c r="AR206" t="s">
        <v>19</v>
      </c>
      <c r="AT206" s="3" t="s">
        <v>20</v>
      </c>
      <c r="AU206" s="8">
        <f t="shared" si="21"/>
        <v>3.1210217555956539</v>
      </c>
      <c r="AV206" s="8">
        <f t="shared" si="22"/>
        <v>2.2617564928133613</v>
      </c>
      <c r="AW206" s="8">
        <f t="shared" si="23"/>
        <v>1.4024912300310686</v>
      </c>
    </row>
    <row r="207" spans="1:49" x14ac:dyDescent="0.2">
      <c r="A207">
        <v>205</v>
      </c>
      <c r="B207" t="s">
        <v>2324</v>
      </c>
      <c r="C207" t="s">
        <v>2325</v>
      </c>
      <c r="F207" t="s">
        <v>2326</v>
      </c>
      <c r="G207" t="s">
        <v>4</v>
      </c>
      <c r="H207" t="s">
        <v>5</v>
      </c>
      <c r="I207" t="s">
        <v>2327</v>
      </c>
      <c r="J207">
        <v>60021378</v>
      </c>
      <c r="K207" t="s">
        <v>1539</v>
      </c>
      <c r="L207" t="s">
        <v>1540</v>
      </c>
      <c r="M207" t="s">
        <v>9</v>
      </c>
      <c r="N207">
        <v>2</v>
      </c>
      <c r="O207" t="s">
        <v>2328</v>
      </c>
      <c r="P207" t="s">
        <v>2329</v>
      </c>
      <c r="Q207" t="s">
        <v>2330</v>
      </c>
      <c r="R207" s="1">
        <v>29952</v>
      </c>
      <c r="S207" s="2">
        <f t="shared" si="18"/>
        <v>1982</v>
      </c>
      <c r="T207" s="2">
        <v>1982</v>
      </c>
      <c r="U207" s="2">
        <f t="shared" si="19"/>
        <v>40</v>
      </c>
      <c r="V207" s="1">
        <v>30256</v>
      </c>
      <c r="W207" t="s">
        <v>1117</v>
      </c>
      <c r="X207" s="3">
        <v>1.6519999999999999</v>
      </c>
      <c r="Y207" s="4">
        <f>(X207-'[1]1982'!$Z$4)/('[1]1982'!$Z$3-'[1]1982'!$Z$4)</f>
        <v>4.409919649769093E-2</v>
      </c>
      <c r="AA207" t="s">
        <v>1118</v>
      </c>
      <c r="AB207">
        <v>17337</v>
      </c>
      <c r="AC207">
        <v>15582221</v>
      </c>
      <c r="AD207" t="s">
        <v>15</v>
      </c>
      <c r="AE207">
        <v>30</v>
      </c>
      <c r="AF207">
        <v>6</v>
      </c>
      <c r="AH207" t="s">
        <v>2331</v>
      </c>
      <c r="AI207" t="s">
        <v>2332</v>
      </c>
      <c r="AK207" t="s">
        <v>2333</v>
      </c>
      <c r="AL207">
        <v>4</v>
      </c>
      <c r="AM207" s="5">
        <f t="shared" si="20"/>
        <v>0.1</v>
      </c>
      <c r="AN207" s="6">
        <f>(AM207-'[1]1982'!$AO$4)/('[1]1982'!$AO$3-'[1]1982'!$AO$4)</f>
        <v>1.5145778114350627E-4</v>
      </c>
      <c r="AO207" s="7"/>
      <c r="AP207">
        <v>0</v>
      </c>
      <c r="AR207" t="s">
        <v>19</v>
      </c>
      <c r="AT207" s="3" t="s">
        <v>20</v>
      </c>
      <c r="AU207" s="8">
        <f t="shared" si="21"/>
        <v>3.0914874882726702</v>
      </c>
      <c r="AV207" s="8">
        <f t="shared" si="22"/>
        <v>2.2125327139417217</v>
      </c>
      <c r="AW207" s="8">
        <f t="shared" si="23"/>
        <v>1.3335779396107732</v>
      </c>
    </row>
    <row r="208" spans="1:49" x14ac:dyDescent="0.2">
      <c r="A208">
        <v>206</v>
      </c>
      <c r="B208" t="s">
        <v>2334</v>
      </c>
      <c r="C208" t="s">
        <v>2335</v>
      </c>
      <c r="F208" t="s">
        <v>2336</v>
      </c>
      <c r="G208" t="s">
        <v>4</v>
      </c>
      <c r="H208" t="s">
        <v>5</v>
      </c>
      <c r="I208" t="s">
        <v>2337</v>
      </c>
      <c r="J208">
        <v>60000221</v>
      </c>
      <c r="K208" t="s">
        <v>2338</v>
      </c>
      <c r="L208" t="s">
        <v>1804</v>
      </c>
      <c r="M208" t="s">
        <v>9</v>
      </c>
      <c r="N208">
        <v>2</v>
      </c>
      <c r="O208" t="s">
        <v>2339</v>
      </c>
      <c r="P208" t="s">
        <v>2340</v>
      </c>
      <c r="Q208" t="s">
        <v>2341</v>
      </c>
      <c r="R208" s="1">
        <v>29952</v>
      </c>
      <c r="S208" s="2">
        <f t="shared" si="18"/>
        <v>1982</v>
      </c>
      <c r="T208" s="2">
        <v>1982</v>
      </c>
      <c r="U208" s="2">
        <f t="shared" si="19"/>
        <v>40</v>
      </c>
      <c r="V208" s="1">
        <v>30256</v>
      </c>
      <c r="W208" t="s">
        <v>1117</v>
      </c>
      <c r="X208" s="3">
        <v>1.6519999999999999</v>
      </c>
      <c r="Y208" s="4">
        <f>(X208-'[1]1982'!$Z$4)/('[1]1982'!$Z$3-'[1]1982'!$Z$4)</f>
        <v>4.409919649769093E-2</v>
      </c>
      <c r="AA208" t="s">
        <v>1118</v>
      </c>
      <c r="AB208">
        <v>17337</v>
      </c>
      <c r="AC208">
        <v>15582221</v>
      </c>
      <c r="AD208" t="s">
        <v>15</v>
      </c>
      <c r="AE208">
        <v>30</v>
      </c>
      <c r="AF208">
        <v>6</v>
      </c>
      <c r="AH208" t="s">
        <v>2342</v>
      </c>
      <c r="AI208" t="s">
        <v>2343</v>
      </c>
      <c r="AK208" t="s">
        <v>2344</v>
      </c>
      <c r="AL208">
        <v>13</v>
      </c>
      <c r="AM208" s="5">
        <f t="shared" si="20"/>
        <v>0.32500000000000001</v>
      </c>
      <c r="AN208" s="6">
        <f>(AM208-'[1]1982'!$AO$4)/('[1]1982'!$AO$3-'[1]1982'!$AO$4)</f>
        <v>4.9223778871639533E-4</v>
      </c>
      <c r="AO208" s="7"/>
      <c r="AP208">
        <v>0</v>
      </c>
      <c r="AR208" t="s">
        <v>19</v>
      </c>
      <c r="AT208" s="3" t="s">
        <v>20</v>
      </c>
      <c r="AU208" s="8">
        <f t="shared" si="21"/>
        <v>3.101710888499857</v>
      </c>
      <c r="AV208" s="8">
        <f t="shared" si="22"/>
        <v>2.2295717143203664</v>
      </c>
      <c r="AW208" s="8">
        <f t="shared" si="23"/>
        <v>1.3574325401408756</v>
      </c>
    </row>
    <row r="209" spans="1:49" x14ac:dyDescent="0.2">
      <c r="A209">
        <v>207</v>
      </c>
      <c r="B209" t="s">
        <v>2345</v>
      </c>
      <c r="C209" t="s">
        <v>2346</v>
      </c>
      <c r="F209" t="s">
        <v>2347</v>
      </c>
      <c r="G209" t="s">
        <v>4</v>
      </c>
      <c r="H209" t="s">
        <v>5</v>
      </c>
      <c r="I209" t="s">
        <v>2348</v>
      </c>
      <c r="J209">
        <v>60076690</v>
      </c>
      <c r="K209" t="s">
        <v>2349</v>
      </c>
      <c r="L209" t="s">
        <v>2350</v>
      </c>
      <c r="M209" t="s">
        <v>9</v>
      </c>
      <c r="N209">
        <v>1</v>
      </c>
      <c r="O209" t="s">
        <v>2351</v>
      </c>
      <c r="P209">
        <v>7801671390</v>
      </c>
      <c r="Q209">
        <v>60076690</v>
      </c>
      <c r="R209" s="1">
        <v>29952</v>
      </c>
      <c r="S209" s="2">
        <f t="shared" si="18"/>
        <v>1982</v>
      </c>
      <c r="T209" s="2">
        <v>1982</v>
      </c>
      <c r="U209" s="2">
        <f t="shared" si="19"/>
        <v>40</v>
      </c>
      <c r="V209" s="1">
        <v>30256</v>
      </c>
      <c r="W209" t="s">
        <v>1117</v>
      </c>
      <c r="X209" s="3">
        <v>1.6519999999999999</v>
      </c>
      <c r="Y209" s="4">
        <f>(X209-'[1]1982'!$Z$4)/('[1]1982'!$Z$3-'[1]1982'!$Z$4)</f>
        <v>4.409919649769093E-2</v>
      </c>
      <c r="AA209" t="s">
        <v>1118</v>
      </c>
      <c r="AB209">
        <v>17337</v>
      </c>
      <c r="AC209">
        <v>15582221</v>
      </c>
      <c r="AD209" t="s">
        <v>15</v>
      </c>
      <c r="AE209">
        <v>30</v>
      </c>
      <c r="AF209">
        <v>6</v>
      </c>
      <c r="AH209" t="s">
        <v>2352</v>
      </c>
      <c r="AI209" t="s">
        <v>2353</v>
      </c>
      <c r="AK209" t="s">
        <v>2354</v>
      </c>
      <c r="AL209">
        <v>6</v>
      </c>
      <c r="AM209" s="5">
        <f t="shared" si="20"/>
        <v>0.15</v>
      </c>
      <c r="AN209" s="6">
        <f>(AM209-'[1]1982'!$AO$4)/('[1]1982'!$AO$3-'[1]1982'!$AO$4)</f>
        <v>2.2718667171525936E-4</v>
      </c>
      <c r="AO209" s="7"/>
      <c r="AP209">
        <v>0</v>
      </c>
      <c r="AR209" t="s">
        <v>19</v>
      </c>
      <c r="AT209" s="3" t="s">
        <v>20</v>
      </c>
      <c r="AU209" s="8">
        <f t="shared" si="21"/>
        <v>3.0937593549898228</v>
      </c>
      <c r="AV209" s="8">
        <f t="shared" si="22"/>
        <v>2.2163191584703092</v>
      </c>
      <c r="AW209" s="8">
        <f t="shared" si="23"/>
        <v>1.3388789619507961</v>
      </c>
    </row>
    <row r="210" spans="1:49" x14ac:dyDescent="0.2">
      <c r="A210">
        <v>208</v>
      </c>
      <c r="B210" t="s">
        <v>2355</v>
      </c>
      <c r="C210" t="s">
        <v>2356</v>
      </c>
      <c r="F210" t="s">
        <v>2357</v>
      </c>
      <c r="G210" t="s">
        <v>4</v>
      </c>
      <c r="H210" t="s">
        <v>5</v>
      </c>
      <c r="I210" t="s">
        <v>2358</v>
      </c>
      <c r="J210">
        <v>116025114</v>
      </c>
      <c r="K210" t="s">
        <v>2359</v>
      </c>
      <c r="L210" t="s">
        <v>2360</v>
      </c>
      <c r="M210" t="s">
        <v>962</v>
      </c>
      <c r="N210">
        <v>2</v>
      </c>
      <c r="O210" t="s">
        <v>2361</v>
      </c>
      <c r="P210" t="s">
        <v>2362</v>
      </c>
      <c r="Q210" t="s">
        <v>2363</v>
      </c>
      <c r="R210" s="1">
        <v>29952</v>
      </c>
      <c r="S210" s="2">
        <f t="shared" si="18"/>
        <v>1982</v>
      </c>
      <c r="T210" s="2">
        <v>1982</v>
      </c>
      <c r="U210" s="2">
        <f t="shared" si="19"/>
        <v>40</v>
      </c>
      <c r="V210" s="1">
        <v>30256</v>
      </c>
      <c r="W210" t="s">
        <v>2364</v>
      </c>
      <c r="X210" s="3">
        <v>2.383</v>
      </c>
      <c r="Y210" s="4">
        <f>(X210-'[1]1982'!$Z$4)/('[1]1982'!$Z$3-'[1]1982'!$Z$4)</f>
        <v>6.3612824003630442E-2</v>
      </c>
      <c r="AA210">
        <v>189219</v>
      </c>
      <c r="AB210">
        <v>17915</v>
      </c>
      <c r="AC210">
        <v>15582256</v>
      </c>
      <c r="AD210" t="s">
        <v>15</v>
      </c>
      <c r="AE210">
        <v>70</v>
      </c>
      <c r="AF210">
        <v>11</v>
      </c>
      <c r="AH210" t="s">
        <v>2365</v>
      </c>
      <c r="AI210" t="s">
        <v>2366</v>
      </c>
      <c r="AK210" t="s">
        <v>2367</v>
      </c>
      <c r="AL210">
        <v>0</v>
      </c>
      <c r="AM210" s="5">
        <f t="shared" si="20"/>
        <v>0</v>
      </c>
      <c r="AN210" s="6">
        <f>(AM210-'[1]1982'!$AO$4)/('[1]1982'!$AO$3-'[1]1982'!$AO$4)</f>
        <v>0</v>
      </c>
      <c r="AO210" s="7"/>
      <c r="AP210">
        <v>0</v>
      </c>
      <c r="AR210" t="s">
        <v>19</v>
      </c>
      <c r="AT210" s="3">
        <v>10.961</v>
      </c>
      <c r="AU210" s="8">
        <f t="shared" si="21"/>
        <v>4.4528976802541305</v>
      </c>
      <c r="AV210" s="8">
        <f t="shared" si="22"/>
        <v>3.1806412001815221</v>
      </c>
      <c r="AW210" s="8">
        <f t="shared" si="23"/>
        <v>1.9083847201089132</v>
      </c>
    </row>
    <row r="211" spans="1:49" x14ac:dyDescent="0.2">
      <c r="A211">
        <v>209</v>
      </c>
      <c r="B211" t="s">
        <v>2368</v>
      </c>
      <c r="C211" t="s">
        <v>2369</v>
      </c>
      <c r="F211" t="s">
        <v>2370</v>
      </c>
      <c r="G211" t="s">
        <v>4</v>
      </c>
      <c r="H211" t="s">
        <v>5</v>
      </c>
      <c r="I211" t="s">
        <v>2371</v>
      </c>
      <c r="J211">
        <v>60019947</v>
      </c>
      <c r="K211" t="s">
        <v>2372</v>
      </c>
      <c r="L211" t="s">
        <v>2373</v>
      </c>
      <c r="M211" t="s">
        <v>9</v>
      </c>
      <c r="N211">
        <v>1</v>
      </c>
      <c r="O211" t="s">
        <v>2374</v>
      </c>
      <c r="P211">
        <v>57214393145</v>
      </c>
      <c r="Q211">
        <v>60019947</v>
      </c>
      <c r="R211" s="1">
        <v>29952</v>
      </c>
      <c r="S211" s="2">
        <f t="shared" si="18"/>
        <v>1982</v>
      </c>
      <c r="T211" s="2">
        <v>1982</v>
      </c>
      <c r="U211" s="2">
        <f t="shared" si="19"/>
        <v>40</v>
      </c>
      <c r="V211" s="1">
        <v>30256</v>
      </c>
      <c r="W211" t="s">
        <v>1117</v>
      </c>
      <c r="X211" s="3">
        <v>1.6519999999999999</v>
      </c>
      <c r="Y211" s="4">
        <f>(X211-'[1]1982'!$Z$4)/('[1]1982'!$Z$3-'[1]1982'!$Z$4)</f>
        <v>4.409919649769093E-2</v>
      </c>
      <c r="AA211" t="s">
        <v>1118</v>
      </c>
      <c r="AB211">
        <v>17337</v>
      </c>
      <c r="AC211">
        <v>15582221</v>
      </c>
      <c r="AD211" t="s">
        <v>15</v>
      </c>
      <c r="AE211">
        <v>30</v>
      </c>
      <c r="AF211">
        <v>6</v>
      </c>
      <c r="AH211" t="s">
        <v>2375</v>
      </c>
      <c r="AI211" t="s">
        <v>2376</v>
      </c>
      <c r="AK211" t="s">
        <v>2377</v>
      </c>
      <c r="AL211">
        <v>5</v>
      </c>
      <c r="AM211" s="5">
        <f t="shared" si="20"/>
        <v>0.125</v>
      </c>
      <c r="AN211" s="6">
        <f>(AM211-'[1]1982'!$AO$4)/('[1]1982'!$AO$3-'[1]1982'!$AO$4)</f>
        <v>1.893222264293828E-4</v>
      </c>
      <c r="AO211" s="7"/>
      <c r="AP211">
        <v>0</v>
      </c>
      <c r="AR211" t="s">
        <v>19</v>
      </c>
      <c r="AT211" s="3" t="s">
        <v>20</v>
      </c>
      <c r="AU211" s="8">
        <f t="shared" si="21"/>
        <v>3.0926234216312465</v>
      </c>
      <c r="AV211" s="8">
        <f t="shared" si="22"/>
        <v>2.2144259362060157</v>
      </c>
      <c r="AW211" s="8">
        <f t="shared" si="23"/>
        <v>1.3362284507807847</v>
      </c>
    </row>
    <row r="212" spans="1:49" x14ac:dyDescent="0.2">
      <c r="A212">
        <v>210</v>
      </c>
      <c r="B212" t="s">
        <v>2378</v>
      </c>
      <c r="C212" t="s">
        <v>2379</v>
      </c>
      <c r="F212" t="s">
        <v>2380</v>
      </c>
      <c r="G212" t="s">
        <v>4</v>
      </c>
      <c r="H212" t="s">
        <v>5</v>
      </c>
      <c r="I212" t="s">
        <v>2381</v>
      </c>
      <c r="N212">
        <v>3</v>
      </c>
      <c r="O212" t="s">
        <v>2382</v>
      </c>
      <c r="P212" t="s">
        <v>2383</v>
      </c>
      <c r="Q212" t="s">
        <v>145</v>
      </c>
      <c r="R212" s="1">
        <v>29952</v>
      </c>
      <c r="S212" s="2">
        <f t="shared" si="18"/>
        <v>1982</v>
      </c>
      <c r="T212" s="2">
        <v>1982</v>
      </c>
      <c r="U212" s="2">
        <f t="shared" si="19"/>
        <v>40</v>
      </c>
      <c r="V212" s="1" t="s">
        <v>2384</v>
      </c>
      <c r="W212" t="s">
        <v>2385</v>
      </c>
      <c r="X212" s="3">
        <v>0.371</v>
      </c>
      <c r="Y212" s="4">
        <f>(X212-'[1]1982'!$Z$4)/('[1]1982'!$Z$3-'[1]1982'!$Z$4)</f>
        <v>9.9036331117695747E-3</v>
      </c>
      <c r="AA212">
        <v>486604</v>
      </c>
      <c r="AB212">
        <v>28580</v>
      </c>
      <c r="AC212" t="s">
        <v>2386</v>
      </c>
      <c r="AD212" t="s">
        <v>15</v>
      </c>
      <c r="AE212">
        <v>17</v>
      </c>
      <c r="AF212">
        <v>6</v>
      </c>
      <c r="AH212" t="s">
        <v>2387</v>
      </c>
      <c r="AI212" t="s">
        <v>2388</v>
      </c>
      <c r="AK212" t="s">
        <v>2389</v>
      </c>
      <c r="AL212">
        <v>1</v>
      </c>
      <c r="AM212" s="5">
        <f t="shared" si="20"/>
        <v>2.5000000000000001E-2</v>
      </c>
      <c r="AN212" s="6">
        <f>(AM212-'[1]1982'!$AO$4)/('[1]1982'!$AO$3-'[1]1982'!$AO$4)</f>
        <v>3.7864445285876567E-5</v>
      </c>
      <c r="AO212" s="7"/>
      <c r="AP212">
        <v>0</v>
      </c>
      <c r="AR212" t="s">
        <v>19</v>
      </c>
      <c r="AT212" s="3">
        <v>1.431</v>
      </c>
      <c r="AU212" s="8">
        <f t="shared" si="21"/>
        <v>0.69439025118244646</v>
      </c>
      <c r="AV212" s="8">
        <f t="shared" si="22"/>
        <v>0.49707487785277255</v>
      </c>
      <c r="AW212" s="8">
        <f t="shared" si="23"/>
        <v>0.29975950452309863</v>
      </c>
    </row>
    <row r="213" spans="1:49" x14ac:dyDescent="0.2">
      <c r="A213">
        <v>211</v>
      </c>
      <c r="B213" t="s">
        <v>2390</v>
      </c>
      <c r="C213" t="s">
        <v>2391</v>
      </c>
      <c r="F213" t="s">
        <v>2392</v>
      </c>
      <c r="G213" t="s">
        <v>4</v>
      </c>
      <c r="H213" t="s">
        <v>5</v>
      </c>
      <c r="I213" t="s">
        <v>2393</v>
      </c>
      <c r="N213">
        <v>5</v>
      </c>
      <c r="O213" t="s">
        <v>2394</v>
      </c>
      <c r="P213" t="s">
        <v>2395</v>
      </c>
      <c r="Q213" t="s">
        <v>56</v>
      </c>
      <c r="R213" s="1">
        <v>29952</v>
      </c>
      <c r="S213" s="2">
        <f t="shared" si="18"/>
        <v>1982</v>
      </c>
      <c r="T213" s="2">
        <v>1982</v>
      </c>
      <c r="U213" s="2">
        <f t="shared" si="19"/>
        <v>40</v>
      </c>
      <c r="V213" s="1" t="s">
        <v>2384</v>
      </c>
      <c r="W213" t="s">
        <v>2385</v>
      </c>
      <c r="X213" s="3">
        <v>0.371</v>
      </c>
      <c r="Y213" s="4">
        <f>(X213-'[1]1982'!$Z$4)/('[1]1982'!$Z$3-'[1]1982'!$Z$4)</f>
        <v>9.9036331117695747E-3</v>
      </c>
      <c r="AA213">
        <v>486604</v>
      </c>
      <c r="AB213">
        <v>28580</v>
      </c>
      <c r="AC213" t="s">
        <v>2386</v>
      </c>
      <c r="AD213" t="s">
        <v>15</v>
      </c>
      <c r="AE213">
        <v>17</v>
      </c>
      <c r="AF213">
        <v>6</v>
      </c>
      <c r="AH213" t="s">
        <v>2396</v>
      </c>
      <c r="AI213" t="s">
        <v>2397</v>
      </c>
      <c r="AK213" t="s">
        <v>2398</v>
      </c>
      <c r="AL213">
        <v>11</v>
      </c>
      <c r="AM213" s="5">
        <f t="shared" si="20"/>
        <v>0.27500000000000002</v>
      </c>
      <c r="AN213" s="6">
        <f>(AM213-'[1]1982'!$AO$4)/('[1]1982'!$AO$3-'[1]1982'!$AO$4)</f>
        <v>4.1650889814464221E-4</v>
      </c>
      <c r="AO213" s="7"/>
      <c r="AP213">
        <v>0</v>
      </c>
      <c r="AR213" t="s">
        <v>19</v>
      </c>
      <c r="AT213" s="3">
        <v>1.431</v>
      </c>
      <c r="AU213" s="8">
        <f t="shared" si="21"/>
        <v>0.70574958476820937</v>
      </c>
      <c r="AV213" s="8">
        <f t="shared" si="22"/>
        <v>0.51600710049571086</v>
      </c>
      <c r="AW213" s="8">
        <f t="shared" si="23"/>
        <v>0.32626461622321218</v>
      </c>
    </row>
    <row r="214" spans="1:49" x14ac:dyDescent="0.2">
      <c r="A214">
        <v>212</v>
      </c>
      <c r="B214" t="s">
        <v>2399</v>
      </c>
      <c r="C214" t="s">
        <v>2400</v>
      </c>
      <c r="F214" t="s">
        <v>2401</v>
      </c>
      <c r="G214" t="s">
        <v>4</v>
      </c>
      <c r="H214" t="s">
        <v>5</v>
      </c>
      <c r="I214" t="s">
        <v>2402</v>
      </c>
      <c r="J214">
        <v>60000886</v>
      </c>
      <c r="K214" t="s">
        <v>2403</v>
      </c>
      <c r="L214" t="s">
        <v>2404</v>
      </c>
      <c r="M214" t="s">
        <v>485</v>
      </c>
      <c r="N214">
        <v>1</v>
      </c>
      <c r="O214" t="s">
        <v>2405</v>
      </c>
      <c r="P214">
        <v>56782505800</v>
      </c>
      <c r="Q214">
        <v>60000886</v>
      </c>
      <c r="R214" s="1">
        <v>29952</v>
      </c>
      <c r="S214" s="2">
        <f t="shared" si="18"/>
        <v>1982</v>
      </c>
      <c r="T214" s="2">
        <v>1982</v>
      </c>
      <c r="U214" s="2">
        <f t="shared" si="19"/>
        <v>40</v>
      </c>
      <c r="V214" s="1">
        <v>30256</v>
      </c>
      <c r="W214" t="s">
        <v>2406</v>
      </c>
      <c r="X214" s="3">
        <v>0.62</v>
      </c>
      <c r="Y214" s="4">
        <f>(X214-'[1]1982'!$Z$4)/('[1]1982'!$Z$3-'[1]1982'!$Z$4)</f>
        <v>1.6550545901070447E-2</v>
      </c>
      <c r="AA214">
        <v>189464</v>
      </c>
      <c r="AB214">
        <v>17364</v>
      </c>
      <c r="AC214">
        <v>19410069</v>
      </c>
      <c r="AD214" t="s">
        <v>15</v>
      </c>
      <c r="AE214">
        <v>18</v>
      </c>
      <c r="AF214">
        <v>6</v>
      </c>
      <c r="AH214" t="s">
        <v>2407</v>
      </c>
      <c r="AI214" t="s">
        <v>2408</v>
      </c>
      <c r="AK214" t="s">
        <v>2409</v>
      </c>
      <c r="AL214">
        <v>4</v>
      </c>
      <c r="AM214" s="5">
        <f t="shared" si="20"/>
        <v>0.1</v>
      </c>
      <c r="AN214" s="6">
        <f>(AM214-'[1]1982'!$AO$4)/('[1]1982'!$AO$3-'[1]1982'!$AO$4)</f>
        <v>1.5145778114350627E-4</v>
      </c>
      <c r="AO214" s="7"/>
      <c r="AP214">
        <v>0</v>
      </c>
      <c r="AR214" t="s">
        <v>19</v>
      </c>
      <c r="AT214" s="3">
        <v>1.7</v>
      </c>
      <c r="AU214" s="8">
        <f t="shared" si="21"/>
        <v>1.1630819465092364</v>
      </c>
      <c r="AV214" s="8">
        <f t="shared" si="22"/>
        <v>0.83510018411069764</v>
      </c>
      <c r="AW214" s="8">
        <f t="shared" si="23"/>
        <v>0.50711842171215882</v>
      </c>
    </row>
    <row r="215" spans="1:49" x14ac:dyDescent="0.2">
      <c r="A215">
        <v>213</v>
      </c>
      <c r="B215" t="s">
        <v>2410</v>
      </c>
      <c r="C215" t="s">
        <v>2411</v>
      </c>
      <c r="F215" t="s">
        <v>2412</v>
      </c>
      <c r="G215" t="s">
        <v>4</v>
      </c>
      <c r="H215" t="s">
        <v>5</v>
      </c>
      <c r="I215" t="s">
        <v>2413</v>
      </c>
      <c r="J215">
        <v>60027271</v>
      </c>
      <c r="K215" t="s">
        <v>2319</v>
      </c>
      <c r="L215" t="s">
        <v>513</v>
      </c>
      <c r="M215" t="s">
        <v>9</v>
      </c>
      <c r="N215">
        <v>2</v>
      </c>
      <c r="O215" t="s">
        <v>2414</v>
      </c>
      <c r="P215" t="s">
        <v>2415</v>
      </c>
      <c r="Q215" t="s">
        <v>2416</v>
      </c>
      <c r="R215" s="1">
        <v>29952</v>
      </c>
      <c r="S215" s="2">
        <f t="shared" si="18"/>
        <v>1982</v>
      </c>
      <c r="T215" s="2">
        <v>1982</v>
      </c>
      <c r="U215" s="2">
        <f t="shared" si="19"/>
        <v>40</v>
      </c>
      <c r="V215" s="1">
        <v>30256</v>
      </c>
      <c r="W215" t="s">
        <v>2417</v>
      </c>
      <c r="X215" s="3">
        <v>1.137</v>
      </c>
      <c r="Y215" s="4">
        <f>(X215-'[1]1982'!$Z$4)/('[1]1982'!$Z$3-'[1]1982'!$Z$4)</f>
        <v>3.0351565628253384E-2</v>
      </c>
      <c r="AA215">
        <v>189251</v>
      </c>
      <c r="AB215">
        <v>17336</v>
      </c>
      <c r="AD215" t="s">
        <v>15</v>
      </c>
      <c r="AE215" t="s">
        <v>2418</v>
      </c>
      <c r="AF215">
        <v>6</v>
      </c>
      <c r="AH215" t="s">
        <v>2419</v>
      </c>
      <c r="AI215" t="s">
        <v>2420</v>
      </c>
      <c r="AK215" t="s">
        <v>2421</v>
      </c>
      <c r="AL215">
        <v>64</v>
      </c>
      <c r="AM215" s="5">
        <f t="shared" si="20"/>
        <v>1.6</v>
      </c>
      <c r="AN215" s="6">
        <f>(AM215-'[1]1982'!$AO$4)/('[1]1982'!$AO$3-'[1]1982'!$AO$4)</f>
        <v>2.4233244982961003E-3</v>
      </c>
      <c r="AO215" s="7"/>
      <c r="AP215">
        <v>0</v>
      </c>
      <c r="AR215" t="s">
        <v>19</v>
      </c>
      <c r="AT215" s="3" t="s">
        <v>20</v>
      </c>
      <c r="AU215" s="8">
        <f t="shared" si="21"/>
        <v>2.1973093289266199</v>
      </c>
      <c r="AV215" s="8">
        <f t="shared" si="22"/>
        <v>1.6387445063274744</v>
      </c>
      <c r="AW215" s="8">
        <f t="shared" si="23"/>
        <v>1.0801796837283284</v>
      </c>
    </row>
    <row r="216" spans="1:49" x14ac:dyDescent="0.2">
      <c r="A216">
        <v>214</v>
      </c>
      <c r="B216" t="s">
        <v>2422</v>
      </c>
      <c r="C216" t="s">
        <v>2423</v>
      </c>
      <c r="F216" t="s">
        <v>2424</v>
      </c>
      <c r="G216" t="s">
        <v>4</v>
      </c>
      <c r="H216" t="s">
        <v>5</v>
      </c>
      <c r="I216" t="s">
        <v>2425</v>
      </c>
      <c r="J216">
        <v>60010491</v>
      </c>
      <c r="K216" t="s">
        <v>2426</v>
      </c>
      <c r="L216" t="s">
        <v>2427</v>
      </c>
      <c r="M216" t="s">
        <v>9</v>
      </c>
      <c r="N216">
        <v>1</v>
      </c>
      <c r="O216" t="s">
        <v>2428</v>
      </c>
      <c r="P216">
        <v>7201550943</v>
      </c>
      <c r="Q216">
        <v>60010491</v>
      </c>
      <c r="R216" s="1">
        <v>29952</v>
      </c>
      <c r="S216" s="2">
        <f t="shared" si="18"/>
        <v>1982</v>
      </c>
      <c r="T216" s="2">
        <v>1982</v>
      </c>
      <c r="U216" s="2">
        <f t="shared" si="19"/>
        <v>40</v>
      </c>
      <c r="V216" s="1">
        <v>30256</v>
      </c>
      <c r="W216" t="s">
        <v>1117</v>
      </c>
      <c r="X216" s="3">
        <v>1.6519999999999999</v>
      </c>
      <c r="Y216" s="4">
        <f>(X216-'[1]1982'!$Z$4)/('[1]1982'!$Z$3-'[1]1982'!$Z$4)</f>
        <v>4.409919649769093E-2</v>
      </c>
      <c r="AA216" t="s">
        <v>1118</v>
      </c>
      <c r="AB216">
        <v>17337</v>
      </c>
      <c r="AC216">
        <v>15582221</v>
      </c>
      <c r="AD216" t="s">
        <v>15</v>
      </c>
      <c r="AE216">
        <v>30</v>
      </c>
      <c r="AF216">
        <v>6</v>
      </c>
      <c r="AH216" t="s">
        <v>2429</v>
      </c>
      <c r="AI216" t="s">
        <v>2430</v>
      </c>
      <c r="AK216" t="s">
        <v>2431</v>
      </c>
      <c r="AL216">
        <v>19</v>
      </c>
      <c r="AM216" s="5">
        <f t="shared" si="20"/>
        <v>0.47499999999999998</v>
      </c>
      <c r="AN216" s="6">
        <f>(AM216-'[1]1982'!$AO$4)/('[1]1982'!$AO$3-'[1]1982'!$AO$4)</f>
        <v>7.1942446043165469E-4</v>
      </c>
      <c r="AO216" s="7"/>
      <c r="AP216">
        <v>0</v>
      </c>
      <c r="AR216" t="s">
        <v>19</v>
      </c>
      <c r="AT216" s="3" t="s">
        <v>20</v>
      </c>
      <c r="AU216" s="8">
        <f t="shared" si="21"/>
        <v>3.1085264886513144</v>
      </c>
      <c r="AV216" s="8">
        <f t="shared" si="22"/>
        <v>2.2409310479061291</v>
      </c>
      <c r="AW216" s="8">
        <f t="shared" si="23"/>
        <v>1.3733356071609435</v>
      </c>
    </row>
    <row r="217" spans="1:49" x14ac:dyDescent="0.2">
      <c r="A217">
        <v>215</v>
      </c>
      <c r="B217" t="s">
        <v>2432</v>
      </c>
      <c r="C217" t="s">
        <v>2433</v>
      </c>
      <c r="F217" t="s">
        <v>2434</v>
      </c>
      <c r="G217" t="s">
        <v>4</v>
      </c>
      <c r="H217" t="s">
        <v>5</v>
      </c>
      <c r="I217" t="s">
        <v>2435</v>
      </c>
      <c r="N217">
        <v>1</v>
      </c>
      <c r="O217" t="s">
        <v>2436</v>
      </c>
      <c r="P217">
        <v>6505783860</v>
      </c>
      <c r="R217" s="1">
        <v>29952</v>
      </c>
      <c r="S217" s="2">
        <f t="shared" si="18"/>
        <v>1982</v>
      </c>
      <c r="T217" s="2">
        <v>1982</v>
      </c>
      <c r="U217" s="2">
        <f t="shared" si="19"/>
        <v>40</v>
      </c>
      <c r="V217" s="1" t="s">
        <v>2260</v>
      </c>
      <c r="W217" t="s">
        <v>2437</v>
      </c>
      <c r="X217" s="3">
        <v>0.218</v>
      </c>
      <c r="Y217" s="4">
        <f>(X217-'[1]1982'!$Z$4)/('[1]1982'!$Z$3-'[1]1982'!$Z$4)</f>
        <v>5.8193854942473512E-3</v>
      </c>
      <c r="AA217">
        <v>3772063</v>
      </c>
      <c r="AB217">
        <v>130012</v>
      </c>
      <c r="AD217" t="s">
        <v>15</v>
      </c>
      <c r="AE217">
        <v>28</v>
      </c>
      <c r="AF217">
        <v>11</v>
      </c>
      <c r="AH217" t="s">
        <v>2438</v>
      </c>
      <c r="AI217" t="s">
        <v>2439</v>
      </c>
      <c r="AK217" t="s">
        <v>2440</v>
      </c>
      <c r="AL217">
        <v>0</v>
      </c>
      <c r="AM217" s="5">
        <f t="shared" si="20"/>
        <v>0</v>
      </c>
      <c r="AN217" s="6">
        <f>(AM217-'[1]1982'!$AO$4)/('[1]1982'!$AO$3-'[1]1982'!$AO$4)</f>
        <v>0</v>
      </c>
      <c r="AO217" s="7"/>
      <c r="AP217">
        <v>0</v>
      </c>
      <c r="AR217" t="s">
        <v>19</v>
      </c>
      <c r="AT217" s="3">
        <v>2.3330000000000002</v>
      </c>
      <c r="AU217" s="8">
        <f t="shared" si="21"/>
        <v>0.40735698459731456</v>
      </c>
      <c r="AV217" s="8">
        <f t="shared" si="22"/>
        <v>0.29096927471236755</v>
      </c>
      <c r="AW217" s="8">
        <f t="shared" si="23"/>
        <v>0.17458156482742054</v>
      </c>
    </row>
    <row r="218" spans="1:49" x14ac:dyDescent="0.2">
      <c r="A218">
        <v>216</v>
      </c>
      <c r="B218" t="s">
        <v>2441</v>
      </c>
      <c r="C218" t="s">
        <v>2442</v>
      </c>
      <c r="F218" t="s">
        <v>2443</v>
      </c>
      <c r="G218" t="s">
        <v>4</v>
      </c>
      <c r="H218" t="s">
        <v>5</v>
      </c>
      <c r="I218" t="s">
        <v>2444</v>
      </c>
      <c r="J218" t="s">
        <v>2445</v>
      </c>
      <c r="K218" t="s">
        <v>2446</v>
      </c>
      <c r="L218" t="s">
        <v>2447</v>
      </c>
      <c r="M218" t="s">
        <v>218</v>
      </c>
      <c r="N218">
        <v>4</v>
      </c>
      <c r="O218" t="s">
        <v>2448</v>
      </c>
      <c r="P218" t="s">
        <v>2449</v>
      </c>
      <c r="Q218" t="s">
        <v>2450</v>
      </c>
      <c r="R218" s="1">
        <v>29952</v>
      </c>
      <c r="S218" s="2">
        <f t="shared" si="18"/>
        <v>1982</v>
      </c>
      <c r="T218" s="2">
        <v>1982</v>
      </c>
      <c r="U218" s="2">
        <f t="shared" si="19"/>
        <v>40</v>
      </c>
      <c r="V218" s="1">
        <v>30256</v>
      </c>
      <c r="W218" t="s">
        <v>1795</v>
      </c>
      <c r="X218" s="3">
        <v>1.3720000000000001</v>
      </c>
      <c r="Y218" s="4">
        <f>(X218-'[1]1982'!$Z$4)/('[1]1982'!$Z$3-'[1]1982'!$Z$4)</f>
        <v>3.662475641333654E-2</v>
      </c>
      <c r="AA218">
        <v>189480</v>
      </c>
      <c r="AB218">
        <v>17366</v>
      </c>
      <c r="AC218">
        <v>15579670</v>
      </c>
      <c r="AD218" t="s">
        <v>15</v>
      </c>
      <c r="AE218">
        <v>30</v>
      </c>
      <c r="AF218">
        <v>11</v>
      </c>
      <c r="AH218" t="s">
        <v>2451</v>
      </c>
      <c r="AI218" t="s">
        <v>2452</v>
      </c>
      <c r="AK218" t="s">
        <v>2453</v>
      </c>
      <c r="AL218">
        <v>3</v>
      </c>
      <c r="AM218" s="5">
        <f t="shared" si="20"/>
        <v>7.4999999999999997E-2</v>
      </c>
      <c r="AN218" s="6">
        <f>(AM218-'[1]1982'!$AO$4)/('[1]1982'!$AO$3-'[1]1982'!$AO$4)</f>
        <v>1.1359333585762968E-4</v>
      </c>
      <c r="AO218" s="7"/>
      <c r="AP218">
        <v>0</v>
      </c>
      <c r="AR218" t="s">
        <v>19</v>
      </c>
      <c r="AT218" s="3" t="s">
        <v>20</v>
      </c>
      <c r="AU218" s="8">
        <f t="shared" si="21"/>
        <v>2.5671407490092868</v>
      </c>
      <c r="AV218" s="8">
        <f t="shared" si="22"/>
        <v>1.8369174874597085</v>
      </c>
      <c r="AW218" s="8">
        <f t="shared" si="23"/>
        <v>1.1066942259101302</v>
      </c>
    </row>
    <row r="219" spans="1:49" x14ac:dyDescent="0.2">
      <c r="A219">
        <v>217</v>
      </c>
      <c r="B219" t="s">
        <v>2454</v>
      </c>
      <c r="C219" t="s">
        <v>2455</v>
      </c>
      <c r="F219" t="s">
        <v>2456</v>
      </c>
      <c r="G219" t="s">
        <v>4</v>
      </c>
      <c r="H219" t="s">
        <v>5</v>
      </c>
      <c r="I219" t="s">
        <v>2457</v>
      </c>
      <c r="J219" t="s">
        <v>2458</v>
      </c>
      <c r="K219" t="s">
        <v>2459</v>
      </c>
      <c r="L219" t="s">
        <v>2460</v>
      </c>
      <c r="M219" t="s">
        <v>218</v>
      </c>
      <c r="N219">
        <v>1</v>
      </c>
      <c r="O219" t="s">
        <v>2461</v>
      </c>
      <c r="P219">
        <v>7102870158</v>
      </c>
      <c r="Q219" t="s">
        <v>2462</v>
      </c>
      <c r="R219" s="1">
        <v>29952</v>
      </c>
      <c r="S219" s="2">
        <f t="shared" si="18"/>
        <v>1982</v>
      </c>
      <c r="T219" s="2">
        <v>1982</v>
      </c>
      <c r="U219" s="2">
        <f t="shared" si="19"/>
        <v>40</v>
      </c>
      <c r="V219" s="1">
        <v>30256</v>
      </c>
      <c r="W219" t="s">
        <v>1117</v>
      </c>
      <c r="X219" s="3">
        <v>1.6519999999999999</v>
      </c>
      <c r="Y219" s="4">
        <f>(X219-'[1]1982'!$Z$4)/('[1]1982'!$Z$3-'[1]1982'!$Z$4)</f>
        <v>4.409919649769093E-2</v>
      </c>
      <c r="AA219" t="s">
        <v>1118</v>
      </c>
      <c r="AB219">
        <v>17337</v>
      </c>
      <c r="AC219">
        <v>15582221</v>
      </c>
      <c r="AD219" t="s">
        <v>15</v>
      </c>
      <c r="AE219">
        <v>30</v>
      </c>
      <c r="AF219">
        <v>6</v>
      </c>
      <c r="AH219" t="s">
        <v>2463</v>
      </c>
      <c r="AI219" t="s">
        <v>2464</v>
      </c>
      <c r="AK219" t="s">
        <v>2465</v>
      </c>
      <c r="AL219">
        <v>9</v>
      </c>
      <c r="AM219" s="5">
        <f t="shared" si="20"/>
        <v>0.22500000000000001</v>
      </c>
      <c r="AN219" s="6">
        <f>(AM219-'[1]1982'!$AO$4)/('[1]1982'!$AO$3-'[1]1982'!$AO$4)</f>
        <v>3.4078000757288904E-4</v>
      </c>
      <c r="AO219" s="7"/>
      <c r="AP219">
        <v>0</v>
      </c>
      <c r="AR219" t="s">
        <v>19</v>
      </c>
      <c r="AT219" s="3" t="s">
        <v>20</v>
      </c>
      <c r="AU219" s="8">
        <f t="shared" si="21"/>
        <v>3.0971671550655517</v>
      </c>
      <c r="AV219" s="8">
        <f t="shared" si="22"/>
        <v>2.2219988252631908</v>
      </c>
      <c r="AW219" s="8">
        <f t="shared" si="23"/>
        <v>1.3468304954608301</v>
      </c>
    </row>
    <row r="220" spans="1:49" x14ac:dyDescent="0.2">
      <c r="A220">
        <v>218</v>
      </c>
      <c r="B220" t="s">
        <v>2466</v>
      </c>
      <c r="F220" t="s">
        <v>2467</v>
      </c>
      <c r="G220" t="s">
        <v>4</v>
      </c>
      <c r="H220" t="s">
        <v>5</v>
      </c>
      <c r="I220" t="s">
        <v>2468</v>
      </c>
      <c r="N220">
        <v>1</v>
      </c>
      <c r="O220" t="s">
        <v>2469</v>
      </c>
      <c r="P220">
        <v>57220065537</v>
      </c>
      <c r="R220" s="1">
        <v>29952</v>
      </c>
      <c r="S220" s="2">
        <f t="shared" si="18"/>
        <v>1982</v>
      </c>
      <c r="T220" s="2">
        <v>1982</v>
      </c>
      <c r="U220" s="2">
        <f t="shared" si="19"/>
        <v>40</v>
      </c>
      <c r="V220" s="1" t="s">
        <v>2470</v>
      </c>
      <c r="W220" t="s">
        <v>2471</v>
      </c>
      <c r="X220" s="3">
        <v>0.125</v>
      </c>
      <c r="Y220" s="4">
        <f>(X220-'[1]1982'!$Z$4)/('[1]1982'!$Z$3-'[1]1982'!$Z$4)</f>
        <v>3.3368036090867838E-3</v>
      </c>
      <c r="AA220">
        <v>26557</v>
      </c>
      <c r="AB220">
        <v>40401</v>
      </c>
      <c r="AD220" t="s">
        <v>15</v>
      </c>
      <c r="AE220">
        <v>51</v>
      </c>
      <c r="AF220">
        <v>6</v>
      </c>
      <c r="AH220" t="s">
        <v>2472</v>
      </c>
      <c r="AI220" t="s">
        <v>2473</v>
      </c>
      <c r="AK220" t="s">
        <v>2474</v>
      </c>
      <c r="AL220">
        <v>10</v>
      </c>
      <c r="AM220" s="5">
        <f t="shared" si="20"/>
        <v>0.25</v>
      </c>
      <c r="AN220" s="6">
        <f>(AM220-'[1]1982'!$AO$4)/('[1]1982'!$AO$3-'[1]1982'!$AO$4)</f>
        <v>3.786444528587656E-4</v>
      </c>
      <c r="AO220" s="7"/>
      <c r="AP220">
        <v>0</v>
      </c>
      <c r="AR220" t="s">
        <v>19</v>
      </c>
      <c r="AT220" s="3" t="s">
        <v>20</v>
      </c>
      <c r="AU220" s="8">
        <f t="shared" si="21"/>
        <v>0.24493558622183781</v>
      </c>
      <c r="AV220" s="8">
        <f t="shared" si="22"/>
        <v>0.18577240309727747</v>
      </c>
      <c r="AW220" s="8">
        <f t="shared" si="23"/>
        <v>0.1266092199727171</v>
      </c>
    </row>
    <row r="221" spans="1:49" x14ac:dyDescent="0.2">
      <c r="A221">
        <v>219</v>
      </c>
      <c r="B221" t="s">
        <v>2475</v>
      </c>
      <c r="C221" t="s">
        <v>2476</v>
      </c>
      <c r="F221" t="s">
        <v>2477</v>
      </c>
      <c r="G221" t="s">
        <v>4</v>
      </c>
      <c r="H221" t="s">
        <v>5</v>
      </c>
      <c r="I221" t="s">
        <v>2478</v>
      </c>
      <c r="J221">
        <v>113100909</v>
      </c>
      <c r="K221" t="s">
        <v>2479</v>
      </c>
      <c r="L221" t="s">
        <v>1774</v>
      </c>
      <c r="M221" t="s">
        <v>1775</v>
      </c>
      <c r="N221">
        <v>1</v>
      </c>
      <c r="O221" t="s">
        <v>2480</v>
      </c>
      <c r="P221">
        <v>7201399131</v>
      </c>
      <c r="Q221">
        <v>113100909</v>
      </c>
      <c r="R221" s="1">
        <v>29952</v>
      </c>
      <c r="S221" s="2">
        <f t="shared" si="18"/>
        <v>1982</v>
      </c>
      <c r="T221" s="2">
        <v>1982</v>
      </c>
      <c r="U221" s="2">
        <f t="shared" si="19"/>
        <v>40</v>
      </c>
      <c r="V221" s="1">
        <v>30256</v>
      </c>
      <c r="W221" t="s">
        <v>1117</v>
      </c>
      <c r="X221" s="3">
        <v>1.6519999999999999</v>
      </c>
      <c r="Y221" s="4">
        <f>(X221-'[1]1982'!$Z$4)/('[1]1982'!$Z$3-'[1]1982'!$Z$4)</f>
        <v>4.409919649769093E-2</v>
      </c>
      <c r="AA221" t="s">
        <v>1118</v>
      </c>
      <c r="AB221">
        <v>17337</v>
      </c>
      <c r="AC221">
        <v>15582221</v>
      </c>
      <c r="AD221" t="s">
        <v>15</v>
      </c>
      <c r="AE221">
        <v>30</v>
      </c>
      <c r="AF221">
        <v>6</v>
      </c>
      <c r="AH221" t="s">
        <v>2481</v>
      </c>
      <c r="AI221" t="s">
        <v>2482</v>
      </c>
      <c r="AK221" t="s">
        <v>2483</v>
      </c>
      <c r="AL221">
        <v>22</v>
      </c>
      <c r="AM221" s="5">
        <f t="shared" si="20"/>
        <v>0.55000000000000004</v>
      </c>
      <c r="AN221" s="6">
        <f>(AM221-'[1]1982'!$AO$4)/('[1]1982'!$AO$3-'[1]1982'!$AO$4)</f>
        <v>8.3301779628928443E-4</v>
      </c>
      <c r="AO221" s="7"/>
      <c r="AP221">
        <v>0</v>
      </c>
      <c r="AR221" t="s">
        <v>19</v>
      </c>
      <c r="AT221" s="3" t="s">
        <v>20</v>
      </c>
      <c r="AU221" s="8">
        <f t="shared" si="21"/>
        <v>3.1119342887270434</v>
      </c>
      <c r="AV221" s="8">
        <f t="shared" si="22"/>
        <v>2.2466107146990106</v>
      </c>
      <c r="AW221" s="8">
        <f t="shared" si="23"/>
        <v>1.3812871406709777</v>
      </c>
    </row>
    <row r="222" spans="1:49" x14ac:dyDescent="0.2">
      <c r="A222">
        <v>220</v>
      </c>
      <c r="B222" t="s">
        <v>2484</v>
      </c>
      <c r="C222" t="s">
        <v>2485</v>
      </c>
      <c r="F222" t="s">
        <v>2486</v>
      </c>
      <c r="G222" t="s">
        <v>4</v>
      </c>
      <c r="H222" t="s">
        <v>5</v>
      </c>
      <c r="I222" t="s">
        <v>2487</v>
      </c>
      <c r="N222">
        <v>1</v>
      </c>
      <c r="O222" t="s">
        <v>2488</v>
      </c>
      <c r="P222">
        <v>8314977400</v>
      </c>
      <c r="R222" s="1">
        <v>29952</v>
      </c>
      <c r="S222" s="2">
        <f t="shared" si="18"/>
        <v>1982</v>
      </c>
      <c r="T222" s="2">
        <v>1982</v>
      </c>
      <c r="U222" s="2">
        <f t="shared" si="19"/>
        <v>40</v>
      </c>
      <c r="V222" s="1" t="s">
        <v>2384</v>
      </c>
      <c r="W222" t="s">
        <v>2385</v>
      </c>
      <c r="X222" s="3">
        <v>0.371</v>
      </c>
      <c r="Y222" s="4">
        <f>(X222-'[1]1982'!$Z$4)/('[1]1982'!$Z$3-'[1]1982'!$Z$4)</f>
        <v>9.9036331117695747E-3</v>
      </c>
      <c r="AA222">
        <v>486604</v>
      </c>
      <c r="AB222">
        <v>28580</v>
      </c>
      <c r="AC222" t="s">
        <v>2386</v>
      </c>
      <c r="AD222" t="s">
        <v>15</v>
      </c>
      <c r="AE222">
        <v>17</v>
      </c>
      <c r="AF222">
        <v>6</v>
      </c>
      <c r="AH222" t="s">
        <v>2489</v>
      </c>
      <c r="AI222" t="s">
        <v>2490</v>
      </c>
      <c r="AK222" t="s">
        <v>2491</v>
      </c>
      <c r="AL222">
        <v>35</v>
      </c>
      <c r="AM222" s="5">
        <f t="shared" si="20"/>
        <v>0.875</v>
      </c>
      <c r="AN222" s="6">
        <f>(AM222-'[1]1982'!$AO$4)/('[1]1982'!$AO$3-'[1]1982'!$AO$4)</f>
        <v>1.3252555850056798E-3</v>
      </c>
      <c r="AO222" s="7"/>
      <c r="AP222">
        <v>0</v>
      </c>
      <c r="AR222" t="s">
        <v>19</v>
      </c>
      <c r="AT222" s="3">
        <v>1.431</v>
      </c>
      <c r="AU222" s="8">
        <f t="shared" si="21"/>
        <v>0.73301198537404055</v>
      </c>
      <c r="AV222" s="8">
        <f t="shared" si="22"/>
        <v>0.56144443483876272</v>
      </c>
      <c r="AW222" s="8">
        <f t="shared" si="23"/>
        <v>0.38987688430348483</v>
      </c>
    </row>
    <row r="223" spans="1:49" x14ac:dyDescent="0.2">
      <c r="A223">
        <v>221</v>
      </c>
      <c r="B223" t="s">
        <v>2492</v>
      </c>
      <c r="C223" t="s">
        <v>2493</v>
      </c>
      <c r="F223" t="s">
        <v>2494</v>
      </c>
      <c r="G223" t="s">
        <v>4</v>
      </c>
      <c r="H223" t="s">
        <v>5</v>
      </c>
      <c r="I223" t="s">
        <v>2495</v>
      </c>
      <c r="J223">
        <v>60108318</v>
      </c>
      <c r="K223" t="s">
        <v>2496</v>
      </c>
      <c r="L223" t="s">
        <v>200</v>
      </c>
      <c r="M223" t="s">
        <v>9</v>
      </c>
      <c r="N223">
        <v>3</v>
      </c>
      <c r="O223" t="s">
        <v>2497</v>
      </c>
      <c r="P223" t="s">
        <v>2498</v>
      </c>
      <c r="Q223" t="s">
        <v>2499</v>
      </c>
      <c r="R223" s="1">
        <v>29952</v>
      </c>
      <c r="S223" s="2">
        <f t="shared" si="18"/>
        <v>1982</v>
      </c>
      <c r="T223" s="2">
        <v>1982</v>
      </c>
      <c r="U223" s="2">
        <f t="shared" si="19"/>
        <v>40</v>
      </c>
      <c r="V223" s="1">
        <v>30256</v>
      </c>
      <c r="W223" t="s">
        <v>1117</v>
      </c>
      <c r="X223" s="3">
        <v>1.6519999999999999</v>
      </c>
      <c r="Y223" s="4">
        <f>(X223-'[1]1982'!$Z$4)/('[1]1982'!$Z$3-'[1]1982'!$Z$4)</f>
        <v>4.409919649769093E-2</v>
      </c>
      <c r="AA223" t="s">
        <v>1118</v>
      </c>
      <c r="AB223">
        <v>17337</v>
      </c>
      <c r="AC223">
        <v>15582221</v>
      </c>
      <c r="AD223" t="s">
        <v>15</v>
      </c>
      <c r="AE223">
        <v>30</v>
      </c>
      <c r="AF223">
        <v>6</v>
      </c>
      <c r="AH223" t="s">
        <v>2500</v>
      </c>
      <c r="AI223" t="s">
        <v>2501</v>
      </c>
      <c r="AK223" t="s">
        <v>2502</v>
      </c>
      <c r="AL223">
        <v>20</v>
      </c>
      <c r="AM223" s="5">
        <f t="shared" si="20"/>
        <v>0.5</v>
      </c>
      <c r="AN223" s="6">
        <f>(AM223-'[1]1982'!$AO$4)/('[1]1982'!$AO$3-'[1]1982'!$AO$4)</f>
        <v>7.572889057175312E-4</v>
      </c>
      <c r="AO223" s="7"/>
      <c r="AP223">
        <v>0</v>
      </c>
      <c r="AR223" t="s">
        <v>19</v>
      </c>
      <c r="AT223" s="3" t="s">
        <v>20</v>
      </c>
      <c r="AU223" s="8">
        <f t="shared" si="21"/>
        <v>3.1096624220098912</v>
      </c>
      <c r="AV223" s="8">
        <f t="shared" si="22"/>
        <v>2.2428242701704231</v>
      </c>
      <c r="AW223" s="8">
        <f t="shared" si="23"/>
        <v>1.375986118330955</v>
      </c>
    </row>
    <row r="224" spans="1:49" x14ac:dyDescent="0.2">
      <c r="A224">
        <v>222</v>
      </c>
      <c r="B224" t="s">
        <v>2503</v>
      </c>
      <c r="C224" t="s">
        <v>2504</v>
      </c>
      <c r="F224" t="s">
        <v>2505</v>
      </c>
      <c r="G224" t="s">
        <v>4</v>
      </c>
      <c r="H224" t="s">
        <v>5</v>
      </c>
      <c r="I224" t="s">
        <v>2506</v>
      </c>
      <c r="J224">
        <v>60003500</v>
      </c>
      <c r="K224" t="s">
        <v>2507</v>
      </c>
      <c r="L224" t="s">
        <v>951</v>
      </c>
      <c r="M224" t="s">
        <v>9</v>
      </c>
      <c r="N224">
        <v>1</v>
      </c>
      <c r="O224" t="s">
        <v>2508</v>
      </c>
      <c r="P224">
        <v>56321621200</v>
      </c>
      <c r="Q224">
        <v>60003500</v>
      </c>
      <c r="R224" s="1">
        <v>29952</v>
      </c>
      <c r="S224" s="2">
        <f t="shared" si="18"/>
        <v>1982</v>
      </c>
      <c r="T224" s="2">
        <v>1982</v>
      </c>
      <c r="U224" s="2">
        <f t="shared" si="19"/>
        <v>40</v>
      </c>
      <c r="V224" s="1">
        <v>30256</v>
      </c>
      <c r="W224" t="s">
        <v>1117</v>
      </c>
      <c r="X224" s="3">
        <v>1.6519999999999999</v>
      </c>
      <c r="Y224" s="4">
        <f>(X224-'[1]1982'!$Z$4)/('[1]1982'!$Z$3-'[1]1982'!$Z$4)</f>
        <v>4.409919649769093E-2</v>
      </c>
      <c r="AA224" t="s">
        <v>1118</v>
      </c>
      <c r="AB224">
        <v>17337</v>
      </c>
      <c r="AC224">
        <v>15582221</v>
      </c>
      <c r="AD224" t="s">
        <v>15</v>
      </c>
      <c r="AE224">
        <v>30</v>
      </c>
      <c r="AF224">
        <v>6</v>
      </c>
      <c r="AH224" t="s">
        <v>2509</v>
      </c>
      <c r="AI224" t="s">
        <v>2510</v>
      </c>
      <c r="AK224" t="s">
        <v>2511</v>
      </c>
      <c r="AL224">
        <v>10</v>
      </c>
      <c r="AM224" s="5">
        <f t="shared" si="20"/>
        <v>0.25</v>
      </c>
      <c r="AN224" s="6">
        <f>(AM224-'[1]1982'!$AO$4)/('[1]1982'!$AO$3-'[1]1982'!$AO$4)</f>
        <v>3.786444528587656E-4</v>
      </c>
      <c r="AO224" s="7"/>
      <c r="AP224">
        <v>0</v>
      </c>
      <c r="AR224" t="s">
        <v>19</v>
      </c>
      <c r="AT224" s="3" t="s">
        <v>20</v>
      </c>
      <c r="AU224" s="8">
        <f t="shared" si="21"/>
        <v>3.098303088424128</v>
      </c>
      <c r="AV224" s="8">
        <f t="shared" si="22"/>
        <v>2.2238920475274848</v>
      </c>
      <c r="AW224" s="8">
        <f t="shared" si="23"/>
        <v>1.3494810066308416</v>
      </c>
    </row>
    <row r="225" spans="1:49" x14ac:dyDescent="0.2">
      <c r="A225">
        <v>223</v>
      </c>
      <c r="B225" t="s">
        <v>2512</v>
      </c>
      <c r="F225" t="s">
        <v>2513</v>
      </c>
      <c r="G225" t="s">
        <v>4</v>
      </c>
      <c r="H225" t="s">
        <v>5</v>
      </c>
      <c r="I225" t="s">
        <v>2514</v>
      </c>
      <c r="N225">
        <v>2</v>
      </c>
      <c r="O225" t="s">
        <v>2515</v>
      </c>
      <c r="P225" t="s">
        <v>2516</v>
      </c>
      <c r="Q225" t="s">
        <v>156</v>
      </c>
      <c r="R225" s="1">
        <v>29952</v>
      </c>
      <c r="S225" s="2">
        <f t="shared" si="18"/>
        <v>1982</v>
      </c>
      <c r="T225" s="2">
        <v>1982</v>
      </c>
      <c r="U225" s="2">
        <f t="shared" si="19"/>
        <v>40</v>
      </c>
      <c r="V225" s="1" t="s">
        <v>2260</v>
      </c>
      <c r="W225" t="s">
        <v>2517</v>
      </c>
      <c r="X225" s="3" t="s">
        <v>20</v>
      </c>
      <c r="Y225" s="4" t="e">
        <f>(X225-'[1]1982'!$Z$4)/('[1]1982'!$Z$3-'[1]1982'!$Z$4)</f>
        <v>#VALUE!</v>
      </c>
      <c r="AA225">
        <v>338001</v>
      </c>
      <c r="AB225">
        <v>32587</v>
      </c>
      <c r="AD225" t="s">
        <v>15</v>
      </c>
      <c r="AE225">
        <v>29</v>
      </c>
      <c r="AF225">
        <v>128</v>
      </c>
      <c r="AH225" t="s">
        <v>2518</v>
      </c>
      <c r="AI225" t="s">
        <v>2519</v>
      </c>
      <c r="AK225" t="s">
        <v>2520</v>
      </c>
      <c r="AL225">
        <v>0</v>
      </c>
      <c r="AM225" s="5">
        <f t="shared" si="20"/>
        <v>0</v>
      </c>
      <c r="AN225" s="6">
        <f>(AM225-'[1]1982'!$AO$4)/('[1]1982'!$AO$3-'[1]1982'!$AO$4)</f>
        <v>0</v>
      </c>
      <c r="AO225" s="7"/>
      <c r="AP225">
        <v>0</v>
      </c>
      <c r="AR225" t="s">
        <v>19</v>
      </c>
      <c r="AT225" s="3" t="s">
        <v>20</v>
      </c>
      <c r="AU225" s="8" t="e">
        <f t="shared" si="21"/>
        <v>#VALUE!</v>
      </c>
      <c r="AV225" s="8" t="e">
        <f t="shared" si="22"/>
        <v>#VALUE!</v>
      </c>
      <c r="AW225" s="8" t="e">
        <f t="shared" si="23"/>
        <v>#VALUE!</v>
      </c>
    </row>
    <row r="226" spans="1:49" x14ac:dyDescent="0.2">
      <c r="A226">
        <v>224</v>
      </c>
      <c r="B226" t="s">
        <v>2521</v>
      </c>
      <c r="C226" t="s">
        <v>2522</v>
      </c>
      <c r="F226" t="s">
        <v>2523</v>
      </c>
      <c r="G226" t="s">
        <v>4</v>
      </c>
      <c r="H226" t="s">
        <v>5</v>
      </c>
      <c r="I226" t="s">
        <v>2524</v>
      </c>
      <c r="J226">
        <v>60000501</v>
      </c>
      <c r="K226" t="s">
        <v>2525</v>
      </c>
      <c r="L226" t="s">
        <v>2526</v>
      </c>
      <c r="M226" t="s">
        <v>9</v>
      </c>
      <c r="N226">
        <v>1</v>
      </c>
      <c r="O226" t="s">
        <v>2527</v>
      </c>
      <c r="P226">
        <v>7006199070</v>
      </c>
      <c r="Q226">
        <v>60000501</v>
      </c>
      <c r="R226" s="1">
        <v>29952</v>
      </c>
      <c r="S226" s="2">
        <f t="shared" si="18"/>
        <v>1982</v>
      </c>
      <c r="T226" s="2">
        <v>1982</v>
      </c>
      <c r="U226" s="2">
        <f t="shared" si="19"/>
        <v>40</v>
      </c>
      <c r="V226" s="1">
        <v>30256</v>
      </c>
      <c r="W226" t="s">
        <v>1117</v>
      </c>
      <c r="X226" s="3">
        <v>1.6519999999999999</v>
      </c>
      <c r="Y226" s="4">
        <f>(X226-'[1]1982'!$Z$4)/('[1]1982'!$Z$3-'[1]1982'!$Z$4)</f>
        <v>4.409919649769093E-2</v>
      </c>
      <c r="AA226" t="s">
        <v>1118</v>
      </c>
      <c r="AB226">
        <v>17337</v>
      </c>
      <c r="AC226">
        <v>15582221</v>
      </c>
      <c r="AD226" t="s">
        <v>15</v>
      </c>
      <c r="AE226">
        <v>30</v>
      </c>
      <c r="AF226">
        <v>6</v>
      </c>
      <c r="AH226" t="s">
        <v>2528</v>
      </c>
      <c r="AI226" t="s">
        <v>2529</v>
      </c>
      <c r="AK226" t="s">
        <v>2530</v>
      </c>
      <c r="AL226">
        <v>39</v>
      </c>
      <c r="AM226" s="5">
        <f t="shared" si="20"/>
        <v>0.97499999999999998</v>
      </c>
      <c r="AN226" s="6">
        <f>(AM226-'[1]1982'!$AO$4)/('[1]1982'!$AO$3-'[1]1982'!$AO$4)</f>
        <v>1.4767133661491858E-3</v>
      </c>
      <c r="AO226" s="7"/>
      <c r="AP226">
        <v>0</v>
      </c>
      <c r="AR226" t="s">
        <v>19</v>
      </c>
      <c r="AT226" s="3" t="s">
        <v>20</v>
      </c>
      <c r="AU226" s="8">
        <f t="shared" si="21"/>
        <v>3.1312451558228407</v>
      </c>
      <c r="AV226" s="8">
        <f t="shared" si="22"/>
        <v>2.2787954931920056</v>
      </c>
      <c r="AW226" s="8">
        <f t="shared" si="23"/>
        <v>1.4263458305611707</v>
      </c>
    </row>
    <row r="227" spans="1:49" x14ac:dyDescent="0.2">
      <c r="A227">
        <v>225</v>
      </c>
      <c r="B227" t="s">
        <v>2531</v>
      </c>
      <c r="C227" t="s">
        <v>2532</v>
      </c>
      <c r="F227" t="s">
        <v>2533</v>
      </c>
      <c r="G227" t="s">
        <v>4</v>
      </c>
      <c r="H227" t="s">
        <v>5</v>
      </c>
      <c r="I227" t="s">
        <v>2534</v>
      </c>
      <c r="J227">
        <v>60025317</v>
      </c>
      <c r="K227" t="s">
        <v>2535</v>
      </c>
      <c r="L227" t="s">
        <v>1139</v>
      </c>
      <c r="M227" t="s">
        <v>9</v>
      </c>
      <c r="N227">
        <v>1</v>
      </c>
      <c r="O227" t="s">
        <v>2536</v>
      </c>
      <c r="P227">
        <v>35616874500</v>
      </c>
      <c r="Q227">
        <v>60025317</v>
      </c>
      <c r="R227" s="1">
        <v>29952</v>
      </c>
      <c r="S227" s="2">
        <f t="shared" si="18"/>
        <v>1982</v>
      </c>
      <c r="T227" s="2">
        <v>1982</v>
      </c>
      <c r="U227" s="2">
        <f t="shared" si="19"/>
        <v>40</v>
      </c>
      <c r="V227" s="1">
        <v>30256</v>
      </c>
      <c r="W227" t="s">
        <v>1117</v>
      </c>
      <c r="X227" s="3">
        <v>1.6519999999999999</v>
      </c>
      <c r="Y227" s="4">
        <f>(X227-'[1]1982'!$Z$4)/('[1]1982'!$Z$3-'[1]1982'!$Z$4)</f>
        <v>4.409919649769093E-2</v>
      </c>
      <c r="AA227" t="s">
        <v>1118</v>
      </c>
      <c r="AB227">
        <v>17337</v>
      </c>
      <c r="AC227">
        <v>15582221</v>
      </c>
      <c r="AD227" t="s">
        <v>15</v>
      </c>
      <c r="AE227">
        <v>30</v>
      </c>
      <c r="AF227">
        <v>6</v>
      </c>
      <c r="AH227" t="s">
        <v>2537</v>
      </c>
      <c r="AI227" t="s">
        <v>2538</v>
      </c>
      <c r="AK227" t="s">
        <v>2539</v>
      </c>
      <c r="AL227">
        <v>12</v>
      </c>
      <c r="AM227" s="5">
        <f t="shared" si="20"/>
        <v>0.3</v>
      </c>
      <c r="AN227" s="6">
        <f>(AM227-'[1]1982'!$AO$4)/('[1]1982'!$AO$3-'[1]1982'!$AO$4)</f>
        <v>4.5437334343051872E-4</v>
      </c>
      <c r="AO227" s="7"/>
      <c r="AP227">
        <v>0</v>
      </c>
      <c r="AR227" t="s">
        <v>19</v>
      </c>
      <c r="AT227" s="3" t="s">
        <v>20</v>
      </c>
      <c r="AU227" s="8">
        <f t="shared" si="21"/>
        <v>3.1005749551412807</v>
      </c>
      <c r="AV227" s="8">
        <f t="shared" si="22"/>
        <v>2.2276784920560724</v>
      </c>
      <c r="AW227" s="8">
        <f t="shared" si="23"/>
        <v>1.3547820289708641</v>
      </c>
    </row>
    <row r="228" spans="1:49" x14ac:dyDescent="0.2">
      <c r="A228">
        <v>226</v>
      </c>
      <c r="B228" t="s">
        <v>2540</v>
      </c>
      <c r="C228" t="s">
        <v>2541</v>
      </c>
      <c r="F228" t="s">
        <v>2542</v>
      </c>
      <c r="G228" t="s">
        <v>4</v>
      </c>
      <c r="H228" t="s">
        <v>5</v>
      </c>
      <c r="I228" t="s">
        <v>2543</v>
      </c>
      <c r="J228" t="s">
        <v>2544</v>
      </c>
      <c r="K228" t="s">
        <v>2545</v>
      </c>
      <c r="L228" t="s">
        <v>2546</v>
      </c>
      <c r="M228" t="s">
        <v>2547</v>
      </c>
      <c r="N228">
        <v>5</v>
      </c>
      <c r="O228" t="s">
        <v>2548</v>
      </c>
      <c r="P228" t="s">
        <v>2549</v>
      </c>
      <c r="Q228" t="s">
        <v>2550</v>
      </c>
      <c r="R228" s="1">
        <v>29952</v>
      </c>
      <c r="S228" s="2">
        <f t="shared" si="18"/>
        <v>1982</v>
      </c>
      <c r="T228" s="2">
        <v>1982</v>
      </c>
      <c r="U228" s="2">
        <f t="shared" si="19"/>
        <v>40</v>
      </c>
      <c r="V228" s="1">
        <v>30256</v>
      </c>
      <c r="W228" t="s">
        <v>2551</v>
      </c>
      <c r="X228" s="3">
        <v>0.65500000000000003</v>
      </c>
      <c r="Y228" s="4">
        <f>(X228-'[1]1982'!$Z$4)/('[1]1982'!$Z$3-'[1]1982'!$Z$4)</f>
        <v>1.7484850911614749E-2</v>
      </c>
      <c r="AA228">
        <v>189375</v>
      </c>
      <c r="AB228">
        <v>26051</v>
      </c>
      <c r="AC228" t="s">
        <v>2552</v>
      </c>
      <c r="AD228" t="s">
        <v>15</v>
      </c>
      <c r="AE228" t="s">
        <v>2553</v>
      </c>
      <c r="AF228">
        <v>4</v>
      </c>
      <c r="AH228" t="s">
        <v>2554</v>
      </c>
      <c r="AI228" t="s">
        <v>2555</v>
      </c>
      <c r="AJ228" t="s">
        <v>2556</v>
      </c>
      <c r="AK228" t="s">
        <v>2557</v>
      </c>
      <c r="AL228">
        <v>6</v>
      </c>
      <c r="AM228" s="5">
        <f t="shared" si="20"/>
        <v>0.15</v>
      </c>
      <c r="AN228" s="6">
        <f>(AM228-'[1]1982'!$AO$4)/('[1]1982'!$AO$3-'[1]1982'!$AO$4)</f>
        <v>2.2718667171525936E-4</v>
      </c>
      <c r="AO228" s="7"/>
      <c r="AP228">
        <v>0</v>
      </c>
      <c r="AR228" t="s">
        <v>19</v>
      </c>
      <c r="AT228" s="3" t="s">
        <v>20</v>
      </c>
      <c r="AU228" s="8">
        <f t="shared" si="21"/>
        <v>1.23075516396449</v>
      </c>
      <c r="AV228" s="8">
        <f t="shared" si="22"/>
        <v>0.88560187916650046</v>
      </c>
      <c r="AW228" s="8">
        <f t="shared" si="23"/>
        <v>0.54044859436851067</v>
      </c>
    </row>
    <row r="229" spans="1:49" x14ac:dyDescent="0.2">
      <c r="A229">
        <v>227</v>
      </c>
      <c r="B229" t="s">
        <v>2558</v>
      </c>
      <c r="C229" t="s">
        <v>2559</v>
      </c>
      <c r="F229" t="s">
        <v>2560</v>
      </c>
      <c r="G229" t="s">
        <v>4</v>
      </c>
      <c r="H229" t="s">
        <v>5</v>
      </c>
      <c r="I229" t="s">
        <v>2561</v>
      </c>
      <c r="J229">
        <v>60014313</v>
      </c>
      <c r="K229" t="s">
        <v>2562</v>
      </c>
      <c r="L229" t="s">
        <v>2563</v>
      </c>
      <c r="M229" t="s">
        <v>9</v>
      </c>
      <c r="N229">
        <v>1</v>
      </c>
      <c r="O229" t="s">
        <v>2564</v>
      </c>
      <c r="P229">
        <v>7006061921</v>
      </c>
      <c r="Q229">
        <v>60014313</v>
      </c>
      <c r="R229" s="1">
        <v>29952</v>
      </c>
      <c r="S229" s="2">
        <f t="shared" si="18"/>
        <v>1982</v>
      </c>
      <c r="T229" s="2">
        <v>1982</v>
      </c>
      <c r="U229" s="2">
        <f t="shared" si="19"/>
        <v>40</v>
      </c>
      <c r="V229" s="1">
        <v>30256</v>
      </c>
      <c r="W229" t="s">
        <v>1117</v>
      </c>
      <c r="X229" s="3">
        <v>1.6519999999999999</v>
      </c>
      <c r="Y229" s="4">
        <f>(X229-'[1]1982'!$Z$4)/('[1]1982'!$Z$3-'[1]1982'!$Z$4)</f>
        <v>4.409919649769093E-2</v>
      </c>
      <c r="AA229" t="s">
        <v>1118</v>
      </c>
      <c r="AB229">
        <v>17337</v>
      </c>
      <c r="AC229">
        <v>15582221</v>
      </c>
      <c r="AD229" t="s">
        <v>15</v>
      </c>
      <c r="AE229">
        <v>30</v>
      </c>
      <c r="AF229">
        <v>6</v>
      </c>
      <c r="AH229" t="s">
        <v>2565</v>
      </c>
      <c r="AI229" t="s">
        <v>2566</v>
      </c>
      <c r="AK229" t="s">
        <v>2567</v>
      </c>
      <c r="AL229">
        <v>548</v>
      </c>
      <c r="AM229" s="5">
        <f t="shared" si="20"/>
        <v>13.7</v>
      </c>
      <c r="AN229" s="6">
        <f>(AM229-'[1]1982'!$AO$4)/('[1]1982'!$AO$3-'[1]1982'!$AO$4)</f>
        <v>2.0749716016660355E-2</v>
      </c>
      <c r="AO229" s="7"/>
      <c r="AP229">
        <v>0</v>
      </c>
      <c r="AR229" t="s">
        <v>19</v>
      </c>
      <c r="AT229" s="3" t="s">
        <v>20</v>
      </c>
      <c r="AU229" s="8">
        <f t="shared" si="21"/>
        <v>3.7094352353381757</v>
      </c>
      <c r="AV229" s="8">
        <f t="shared" si="22"/>
        <v>3.2424456257175645</v>
      </c>
      <c r="AW229" s="8">
        <f t="shared" si="23"/>
        <v>2.7754560160969528</v>
      </c>
    </row>
    <row r="230" spans="1:49" x14ac:dyDescent="0.2">
      <c r="A230">
        <v>228</v>
      </c>
      <c r="B230" t="s">
        <v>2568</v>
      </c>
      <c r="F230" t="s">
        <v>2569</v>
      </c>
      <c r="G230" t="s">
        <v>4</v>
      </c>
      <c r="H230" t="s">
        <v>5</v>
      </c>
      <c r="I230" t="s">
        <v>2570</v>
      </c>
      <c r="N230">
        <v>2</v>
      </c>
      <c r="O230" t="s">
        <v>2571</v>
      </c>
      <c r="P230" t="s">
        <v>2572</v>
      </c>
      <c r="Q230" t="s">
        <v>156</v>
      </c>
      <c r="R230" s="1">
        <v>29952</v>
      </c>
      <c r="S230" s="2">
        <f t="shared" si="18"/>
        <v>1982</v>
      </c>
      <c r="T230" s="2">
        <v>1982</v>
      </c>
      <c r="U230" s="2">
        <f t="shared" si="19"/>
        <v>40</v>
      </c>
      <c r="V230" s="1" t="s">
        <v>2470</v>
      </c>
      <c r="W230" t="s">
        <v>2573</v>
      </c>
      <c r="X230" s="3">
        <v>0.54700000000000004</v>
      </c>
      <c r="Y230" s="4">
        <f>(X230-'[1]1982'!$Z$4)/('[1]1982'!$Z$3-'[1]1982'!$Z$4)</f>
        <v>1.4601852593363766E-2</v>
      </c>
      <c r="AA230">
        <v>11096</v>
      </c>
      <c r="AB230">
        <v>31211</v>
      </c>
      <c r="AD230" t="s">
        <v>15</v>
      </c>
      <c r="AE230">
        <v>36</v>
      </c>
      <c r="AF230" s="9">
        <v>44541</v>
      </c>
      <c r="AH230" t="s">
        <v>2574</v>
      </c>
      <c r="AI230" t="s">
        <v>2575</v>
      </c>
      <c r="AK230" t="s">
        <v>2576</v>
      </c>
      <c r="AL230">
        <v>2</v>
      </c>
      <c r="AM230" s="5">
        <f t="shared" si="20"/>
        <v>0.05</v>
      </c>
      <c r="AN230" s="6">
        <f>(AM230-'[1]1982'!$AO$4)/('[1]1982'!$AO$3-'[1]1982'!$AO$4)</f>
        <v>7.5728890571753133E-5</v>
      </c>
      <c r="AO230" s="7"/>
      <c r="AP230">
        <v>0</v>
      </c>
      <c r="AR230" t="s">
        <v>19</v>
      </c>
      <c r="AT230" s="3" t="s">
        <v>20</v>
      </c>
      <c r="AU230" s="8">
        <f t="shared" si="21"/>
        <v>1.0244015482526161</v>
      </c>
      <c r="AV230" s="8">
        <f t="shared" si="22"/>
        <v>0.73387907419677589</v>
      </c>
      <c r="AW230" s="8">
        <f t="shared" si="23"/>
        <v>0.4433566001409357</v>
      </c>
    </row>
    <row r="231" spans="1:49" x14ac:dyDescent="0.2">
      <c r="A231">
        <v>229</v>
      </c>
      <c r="B231" t="s">
        <v>2577</v>
      </c>
      <c r="C231" t="s">
        <v>2578</v>
      </c>
      <c r="F231" t="s">
        <v>2579</v>
      </c>
      <c r="G231" t="s">
        <v>4</v>
      </c>
      <c r="H231" t="s">
        <v>5</v>
      </c>
      <c r="I231" t="s">
        <v>2580</v>
      </c>
      <c r="J231">
        <v>60017293</v>
      </c>
      <c r="K231" t="s">
        <v>2581</v>
      </c>
      <c r="L231" t="s">
        <v>2582</v>
      </c>
      <c r="M231" t="s">
        <v>550</v>
      </c>
      <c r="N231">
        <v>3</v>
      </c>
      <c r="O231" t="s">
        <v>2583</v>
      </c>
      <c r="P231" t="s">
        <v>2584</v>
      </c>
      <c r="Q231" t="s">
        <v>2585</v>
      </c>
      <c r="R231" s="1">
        <v>29952</v>
      </c>
      <c r="S231" s="2">
        <f t="shared" si="18"/>
        <v>1982</v>
      </c>
      <c r="T231" s="2">
        <v>1982</v>
      </c>
      <c r="U231" s="2">
        <f t="shared" si="19"/>
        <v>40</v>
      </c>
      <c r="V231" s="1">
        <v>30256</v>
      </c>
      <c r="W231" t="s">
        <v>1117</v>
      </c>
      <c r="X231" s="3">
        <v>1.6519999999999999</v>
      </c>
      <c r="Y231" s="4">
        <f>(X231-'[1]1982'!$Z$4)/('[1]1982'!$Z$3-'[1]1982'!$Z$4)</f>
        <v>4.409919649769093E-2</v>
      </c>
      <c r="AA231" t="s">
        <v>1118</v>
      </c>
      <c r="AB231">
        <v>17337</v>
      </c>
      <c r="AC231">
        <v>15582221</v>
      </c>
      <c r="AD231" t="s">
        <v>15</v>
      </c>
      <c r="AE231">
        <v>30</v>
      </c>
      <c r="AF231">
        <v>6</v>
      </c>
      <c r="AH231" t="s">
        <v>2586</v>
      </c>
      <c r="AI231" t="s">
        <v>2587</v>
      </c>
      <c r="AK231" t="s">
        <v>2588</v>
      </c>
      <c r="AL231">
        <v>0</v>
      </c>
      <c r="AM231" s="5">
        <f t="shared" si="20"/>
        <v>0</v>
      </c>
      <c r="AN231" s="6">
        <f>(AM231-'[1]1982'!$AO$4)/('[1]1982'!$AO$3-'[1]1982'!$AO$4)</f>
        <v>0</v>
      </c>
      <c r="AO231" s="7"/>
      <c r="AP231">
        <v>0</v>
      </c>
      <c r="AR231" t="s">
        <v>19</v>
      </c>
      <c r="AT231" s="3" t="s">
        <v>20</v>
      </c>
      <c r="AU231" s="8">
        <f t="shared" si="21"/>
        <v>3.0869437548383649</v>
      </c>
      <c r="AV231" s="8">
        <f t="shared" si="22"/>
        <v>2.2049598248845466</v>
      </c>
      <c r="AW231" s="8">
        <f t="shared" si="23"/>
        <v>1.3229758949307278</v>
      </c>
    </row>
    <row r="232" spans="1:49" x14ac:dyDescent="0.2">
      <c r="A232">
        <v>230</v>
      </c>
      <c r="B232" t="s">
        <v>2589</v>
      </c>
      <c r="C232" t="s">
        <v>2590</v>
      </c>
      <c r="F232" t="s">
        <v>2591</v>
      </c>
      <c r="G232" t="s">
        <v>4</v>
      </c>
      <c r="H232" t="s">
        <v>5</v>
      </c>
      <c r="I232" t="s">
        <v>2592</v>
      </c>
      <c r="J232">
        <v>60006168</v>
      </c>
      <c r="K232" t="s">
        <v>2593</v>
      </c>
      <c r="L232" t="s">
        <v>2594</v>
      </c>
      <c r="M232" t="s">
        <v>9</v>
      </c>
      <c r="N232">
        <v>1</v>
      </c>
      <c r="O232" t="s">
        <v>2595</v>
      </c>
      <c r="P232">
        <v>6602851136</v>
      </c>
      <c r="Q232">
        <v>60006168</v>
      </c>
      <c r="R232" s="1">
        <v>29952</v>
      </c>
      <c r="S232" s="2">
        <f t="shared" si="18"/>
        <v>1982</v>
      </c>
      <c r="T232" s="2">
        <v>1982</v>
      </c>
      <c r="U232" s="2">
        <f t="shared" si="19"/>
        <v>40</v>
      </c>
      <c r="V232" s="1">
        <v>30256</v>
      </c>
      <c r="W232" t="s">
        <v>1117</v>
      </c>
      <c r="X232" s="3">
        <v>1.6519999999999999</v>
      </c>
      <c r="Y232" s="4">
        <f>(X232-'[1]1982'!$Z$4)/('[1]1982'!$Z$3-'[1]1982'!$Z$4)</f>
        <v>4.409919649769093E-2</v>
      </c>
      <c r="AA232" t="s">
        <v>1118</v>
      </c>
      <c r="AB232">
        <v>17337</v>
      </c>
      <c r="AC232">
        <v>15582221</v>
      </c>
      <c r="AD232" t="s">
        <v>15</v>
      </c>
      <c r="AE232">
        <v>30</v>
      </c>
      <c r="AF232">
        <v>6</v>
      </c>
      <c r="AH232" t="s">
        <v>2596</v>
      </c>
      <c r="AI232" t="s">
        <v>2597</v>
      </c>
      <c r="AK232" t="s">
        <v>2598</v>
      </c>
      <c r="AL232">
        <v>29</v>
      </c>
      <c r="AM232" s="5">
        <f t="shared" si="20"/>
        <v>0.72499999999999998</v>
      </c>
      <c r="AN232" s="6">
        <f>(AM232-'[1]1982'!$AO$4)/('[1]1982'!$AO$3-'[1]1982'!$AO$4)</f>
        <v>1.0980689132904203E-3</v>
      </c>
      <c r="AO232" s="7"/>
      <c r="AP232">
        <v>0</v>
      </c>
      <c r="AR232" t="s">
        <v>19</v>
      </c>
      <c r="AT232" s="3" t="s">
        <v>20</v>
      </c>
      <c r="AU232" s="8">
        <f t="shared" si="21"/>
        <v>3.1198858222370776</v>
      </c>
      <c r="AV232" s="8">
        <f t="shared" si="22"/>
        <v>2.2598632705490678</v>
      </c>
      <c r="AW232" s="8">
        <f t="shared" si="23"/>
        <v>1.3998407188610573</v>
      </c>
    </row>
    <row r="233" spans="1:49" x14ac:dyDescent="0.2">
      <c r="A233">
        <v>231</v>
      </c>
      <c r="B233" t="s">
        <v>2599</v>
      </c>
      <c r="C233" t="s">
        <v>2600</v>
      </c>
      <c r="F233" t="s">
        <v>2601</v>
      </c>
      <c r="G233" t="s">
        <v>4</v>
      </c>
      <c r="H233" t="s">
        <v>5</v>
      </c>
      <c r="I233" t="s">
        <v>2602</v>
      </c>
      <c r="J233">
        <v>60005686</v>
      </c>
      <c r="K233" t="s">
        <v>2603</v>
      </c>
      <c r="L233" t="s">
        <v>2604</v>
      </c>
      <c r="M233" t="s">
        <v>2605</v>
      </c>
      <c r="N233">
        <v>1</v>
      </c>
      <c r="O233" t="s">
        <v>2606</v>
      </c>
      <c r="P233">
        <v>6505969407</v>
      </c>
      <c r="Q233">
        <v>60005686</v>
      </c>
      <c r="R233" s="1">
        <v>29952</v>
      </c>
      <c r="S233" s="2">
        <f t="shared" si="18"/>
        <v>1982</v>
      </c>
      <c r="T233" s="2">
        <v>1982</v>
      </c>
      <c r="U233" s="2">
        <f t="shared" si="19"/>
        <v>40</v>
      </c>
      <c r="V233" s="1">
        <v>30256</v>
      </c>
      <c r="W233" t="s">
        <v>1117</v>
      </c>
      <c r="X233" s="3">
        <v>1.6519999999999999</v>
      </c>
      <c r="Y233" s="4">
        <f>(X233-'[1]1982'!$Z$4)/('[1]1982'!$Z$3-'[1]1982'!$Z$4)</f>
        <v>4.409919649769093E-2</v>
      </c>
      <c r="AA233" t="s">
        <v>1118</v>
      </c>
      <c r="AB233">
        <v>17337</v>
      </c>
      <c r="AC233">
        <v>15582221</v>
      </c>
      <c r="AD233" t="s">
        <v>15</v>
      </c>
      <c r="AE233">
        <v>30</v>
      </c>
      <c r="AF233">
        <v>6</v>
      </c>
      <c r="AH233" t="s">
        <v>2607</v>
      </c>
      <c r="AI233" t="s">
        <v>2608</v>
      </c>
      <c r="AK233" t="s">
        <v>2609</v>
      </c>
      <c r="AL233">
        <v>0</v>
      </c>
      <c r="AM233" s="5">
        <f t="shared" si="20"/>
        <v>0</v>
      </c>
      <c r="AN233" s="6">
        <f>(AM233-'[1]1982'!$AO$4)/('[1]1982'!$AO$3-'[1]1982'!$AO$4)</f>
        <v>0</v>
      </c>
      <c r="AO233" s="7"/>
      <c r="AP233">
        <v>0</v>
      </c>
      <c r="AR233" t="s">
        <v>19</v>
      </c>
      <c r="AT233" s="3" t="s">
        <v>20</v>
      </c>
      <c r="AU233" s="8">
        <f t="shared" si="21"/>
        <v>3.0869437548383649</v>
      </c>
      <c r="AV233" s="8">
        <f t="shared" si="22"/>
        <v>2.2049598248845466</v>
      </c>
      <c r="AW233" s="8">
        <f t="shared" si="23"/>
        <v>1.3229758949307278</v>
      </c>
    </row>
    <row r="234" spans="1:49" x14ac:dyDescent="0.2">
      <c r="A234">
        <v>232</v>
      </c>
      <c r="B234" t="s">
        <v>2610</v>
      </c>
      <c r="C234" t="s">
        <v>2611</v>
      </c>
      <c r="F234" t="s">
        <v>2612</v>
      </c>
      <c r="G234" t="s">
        <v>4</v>
      </c>
      <c r="H234" t="s">
        <v>5</v>
      </c>
      <c r="I234" t="s">
        <v>2613</v>
      </c>
      <c r="J234">
        <v>60029470</v>
      </c>
      <c r="K234" t="s">
        <v>2614</v>
      </c>
      <c r="L234" t="s">
        <v>2615</v>
      </c>
      <c r="M234" t="s">
        <v>1775</v>
      </c>
      <c r="N234">
        <v>2</v>
      </c>
      <c r="O234" t="s">
        <v>2616</v>
      </c>
      <c r="P234" t="s">
        <v>2617</v>
      </c>
      <c r="Q234" t="s">
        <v>2618</v>
      </c>
      <c r="R234" s="1">
        <v>29952</v>
      </c>
      <c r="S234" s="2">
        <f t="shared" si="18"/>
        <v>1982</v>
      </c>
      <c r="T234" s="2">
        <v>1982</v>
      </c>
      <c r="U234" s="2">
        <f t="shared" si="19"/>
        <v>40</v>
      </c>
      <c r="V234" s="1">
        <v>30256</v>
      </c>
      <c r="W234" t="s">
        <v>1117</v>
      </c>
      <c r="X234" s="3">
        <v>1.6519999999999999</v>
      </c>
      <c r="Y234" s="4">
        <f>(X234-'[1]1982'!$Z$4)/('[1]1982'!$Z$3-'[1]1982'!$Z$4)</f>
        <v>4.409919649769093E-2</v>
      </c>
      <c r="AA234" t="s">
        <v>1118</v>
      </c>
      <c r="AB234">
        <v>17337</v>
      </c>
      <c r="AC234">
        <v>15582221</v>
      </c>
      <c r="AD234" t="s">
        <v>15</v>
      </c>
      <c r="AE234">
        <v>30</v>
      </c>
      <c r="AF234">
        <v>6</v>
      </c>
      <c r="AH234" t="s">
        <v>2619</v>
      </c>
      <c r="AI234" t="s">
        <v>2620</v>
      </c>
      <c r="AK234" t="s">
        <v>2621</v>
      </c>
      <c r="AL234">
        <v>6</v>
      </c>
      <c r="AM234" s="5">
        <f t="shared" si="20"/>
        <v>0.15</v>
      </c>
      <c r="AN234" s="6">
        <f>(AM234-'[1]1982'!$AO$4)/('[1]1982'!$AO$3-'[1]1982'!$AO$4)</f>
        <v>2.2718667171525936E-4</v>
      </c>
      <c r="AO234" s="7"/>
      <c r="AP234">
        <v>0</v>
      </c>
      <c r="AR234" t="s">
        <v>19</v>
      </c>
      <c r="AT234" s="3" t="s">
        <v>20</v>
      </c>
      <c r="AU234" s="8">
        <f t="shared" si="21"/>
        <v>3.0937593549898228</v>
      </c>
      <c r="AV234" s="8">
        <f t="shared" si="22"/>
        <v>2.2163191584703092</v>
      </c>
      <c r="AW234" s="8">
        <f t="shared" si="23"/>
        <v>1.3388789619507961</v>
      </c>
    </row>
    <row r="235" spans="1:49" x14ac:dyDescent="0.2">
      <c r="A235">
        <v>233</v>
      </c>
      <c r="B235" t="s">
        <v>2622</v>
      </c>
      <c r="C235" t="s">
        <v>2623</v>
      </c>
      <c r="F235" t="s">
        <v>2624</v>
      </c>
      <c r="G235" t="s">
        <v>4</v>
      </c>
      <c r="H235" t="s">
        <v>5</v>
      </c>
      <c r="I235" t="s">
        <v>2625</v>
      </c>
      <c r="J235" t="s">
        <v>2626</v>
      </c>
      <c r="K235" t="s">
        <v>2627</v>
      </c>
      <c r="L235" t="s">
        <v>2628</v>
      </c>
      <c r="M235" t="s">
        <v>218</v>
      </c>
      <c r="N235">
        <v>1</v>
      </c>
      <c r="O235" t="s">
        <v>2629</v>
      </c>
      <c r="P235">
        <v>35586046100</v>
      </c>
      <c r="Q235" t="s">
        <v>2630</v>
      </c>
      <c r="R235" s="1">
        <v>29952</v>
      </c>
      <c r="S235" s="2">
        <f t="shared" si="18"/>
        <v>1982</v>
      </c>
      <c r="T235" s="2">
        <v>1982</v>
      </c>
      <c r="U235" s="2">
        <f t="shared" si="19"/>
        <v>40</v>
      </c>
      <c r="V235" s="1">
        <v>30256</v>
      </c>
      <c r="W235" t="s">
        <v>1117</v>
      </c>
      <c r="X235" s="3">
        <v>1.6519999999999999</v>
      </c>
      <c r="Y235" s="4">
        <f>(X235-'[1]1982'!$Z$4)/('[1]1982'!$Z$3-'[1]1982'!$Z$4)</f>
        <v>4.409919649769093E-2</v>
      </c>
      <c r="AA235" t="s">
        <v>1118</v>
      </c>
      <c r="AB235">
        <v>17337</v>
      </c>
      <c r="AC235">
        <v>15582221</v>
      </c>
      <c r="AD235" t="s">
        <v>15</v>
      </c>
      <c r="AE235">
        <v>30</v>
      </c>
      <c r="AF235">
        <v>6</v>
      </c>
      <c r="AH235" t="s">
        <v>2631</v>
      </c>
      <c r="AI235" t="s">
        <v>2632</v>
      </c>
      <c r="AK235" t="s">
        <v>2633</v>
      </c>
      <c r="AL235">
        <v>4</v>
      </c>
      <c r="AM235" s="5">
        <f t="shared" si="20"/>
        <v>0.1</v>
      </c>
      <c r="AN235" s="6">
        <f>(AM235-'[1]1982'!$AO$4)/('[1]1982'!$AO$3-'[1]1982'!$AO$4)</f>
        <v>1.5145778114350627E-4</v>
      </c>
      <c r="AO235" s="7"/>
      <c r="AP235">
        <v>0</v>
      </c>
      <c r="AR235" t="s">
        <v>19</v>
      </c>
      <c r="AT235" s="3" t="s">
        <v>20</v>
      </c>
      <c r="AU235" s="8">
        <f t="shared" si="21"/>
        <v>3.0914874882726702</v>
      </c>
      <c r="AV235" s="8">
        <f t="shared" si="22"/>
        <v>2.2125327139417217</v>
      </c>
      <c r="AW235" s="8">
        <f t="shared" si="23"/>
        <v>1.3335779396107732</v>
      </c>
    </row>
    <row r="236" spans="1:49" x14ac:dyDescent="0.2">
      <c r="A236">
        <v>234</v>
      </c>
      <c r="B236" t="s">
        <v>2634</v>
      </c>
      <c r="F236" t="s">
        <v>2635</v>
      </c>
      <c r="G236" t="s">
        <v>4</v>
      </c>
      <c r="H236" t="s">
        <v>5</v>
      </c>
      <c r="I236" t="s">
        <v>2636</v>
      </c>
      <c r="N236">
        <v>1</v>
      </c>
      <c r="O236" t="s">
        <v>2637</v>
      </c>
      <c r="P236">
        <v>56733344000</v>
      </c>
      <c r="R236" s="1">
        <v>29952</v>
      </c>
      <c r="S236" s="2">
        <f t="shared" si="18"/>
        <v>1982</v>
      </c>
      <c r="T236" s="2">
        <v>1982</v>
      </c>
      <c r="U236" s="2">
        <f t="shared" si="19"/>
        <v>40</v>
      </c>
      <c r="V236" s="1" t="s">
        <v>2260</v>
      </c>
      <c r="W236" t="s">
        <v>2027</v>
      </c>
      <c r="X236" s="3">
        <v>0.10100000000000001</v>
      </c>
      <c r="Y236" s="4">
        <f>(X236-'[1]1982'!$Z$4)/('[1]1982'!$Z$3-'[1]1982'!$Z$4)</f>
        <v>2.6961373161421215E-3</v>
      </c>
      <c r="AA236">
        <v>7452883</v>
      </c>
      <c r="AB236">
        <v>18563</v>
      </c>
      <c r="AD236" t="s">
        <v>15</v>
      </c>
      <c r="AE236">
        <v>21</v>
      </c>
      <c r="AF236">
        <v>12</v>
      </c>
      <c r="AI236" t="s">
        <v>2638</v>
      </c>
      <c r="AK236" t="s">
        <v>2639</v>
      </c>
      <c r="AL236">
        <v>5</v>
      </c>
      <c r="AM236" s="5">
        <f t="shared" si="20"/>
        <v>0.125</v>
      </c>
      <c r="AN236" s="6">
        <f>(AM236-'[1]1982'!$AO$4)/('[1]1982'!$AO$3-'[1]1982'!$AO$4)</f>
        <v>1.893222264293828E-4</v>
      </c>
      <c r="AO236" s="7"/>
      <c r="AP236">
        <v>0</v>
      </c>
      <c r="AR236" t="s">
        <v>19</v>
      </c>
      <c r="AT236" s="3" t="s">
        <v>20</v>
      </c>
      <c r="AU236" s="8">
        <f t="shared" si="21"/>
        <v>0.19440927892282997</v>
      </c>
      <c r="AV236" s="8">
        <f t="shared" si="22"/>
        <v>0.1442729771285752</v>
      </c>
      <c r="AW236" s="8">
        <f t="shared" si="23"/>
        <v>9.4136675334320435E-2</v>
      </c>
    </row>
    <row r="237" spans="1:49" x14ac:dyDescent="0.2">
      <c r="A237">
        <v>235</v>
      </c>
      <c r="B237" t="s">
        <v>2640</v>
      </c>
      <c r="C237" t="s">
        <v>2641</v>
      </c>
      <c r="F237" t="s">
        <v>2642</v>
      </c>
      <c r="G237" t="s">
        <v>4</v>
      </c>
      <c r="H237" t="s">
        <v>5</v>
      </c>
      <c r="I237" t="s">
        <v>2643</v>
      </c>
      <c r="J237">
        <v>60011688</v>
      </c>
      <c r="K237" t="s">
        <v>2644</v>
      </c>
      <c r="L237" t="s">
        <v>2645</v>
      </c>
      <c r="M237" t="s">
        <v>9</v>
      </c>
      <c r="N237">
        <v>3</v>
      </c>
      <c r="O237" t="s">
        <v>2646</v>
      </c>
      <c r="P237" t="s">
        <v>2647</v>
      </c>
      <c r="Q237" t="s">
        <v>2648</v>
      </c>
      <c r="R237" s="1">
        <v>29952</v>
      </c>
      <c r="S237" s="2">
        <f t="shared" si="18"/>
        <v>1982</v>
      </c>
      <c r="T237" s="2">
        <v>1982</v>
      </c>
      <c r="U237" s="2">
        <f t="shared" si="19"/>
        <v>40</v>
      </c>
      <c r="V237" s="1">
        <v>30256</v>
      </c>
      <c r="W237" t="s">
        <v>1795</v>
      </c>
      <c r="X237" s="3">
        <v>1.3720000000000001</v>
      </c>
      <c r="Y237" s="4">
        <f>(X237-'[1]1982'!$Z$4)/('[1]1982'!$Z$3-'[1]1982'!$Z$4)</f>
        <v>3.662475641333654E-2</v>
      </c>
      <c r="AA237">
        <v>189480</v>
      </c>
      <c r="AB237">
        <v>17366</v>
      </c>
      <c r="AC237">
        <v>15579670</v>
      </c>
      <c r="AD237" t="s">
        <v>15</v>
      </c>
      <c r="AE237">
        <v>30</v>
      </c>
      <c r="AF237">
        <v>11</v>
      </c>
      <c r="AH237" t="s">
        <v>2649</v>
      </c>
      <c r="AI237" t="s">
        <v>2650</v>
      </c>
      <c r="AK237" t="s">
        <v>2651</v>
      </c>
      <c r="AL237">
        <v>37</v>
      </c>
      <c r="AM237" s="5">
        <f t="shared" si="20"/>
        <v>0.92500000000000004</v>
      </c>
      <c r="AN237" s="6">
        <f>(AM237-'[1]1982'!$AO$4)/('[1]1982'!$AO$3-'[1]1982'!$AO$4)</f>
        <v>1.4009844755774328E-3</v>
      </c>
      <c r="AO237" s="7"/>
      <c r="AP237">
        <v>0</v>
      </c>
      <c r="AR237" t="s">
        <v>19</v>
      </c>
      <c r="AT237" s="3" t="s">
        <v>20</v>
      </c>
      <c r="AU237" s="8">
        <f t="shared" si="21"/>
        <v>2.6057624832008806</v>
      </c>
      <c r="AV237" s="8">
        <f t="shared" si="22"/>
        <v>1.9012870444456986</v>
      </c>
      <c r="AW237" s="8">
        <f t="shared" si="23"/>
        <v>1.1968116056905165</v>
      </c>
    </row>
    <row r="238" spans="1:49" x14ac:dyDescent="0.2">
      <c r="A238">
        <v>236</v>
      </c>
      <c r="B238" t="s">
        <v>2652</v>
      </c>
      <c r="C238" t="s">
        <v>2653</v>
      </c>
      <c r="F238" t="s">
        <v>2654</v>
      </c>
      <c r="G238" t="s">
        <v>4</v>
      </c>
      <c r="H238" t="s">
        <v>5</v>
      </c>
      <c r="I238" t="s">
        <v>2655</v>
      </c>
      <c r="J238">
        <v>60015197</v>
      </c>
      <c r="K238" t="s">
        <v>2656</v>
      </c>
      <c r="L238" t="s">
        <v>2657</v>
      </c>
      <c r="M238" t="s">
        <v>550</v>
      </c>
      <c r="N238">
        <v>2</v>
      </c>
      <c r="O238" t="s">
        <v>2658</v>
      </c>
      <c r="P238" t="s">
        <v>2659</v>
      </c>
      <c r="Q238" t="s">
        <v>2660</v>
      </c>
      <c r="R238" s="1">
        <v>29952</v>
      </c>
      <c r="S238" s="2">
        <f t="shared" si="18"/>
        <v>1982</v>
      </c>
      <c r="T238" s="2">
        <v>1982</v>
      </c>
      <c r="U238" s="2">
        <f t="shared" si="19"/>
        <v>40</v>
      </c>
      <c r="V238" s="1">
        <v>30256</v>
      </c>
      <c r="W238" t="s">
        <v>1117</v>
      </c>
      <c r="X238" s="3">
        <v>1.6519999999999999</v>
      </c>
      <c r="Y238" s="4">
        <f>(X238-'[1]1982'!$Z$4)/('[1]1982'!$Z$3-'[1]1982'!$Z$4)</f>
        <v>4.409919649769093E-2</v>
      </c>
      <c r="AA238" t="s">
        <v>1118</v>
      </c>
      <c r="AB238">
        <v>17337</v>
      </c>
      <c r="AC238">
        <v>15582221</v>
      </c>
      <c r="AD238" t="s">
        <v>15</v>
      </c>
      <c r="AE238">
        <v>30</v>
      </c>
      <c r="AF238">
        <v>6</v>
      </c>
      <c r="AH238" t="s">
        <v>2661</v>
      </c>
      <c r="AI238" t="s">
        <v>2662</v>
      </c>
      <c r="AK238" t="s">
        <v>2663</v>
      </c>
      <c r="AL238">
        <v>0</v>
      </c>
      <c r="AM238" s="5">
        <f t="shared" si="20"/>
        <v>0</v>
      </c>
      <c r="AN238" s="6">
        <f>(AM238-'[1]1982'!$AO$4)/('[1]1982'!$AO$3-'[1]1982'!$AO$4)</f>
        <v>0</v>
      </c>
      <c r="AO238" s="7"/>
      <c r="AP238">
        <v>0</v>
      </c>
      <c r="AR238" t="s">
        <v>19</v>
      </c>
      <c r="AT238" s="3" t="s">
        <v>20</v>
      </c>
      <c r="AU238" s="8">
        <f t="shared" si="21"/>
        <v>3.0869437548383649</v>
      </c>
      <c r="AV238" s="8">
        <f t="shared" si="22"/>
        <v>2.2049598248845466</v>
      </c>
      <c r="AW238" s="8">
        <f t="shared" si="23"/>
        <v>1.3229758949307278</v>
      </c>
    </row>
    <row r="239" spans="1:49" x14ac:dyDescent="0.2">
      <c r="A239">
        <v>237</v>
      </c>
      <c r="B239" t="s">
        <v>2664</v>
      </c>
      <c r="C239" t="s">
        <v>2665</v>
      </c>
      <c r="F239" t="s">
        <v>2666</v>
      </c>
      <c r="G239" t="s">
        <v>4</v>
      </c>
      <c r="H239" t="s">
        <v>5</v>
      </c>
      <c r="I239" t="s">
        <v>1101</v>
      </c>
      <c r="J239">
        <v>60025757</v>
      </c>
      <c r="K239" t="s">
        <v>1102</v>
      </c>
      <c r="L239" t="s">
        <v>1103</v>
      </c>
      <c r="M239" t="s">
        <v>640</v>
      </c>
      <c r="N239">
        <v>2</v>
      </c>
      <c r="O239" t="s">
        <v>1104</v>
      </c>
      <c r="P239" t="s">
        <v>1105</v>
      </c>
      <c r="Q239" t="s">
        <v>1106</v>
      </c>
      <c r="R239" s="1">
        <v>29952</v>
      </c>
      <c r="S239" s="2">
        <f t="shared" si="18"/>
        <v>1982</v>
      </c>
      <c r="T239" s="2">
        <v>1982</v>
      </c>
      <c r="U239" s="2">
        <f t="shared" si="19"/>
        <v>40</v>
      </c>
      <c r="V239" s="1">
        <v>30256</v>
      </c>
      <c r="W239" t="s">
        <v>1117</v>
      </c>
      <c r="X239" s="3">
        <v>1.6519999999999999</v>
      </c>
      <c r="Y239" s="4">
        <f>(X239-'[1]1982'!$Z$4)/('[1]1982'!$Z$3-'[1]1982'!$Z$4)</f>
        <v>4.409919649769093E-2</v>
      </c>
      <c r="AA239" t="s">
        <v>1118</v>
      </c>
      <c r="AB239">
        <v>17337</v>
      </c>
      <c r="AC239">
        <v>15582221</v>
      </c>
      <c r="AD239" t="s">
        <v>15</v>
      </c>
      <c r="AE239">
        <v>30</v>
      </c>
      <c r="AF239">
        <v>6</v>
      </c>
      <c r="AH239" t="s">
        <v>2667</v>
      </c>
      <c r="AI239" t="s">
        <v>2668</v>
      </c>
      <c r="AK239" t="s">
        <v>2669</v>
      </c>
      <c r="AL239">
        <v>2</v>
      </c>
      <c r="AM239" s="5">
        <f t="shared" si="20"/>
        <v>0.05</v>
      </c>
      <c r="AN239" s="6">
        <f>(AM239-'[1]1982'!$AO$4)/('[1]1982'!$AO$3-'[1]1982'!$AO$4)</f>
        <v>7.5728890571753133E-5</v>
      </c>
      <c r="AO239" s="7"/>
      <c r="AP239">
        <v>0</v>
      </c>
      <c r="AR239" t="s">
        <v>19</v>
      </c>
      <c r="AT239" s="3" t="s">
        <v>20</v>
      </c>
      <c r="AU239" s="8">
        <f t="shared" si="21"/>
        <v>3.0892156215555175</v>
      </c>
      <c r="AV239" s="8">
        <f t="shared" si="22"/>
        <v>2.2087462694131341</v>
      </c>
      <c r="AW239" s="8">
        <f t="shared" si="23"/>
        <v>1.3282769172707507</v>
      </c>
    </row>
    <row r="240" spans="1:49" x14ac:dyDescent="0.2">
      <c r="A240">
        <v>238</v>
      </c>
      <c r="B240" t="s">
        <v>2670</v>
      </c>
      <c r="C240" t="s">
        <v>2671</v>
      </c>
      <c r="F240" t="s">
        <v>2672</v>
      </c>
      <c r="G240" t="s">
        <v>4</v>
      </c>
      <c r="H240" t="s">
        <v>5</v>
      </c>
      <c r="I240" t="s">
        <v>2673</v>
      </c>
      <c r="J240">
        <v>60003500</v>
      </c>
      <c r="K240" t="s">
        <v>2507</v>
      </c>
      <c r="L240" t="s">
        <v>951</v>
      </c>
      <c r="M240" t="s">
        <v>9</v>
      </c>
      <c r="N240">
        <v>2</v>
      </c>
      <c r="O240" t="s">
        <v>2674</v>
      </c>
      <c r="P240" t="s">
        <v>2675</v>
      </c>
      <c r="Q240" t="s">
        <v>2676</v>
      </c>
      <c r="R240" s="1">
        <v>29952</v>
      </c>
      <c r="S240" s="2">
        <f t="shared" si="18"/>
        <v>1982</v>
      </c>
      <c r="T240" s="2">
        <v>1982</v>
      </c>
      <c r="U240" s="2">
        <f t="shared" si="19"/>
        <v>40</v>
      </c>
      <c r="V240" s="1">
        <v>30256</v>
      </c>
      <c r="W240" t="s">
        <v>1117</v>
      </c>
      <c r="X240" s="3">
        <v>1.6519999999999999</v>
      </c>
      <c r="Y240" s="4">
        <f>(X240-'[1]1982'!$Z$4)/('[1]1982'!$Z$3-'[1]1982'!$Z$4)</f>
        <v>4.409919649769093E-2</v>
      </c>
      <c r="AA240" t="s">
        <v>1118</v>
      </c>
      <c r="AB240">
        <v>17337</v>
      </c>
      <c r="AC240">
        <v>15582221</v>
      </c>
      <c r="AD240" t="s">
        <v>15</v>
      </c>
      <c r="AE240">
        <v>30</v>
      </c>
      <c r="AF240">
        <v>6</v>
      </c>
      <c r="AH240" t="s">
        <v>2677</v>
      </c>
      <c r="AI240" t="s">
        <v>2678</v>
      </c>
      <c r="AK240" t="s">
        <v>2679</v>
      </c>
      <c r="AL240">
        <v>16</v>
      </c>
      <c r="AM240" s="5">
        <f t="shared" si="20"/>
        <v>0.4</v>
      </c>
      <c r="AN240" s="6">
        <f>(AM240-'[1]1982'!$AO$4)/('[1]1982'!$AO$3-'[1]1982'!$AO$4)</f>
        <v>6.0583112457402507E-4</v>
      </c>
      <c r="AO240" s="7"/>
      <c r="AP240">
        <v>0</v>
      </c>
      <c r="AR240" t="s">
        <v>19</v>
      </c>
      <c r="AT240" s="3" t="s">
        <v>20</v>
      </c>
      <c r="AU240" s="8">
        <f t="shared" si="21"/>
        <v>3.1051186885755859</v>
      </c>
      <c r="AV240" s="8">
        <f t="shared" si="22"/>
        <v>2.2352513811132479</v>
      </c>
      <c r="AW240" s="8">
        <f t="shared" si="23"/>
        <v>1.3653840736509095</v>
      </c>
    </row>
    <row r="241" spans="1:49" x14ac:dyDescent="0.2">
      <c r="A241">
        <v>239</v>
      </c>
      <c r="B241" t="s">
        <v>2680</v>
      </c>
      <c r="C241" t="s">
        <v>2681</v>
      </c>
      <c r="F241" t="s">
        <v>2682</v>
      </c>
      <c r="G241" t="s">
        <v>4</v>
      </c>
      <c r="H241" t="s">
        <v>5</v>
      </c>
      <c r="I241" t="s">
        <v>2683</v>
      </c>
      <c r="J241">
        <v>60024590</v>
      </c>
      <c r="K241" t="s">
        <v>2684</v>
      </c>
      <c r="L241" t="s">
        <v>2685</v>
      </c>
      <c r="M241" t="s">
        <v>9</v>
      </c>
      <c r="N241">
        <v>3</v>
      </c>
      <c r="O241" t="s">
        <v>2686</v>
      </c>
      <c r="P241" t="s">
        <v>2687</v>
      </c>
      <c r="Q241" t="s">
        <v>2688</v>
      </c>
      <c r="R241" s="1">
        <v>29952</v>
      </c>
      <c r="S241" s="2">
        <f t="shared" si="18"/>
        <v>1982</v>
      </c>
      <c r="T241" s="2">
        <v>1982</v>
      </c>
      <c r="U241" s="2">
        <f t="shared" si="19"/>
        <v>40</v>
      </c>
      <c r="V241" s="1">
        <v>30256</v>
      </c>
      <c r="W241" t="s">
        <v>2689</v>
      </c>
      <c r="X241" s="3">
        <v>1.365</v>
      </c>
      <c r="Y241" s="4">
        <f>(X241-'[1]1982'!$Z$4)/('[1]1982'!$Z$3-'[1]1982'!$Z$4)</f>
        <v>3.6437895411227675E-2</v>
      </c>
      <c r="AA241">
        <v>189545</v>
      </c>
      <c r="AB241">
        <v>17393</v>
      </c>
      <c r="AC241">
        <v>19399359</v>
      </c>
      <c r="AD241" t="s">
        <v>15</v>
      </c>
      <c r="AE241">
        <v>31</v>
      </c>
      <c r="AF241">
        <v>4</v>
      </c>
      <c r="AH241" t="s">
        <v>2690</v>
      </c>
      <c r="AI241" t="s">
        <v>2691</v>
      </c>
      <c r="AK241" t="s">
        <v>2692</v>
      </c>
      <c r="AL241">
        <v>9</v>
      </c>
      <c r="AM241" s="5">
        <f t="shared" si="20"/>
        <v>0.22500000000000001</v>
      </c>
      <c r="AN241" s="6">
        <f>(AM241-'[1]1982'!$AO$4)/('[1]1982'!$AO$3-'[1]1982'!$AO$4)</f>
        <v>3.4078000757288904E-4</v>
      </c>
      <c r="AO241" s="7"/>
      <c r="AP241">
        <v>0</v>
      </c>
      <c r="AR241" t="s">
        <v>19</v>
      </c>
      <c r="AT241" s="3" t="s">
        <v>20</v>
      </c>
      <c r="AU241" s="8">
        <f t="shared" si="21"/>
        <v>2.5608760790131235</v>
      </c>
      <c r="AV241" s="8">
        <f t="shared" si="22"/>
        <v>1.838933770940028</v>
      </c>
      <c r="AW241" s="8">
        <f t="shared" si="23"/>
        <v>1.1169914628669324</v>
      </c>
    </row>
    <row r="242" spans="1:49" x14ac:dyDescent="0.2">
      <c r="A242">
        <v>240</v>
      </c>
      <c r="B242" t="s">
        <v>2693</v>
      </c>
      <c r="C242" t="s">
        <v>2694</v>
      </c>
      <c r="F242" t="s">
        <v>2695</v>
      </c>
      <c r="G242" t="s">
        <v>4</v>
      </c>
      <c r="H242" t="s">
        <v>5</v>
      </c>
      <c r="I242" t="s">
        <v>2696</v>
      </c>
      <c r="J242">
        <v>115596933</v>
      </c>
      <c r="K242" t="s">
        <v>2697</v>
      </c>
      <c r="M242" t="s">
        <v>1775</v>
      </c>
      <c r="N242">
        <v>3</v>
      </c>
      <c r="O242" t="s">
        <v>2698</v>
      </c>
      <c r="P242" t="s">
        <v>2699</v>
      </c>
      <c r="Q242" t="s">
        <v>2700</v>
      </c>
      <c r="R242" s="1">
        <v>29952</v>
      </c>
      <c r="S242" s="2">
        <f t="shared" si="18"/>
        <v>1982</v>
      </c>
      <c r="T242" s="2">
        <v>1982</v>
      </c>
      <c r="U242" s="2">
        <f t="shared" si="19"/>
        <v>40</v>
      </c>
      <c r="V242" s="1">
        <v>30256</v>
      </c>
      <c r="W242" t="s">
        <v>1117</v>
      </c>
      <c r="X242" s="3">
        <v>1.6519999999999999</v>
      </c>
      <c r="Y242" s="4">
        <f>(X242-'[1]1982'!$Z$4)/('[1]1982'!$Z$3-'[1]1982'!$Z$4)</f>
        <v>4.409919649769093E-2</v>
      </c>
      <c r="AA242" t="s">
        <v>1118</v>
      </c>
      <c r="AB242">
        <v>17337</v>
      </c>
      <c r="AC242">
        <v>15582221</v>
      </c>
      <c r="AD242" t="s">
        <v>15</v>
      </c>
      <c r="AE242">
        <v>30</v>
      </c>
      <c r="AF242">
        <v>6</v>
      </c>
      <c r="AH242" t="s">
        <v>2701</v>
      </c>
      <c r="AI242" t="s">
        <v>2702</v>
      </c>
      <c r="AK242" t="s">
        <v>2703</v>
      </c>
      <c r="AL242">
        <v>62</v>
      </c>
      <c r="AM242" s="5">
        <f t="shared" si="20"/>
        <v>1.55</v>
      </c>
      <c r="AN242" s="6">
        <f>(AM242-'[1]1982'!$AO$4)/('[1]1982'!$AO$3-'[1]1982'!$AO$4)</f>
        <v>2.347595607724347E-3</v>
      </c>
      <c r="AO242" s="7"/>
      <c r="AP242">
        <v>0</v>
      </c>
      <c r="AR242" t="s">
        <v>19</v>
      </c>
      <c r="AT242" s="3" t="s">
        <v>20</v>
      </c>
      <c r="AU242" s="8">
        <f t="shared" si="21"/>
        <v>3.1573716230700954</v>
      </c>
      <c r="AV242" s="8">
        <f t="shared" si="22"/>
        <v>2.3223396052707637</v>
      </c>
      <c r="AW242" s="8">
        <f t="shared" si="23"/>
        <v>1.4873075874714321</v>
      </c>
    </row>
    <row r="243" spans="1:49" x14ac:dyDescent="0.2">
      <c r="A243">
        <v>241</v>
      </c>
      <c r="B243" t="s">
        <v>2704</v>
      </c>
      <c r="C243" t="s">
        <v>2705</v>
      </c>
      <c r="F243" t="s">
        <v>2706</v>
      </c>
      <c r="G243" t="s">
        <v>4</v>
      </c>
      <c r="H243" t="s">
        <v>5</v>
      </c>
      <c r="I243" t="s">
        <v>2318</v>
      </c>
      <c r="J243">
        <v>60027271</v>
      </c>
      <c r="K243" t="s">
        <v>2319</v>
      </c>
      <c r="L243" t="s">
        <v>513</v>
      </c>
      <c r="M243" t="s">
        <v>9</v>
      </c>
      <c r="N243">
        <v>1</v>
      </c>
      <c r="O243" t="s">
        <v>2320</v>
      </c>
      <c r="P243">
        <v>7402367504</v>
      </c>
      <c r="Q243">
        <v>60027271</v>
      </c>
      <c r="R243" s="1">
        <v>29952</v>
      </c>
      <c r="S243" s="2">
        <f t="shared" si="18"/>
        <v>1982</v>
      </c>
      <c r="T243" s="2">
        <v>1982</v>
      </c>
      <c r="U243" s="2">
        <f t="shared" si="19"/>
        <v>40</v>
      </c>
      <c r="V243" s="1">
        <v>30256</v>
      </c>
      <c r="W243" t="s">
        <v>1117</v>
      </c>
      <c r="X243" s="3">
        <v>1.6519999999999999</v>
      </c>
      <c r="Y243" s="4">
        <f>(X243-'[1]1982'!$Z$4)/('[1]1982'!$Z$3-'[1]1982'!$Z$4)</f>
        <v>4.409919649769093E-2</v>
      </c>
      <c r="AA243" t="s">
        <v>1118</v>
      </c>
      <c r="AB243">
        <v>17337</v>
      </c>
      <c r="AC243">
        <v>15582221</v>
      </c>
      <c r="AD243" t="s">
        <v>15</v>
      </c>
      <c r="AE243">
        <v>30</v>
      </c>
      <c r="AF243">
        <v>6</v>
      </c>
      <c r="AH243" t="s">
        <v>2707</v>
      </c>
      <c r="AI243" t="s">
        <v>2708</v>
      </c>
      <c r="AK243" t="s">
        <v>2709</v>
      </c>
      <c r="AL243">
        <v>1</v>
      </c>
      <c r="AM243" s="5">
        <f t="shared" si="20"/>
        <v>2.5000000000000001E-2</v>
      </c>
      <c r="AN243" s="6">
        <f>(AM243-'[1]1982'!$AO$4)/('[1]1982'!$AO$3-'[1]1982'!$AO$4)</f>
        <v>3.7864445285876567E-5</v>
      </c>
      <c r="AO243" s="7"/>
      <c r="AP243">
        <v>0</v>
      </c>
      <c r="AR243" t="s">
        <v>19</v>
      </c>
      <c r="AT243" s="3" t="s">
        <v>20</v>
      </c>
      <c r="AU243" s="8">
        <f t="shared" si="21"/>
        <v>3.0880796881969412</v>
      </c>
      <c r="AV243" s="8">
        <f t="shared" si="22"/>
        <v>2.2068530471488401</v>
      </c>
      <c r="AW243" s="8">
        <f t="shared" si="23"/>
        <v>1.3256264061007392</v>
      </c>
    </row>
    <row r="244" spans="1:49" x14ac:dyDescent="0.2">
      <c r="A244">
        <v>242</v>
      </c>
      <c r="B244" t="s">
        <v>2710</v>
      </c>
      <c r="C244" t="s">
        <v>2711</v>
      </c>
      <c r="F244" t="s">
        <v>2712</v>
      </c>
      <c r="G244" t="s">
        <v>4</v>
      </c>
      <c r="H244" t="s">
        <v>5</v>
      </c>
      <c r="I244" t="s">
        <v>2713</v>
      </c>
      <c r="J244">
        <v>60032995</v>
      </c>
      <c r="K244" t="s">
        <v>2714</v>
      </c>
      <c r="L244" t="s">
        <v>2715</v>
      </c>
      <c r="M244" t="s">
        <v>9</v>
      </c>
      <c r="N244">
        <v>1</v>
      </c>
      <c r="O244" t="s">
        <v>2716</v>
      </c>
      <c r="P244">
        <v>6602983931</v>
      </c>
      <c r="Q244">
        <v>60032995</v>
      </c>
      <c r="R244" s="1">
        <v>29952</v>
      </c>
      <c r="S244" s="2">
        <f t="shared" si="18"/>
        <v>1982</v>
      </c>
      <c r="T244" s="2">
        <v>1982</v>
      </c>
      <c r="U244" s="2">
        <f t="shared" si="19"/>
        <v>40</v>
      </c>
      <c r="V244" s="1">
        <v>30256</v>
      </c>
      <c r="W244" t="s">
        <v>1117</v>
      </c>
      <c r="X244" s="3">
        <v>1.6519999999999999</v>
      </c>
      <c r="Y244" s="4">
        <f>(X244-'[1]1982'!$Z$4)/('[1]1982'!$Z$3-'[1]1982'!$Z$4)</f>
        <v>4.409919649769093E-2</v>
      </c>
      <c r="AA244" t="s">
        <v>1118</v>
      </c>
      <c r="AB244">
        <v>17337</v>
      </c>
      <c r="AC244">
        <v>15582221</v>
      </c>
      <c r="AD244" t="s">
        <v>15</v>
      </c>
      <c r="AE244">
        <v>30</v>
      </c>
      <c r="AF244">
        <v>6</v>
      </c>
      <c r="AH244" t="s">
        <v>2717</v>
      </c>
      <c r="AI244" t="s">
        <v>2718</v>
      </c>
      <c r="AK244" t="s">
        <v>2719</v>
      </c>
      <c r="AL244">
        <v>7</v>
      </c>
      <c r="AM244" s="5">
        <f t="shared" si="20"/>
        <v>0.17499999999999999</v>
      </c>
      <c r="AN244" s="6">
        <f>(AM244-'[1]1982'!$AO$4)/('[1]1982'!$AO$3-'[1]1982'!$AO$4)</f>
        <v>2.6505111700113592E-4</v>
      </c>
      <c r="AO244" s="7"/>
      <c r="AP244">
        <v>0</v>
      </c>
      <c r="AR244" t="s">
        <v>19</v>
      </c>
      <c r="AT244" s="3" t="s">
        <v>20</v>
      </c>
      <c r="AU244" s="8">
        <f t="shared" si="21"/>
        <v>3.0948952883483991</v>
      </c>
      <c r="AV244" s="8">
        <f t="shared" si="22"/>
        <v>2.2182123807346033</v>
      </c>
      <c r="AW244" s="8">
        <f t="shared" si="23"/>
        <v>1.3415294731208072</v>
      </c>
    </row>
    <row r="245" spans="1:49" x14ac:dyDescent="0.2">
      <c r="A245">
        <v>243</v>
      </c>
      <c r="B245" t="s">
        <v>2720</v>
      </c>
      <c r="C245" t="s">
        <v>2721</v>
      </c>
      <c r="F245" t="s">
        <v>2722</v>
      </c>
      <c r="G245" t="s">
        <v>4</v>
      </c>
      <c r="H245" t="s">
        <v>5</v>
      </c>
      <c r="I245" t="s">
        <v>2723</v>
      </c>
      <c r="N245">
        <v>4</v>
      </c>
      <c r="O245" t="s">
        <v>2724</v>
      </c>
      <c r="P245" t="s">
        <v>2725</v>
      </c>
      <c r="Q245" t="s">
        <v>165</v>
      </c>
      <c r="R245" s="1">
        <v>29952</v>
      </c>
      <c r="S245" s="2">
        <f t="shared" si="18"/>
        <v>1982</v>
      </c>
      <c r="T245" s="2">
        <v>1982</v>
      </c>
      <c r="U245" s="2">
        <f t="shared" si="19"/>
        <v>40</v>
      </c>
      <c r="V245" s="1" t="s">
        <v>2384</v>
      </c>
      <c r="W245" t="s">
        <v>2385</v>
      </c>
      <c r="X245" s="3">
        <v>0.371</v>
      </c>
      <c r="Y245" s="4">
        <f>(X245-'[1]1982'!$Z$4)/('[1]1982'!$Z$3-'[1]1982'!$Z$4)</f>
        <v>9.9036331117695747E-3</v>
      </c>
      <c r="AA245">
        <v>486604</v>
      </c>
      <c r="AB245">
        <v>28580</v>
      </c>
      <c r="AC245" t="s">
        <v>2386</v>
      </c>
      <c r="AD245" t="s">
        <v>15</v>
      </c>
      <c r="AE245">
        <v>17</v>
      </c>
      <c r="AF245">
        <v>6</v>
      </c>
      <c r="AH245" t="s">
        <v>2726</v>
      </c>
      <c r="AI245" t="s">
        <v>2727</v>
      </c>
      <c r="AK245" t="s">
        <v>2728</v>
      </c>
      <c r="AL245">
        <v>42</v>
      </c>
      <c r="AM245" s="5">
        <f t="shared" si="20"/>
        <v>1.05</v>
      </c>
      <c r="AN245" s="6">
        <f>(AM245-'[1]1982'!$AO$4)/('[1]1982'!$AO$3-'[1]1982'!$AO$4)</f>
        <v>1.5903067020068156E-3</v>
      </c>
      <c r="AO245" s="7"/>
      <c r="AP245">
        <v>0</v>
      </c>
      <c r="AR245" t="s">
        <v>19</v>
      </c>
      <c r="AT245" s="3">
        <v>1.431</v>
      </c>
      <c r="AU245" s="8">
        <f t="shared" si="21"/>
        <v>0.74096351888407463</v>
      </c>
      <c r="AV245" s="8">
        <f t="shared" si="22"/>
        <v>0.57469699068881952</v>
      </c>
      <c r="AW245" s="8">
        <f t="shared" si="23"/>
        <v>0.40843046249356435</v>
      </c>
    </row>
    <row r="246" spans="1:49" x14ac:dyDescent="0.2">
      <c r="A246">
        <v>244</v>
      </c>
      <c r="B246" t="s">
        <v>2729</v>
      </c>
      <c r="C246" t="s">
        <v>2730</v>
      </c>
      <c r="F246" t="s">
        <v>2731</v>
      </c>
      <c r="G246" t="s">
        <v>4</v>
      </c>
      <c r="H246" t="s">
        <v>5</v>
      </c>
      <c r="I246" t="s">
        <v>2732</v>
      </c>
      <c r="J246">
        <v>60010003</v>
      </c>
      <c r="K246" t="s">
        <v>2733</v>
      </c>
      <c r="L246" t="s">
        <v>513</v>
      </c>
      <c r="M246" t="s">
        <v>9</v>
      </c>
      <c r="N246">
        <v>1</v>
      </c>
      <c r="O246" t="s">
        <v>2734</v>
      </c>
      <c r="P246">
        <v>54779634900</v>
      </c>
      <c r="Q246">
        <v>60010003</v>
      </c>
      <c r="R246" s="1">
        <v>29952</v>
      </c>
      <c r="S246" s="2">
        <f t="shared" si="18"/>
        <v>1982</v>
      </c>
      <c r="T246" s="2">
        <v>1982</v>
      </c>
      <c r="U246" s="2">
        <f t="shared" si="19"/>
        <v>40</v>
      </c>
      <c r="V246" s="1">
        <v>30256</v>
      </c>
      <c r="W246" t="s">
        <v>2364</v>
      </c>
      <c r="X246" s="3">
        <v>2.383</v>
      </c>
      <c r="Y246" s="4">
        <f>(X246-'[1]1982'!$Z$4)/('[1]1982'!$Z$3-'[1]1982'!$Z$4)</f>
        <v>6.3612824003630442E-2</v>
      </c>
      <c r="AA246">
        <v>189219</v>
      </c>
      <c r="AB246">
        <v>17915</v>
      </c>
      <c r="AC246">
        <v>15582256</v>
      </c>
      <c r="AD246" t="s">
        <v>15</v>
      </c>
      <c r="AE246">
        <v>70</v>
      </c>
      <c r="AF246">
        <v>11</v>
      </c>
      <c r="AH246" t="s">
        <v>2735</v>
      </c>
      <c r="AI246" t="s">
        <v>2736</v>
      </c>
      <c r="AK246" t="s">
        <v>2737</v>
      </c>
      <c r="AL246">
        <v>2</v>
      </c>
      <c r="AM246" s="5">
        <f t="shared" si="20"/>
        <v>0.05</v>
      </c>
      <c r="AN246" s="6">
        <f>(AM246-'[1]1982'!$AO$4)/('[1]1982'!$AO$3-'[1]1982'!$AO$4)</f>
        <v>7.5728890571753133E-5</v>
      </c>
      <c r="AO246" s="7"/>
      <c r="AP246">
        <v>0</v>
      </c>
      <c r="AR246" t="s">
        <v>19</v>
      </c>
      <c r="AT246" s="3">
        <v>10.961</v>
      </c>
      <c r="AU246" s="8">
        <f t="shared" si="21"/>
        <v>4.4551695469712831</v>
      </c>
      <c r="AV246" s="8">
        <f t="shared" si="22"/>
        <v>3.1844276447101096</v>
      </c>
      <c r="AW246" s="8">
        <f t="shared" si="23"/>
        <v>1.913685742448936</v>
      </c>
    </row>
    <row r="247" spans="1:49" x14ac:dyDescent="0.2">
      <c r="A247">
        <v>245</v>
      </c>
      <c r="B247" t="s">
        <v>2738</v>
      </c>
      <c r="C247" t="s">
        <v>2739</v>
      </c>
      <c r="F247" t="s">
        <v>2740</v>
      </c>
      <c r="G247" t="s">
        <v>4</v>
      </c>
      <c r="H247" t="s">
        <v>5</v>
      </c>
      <c r="I247" t="s">
        <v>2741</v>
      </c>
      <c r="J247" t="s">
        <v>2742</v>
      </c>
      <c r="K247" t="s">
        <v>2743</v>
      </c>
      <c r="L247" t="s">
        <v>2744</v>
      </c>
      <c r="M247" t="s">
        <v>218</v>
      </c>
      <c r="N247">
        <v>1</v>
      </c>
      <c r="O247" t="s">
        <v>2745</v>
      </c>
      <c r="P247">
        <v>6602180118</v>
      </c>
      <c r="Q247" t="s">
        <v>2746</v>
      </c>
      <c r="R247" s="1">
        <v>29952</v>
      </c>
      <c r="S247" s="2">
        <f t="shared" si="18"/>
        <v>1982</v>
      </c>
      <c r="T247" s="2">
        <v>1982</v>
      </c>
      <c r="U247" s="2">
        <f t="shared" si="19"/>
        <v>40</v>
      </c>
      <c r="V247" s="1">
        <v>30256</v>
      </c>
      <c r="W247" t="s">
        <v>1117</v>
      </c>
      <c r="X247" s="3">
        <v>1.6519999999999999</v>
      </c>
      <c r="Y247" s="4">
        <f>(X247-'[1]1982'!$Z$4)/('[1]1982'!$Z$3-'[1]1982'!$Z$4)</f>
        <v>4.409919649769093E-2</v>
      </c>
      <c r="AA247" t="s">
        <v>1118</v>
      </c>
      <c r="AB247">
        <v>17337</v>
      </c>
      <c r="AC247">
        <v>15582221</v>
      </c>
      <c r="AD247" t="s">
        <v>15</v>
      </c>
      <c r="AE247">
        <v>30</v>
      </c>
      <c r="AF247">
        <v>6</v>
      </c>
      <c r="AH247" t="s">
        <v>2747</v>
      </c>
      <c r="AI247" t="s">
        <v>2748</v>
      </c>
      <c r="AK247" t="s">
        <v>2749</v>
      </c>
      <c r="AL247">
        <v>12</v>
      </c>
      <c r="AM247" s="5">
        <f t="shared" si="20"/>
        <v>0.3</v>
      </c>
      <c r="AN247" s="6">
        <f>(AM247-'[1]1982'!$AO$4)/('[1]1982'!$AO$3-'[1]1982'!$AO$4)</f>
        <v>4.5437334343051872E-4</v>
      </c>
      <c r="AO247" s="7"/>
      <c r="AP247">
        <v>0</v>
      </c>
      <c r="AR247" t="s">
        <v>19</v>
      </c>
      <c r="AT247" s="3" t="s">
        <v>20</v>
      </c>
      <c r="AU247" s="8">
        <f t="shared" si="21"/>
        <v>3.1005749551412807</v>
      </c>
      <c r="AV247" s="8">
        <f t="shared" si="22"/>
        <v>2.2276784920560724</v>
      </c>
      <c r="AW247" s="8">
        <f t="shared" si="23"/>
        <v>1.3547820289708641</v>
      </c>
    </row>
    <row r="248" spans="1:49" x14ac:dyDescent="0.2">
      <c r="A248">
        <v>246</v>
      </c>
      <c r="B248" t="s">
        <v>2750</v>
      </c>
      <c r="C248" t="s">
        <v>2751</v>
      </c>
      <c r="F248" t="s">
        <v>2752</v>
      </c>
      <c r="G248" t="s">
        <v>4</v>
      </c>
      <c r="H248" t="s">
        <v>5</v>
      </c>
      <c r="I248" t="s">
        <v>2358</v>
      </c>
      <c r="J248">
        <v>116025114</v>
      </c>
      <c r="K248" t="s">
        <v>2359</v>
      </c>
      <c r="L248" t="s">
        <v>2360</v>
      </c>
      <c r="M248" t="s">
        <v>962</v>
      </c>
      <c r="N248">
        <v>2</v>
      </c>
      <c r="O248" t="s">
        <v>2361</v>
      </c>
      <c r="P248" t="s">
        <v>2362</v>
      </c>
      <c r="Q248" t="s">
        <v>2363</v>
      </c>
      <c r="R248" s="1">
        <v>29952</v>
      </c>
      <c r="S248" s="2">
        <f t="shared" si="18"/>
        <v>1982</v>
      </c>
      <c r="T248" s="2">
        <v>1982</v>
      </c>
      <c r="U248" s="2">
        <f t="shared" si="19"/>
        <v>40</v>
      </c>
      <c r="V248" s="1">
        <v>30256</v>
      </c>
      <c r="W248" t="s">
        <v>2364</v>
      </c>
      <c r="X248" s="3">
        <v>2.383</v>
      </c>
      <c r="Y248" s="4">
        <f>(X248-'[1]1982'!$Z$4)/('[1]1982'!$Z$3-'[1]1982'!$Z$4)</f>
        <v>6.3612824003630442E-2</v>
      </c>
      <c r="AA248">
        <v>189219</v>
      </c>
      <c r="AB248">
        <v>17915</v>
      </c>
      <c r="AC248">
        <v>15582256</v>
      </c>
      <c r="AD248" t="s">
        <v>15</v>
      </c>
      <c r="AE248">
        <v>70</v>
      </c>
      <c r="AF248">
        <v>11</v>
      </c>
      <c r="AH248" t="s">
        <v>2753</v>
      </c>
      <c r="AI248" t="s">
        <v>2754</v>
      </c>
      <c r="AK248" t="s">
        <v>2755</v>
      </c>
      <c r="AL248">
        <v>0</v>
      </c>
      <c r="AM248" s="5">
        <f t="shared" si="20"/>
        <v>0</v>
      </c>
      <c r="AN248" s="6">
        <f>(AM248-'[1]1982'!$AO$4)/('[1]1982'!$AO$3-'[1]1982'!$AO$4)</f>
        <v>0</v>
      </c>
      <c r="AO248" s="7"/>
      <c r="AP248">
        <v>0</v>
      </c>
      <c r="AR248" t="s">
        <v>19</v>
      </c>
      <c r="AT248" s="3">
        <v>10.961</v>
      </c>
      <c r="AU248" s="8">
        <f t="shared" si="21"/>
        <v>4.4528976802541305</v>
      </c>
      <c r="AV248" s="8">
        <f t="shared" si="22"/>
        <v>3.1806412001815221</v>
      </c>
      <c r="AW248" s="8">
        <f t="shared" si="23"/>
        <v>1.9083847201089132</v>
      </c>
    </row>
    <row r="249" spans="1:49" x14ac:dyDescent="0.2">
      <c r="A249">
        <v>247</v>
      </c>
      <c r="B249" t="s">
        <v>2756</v>
      </c>
      <c r="C249" t="s">
        <v>2757</v>
      </c>
      <c r="F249" t="s">
        <v>2758</v>
      </c>
      <c r="G249" t="s">
        <v>4</v>
      </c>
      <c r="H249" t="s">
        <v>5</v>
      </c>
      <c r="I249" t="s">
        <v>2759</v>
      </c>
      <c r="N249">
        <v>3</v>
      </c>
      <c r="O249" t="s">
        <v>2760</v>
      </c>
      <c r="P249" t="s">
        <v>2761</v>
      </c>
      <c r="Q249" t="s">
        <v>145</v>
      </c>
      <c r="R249" s="1">
        <v>29952</v>
      </c>
      <c r="S249" s="2">
        <f t="shared" si="18"/>
        <v>1982</v>
      </c>
      <c r="T249" s="2">
        <v>1982</v>
      </c>
      <c r="U249" s="2">
        <f t="shared" si="19"/>
        <v>40</v>
      </c>
      <c r="V249" s="1" t="s">
        <v>2384</v>
      </c>
      <c r="W249" t="s">
        <v>2385</v>
      </c>
      <c r="X249" s="3">
        <v>0.371</v>
      </c>
      <c r="Y249" s="4">
        <f>(X249-'[1]1982'!$Z$4)/('[1]1982'!$Z$3-'[1]1982'!$Z$4)</f>
        <v>9.9036331117695747E-3</v>
      </c>
      <c r="AA249">
        <v>486604</v>
      </c>
      <c r="AB249">
        <v>28580</v>
      </c>
      <c r="AC249" t="s">
        <v>2386</v>
      </c>
      <c r="AD249" t="s">
        <v>15</v>
      </c>
      <c r="AE249">
        <v>17</v>
      </c>
      <c r="AF249">
        <v>6</v>
      </c>
      <c r="AH249" t="s">
        <v>2762</v>
      </c>
      <c r="AI249" t="s">
        <v>2763</v>
      </c>
      <c r="AK249" t="s">
        <v>2764</v>
      </c>
      <c r="AL249">
        <v>157</v>
      </c>
      <c r="AM249" s="5">
        <f t="shared" si="20"/>
        <v>3.9249999999999998</v>
      </c>
      <c r="AN249" s="6">
        <f>(AM249-'[1]1982'!$AO$4)/('[1]1982'!$AO$3-'[1]1982'!$AO$4)</f>
        <v>5.9447179098826202E-3</v>
      </c>
      <c r="AO249" s="7"/>
      <c r="AP249">
        <v>0</v>
      </c>
      <c r="AR249" t="s">
        <v>19</v>
      </c>
      <c r="AT249" s="3">
        <v>1.431</v>
      </c>
      <c r="AU249" s="8">
        <f t="shared" si="21"/>
        <v>0.87159585512034887</v>
      </c>
      <c r="AV249" s="8">
        <f t="shared" si="22"/>
        <v>0.79241755108260969</v>
      </c>
      <c r="AW249" s="8">
        <f t="shared" si="23"/>
        <v>0.71323924704487052</v>
      </c>
    </row>
    <row r="250" spans="1:49" x14ac:dyDescent="0.2">
      <c r="A250">
        <v>248</v>
      </c>
      <c r="B250" t="s">
        <v>2765</v>
      </c>
      <c r="F250" t="s">
        <v>2766</v>
      </c>
      <c r="G250" t="s">
        <v>4</v>
      </c>
      <c r="H250" t="s">
        <v>5</v>
      </c>
      <c r="I250" t="s">
        <v>2767</v>
      </c>
      <c r="N250">
        <v>2</v>
      </c>
      <c r="O250" t="s">
        <v>2768</v>
      </c>
      <c r="P250" t="s">
        <v>2769</v>
      </c>
      <c r="Q250" t="s">
        <v>156</v>
      </c>
      <c r="R250" s="1">
        <v>29952</v>
      </c>
      <c r="S250" s="2">
        <f t="shared" si="18"/>
        <v>1982</v>
      </c>
      <c r="T250" s="2">
        <v>1982</v>
      </c>
      <c r="U250" s="2">
        <f t="shared" si="19"/>
        <v>40</v>
      </c>
      <c r="V250" s="1" t="s">
        <v>2260</v>
      </c>
      <c r="W250" t="s">
        <v>2185</v>
      </c>
      <c r="X250" s="3">
        <v>0.14099999999999999</v>
      </c>
      <c r="Y250" s="4">
        <f>(X250-'[1]1982'!$Z$4)/('[1]1982'!$Z$3-'[1]1982'!$Z$4)</f>
        <v>3.7639144710498915E-3</v>
      </c>
      <c r="AA250">
        <v>402508</v>
      </c>
      <c r="AB250">
        <v>20868</v>
      </c>
      <c r="AD250" t="s">
        <v>15</v>
      </c>
      <c r="AE250" t="s">
        <v>2186</v>
      </c>
      <c r="AF250">
        <v>11</v>
      </c>
      <c r="AH250" t="s">
        <v>2204</v>
      </c>
      <c r="AI250" t="s">
        <v>2770</v>
      </c>
      <c r="AK250" t="s">
        <v>2771</v>
      </c>
      <c r="AL250">
        <v>0</v>
      </c>
      <c r="AM250" s="5">
        <f t="shared" si="20"/>
        <v>0</v>
      </c>
      <c r="AN250" s="6">
        <f>(AM250-'[1]1982'!$AO$4)/('[1]1982'!$AO$3-'[1]1982'!$AO$4)</f>
        <v>0</v>
      </c>
      <c r="AO250" s="7"/>
      <c r="AP250">
        <v>0</v>
      </c>
      <c r="AR250" t="s">
        <v>19</v>
      </c>
      <c r="AT250" s="3" t="s">
        <v>20</v>
      </c>
      <c r="AU250" s="8">
        <f t="shared" si="21"/>
        <v>0.26347401297349238</v>
      </c>
      <c r="AV250" s="8">
        <f t="shared" si="22"/>
        <v>0.18819572355249459</v>
      </c>
      <c r="AW250" s="8">
        <f t="shared" si="23"/>
        <v>0.11291743413149673</v>
      </c>
    </row>
    <row r="251" spans="1:49" x14ac:dyDescent="0.2">
      <c r="A251">
        <v>249</v>
      </c>
      <c r="B251" t="s">
        <v>2772</v>
      </c>
      <c r="C251" t="s">
        <v>2773</v>
      </c>
      <c r="F251" t="s">
        <v>2774</v>
      </c>
      <c r="G251" t="s">
        <v>4</v>
      </c>
      <c r="H251" t="s">
        <v>5</v>
      </c>
      <c r="I251" t="s">
        <v>2775</v>
      </c>
      <c r="J251">
        <v>60003500</v>
      </c>
      <c r="K251" t="s">
        <v>2507</v>
      </c>
      <c r="L251" t="s">
        <v>951</v>
      </c>
      <c r="M251" t="s">
        <v>9</v>
      </c>
      <c r="N251">
        <v>2</v>
      </c>
      <c r="O251" t="s">
        <v>2776</v>
      </c>
      <c r="P251" t="s">
        <v>2777</v>
      </c>
      <c r="Q251" t="s">
        <v>2676</v>
      </c>
      <c r="R251" s="1">
        <v>29952</v>
      </c>
      <c r="S251" s="2">
        <f t="shared" si="18"/>
        <v>1982</v>
      </c>
      <c r="T251" s="2">
        <v>1982</v>
      </c>
      <c r="U251" s="2">
        <f t="shared" si="19"/>
        <v>40</v>
      </c>
      <c r="V251" s="1">
        <v>30225</v>
      </c>
      <c r="W251" t="s">
        <v>2778</v>
      </c>
      <c r="X251" s="3">
        <v>1.468</v>
      </c>
      <c r="Y251" s="4">
        <f>(X251-'[1]1982'!$Z$4)/('[1]1982'!$Z$3-'[1]1982'!$Z$4)</f>
        <v>3.9187421585115186E-2</v>
      </c>
      <c r="AA251">
        <v>906778</v>
      </c>
      <c r="AB251">
        <v>18931</v>
      </c>
      <c r="AD251" t="s">
        <v>15</v>
      </c>
      <c r="AE251">
        <v>30</v>
      </c>
      <c r="AF251">
        <v>10</v>
      </c>
      <c r="AH251" t="s">
        <v>2779</v>
      </c>
      <c r="AI251" t="s">
        <v>2780</v>
      </c>
      <c r="AK251" t="s">
        <v>2781</v>
      </c>
      <c r="AL251">
        <v>2</v>
      </c>
      <c r="AM251" s="5">
        <f t="shared" si="20"/>
        <v>0.05</v>
      </c>
      <c r="AN251" s="6">
        <f>(AM251-'[1]1982'!$AO$4)/('[1]1982'!$AO$3-'[1]1982'!$AO$4)</f>
        <v>7.5728890571753133E-5</v>
      </c>
      <c r="AO251" s="7"/>
      <c r="AP251">
        <v>0</v>
      </c>
      <c r="AR251" t="s">
        <v>19</v>
      </c>
      <c r="AT251" s="3">
        <v>5.0830000000000002</v>
      </c>
      <c r="AU251" s="8">
        <f t="shared" si="21"/>
        <v>2.7453913776752152</v>
      </c>
      <c r="AV251" s="8">
        <f t="shared" si="22"/>
        <v>1.9631575237843468</v>
      </c>
      <c r="AW251" s="8">
        <f t="shared" si="23"/>
        <v>1.1809236698934784</v>
      </c>
    </row>
    <row r="252" spans="1:49" x14ac:dyDescent="0.2">
      <c r="A252">
        <v>250</v>
      </c>
      <c r="B252" t="s">
        <v>2782</v>
      </c>
      <c r="C252" t="s">
        <v>2783</v>
      </c>
      <c r="F252" t="s">
        <v>2784</v>
      </c>
      <c r="G252" t="s">
        <v>4</v>
      </c>
      <c r="H252" t="s">
        <v>5</v>
      </c>
      <c r="I252" t="s">
        <v>2785</v>
      </c>
      <c r="J252">
        <v>60009037</v>
      </c>
      <c r="K252" t="s">
        <v>2786</v>
      </c>
      <c r="L252" t="s">
        <v>445</v>
      </c>
      <c r="M252" t="s">
        <v>9</v>
      </c>
      <c r="N252">
        <v>2</v>
      </c>
      <c r="O252" t="s">
        <v>2787</v>
      </c>
      <c r="P252" t="s">
        <v>2788</v>
      </c>
      <c r="Q252" t="s">
        <v>2789</v>
      </c>
      <c r="R252" s="1">
        <v>29952</v>
      </c>
      <c r="S252" s="2">
        <f t="shared" si="18"/>
        <v>1982</v>
      </c>
      <c r="T252" s="2">
        <v>1982</v>
      </c>
      <c r="U252" s="2">
        <f t="shared" si="19"/>
        <v>40</v>
      </c>
      <c r="V252" s="1">
        <v>30225</v>
      </c>
      <c r="W252" t="s">
        <v>2778</v>
      </c>
      <c r="X252" s="3">
        <v>1.468</v>
      </c>
      <c r="Y252" s="4">
        <f>(X252-'[1]1982'!$Z$4)/('[1]1982'!$Z$3-'[1]1982'!$Z$4)</f>
        <v>3.9187421585115186E-2</v>
      </c>
      <c r="AA252">
        <v>906778</v>
      </c>
      <c r="AB252">
        <v>18931</v>
      </c>
      <c r="AD252" t="s">
        <v>15</v>
      </c>
      <c r="AE252">
        <v>30</v>
      </c>
      <c r="AF252">
        <v>10</v>
      </c>
      <c r="AH252" t="s">
        <v>2790</v>
      </c>
      <c r="AI252" t="s">
        <v>2791</v>
      </c>
      <c r="AK252" t="s">
        <v>2792</v>
      </c>
      <c r="AL252">
        <v>2</v>
      </c>
      <c r="AM252" s="5">
        <f t="shared" si="20"/>
        <v>0.05</v>
      </c>
      <c r="AN252" s="6">
        <f>(AM252-'[1]1982'!$AO$4)/('[1]1982'!$AO$3-'[1]1982'!$AO$4)</f>
        <v>7.5728890571753133E-5</v>
      </c>
      <c r="AO252" s="7"/>
      <c r="AP252">
        <v>0</v>
      </c>
      <c r="AR252" t="s">
        <v>19</v>
      </c>
      <c r="AT252" s="3">
        <v>5.0830000000000002</v>
      </c>
      <c r="AU252" s="8">
        <f t="shared" si="21"/>
        <v>2.7453913776752152</v>
      </c>
      <c r="AV252" s="8">
        <f t="shared" si="22"/>
        <v>1.9631575237843468</v>
      </c>
      <c r="AW252" s="8">
        <f t="shared" si="23"/>
        <v>1.1809236698934784</v>
      </c>
    </row>
    <row r="253" spans="1:49" x14ac:dyDescent="0.2">
      <c r="A253">
        <v>251</v>
      </c>
      <c r="B253" t="s">
        <v>2793</v>
      </c>
      <c r="C253" t="s">
        <v>2794</v>
      </c>
      <c r="F253" t="s">
        <v>2795</v>
      </c>
      <c r="G253" t="s">
        <v>4</v>
      </c>
      <c r="H253" t="s">
        <v>5</v>
      </c>
      <c r="I253" t="s">
        <v>2796</v>
      </c>
      <c r="J253" t="s">
        <v>2797</v>
      </c>
      <c r="K253" t="s">
        <v>2798</v>
      </c>
      <c r="L253" t="s">
        <v>2799</v>
      </c>
      <c r="M253" t="s">
        <v>2800</v>
      </c>
      <c r="N253">
        <v>14</v>
      </c>
      <c r="O253" t="s">
        <v>2801</v>
      </c>
      <c r="P253" t="s">
        <v>2802</v>
      </c>
      <c r="Q253" t="s">
        <v>2803</v>
      </c>
      <c r="R253" s="1">
        <v>29952</v>
      </c>
      <c r="S253" s="2">
        <f t="shared" si="18"/>
        <v>1982</v>
      </c>
      <c r="T253" s="2">
        <v>1982</v>
      </c>
      <c r="U253" s="2">
        <f t="shared" si="19"/>
        <v>40</v>
      </c>
      <c r="V253" s="1">
        <v>30225</v>
      </c>
      <c r="W253" t="s">
        <v>1080</v>
      </c>
      <c r="X253" s="3">
        <v>1.774</v>
      </c>
      <c r="Y253" s="4">
        <f>(X253-'[1]1982'!$Z$4)/('[1]1982'!$Z$3-'[1]1982'!$Z$4)</f>
        <v>4.7355916820159633E-2</v>
      </c>
      <c r="AA253">
        <v>295515</v>
      </c>
      <c r="AB253">
        <v>29066</v>
      </c>
      <c r="AC253">
        <v>17414326</v>
      </c>
      <c r="AD253" t="s">
        <v>15</v>
      </c>
      <c r="AE253">
        <v>22</v>
      </c>
      <c r="AF253">
        <v>10</v>
      </c>
      <c r="AH253" t="s">
        <v>2804</v>
      </c>
      <c r="AI253" t="s">
        <v>2805</v>
      </c>
      <c r="AK253" t="s">
        <v>2806</v>
      </c>
      <c r="AL253">
        <v>33</v>
      </c>
      <c r="AM253" s="5">
        <f t="shared" si="20"/>
        <v>0.82499999999999996</v>
      </c>
      <c r="AN253" s="6">
        <f>(AM253-'[1]1982'!$AO$4)/('[1]1982'!$AO$3-'[1]1982'!$AO$4)</f>
        <v>1.2495266944339265E-3</v>
      </c>
      <c r="AO253" s="7"/>
      <c r="AP253">
        <v>0</v>
      </c>
      <c r="AR253" t="s">
        <v>19</v>
      </c>
      <c r="AT253" s="3">
        <v>3.1789999999999998</v>
      </c>
      <c r="AU253" s="8">
        <f t="shared" si="21"/>
        <v>3.3523999782441916</v>
      </c>
      <c r="AV253" s="8">
        <f t="shared" si="22"/>
        <v>2.4302721757296779</v>
      </c>
      <c r="AW253" s="8">
        <f t="shared" si="23"/>
        <v>1.5081443732151638</v>
      </c>
    </row>
    <row r="254" spans="1:49" x14ac:dyDescent="0.2">
      <c r="A254">
        <v>252</v>
      </c>
      <c r="B254" t="s">
        <v>2807</v>
      </c>
      <c r="F254" t="s">
        <v>2808</v>
      </c>
      <c r="G254" t="s">
        <v>4</v>
      </c>
      <c r="H254" t="s">
        <v>5</v>
      </c>
      <c r="I254" t="s">
        <v>2809</v>
      </c>
      <c r="N254">
        <v>3</v>
      </c>
      <c r="O254" t="s">
        <v>2810</v>
      </c>
      <c r="P254" t="s">
        <v>2811</v>
      </c>
      <c r="Q254" t="s">
        <v>145</v>
      </c>
      <c r="R254" s="1">
        <v>29952</v>
      </c>
      <c r="S254" s="2">
        <f t="shared" si="18"/>
        <v>1982</v>
      </c>
      <c r="T254" s="2">
        <v>1982</v>
      </c>
      <c r="U254" s="2">
        <f t="shared" si="19"/>
        <v>40</v>
      </c>
      <c r="V254" s="1" t="s">
        <v>735</v>
      </c>
      <c r="W254" t="s">
        <v>1977</v>
      </c>
      <c r="X254" s="3" t="s">
        <v>20</v>
      </c>
      <c r="Y254" s="4" t="e">
        <f>(X254-'[1]1982'!$Z$4)/('[1]1982'!$Z$3-'[1]1982'!$Z$4)</f>
        <v>#VALUE!</v>
      </c>
      <c r="AB254">
        <v>18207</v>
      </c>
      <c r="AD254" t="s">
        <v>15</v>
      </c>
      <c r="AE254">
        <v>10</v>
      </c>
      <c r="AF254">
        <v>5</v>
      </c>
      <c r="AH254" t="s">
        <v>2812</v>
      </c>
      <c r="AI254" t="s">
        <v>2813</v>
      </c>
      <c r="AK254" t="s">
        <v>2814</v>
      </c>
      <c r="AL254">
        <v>0</v>
      </c>
      <c r="AM254" s="5">
        <f t="shared" si="20"/>
        <v>0</v>
      </c>
      <c r="AN254" s="6">
        <f>(AM254-'[1]1982'!$AO$4)/('[1]1982'!$AO$3-'[1]1982'!$AO$4)</f>
        <v>0</v>
      </c>
      <c r="AO254" s="7"/>
      <c r="AP254">
        <v>0</v>
      </c>
      <c r="AR254" t="s">
        <v>19</v>
      </c>
      <c r="AT254" s="3" t="s">
        <v>20</v>
      </c>
      <c r="AU254" s="8" t="e">
        <f t="shared" si="21"/>
        <v>#VALUE!</v>
      </c>
      <c r="AV254" s="8" t="e">
        <f t="shared" si="22"/>
        <v>#VALUE!</v>
      </c>
      <c r="AW254" s="8" t="e">
        <f t="shared" si="23"/>
        <v>#VALUE!</v>
      </c>
    </row>
    <row r="255" spans="1:49" x14ac:dyDescent="0.2">
      <c r="A255">
        <v>253</v>
      </c>
      <c r="B255" t="s">
        <v>2815</v>
      </c>
      <c r="F255" t="s">
        <v>2816</v>
      </c>
      <c r="G255" t="s">
        <v>4</v>
      </c>
      <c r="H255" t="s">
        <v>5</v>
      </c>
      <c r="I255" t="s">
        <v>2817</v>
      </c>
      <c r="N255">
        <v>2</v>
      </c>
      <c r="O255" t="s">
        <v>2818</v>
      </c>
      <c r="P255" t="s">
        <v>2819</v>
      </c>
      <c r="Q255" t="s">
        <v>156</v>
      </c>
      <c r="R255" s="1">
        <v>29952</v>
      </c>
      <c r="S255" s="2">
        <f t="shared" si="18"/>
        <v>1982</v>
      </c>
      <c r="T255" s="2">
        <v>1982</v>
      </c>
      <c r="U255" s="2">
        <f t="shared" si="19"/>
        <v>40</v>
      </c>
      <c r="V255" s="1" t="s">
        <v>735</v>
      </c>
      <c r="W255" t="s">
        <v>2185</v>
      </c>
      <c r="X255" s="3">
        <v>0.14099999999999999</v>
      </c>
      <c r="Y255" s="4">
        <f>(X255-'[1]1982'!$Z$4)/('[1]1982'!$Z$3-'[1]1982'!$Z$4)</f>
        <v>3.7639144710498915E-3</v>
      </c>
      <c r="AA255">
        <v>402508</v>
      </c>
      <c r="AB255">
        <v>20868</v>
      </c>
      <c r="AD255" t="s">
        <v>15</v>
      </c>
      <c r="AE255" t="s">
        <v>2186</v>
      </c>
      <c r="AF255">
        <v>10</v>
      </c>
      <c r="AH255" t="s">
        <v>2820</v>
      </c>
      <c r="AI255" t="s">
        <v>2821</v>
      </c>
      <c r="AK255" t="s">
        <v>2822</v>
      </c>
      <c r="AL255">
        <v>0</v>
      </c>
      <c r="AM255" s="5">
        <f t="shared" si="20"/>
        <v>0</v>
      </c>
      <c r="AN255" s="6">
        <f>(AM255-'[1]1982'!$AO$4)/('[1]1982'!$AO$3-'[1]1982'!$AO$4)</f>
        <v>0</v>
      </c>
      <c r="AO255" s="7"/>
      <c r="AP255">
        <v>0</v>
      </c>
      <c r="AR255" t="s">
        <v>19</v>
      </c>
      <c r="AT255" s="3" t="s">
        <v>20</v>
      </c>
      <c r="AU255" s="8">
        <f t="shared" si="21"/>
        <v>0.26347401297349238</v>
      </c>
      <c r="AV255" s="8">
        <f t="shared" si="22"/>
        <v>0.18819572355249459</v>
      </c>
      <c r="AW255" s="8">
        <f t="shared" si="23"/>
        <v>0.11291743413149673</v>
      </c>
    </row>
    <row r="256" spans="1:49" x14ac:dyDescent="0.2">
      <c r="A256">
        <v>254</v>
      </c>
      <c r="B256" t="s">
        <v>2823</v>
      </c>
      <c r="C256" t="s">
        <v>2824</v>
      </c>
      <c r="F256" t="s">
        <v>2825</v>
      </c>
      <c r="G256" t="s">
        <v>4</v>
      </c>
      <c r="H256" t="s">
        <v>5</v>
      </c>
      <c r="I256" t="s">
        <v>2826</v>
      </c>
      <c r="N256">
        <v>2</v>
      </c>
      <c r="O256" t="s">
        <v>2827</v>
      </c>
      <c r="P256" t="s">
        <v>2828</v>
      </c>
      <c r="Q256" t="s">
        <v>156</v>
      </c>
      <c r="R256" s="1">
        <v>29952</v>
      </c>
      <c r="S256" s="2">
        <f t="shared" si="18"/>
        <v>1982</v>
      </c>
      <c r="T256" s="2">
        <v>1982</v>
      </c>
      <c r="U256" s="2">
        <f t="shared" si="19"/>
        <v>40</v>
      </c>
      <c r="V256" s="1" t="s">
        <v>735</v>
      </c>
      <c r="W256" s="11" t="s">
        <v>1908</v>
      </c>
      <c r="X256" s="3">
        <v>2.383</v>
      </c>
      <c r="Y256" s="4">
        <f>(X256-'[1]1982'!$Z$4)/('[1]1982'!$Z$3-'[1]1982'!$Z$4)</f>
        <v>6.3612824003630442E-2</v>
      </c>
      <c r="AA256">
        <v>1437097</v>
      </c>
      <c r="AB256">
        <v>101236</v>
      </c>
      <c r="AD256" t="s">
        <v>15</v>
      </c>
      <c r="AE256">
        <v>129</v>
      </c>
      <c r="AF256">
        <v>5</v>
      </c>
      <c r="AH256" t="s">
        <v>2829</v>
      </c>
      <c r="AI256" t="s">
        <v>2830</v>
      </c>
      <c r="AK256" t="s">
        <v>2831</v>
      </c>
      <c r="AL256">
        <v>5</v>
      </c>
      <c r="AM256" s="5">
        <f t="shared" si="20"/>
        <v>0.125</v>
      </c>
      <c r="AN256" s="6">
        <f>(AM256-'[1]1982'!$AO$4)/('[1]1982'!$AO$3-'[1]1982'!$AO$4)</f>
        <v>1.893222264293828E-4</v>
      </c>
      <c r="AO256" s="7"/>
      <c r="AP256">
        <v>0</v>
      </c>
      <c r="AR256" t="s">
        <v>19</v>
      </c>
      <c r="AT256" s="3" t="s">
        <v>20</v>
      </c>
      <c r="AU256" s="8">
        <f t="shared" si="21"/>
        <v>4.4585773470470125</v>
      </c>
      <c r="AV256" s="8">
        <f t="shared" si="22"/>
        <v>3.1901073115029912</v>
      </c>
      <c r="AW256" s="8">
        <f t="shared" si="23"/>
        <v>1.9216372759589699</v>
      </c>
    </row>
    <row r="257" spans="1:49" x14ac:dyDescent="0.2">
      <c r="A257">
        <v>255</v>
      </c>
      <c r="B257" t="s">
        <v>2832</v>
      </c>
      <c r="C257" t="s">
        <v>2833</v>
      </c>
      <c r="F257" t="s">
        <v>2834</v>
      </c>
      <c r="G257" t="s">
        <v>4</v>
      </c>
      <c r="H257" t="s">
        <v>5</v>
      </c>
      <c r="I257" t="s">
        <v>2835</v>
      </c>
      <c r="N257">
        <v>2</v>
      </c>
      <c r="O257" t="s">
        <v>2836</v>
      </c>
      <c r="P257" t="s">
        <v>2837</v>
      </c>
      <c r="Q257" t="s">
        <v>156</v>
      </c>
      <c r="R257" s="1">
        <v>29952</v>
      </c>
      <c r="S257" s="2">
        <f t="shared" si="18"/>
        <v>1982</v>
      </c>
      <c r="T257" s="2">
        <v>1982</v>
      </c>
      <c r="U257" s="2">
        <f t="shared" si="19"/>
        <v>40</v>
      </c>
      <c r="V257" s="1" t="s">
        <v>735</v>
      </c>
      <c r="W257" s="11" t="s">
        <v>1908</v>
      </c>
      <c r="X257" s="3">
        <v>2.383</v>
      </c>
      <c r="Y257" s="4">
        <f>(X257-'[1]1982'!$Z$4)/('[1]1982'!$Z$3-'[1]1982'!$Z$4)</f>
        <v>6.3612824003630442E-2</v>
      </c>
      <c r="AA257">
        <v>1437097</v>
      </c>
      <c r="AB257">
        <v>101236</v>
      </c>
      <c r="AD257" t="s">
        <v>15</v>
      </c>
      <c r="AE257">
        <v>129</v>
      </c>
      <c r="AF257">
        <v>5</v>
      </c>
      <c r="AH257" t="s">
        <v>2838</v>
      </c>
      <c r="AI257" t="s">
        <v>2839</v>
      </c>
      <c r="AK257" t="s">
        <v>2840</v>
      </c>
      <c r="AL257">
        <v>1</v>
      </c>
      <c r="AM257" s="5">
        <f t="shared" si="20"/>
        <v>2.5000000000000001E-2</v>
      </c>
      <c r="AN257" s="6">
        <f>(AM257-'[1]1982'!$AO$4)/('[1]1982'!$AO$3-'[1]1982'!$AO$4)</f>
        <v>3.7864445285876567E-5</v>
      </c>
      <c r="AO257" s="7"/>
      <c r="AP257">
        <v>0</v>
      </c>
      <c r="AR257" t="s">
        <v>19</v>
      </c>
      <c r="AT257" s="3" t="s">
        <v>20</v>
      </c>
      <c r="AU257" s="8">
        <f t="shared" si="21"/>
        <v>4.4540336136127072</v>
      </c>
      <c r="AV257" s="8">
        <f t="shared" si="22"/>
        <v>3.1825344224458161</v>
      </c>
      <c r="AW257" s="8">
        <f t="shared" si="23"/>
        <v>1.9110352312789247</v>
      </c>
    </row>
    <row r="258" spans="1:49" x14ac:dyDescent="0.2">
      <c r="A258">
        <v>256</v>
      </c>
      <c r="B258" t="s">
        <v>2841</v>
      </c>
      <c r="C258" t="s">
        <v>2842</v>
      </c>
      <c r="F258" t="s">
        <v>2843</v>
      </c>
      <c r="G258" t="s">
        <v>4</v>
      </c>
      <c r="H258" t="s">
        <v>5</v>
      </c>
      <c r="I258" t="s">
        <v>2844</v>
      </c>
      <c r="J258">
        <v>60031828</v>
      </c>
      <c r="K258" t="s">
        <v>2845</v>
      </c>
      <c r="L258" t="s">
        <v>2846</v>
      </c>
      <c r="M258" t="s">
        <v>962</v>
      </c>
      <c r="N258">
        <v>2</v>
      </c>
      <c r="O258" t="s">
        <v>2847</v>
      </c>
      <c r="P258" t="s">
        <v>2848</v>
      </c>
      <c r="Q258" t="s">
        <v>2849</v>
      </c>
      <c r="R258" s="1">
        <v>29952</v>
      </c>
      <c r="S258" s="2">
        <f t="shared" ref="S258:S321" si="24">YEAR(R258)</f>
        <v>1982</v>
      </c>
      <c r="T258" s="2">
        <v>1982</v>
      </c>
      <c r="U258" s="2">
        <f t="shared" ref="U258:U321" si="25">2022-T258</f>
        <v>40</v>
      </c>
      <c r="V258" s="1">
        <v>30225</v>
      </c>
      <c r="W258" s="11" t="s">
        <v>822</v>
      </c>
      <c r="X258" s="3">
        <v>2.383</v>
      </c>
      <c r="Y258" s="4">
        <f>(X258-'[1]1982'!$Z$4)/('[1]1982'!$Z$3-'[1]1982'!$Z$4)</f>
        <v>6.3612824003630442E-2</v>
      </c>
      <c r="AA258">
        <v>1437070</v>
      </c>
      <c r="AB258">
        <v>39742</v>
      </c>
      <c r="AD258" t="s">
        <v>15</v>
      </c>
      <c r="AE258">
        <v>129</v>
      </c>
      <c r="AF258">
        <v>5</v>
      </c>
      <c r="AH258" t="s">
        <v>2850</v>
      </c>
      <c r="AI258" t="s">
        <v>2851</v>
      </c>
      <c r="AJ258" t="s">
        <v>2852</v>
      </c>
      <c r="AK258" t="s">
        <v>2853</v>
      </c>
      <c r="AL258">
        <v>24</v>
      </c>
      <c r="AM258" s="5">
        <f t="shared" ref="AM258:AM321" si="26">AL258/U258</f>
        <v>0.6</v>
      </c>
      <c r="AN258" s="6">
        <f>(AM258-'[1]1982'!$AO$4)/('[1]1982'!$AO$3-'[1]1982'!$AO$4)</f>
        <v>9.0874668686103744E-4</v>
      </c>
      <c r="AO258" s="7"/>
      <c r="AP258">
        <v>0</v>
      </c>
      <c r="AR258" t="s">
        <v>19</v>
      </c>
      <c r="AT258" s="3" t="s">
        <v>20</v>
      </c>
      <c r="AU258" s="8">
        <f t="shared" ref="AU258:AU321" si="27">(Y258*0.7+AN258*0.3)*100</f>
        <v>4.480160080859962</v>
      </c>
      <c r="AV258" s="8">
        <f t="shared" ref="AV258:AV321" si="28">(Y258*0.5+AN258*0.5)*100</f>
        <v>3.2260785345245742</v>
      </c>
      <c r="AW258" s="8">
        <f t="shared" ref="AW258:AW321" si="29">(Y258*0.3+AN258*0.7)*100</f>
        <v>1.9719969881891859</v>
      </c>
    </row>
    <row r="259" spans="1:49" x14ac:dyDescent="0.2">
      <c r="A259">
        <v>257</v>
      </c>
      <c r="B259" t="s">
        <v>2854</v>
      </c>
      <c r="F259" t="s">
        <v>2855</v>
      </c>
      <c r="G259" t="s">
        <v>4</v>
      </c>
      <c r="H259" t="s">
        <v>5</v>
      </c>
      <c r="I259" t="s">
        <v>2856</v>
      </c>
      <c r="N259">
        <v>1</v>
      </c>
      <c r="O259" t="s">
        <v>2857</v>
      </c>
      <c r="P259">
        <v>7101711602</v>
      </c>
      <c r="R259" s="1">
        <v>29952</v>
      </c>
      <c r="S259" s="2">
        <f t="shared" si="24"/>
        <v>1982</v>
      </c>
      <c r="T259" s="2">
        <v>1982</v>
      </c>
      <c r="U259" s="2">
        <f t="shared" si="25"/>
        <v>40</v>
      </c>
      <c r="V259" s="1" t="s">
        <v>735</v>
      </c>
      <c r="W259" t="s">
        <v>2185</v>
      </c>
      <c r="X259" s="3">
        <v>0.14099999999999999</v>
      </c>
      <c r="Y259" s="4">
        <f>(X259-'[1]1982'!$Z$4)/('[1]1982'!$Z$3-'[1]1982'!$Z$4)</f>
        <v>3.7639144710498915E-3</v>
      </c>
      <c r="AA259">
        <v>402508</v>
      </c>
      <c r="AB259">
        <v>20868</v>
      </c>
      <c r="AD259" t="s">
        <v>15</v>
      </c>
      <c r="AE259" t="s">
        <v>2186</v>
      </c>
      <c r="AF259">
        <v>10</v>
      </c>
      <c r="AH259" t="s">
        <v>2858</v>
      </c>
      <c r="AI259" t="s">
        <v>2859</v>
      </c>
      <c r="AK259" t="s">
        <v>2860</v>
      </c>
      <c r="AL259">
        <v>0</v>
      </c>
      <c r="AM259" s="5">
        <f t="shared" si="26"/>
        <v>0</v>
      </c>
      <c r="AN259" s="6">
        <f>(AM259-'[1]1982'!$AO$4)/('[1]1982'!$AO$3-'[1]1982'!$AO$4)</f>
        <v>0</v>
      </c>
      <c r="AO259" s="7"/>
      <c r="AP259">
        <v>0</v>
      </c>
      <c r="AR259" t="s">
        <v>19</v>
      </c>
      <c r="AT259" s="3" t="s">
        <v>20</v>
      </c>
      <c r="AU259" s="8">
        <f t="shared" si="27"/>
        <v>0.26347401297349238</v>
      </c>
      <c r="AV259" s="8">
        <f t="shared" si="28"/>
        <v>0.18819572355249459</v>
      </c>
      <c r="AW259" s="8">
        <f t="shared" si="29"/>
        <v>0.11291743413149673</v>
      </c>
    </row>
    <row r="260" spans="1:49" x14ac:dyDescent="0.2">
      <c r="A260">
        <v>258</v>
      </c>
      <c r="B260" t="s">
        <v>2861</v>
      </c>
      <c r="C260" t="s">
        <v>2862</v>
      </c>
      <c r="F260" t="s">
        <v>2863</v>
      </c>
      <c r="G260" t="s">
        <v>4</v>
      </c>
      <c r="H260" t="s">
        <v>5</v>
      </c>
      <c r="I260" t="s">
        <v>2864</v>
      </c>
      <c r="N260">
        <v>1</v>
      </c>
      <c r="O260" t="s">
        <v>2865</v>
      </c>
      <c r="P260">
        <v>57198152396</v>
      </c>
      <c r="R260" s="1">
        <v>29952</v>
      </c>
      <c r="S260" s="2">
        <f t="shared" si="24"/>
        <v>1982</v>
      </c>
      <c r="T260" s="2">
        <v>1982</v>
      </c>
      <c r="U260" s="2">
        <f t="shared" si="25"/>
        <v>40</v>
      </c>
      <c r="V260" s="1" t="s">
        <v>735</v>
      </c>
      <c r="W260" s="11" t="s">
        <v>1908</v>
      </c>
      <c r="X260" s="3">
        <v>2.383</v>
      </c>
      <c r="Y260" s="4">
        <f>(X260-'[1]1982'!$Z$4)/('[1]1982'!$Z$3-'[1]1982'!$Z$4)</f>
        <v>6.3612824003630442E-2</v>
      </c>
      <c r="AA260">
        <v>1437097</v>
      </c>
      <c r="AB260">
        <v>101236</v>
      </c>
      <c r="AD260" t="s">
        <v>15</v>
      </c>
      <c r="AE260">
        <v>129</v>
      </c>
      <c r="AF260">
        <v>5</v>
      </c>
      <c r="AH260" t="s">
        <v>2866</v>
      </c>
      <c r="AI260" t="s">
        <v>2867</v>
      </c>
      <c r="AK260" t="s">
        <v>2868</v>
      </c>
      <c r="AL260">
        <v>2</v>
      </c>
      <c r="AM260" s="5">
        <f t="shared" si="26"/>
        <v>0.05</v>
      </c>
      <c r="AN260" s="6">
        <f>(AM260-'[1]1982'!$AO$4)/('[1]1982'!$AO$3-'[1]1982'!$AO$4)</f>
        <v>7.5728890571753133E-5</v>
      </c>
      <c r="AO260" s="7"/>
      <c r="AP260">
        <v>0</v>
      </c>
      <c r="AR260" t="s">
        <v>19</v>
      </c>
      <c r="AT260" s="3" t="s">
        <v>20</v>
      </c>
      <c r="AU260" s="8">
        <f t="shared" si="27"/>
        <v>4.4551695469712831</v>
      </c>
      <c r="AV260" s="8">
        <f t="shared" si="28"/>
        <v>3.1844276447101096</v>
      </c>
      <c r="AW260" s="8">
        <f t="shared" si="29"/>
        <v>1.913685742448936</v>
      </c>
    </row>
    <row r="261" spans="1:49" x14ac:dyDescent="0.2">
      <c r="A261">
        <v>259</v>
      </c>
      <c r="B261" t="s">
        <v>2869</v>
      </c>
      <c r="C261" t="s">
        <v>2870</v>
      </c>
      <c r="F261" t="s">
        <v>2871</v>
      </c>
      <c r="G261" t="s">
        <v>4</v>
      </c>
      <c r="H261" t="s">
        <v>5</v>
      </c>
      <c r="I261" t="s">
        <v>2872</v>
      </c>
      <c r="N261">
        <v>2</v>
      </c>
      <c r="O261" t="s">
        <v>2873</v>
      </c>
      <c r="P261" t="s">
        <v>2874</v>
      </c>
      <c r="Q261" t="s">
        <v>156</v>
      </c>
      <c r="R261" s="1">
        <v>29952</v>
      </c>
      <c r="S261" s="2">
        <f t="shared" si="24"/>
        <v>1982</v>
      </c>
      <c r="T261" s="2">
        <v>1982</v>
      </c>
      <c r="U261" s="2">
        <f t="shared" si="25"/>
        <v>40</v>
      </c>
      <c r="V261" s="1" t="s">
        <v>735</v>
      </c>
      <c r="W261" t="s">
        <v>2437</v>
      </c>
      <c r="X261" s="3">
        <v>0.218</v>
      </c>
      <c r="Y261" s="4">
        <f>(X261-'[1]1982'!$Z$4)/('[1]1982'!$Z$3-'[1]1982'!$Z$4)</f>
        <v>5.8193854942473512E-3</v>
      </c>
      <c r="AA261">
        <v>3772063</v>
      </c>
      <c r="AB261">
        <v>130012</v>
      </c>
      <c r="AD261" t="s">
        <v>15</v>
      </c>
      <c r="AE261">
        <v>28</v>
      </c>
      <c r="AF261">
        <v>10</v>
      </c>
      <c r="AH261" t="s">
        <v>2875</v>
      </c>
      <c r="AI261" t="s">
        <v>2876</v>
      </c>
      <c r="AK261" t="s">
        <v>2877</v>
      </c>
      <c r="AL261">
        <v>4</v>
      </c>
      <c r="AM261" s="5">
        <f t="shared" si="26"/>
        <v>0.1</v>
      </c>
      <c r="AN261" s="6">
        <f>(AM261-'[1]1982'!$AO$4)/('[1]1982'!$AO$3-'[1]1982'!$AO$4)</f>
        <v>1.5145778114350627E-4</v>
      </c>
      <c r="AO261" s="7"/>
      <c r="AP261">
        <v>0</v>
      </c>
      <c r="AR261" t="s">
        <v>19</v>
      </c>
      <c r="AT261" s="3">
        <v>2.3330000000000002</v>
      </c>
      <c r="AU261" s="8">
        <f t="shared" si="27"/>
        <v>0.41190071803161976</v>
      </c>
      <c r="AV261" s="8">
        <f t="shared" si="28"/>
        <v>0.2985421637695429</v>
      </c>
      <c r="AW261" s="8">
        <f t="shared" si="29"/>
        <v>0.18518360950746596</v>
      </c>
    </row>
    <row r="262" spans="1:49" x14ac:dyDescent="0.2">
      <c r="A262">
        <v>260</v>
      </c>
      <c r="B262" t="s">
        <v>2878</v>
      </c>
      <c r="F262" t="s">
        <v>2879</v>
      </c>
      <c r="G262" t="s">
        <v>4</v>
      </c>
      <c r="H262" t="s">
        <v>5</v>
      </c>
      <c r="I262" t="s">
        <v>2880</v>
      </c>
      <c r="N262">
        <v>2</v>
      </c>
      <c r="O262" t="s">
        <v>2881</v>
      </c>
      <c r="P262" t="s">
        <v>2882</v>
      </c>
      <c r="Q262" t="s">
        <v>156</v>
      </c>
      <c r="R262" s="1">
        <v>29952</v>
      </c>
      <c r="S262" s="2">
        <f t="shared" si="24"/>
        <v>1982</v>
      </c>
      <c r="T262" s="2">
        <v>1982</v>
      </c>
      <c r="U262" s="2">
        <f t="shared" si="25"/>
        <v>40</v>
      </c>
      <c r="V262" s="1" t="s">
        <v>735</v>
      </c>
      <c r="W262" t="s">
        <v>2883</v>
      </c>
      <c r="X262" s="3" t="s">
        <v>20</v>
      </c>
      <c r="Y262" s="4" t="e">
        <f>(X262-'[1]1982'!$Z$4)/('[1]1982'!$Z$3-'[1]1982'!$Z$4)</f>
        <v>#VALUE!</v>
      </c>
      <c r="AA262">
        <v>214744</v>
      </c>
      <c r="AB262">
        <v>32584</v>
      </c>
      <c r="AD262" t="s">
        <v>15</v>
      </c>
      <c r="AE262">
        <v>24</v>
      </c>
      <c r="AF262">
        <v>4</v>
      </c>
      <c r="AH262" t="s">
        <v>2884</v>
      </c>
      <c r="AI262" t="s">
        <v>2885</v>
      </c>
      <c r="AK262" t="s">
        <v>2886</v>
      </c>
      <c r="AL262">
        <v>0</v>
      </c>
      <c r="AM262" s="5">
        <f t="shared" si="26"/>
        <v>0</v>
      </c>
      <c r="AN262" s="6">
        <f>(AM262-'[1]1982'!$AO$4)/('[1]1982'!$AO$3-'[1]1982'!$AO$4)</f>
        <v>0</v>
      </c>
      <c r="AO262" s="7"/>
      <c r="AP262">
        <v>0</v>
      </c>
      <c r="AR262" t="s">
        <v>19</v>
      </c>
      <c r="AT262" s="3" t="s">
        <v>20</v>
      </c>
      <c r="AU262" s="8" t="e">
        <f t="shared" si="27"/>
        <v>#VALUE!</v>
      </c>
      <c r="AV262" s="8" t="e">
        <f t="shared" si="28"/>
        <v>#VALUE!</v>
      </c>
      <c r="AW262" s="8" t="e">
        <f t="shared" si="29"/>
        <v>#VALUE!</v>
      </c>
    </row>
    <row r="263" spans="1:49" x14ac:dyDescent="0.2">
      <c r="A263">
        <v>261</v>
      </c>
      <c r="B263" t="s">
        <v>2887</v>
      </c>
      <c r="C263" t="s">
        <v>2888</v>
      </c>
      <c r="F263" t="s">
        <v>2889</v>
      </c>
      <c r="G263" t="s">
        <v>4</v>
      </c>
      <c r="H263" t="s">
        <v>5</v>
      </c>
      <c r="I263" t="s">
        <v>2890</v>
      </c>
      <c r="N263">
        <v>1</v>
      </c>
      <c r="O263" t="s">
        <v>2891</v>
      </c>
      <c r="P263">
        <v>57195975290</v>
      </c>
      <c r="R263" s="1">
        <v>29952</v>
      </c>
      <c r="S263" s="2">
        <f t="shared" si="24"/>
        <v>1982</v>
      </c>
      <c r="T263" s="2">
        <v>1982</v>
      </c>
      <c r="U263" s="2">
        <f t="shared" si="25"/>
        <v>40</v>
      </c>
      <c r="V263" s="1" t="s">
        <v>735</v>
      </c>
      <c r="W263" s="11" t="s">
        <v>1908</v>
      </c>
      <c r="X263" s="3">
        <v>2.383</v>
      </c>
      <c r="Y263" s="4">
        <f>(X263-'[1]1982'!$Z$4)/('[1]1982'!$Z$3-'[1]1982'!$Z$4)</f>
        <v>6.3612824003630442E-2</v>
      </c>
      <c r="AA263">
        <v>1437097</v>
      </c>
      <c r="AB263">
        <v>101236</v>
      </c>
      <c r="AD263" t="s">
        <v>15</v>
      </c>
      <c r="AE263">
        <v>129</v>
      </c>
      <c r="AF263">
        <v>5</v>
      </c>
      <c r="AH263" t="s">
        <v>2892</v>
      </c>
      <c r="AI263" t="s">
        <v>2893</v>
      </c>
      <c r="AK263" t="s">
        <v>2894</v>
      </c>
      <c r="AL263">
        <v>0</v>
      </c>
      <c r="AM263" s="5">
        <f t="shared" si="26"/>
        <v>0</v>
      </c>
      <c r="AN263" s="6">
        <f>(AM263-'[1]1982'!$AO$4)/('[1]1982'!$AO$3-'[1]1982'!$AO$4)</f>
        <v>0</v>
      </c>
      <c r="AO263" s="7"/>
      <c r="AP263">
        <v>0</v>
      </c>
      <c r="AR263" t="s">
        <v>19</v>
      </c>
      <c r="AT263" s="3" t="s">
        <v>20</v>
      </c>
      <c r="AU263" s="8">
        <f t="shared" si="27"/>
        <v>4.4528976802541305</v>
      </c>
      <c r="AV263" s="8">
        <f t="shared" si="28"/>
        <v>3.1806412001815221</v>
      </c>
      <c r="AW263" s="8">
        <f t="shared" si="29"/>
        <v>1.9083847201089132</v>
      </c>
    </row>
    <row r="264" spans="1:49" x14ac:dyDescent="0.2">
      <c r="A264">
        <v>262</v>
      </c>
      <c r="B264" t="s">
        <v>2895</v>
      </c>
      <c r="C264" t="s">
        <v>2896</v>
      </c>
      <c r="F264" t="s">
        <v>2897</v>
      </c>
      <c r="G264" t="s">
        <v>4</v>
      </c>
      <c r="H264" t="s">
        <v>5</v>
      </c>
      <c r="I264" t="s">
        <v>581</v>
      </c>
      <c r="N264">
        <v>2</v>
      </c>
      <c r="O264" t="s">
        <v>2898</v>
      </c>
      <c r="P264" t="s">
        <v>2899</v>
      </c>
      <c r="Q264" t="s">
        <v>156</v>
      </c>
      <c r="R264" s="1">
        <v>29952</v>
      </c>
      <c r="S264" s="2">
        <f t="shared" si="24"/>
        <v>1982</v>
      </c>
      <c r="T264" s="2">
        <v>1982</v>
      </c>
      <c r="U264" s="2">
        <f t="shared" si="25"/>
        <v>40</v>
      </c>
      <c r="V264" s="1" t="s">
        <v>735</v>
      </c>
      <c r="W264" s="11" t="s">
        <v>1908</v>
      </c>
      <c r="X264" s="3">
        <v>2.383</v>
      </c>
      <c r="Y264" s="4">
        <f>(X264-'[1]1982'!$Z$4)/('[1]1982'!$Z$3-'[1]1982'!$Z$4)</f>
        <v>6.3612824003630442E-2</v>
      </c>
      <c r="AA264">
        <v>1437097</v>
      </c>
      <c r="AB264">
        <v>101236</v>
      </c>
      <c r="AD264" t="s">
        <v>15</v>
      </c>
      <c r="AE264">
        <v>129</v>
      </c>
      <c r="AF264">
        <v>5</v>
      </c>
      <c r="AH264" t="s">
        <v>2900</v>
      </c>
      <c r="AI264" t="s">
        <v>2901</v>
      </c>
      <c r="AK264" t="s">
        <v>2902</v>
      </c>
      <c r="AL264">
        <v>25</v>
      </c>
      <c r="AM264" s="5">
        <f t="shared" si="26"/>
        <v>0.625</v>
      </c>
      <c r="AN264" s="6">
        <f>(AM264-'[1]1982'!$AO$4)/('[1]1982'!$AO$3-'[1]1982'!$AO$4)</f>
        <v>9.4661113214691405E-4</v>
      </c>
      <c r="AO264" s="7"/>
      <c r="AP264">
        <v>0</v>
      </c>
      <c r="AR264" t="s">
        <v>19</v>
      </c>
      <c r="AT264" s="3" t="s">
        <v>20</v>
      </c>
      <c r="AU264" s="8">
        <f t="shared" si="27"/>
        <v>4.4812960142185378</v>
      </c>
      <c r="AV264" s="8">
        <f t="shared" si="28"/>
        <v>3.2279717567888682</v>
      </c>
      <c r="AW264" s="8">
        <f t="shared" si="29"/>
        <v>1.9746474993591971</v>
      </c>
    </row>
    <row r="265" spans="1:49" x14ac:dyDescent="0.2">
      <c r="A265">
        <v>263</v>
      </c>
      <c r="B265" t="s">
        <v>2903</v>
      </c>
      <c r="F265" t="s">
        <v>2904</v>
      </c>
      <c r="G265" t="s">
        <v>4</v>
      </c>
      <c r="H265" t="s">
        <v>5</v>
      </c>
      <c r="I265" t="s">
        <v>2905</v>
      </c>
      <c r="N265">
        <v>2</v>
      </c>
      <c r="O265" t="s">
        <v>2906</v>
      </c>
      <c r="P265" t="s">
        <v>2907</v>
      </c>
      <c r="Q265" t="s">
        <v>156</v>
      </c>
      <c r="R265" s="1">
        <v>29952</v>
      </c>
      <c r="S265" s="2">
        <f t="shared" si="24"/>
        <v>1982</v>
      </c>
      <c r="T265" s="2">
        <v>1982</v>
      </c>
      <c r="U265" s="2">
        <f t="shared" si="25"/>
        <v>40</v>
      </c>
      <c r="V265" s="1" t="s">
        <v>735</v>
      </c>
      <c r="W265" t="s">
        <v>1643</v>
      </c>
      <c r="X265" s="3" t="s">
        <v>20</v>
      </c>
      <c r="Y265" s="4" t="e">
        <f>(X265-'[1]1982'!$Z$4)/('[1]1982'!$Z$3-'[1]1982'!$Z$4)</f>
        <v>#VALUE!</v>
      </c>
      <c r="AA265">
        <v>337889</v>
      </c>
      <c r="AB265">
        <v>40920</v>
      </c>
      <c r="AD265" t="s">
        <v>15</v>
      </c>
      <c r="AE265">
        <v>27</v>
      </c>
      <c r="AF265">
        <v>10</v>
      </c>
      <c r="AH265" t="s">
        <v>2908</v>
      </c>
      <c r="AI265" t="s">
        <v>2909</v>
      </c>
      <c r="AK265" t="s">
        <v>2910</v>
      </c>
      <c r="AL265">
        <v>0</v>
      </c>
      <c r="AM265" s="5">
        <f t="shared" si="26"/>
        <v>0</v>
      </c>
      <c r="AN265" s="6">
        <f>(AM265-'[1]1982'!$AO$4)/('[1]1982'!$AO$3-'[1]1982'!$AO$4)</f>
        <v>0</v>
      </c>
      <c r="AO265" s="7"/>
      <c r="AP265">
        <v>0</v>
      </c>
      <c r="AR265" t="s">
        <v>19</v>
      </c>
      <c r="AT265" s="3" t="s">
        <v>20</v>
      </c>
      <c r="AU265" s="8" t="e">
        <f t="shared" si="27"/>
        <v>#VALUE!</v>
      </c>
      <c r="AV265" s="8" t="e">
        <f t="shared" si="28"/>
        <v>#VALUE!</v>
      </c>
      <c r="AW265" s="8" t="e">
        <f t="shared" si="29"/>
        <v>#VALUE!</v>
      </c>
    </row>
    <row r="266" spans="1:49" x14ac:dyDescent="0.2">
      <c r="A266">
        <v>264</v>
      </c>
      <c r="B266" t="s">
        <v>2911</v>
      </c>
      <c r="F266" t="s">
        <v>2912</v>
      </c>
      <c r="G266" t="s">
        <v>4</v>
      </c>
      <c r="H266" t="s">
        <v>5</v>
      </c>
      <c r="I266" t="s">
        <v>2913</v>
      </c>
      <c r="N266">
        <v>2</v>
      </c>
      <c r="O266" t="s">
        <v>2914</v>
      </c>
      <c r="P266" t="s">
        <v>2915</v>
      </c>
      <c r="Q266" t="s">
        <v>156</v>
      </c>
      <c r="R266" s="1">
        <v>29952</v>
      </c>
      <c r="S266" s="2">
        <f t="shared" si="24"/>
        <v>1982</v>
      </c>
      <c r="T266" s="2">
        <v>1982</v>
      </c>
      <c r="U266" s="2">
        <f t="shared" si="25"/>
        <v>40</v>
      </c>
      <c r="V266" s="1" t="s">
        <v>735</v>
      </c>
      <c r="W266" t="s">
        <v>1643</v>
      </c>
      <c r="X266" s="3" t="s">
        <v>20</v>
      </c>
      <c r="Y266" s="4" t="e">
        <f>(X266-'[1]1982'!$Z$4)/('[1]1982'!$Z$3-'[1]1982'!$Z$4)</f>
        <v>#VALUE!</v>
      </c>
      <c r="AA266">
        <v>337889</v>
      </c>
      <c r="AB266">
        <v>40920</v>
      </c>
      <c r="AD266" t="s">
        <v>15</v>
      </c>
      <c r="AE266">
        <v>27</v>
      </c>
      <c r="AF266">
        <v>10</v>
      </c>
      <c r="AH266" t="s">
        <v>2916</v>
      </c>
      <c r="AI266" t="s">
        <v>2917</v>
      </c>
      <c r="AK266" t="s">
        <v>2918</v>
      </c>
      <c r="AL266">
        <v>0</v>
      </c>
      <c r="AM266" s="5">
        <f t="shared" si="26"/>
        <v>0</v>
      </c>
      <c r="AN266" s="6">
        <f>(AM266-'[1]1982'!$AO$4)/('[1]1982'!$AO$3-'[1]1982'!$AO$4)</f>
        <v>0</v>
      </c>
      <c r="AO266" s="7"/>
      <c r="AP266">
        <v>0</v>
      </c>
      <c r="AR266" t="s">
        <v>19</v>
      </c>
      <c r="AT266" s="3" t="s">
        <v>20</v>
      </c>
      <c r="AU266" s="8" t="e">
        <f t="shared" si="27"/>
        <v>#VALUE!</v>
      </c>
      <c r="AV266" s="8" t="e">
        <f t="shared" si="28"/>
        <v>#VALUE!</v>
      </c>
      <c r="AW266" s="8" t="e">
        <f t="shared" si="29"/>
        <v>#VALUE!</v>
      </c>
    </row>
    <row r="267" spans="1:49" x14ac:dyDescent="0.2">
      <c r="A267">
        <v>265</v>
      </c>
      <c r="B267" t="s">
        <v>2919</v>
      </c>
      <c r="C267" t="s">
        <v>2920</v>
      </c>
      <c r="F267" t="s">
        <v>2921</v>
      </c>
      <c r="G267" t="s">
        <v>4</v>
      </c>
      <c r="H267" t="s">
        <v>5</v>
      </c>
      <c r="I267" t="s">
        <v>2922</v>
      </c>
      <c r="J267">
        <v>60018363</v>
      </c>
      <c r="K267" t="s">
        <v>2923</v>
      </c>
      <c r="L267" t="s">
        <v>2924</v>
      </c>
      <c r="M267" t="s">
        <v>550</v>
      </c>
      <c r="N267">
        <v>1</v>
      </c>
      <c r="O267" t="s">
        <v>2925</v>
      </c>
      <c r="P267">
        <v>6603334959</v>
      </c>
      <c r="Q267">
        <v>60018363</v>
      </c>
      <c r="R267" s="1">
        <v>29952</v>
      </c>
      <c r="S267" s="2">
        <f t="shared" si="24"/>
        <v>1982</v>
      </c>
      <c r="T267" s="2">
        <v>1982</v>
      </c>
      <c r="U267" s="2">
        <f t="shared" si="25"/>
        <v>40</v>
      </c>
      <c r="V267" s="1">
        <v>30225</v>
      </c>
      <c r="W267" t="s">
        <v>2926</v>
      </c>
      <c r="X267" s="3">
        <v>2.141</v>
      </c>
      <c r="Y267" s="4">
        <f>(X267-'[1]1982'!$Z$4)/('[1]1982'!$Z$3-'[1]1982'!$Z$4)</f>
        <v>5.7152772216438434E-2</v>
      </c>
      <c r="AA267">
        <v>1962892</v>
      </c>
      <c r="AB267">
        <v>17360</v>
      </c>
      <c r="AC267">
        <v>15580644</v>
      </c>
      <c r="AD267" t="s">
        <v>15</v>
      </c>
      <c r="AE267" t="s">
        <v>2927</v>
      </c>
      <c r="AF267">
        <v>4</v>
      </c>
      <c r="AH267" t="s">
        <v>2928</v>
      </c>
      <c r="AI267" t="s">
        <v>2929</v>
      </c>
      <c r="AK267" t="s">
        <v>2930</v>
      </c>
      <c r="AL267">
        <v>3</v>
      </c>
      <c r="AM267" s="5">
        <f t="shared" si="26"/>
        <v>7.4999999999999997E-2</v>
      </c>
      <c r="AN267" s="6">
        <f>(AM267-'[1]1982'!$AO$4)/('[1]1982'!$AO$3-'[1]1982'!$AO$4)</f>
        <v>1.1359333585762968E-4</v>
      </c>
      <c r="AO267" s="7"/>
      <c r="AP267">
        <v>0</v>
      </c>
      <c r="AR267" t="s">
        <v>19</v>
      </c>
      <c r="AT267" s="3" t="s">
        <v>20</v>
      </c>
      <c r="AU267" s="8">
        <f t="shared" si="27"/>
        <v>4.0041018552264189</v>
      </c>
      <c r="AV267" s="8">
        <f t="shared" si="28"/>
        <v>2.8633182776148032</v>
      </c>
      <c r="AW267" s="8">
        <f t="shared" si="29"/>
        <v>1.7225347000031872</v>
      </c>
    </row>
    <row r="268" spans="1:49" x14ac:dyDescent="0.2">
      <c r="A268">
        <v>266</v>
      </c>
      <c r="B268" t="s">
        <v>2931</v>
      </c>
      <c r="C268" t="s">
        <v>2932</v>
      </c>
      <c r="F268" t="s">
        <v>2933</v>
      </c>
      <c r="G268" t="s">
        <v>4</v>
      </c>
      <c r="H268" t="s">
        <v>5</v>
      </c>
      <c r="I268" t="s">
        <v>2934</v>
      </c>
      <c r="J268">
        <v>60014652</v>
      </c>
      <c r="K268" t="s">
        <v>2935</v>
      </c>
      <c r="L268" t="s">
        <v>2936</v>
      </c>
      <c r="M268" t="s">
        <v>485</v>
      </c>
      <c r="N268">
        <v>2</v>
      </c>
      <c r="O268" t="s">
        <v>2937</v>
      </c>
      <c r="P268" t="s">
        <v>2938</v>
      </c>
      <c r="Q268" t="s">
        <v>2939</v>
      </c>
      <c r="R268" s="1">
        <v>29952</v>
      </c>
      <c r="S268" s="2">
        <f t="shared" si="24"/>
        <v>1982</v>
      </c>
      <c r="T268" s="2">
        <v>1982</v>
      </c>
      <c r="U268" s="2">
        <f t="shared" si="25"/>
        <v>40</v>
      </c>
      <c r="V268" s="1">
        <v>1982</v>
      </c>
      <c r="W268" t="s">
        <v>1005</v>
      </c>
      <c r="X268" s="3">
        <v>0.111</v>
      </c>
      <c r="Y268" s="4">
        <f>(X268-'[1]1982'!$Z$4)/('[1]1982'!$Z$3-'[1]1982'!$Z$4)</f>
        <v>2.9630816048690639E-3</v>
      </c>
      <c r="AA268">
        <v>87566621</v>
      </c>
      <c r="AB268">
        <v>24890</v>
      </c>
      <c r="AC268">
        <v>15206424</v>
      </c>
      <c r="AD268" t="s">
        <v>15</v>
      </c>
      <c r="AE268">
        <v>65</v>
      </c>
      <c r="AF268">
        <v>10</v>
      </c>
      <c r="AH268" t="s">
        <v>2940</v>
      </c>
      <c r="AI268" t="s">
        <v>2941</v>
      </c>
      <c r="AK268" t="s">
        <v>2942</v>
      </c>
      <c r="AL268">
        <v>0</v>
      </c>
      <c r="AM268" s="5">
        <f t="shared" si="26"/>
        <v>0</v>
      </c>
      <c r="AN268" s="6">
        <f>(AM268-'[1]1982'!$AO$4)/('[1]1982'!$AO$3-'[1]1982'!$AO$4)</f>
        <v>0</v>
      </c>
      <c r="AO268" s="7"/>
      <c r="AP268">
        <v>0</v>
      </c>
      <c r="AR268" t="s">
        <v>19</v>
      </c>
      <c r="AT268" s="3" t="s">
        <v>20</v>
      </c>
      <c r="AU268" s="8">
        <f t="shared" si="27"/>
        <v>0.20741571234083445</v>
      </c>
      <c r="AV268" s="8">
        <f t="shared" si="28"/>
        <v>0.1481540802434532</v>
      </c>
      <c r="AW268" s="8">
        <f t="shared" si="29"/>
        <v>8.8892448146071903E-2</v>
      </c>
    </row>
    <row r="269" spans="1:49" x14ac:dyDescent="0.2">
      <c r="A269">
        <v>267</v>
      </c>
      <c r="B269" t="s">
        <v>2943</v>
      </c>
      <c r="C269" t="s">
        <v>2944</v>
      </c>
      <c r="F269" t="s">
        <v>2945</v>
      </c>
      <c r="G269" t="s">
        <v>4</v>
      </c>
      <c r="H269" t="s">
        <v>5</v>
      </c>
      <c r="I269" t="s">
        <v>2946</v>
      </c>
      <c r="J269">
        <v>115468062</v>
      </c>
      <c r="K269" t="s">
        <v>2947</v>
      </c>
      <c r="L269" t="s">
        <v>2948</v>
      </c>
      <c r="M269" t="s">
        <v>9</v>
      </c>
      <c r="N269">
        <v>2</v>
      </c>
      <c r="O269" t="s">
        <v>2949</v>
      </c>
      <c r="P269" t="s">
        <v>2950</v>
      </c>
      <c r="Q269" t="s">
        <v>2951</v>
      </c>
      <c r="R269" s="1">
        <v>29952</v>
      </c>
      <c r="S269" s="2">
        <f t="shared" si="24"/>
        <v>1982</v>
      </c>
      <c r="T269" s="2">
        <v>1982</v>
      </c>
      <c r="U269" s="2">
        <f t="shared" si="25"/>
        <v>40</v>
      </c>
      <c r="V269" s="1">
        <v>30195</v>
      </c>
      <c r="W269" t="s">
        <v>1117</v>
      </c>
      <c r="X269" s="3">
        <v>1.6519999999999999</v>
      </c>
      <c r="Y269" s="4">
        <f>(X269-'[1]1982'!$Z$4)/('[1]1982'!$Z$3-'[1]1982'!$Z$4)</f>
        <v>4.409919649769093E-2</v>
      </c>
      <c r="AA269" t="s">
        <v>1118</v>
      </c>
      <c r="AB269">
        <v>17337</v>
      </c>
      <c r="AC269">
        <v>15582221</v>
      </c>
      <c r="AD269" t="s">
        <v>15</v>
      </c>
      <c r="AE269">
        <v>30</v>
      </c>
      <c r="AF269">
        <v>5</v>
      </c>
      <c r="AH269" t="s">
        <v>2952</v>
      </c>
      <c r="AI269" t="s">
        <v>2953</v>
      </c>
      <c r="AK269" t="s">
        <v>2954</v>
      </c>
      <c r="AL269">
        <v>35</v>
      </c>
      <c r="AM269" s="5">
        <f t="shared" si="26"/>
        <v>0.875</v>
      </c>
      <c r="AN269" s="6">
        <f>(AM269-'[1]1982'!$AO$4)/('[1]1982'!$AO$3-'[1]1982'!$AO$4)</f>
        <v>1.3252555850056798E-3</v>
      </c>
      <c r="AO269" s="7"/>
      <c r="AP269">
        <v>0</v>
      </c>
      <c r="AR269" t="s">
        <v>19</v>
      </c>
      <c r="AT269" s="3" t="s">
        <v>20</v>
      </c>
      <c r="AU269" s="8">
        <f t="shared" si="27"/>
        <v>3.1267014223885359</v>
      </c>
      <c r="AV269" s="8">
        <f t="shared" si="28"/>
        <v>2.2712226041348305</v>
      </c>
      <c r="AW269" s="8">
        <f t="shared" si="29"/>
        <v>1.4157437858811253</v>
      </c>
    </row>
    <row r="270" spans="1:49" x14ac:dyDescent="0.2">
      <c r="A270">
        <v>268</v>
      </c>
      <c r="B270" t="s">
        <v>2955</v>
      </c>
      <c r="C270" t="s">
        <v>2956</v>
      </c>
      <c r="F270" t="s">
        <v>2957</v>
      </c>
      <c r="G270" t="s">
        <v>4</v>
      </c>
      <c r="H270" t="s">
        <v>5</v>
      </c>
      <c r="I270" t="s">
        <v>2958</v>
      </c>
      <c r="J270">
        <v>60030551</v>
      </c>
      <c r="K270" t="s">
        <v>1088</v>
      </c>
      <c r="L270" t="s">
        <v>1089</v>
      </c>
      <c r="M270" t="s">
        <v>9</v>
      </c>
      <c r="N270">
        <v>2</v>
      </c>
      <c r="O270" t="s">
        <v>2959</v>
      </c>
      <c r="P270" t="s">
        <v>2960</v>
      </c>
      <c r="Q270" t="s">
        <v>1092</v>
      </c>
      <c r="R270" s="1">
        <v>29952</v>
      </c>
      <c r="S270" s="2">
        <f t="shared" si="24"/>
        <v>1982</v>
      </c>
      <c r="T270" s="2">
        <v>1982</v>
      </c>
      <c r="U270" s="2">
        <f t="shared" si="25"/>
        <v>40</v>
      </c>
      <c r="V270" s="1">
        <v>30195</v>
      </c>
      <c r="W270" t="s">
        <v>1117</v>
      </c>
      <c r="X270" s="3">
        <v>1.6519999999999999</v>
      </c>
      <c r="Y270" s="4">
        <f>(X270-'[1]1982'!$Z$4)/('[1]1982'!$Z$3-'[1]1982'!$Z$4)</f>
        <v>4.409919649769093E-2</v>
      </c>
      <c r="AA270" t="s">
        <v>1118</v>
      </c>
      <c r="AB270">
        <v>17337</v>
      </c>
      <c r="AC270">
        <v>15582221</v>
      </c>
      <c r="AD270" t="s">
        <v>15</v>
      </c>
      <c r="AE270">
        <v>30</v>
      </c>
      <c r="AF270">
        <v>5</v>
      </c>
      <c r="AH270" t="s">
        <v>2961</v>
      </c>
      <c r="AI270" t="s">
        <v>2962</v>
      </c>
      <c r="AK270" t="s">
        <v>2963</v>
      </c>
      <c r="AL270">
        <v>18</v>
      </c>
      <c r="AM270" s="5">
        <f t="shared" si="26"/>
        <v>0.45</v>
      </c>
      <c r="AN270" s="6">
        <f>(AM270-'[1]1982'!$AO$4)/('[1]1982'!$AO$3-'[1]1982'!$AO$4)</f>
        <v>6.8156001514577808E-4</v>
      </c>
      <c r="AO270" s="7"/>
      <c r="AP270">
        <v>0</v>
      </c>
      <c r="AR270" t="s">
        <v>19</v>
      </c>
      <c r="AT270" s="3" t="s">
        <v>20</v>
      </c>
      <c r="AU270" s="8">
        <f t="shared" si="27"/>
        <v>3.1073905552927386</v>
      </c>
      <c r="AV270" s="8">
        <f t="shared" si="28"/>
        <v>2.2390378256418355</v>
      </c>
      <c r="AW270" s="8">
        <f t="shared" si="29"/>
        <v>1.3706850959909322</v>
      </c>
    </row>
    <row r="271" spans="1:49" x14ac:dyDescent="0.2">
      <c r="A271">
        <v>269</v>
      </c>
      <c r="B271" t="s">
        <v>2964</v>
      </c>
      <c r="C271" t="s">
        <v>2965</v>
      </c>
      <c r="F271" t="s">
        <v>2966</v>
      </c>
      <c r="G271" t="s">
        <v>4</v>
      </c>
      <c r="H271" t="s">
        <v>5</v>
      </c>
      <c r="I271" t="s">
        <v>2967</v>
      </c>
      <c r="J271">
        <v>60022774</v>
      </c>
      <c r="K271" t="s">
        <v>2968</v>
      </c>
      <c r="L271" t="s">
        <v>2969</v>
      </c>
      <c r="M271" t="s">
        <v>9</v>
      </c>
      <c r="N271">
        <v>1</v>
      </c>
      <c r="O271" t="s">
        <v>2970</v>
      </c>
      <c r="P271">
        <v>6506836342</v>
      </c>
      <c r="Q271">
        <v>60022774</v>
      </c>
      <c r="R271" s="1">
        <v>29952</v>
      </c>
      <c r="S271" s="2">
        <f t="shared" si="24"/>
        <v>1982</v>
      </c>
      <c r="T271" s="2">
        <v>1982</v>
      </c>
      <c r="U271" s="2">
        <f t="shared" si="25"/>
        <v>40</v>
      </c>
      <c r="V271" s="1">
        <v>30195</v>
      </c>
      <c r="W271" t="s">
        <v>2364</v>
      </c>
      <c r="X271" s="3">
        <v>2.383</v>
      </c>
      <c r="Y271" s="4">
        <f>(X271-'[1]1982'!$Z$4)/('[1]1982'!$Z$3-'[1]1982'!$Z$4)</f>
        <v>6.3612824003630442E-2</v>
      </c>
      <c r="AA271">
        <v>189219</v>
      </c>
      <c r="AB271">
        <v>17915</v>
      </c>
      <c r="AC271">
        <v>15582256</v>
      </c>
      <c r="AD271" t="s">
        <v>15</v>
      </c>
      <c r="AE271">
        <v>70</v>
      </c>
      <c r="AF271">
        <v>9</v>
      </c>
      <c r="AH271" t="s">
        <v>2971</v>
      </c>
      <c r="AI271" t="s">
        <v>2972</v>
      </c>
      <c r="AK271" t="s">
        <v>2973</v>
      </c>
      <c r="AL271">
        <v>2</v>
      </c>
      <c r="AM271" s="5">
        <f t="shared" si="26"/>
        <v>0.05</v>
      </c>
      <c r="AN271" s="6">
        <f>(AM271-'[1]1982'!$AO$4)/('[1]1982'!$AO$3-'[1]1982'!$AO$4)</f>
        <v>7.5728890571753133E-5</v>
      </c>
      <c r="AO271" s="7"/>
      <c r="AP271">
        <v>0</v>
      </c>
      <c r="AR271" t="s">
        <v>19</v>
      </c>
      <c r="AT271" s="3">
        <v>10.961</v>
      </c>
      <c r="AU271" s="8">
        <f t="shared" si="27"/>
        <v>4.4551695469712831</v>
      </c>
      <c r="AV271" s="8">
        <f t="shared" si="28"/>
        <v>3.1844276447101096</v>
      </c>
      <c r="AW271" s="8">
        <f t="shared" si="29"/>
        <v>1.913685742448936</v>
      </c>
    </row>
    <row r="272" spans="1:49" x14ac:dyDescent="0.2">
      <c r="A272">
        <v>270</v>
      </c>
      <c r="B272" t="s">
        <v>2974</v>
      </c>
      <c r="C272" t="s">
        <v>2975</v>
      </c>
      <c r="F272" t="s">
        <v>2976</v>
      </c>
      <c r="G272" t="s">
        <v>4</v>
      </c>
      <c r="H272" t="s">
        <v>5</v>
      </c>
      <c r="I272" t="s">
        <v>2977</v>
      </c>
      <c r="J272" t="s">
        <v>2978</v>
      </c>
      <c r="K272" t="s">
        <v>2979</v>
      </c>
      <c r="L272" t="s">
        <v>2980</v>
      </c>
      <c r="M272" t="s">
        <v>500</v>
      </c>
      <c r="N272">
        <v>2</v>
      </c>
      <c r="O272" t="s">
        <v>2981</v>
      </c>
      <c r="P272" t="s">
        <v>2982</v>
      </c>
      <c r="Q272" t="s">
        <v>2983</v>
      </c>
      <c r="R272" s="1">
        <v>29952</v>
      </c>
      <c r="S272" s="2">
        <f t="shared" si="24"/>
        <v>1982</v>
      </c>
      <c r="T272" s="2">
        <v>1982</v>
      </c>
      <c r="U272" s="2">
        <f t="shared" si="25"/>
        <v>40</v>
      </c>
      <c r="V272" s="1">
        <v>30195</v>
      </c>
      <c r="W272" t="s">
        <v>1117</v>
      </c>
      <c r="X272" s="3">
        <v>1.6519999999999999</v>
      </c>
      <c r="Y272" s="4">
        <f>(X272-'[1]1982'!$Z$4)/('[1]1982'!$Z$3-'[1]1982'!$Z$4)</f>
        <v>4.409919649769093E-2</v>
      </c>
      <c r="AA272" t="s">
        <v>1118</v>
      </c>
      <c r="AB272">
        <v>17337</v>
      </c>
      <c r="AC272">
        <v>15582221</v>
      </c>
      <c r="AD272" t="s">
        <v>15</v>
      </c>
      <c r="AE272">
        <v>30</v>
      </c>
      <c r="AF272">
        <v>5</v>
      </c>
      <c r="AH272" t="s">
        <v>2984</v>
      </c>
      <c r="AI272" t="s">
        <v>2985</v>
      </c>
      <c r="AK272" t="s">
        <v>2986</v>
      </c>
      <c r="AL272">
        <v>13</v>
      </c>
      <c r="AM272" s="5">
        <f t="shared" si="26"/>
        <v>0.32500000000000001</v>
      </c>
      <c r="AN272" s="6">
        <f>(AM272-'[1]1982'!$AO$4)/('[1]1982'!$AO$3-'[1]1982'!$AO$4)</f>
        <v>4.9223778871639533E-4</v>
      </c>
      <c r="AO272" s="7"/>
      <c r="AP272">
        <v>0</v>
      </c>
      <c r="AR272" t="s">
        <v>19</v>
      </c>
      <c r="AT272" s="3" t="s">
        <v>20</v>
      </c>
      <c r="AU272" s="8">
        <f t="shared" si="27"/>
        <v>3.101710888499857</v>
      </c>
      <c r="AV272" s="8">
        <f t="shared" si="28"/>
        <v>2.2295717143203664</v>
      </c>
      <c r="AW272" s="8">
        <f t="shared" si="29"/>
        <v>1.3574325401408756</v>
      </c>
    </row>
    <row r="273" spans="1:49" x14ac:dyDescent="0.2">
      <c r="A273">
        <v>271</v>
      </c>
      <c r="B273" t="s">
        <v>2987</v>
      </c>
      <c r="F273" t="s">
        <v>2988</v>
      </c>
      <c r="G273" t="s">
        <v>4</v>
      </c>
      <c r="H273" t="s">
        <v>5</v>
      </c>
      <c r="I273" t="s">
        <v>2989</v>
      </c>
      <c r="N273">
        <v>2</v>
      </c>
      <c r="O273" t="s">
        <v>2990</v>
      </c>
      <c r="P273" t="s">
        <v>2991</v>
      </c>
      <c r="Q273" t="s">
        <v>156</v>
      </c>
      <c r="R273" s="1">
        <v>29952</v>
      </c>
      <c r="S273" s="2">
        <f t="shared" si="24"/>
        <v>1982</v>
      </c>
      <c r="T273" s="2">
        <v>1982</v>
      </c>
      <c r="U273" s="2">
        <f t="shared" si="25"/>
        <v>40</v>
      </c>
      <c r="V273" s="1" t="s">
        <v>2992</v>
      </c>
      <c r="W273" t="s">
        <v>2993</v>
      </c>
      <c r="X273" s="3" t="s">
        <v>20</v>
      </c>
      <c r="Y273" s="4" t="e">
        <f>(X273-'[1]1982'!$Z$4)/('[1]1982'!$Z$3-'[1]1982'!$Z$4)</f>
        <v>#VALUE!</v>
      </c>
      <c r="AA273">
        <v>5631823</v>
      </c>
      <c r="AB273">
        <v>34811</v>
      </c>
      <c r="AD273" t="s">
        <v>15</v>
      </c>
      <c r="AE273">
        <v>15</v>
      </c>
      <c r="AF273">
        <v>3</v>
      </c>
      <c r="AH273" t="s">
        <v>2994</v>
      </c>
      <c r="AI273" t="s">
        <v>2995</v>
      </c>
      <c r="AK273" t="s">
        <v>2996</v>
      </c>
      <c r="AL273">
        <v>0</v>
      </c>
      <c r="AM273" s="5">
        <f t="shared" si="26"/>
        <v>0</v>
      </c>
      <c r="AN273" s="6">
        <f>(AM273-'[1]1982'!$AO$4)/('[1]1982'!$AO$3-'[1]1982'!$AO$4)</f>
        <v>0</v>
      </c>
      <c r="AO273" s="7"/>
      <c r="AP273">
        <v>0</v>
      </c>
      <c r="AR273" t="s">
        <v>19</v>
      </c>
      <c r="AT273" s="3" t="s">
        <v>20</v>
      </c>
      <c r="AU273" s="8" t="e">
        <f t="shared" si="27"/>
        <v>#VALUE!</v>
      </c>
      <c r="AV273" s="8" t="e">
        <f t="shared" si="28"/>
        <v>#VALUE!</v>
      </c>
      <c r="AW273" s="8" t="e">
        <f t="shared" si="29"/>
        <v>#VALUE!</v>
      </c>
    </row>
    <row r="274" spans="1:49" x14ac:dyDescent="0.2">
      <c r="A274">
        <v>272</v>
      </c>
      <c r="B274" t="s">
        <v>2997</v>
      </c>
      <c r="C274" t="s">
        <v>2998</v>
      </c>
      <c r="F274" t="s">
        <v>2999</v>
      </c>
      <c r="G274" t="s">
        <v>4</v>
      </c>
      <c r="H274" t="s">
        <v>5</v>
      </c>
      <c r="I274" t="s">
        <v>3000</v>
      </c>
      <c r="J274">
        <v>60077590</v>
      </c>
      <c r="K274" t="s">
        <v>3001</v>
      </c>
      <c r="L274" t="s">
        <v>3002</v>
      </c>
      <c r="M274" t="s">
        <v>9</v>
      </c>
      <c r="N274">
        <v>1</v>
      </c>
      <c r="O274" t="s">
        <v>3003</v>
      </c>
      <c r="P274">
        <v>26643168800</v>
      </c>
      <c r="Q274">
        <v>60077590</v>
      </c>
      <c r="R274" s="1">
        <v>29952</v>
      </c>
      <c r="S274" s="2">
        <f t="shared" si="24"/>
        <v>1982</v>
      </c>
      <c r="T274" s="2">
        <v>1982</v>
      </c>
      <c r="U274" s="2">
        <f t="shared" si="25"/>
        <v>40</v>
      </c>
      <c r="V274" s="1">
        <v>30195</v>
      </c>
      <c r="W274" t="s">
        <v>1117</v>
      </c>
      <c r="X274" s="3">
        <v>1.6519999999999999</v>
      </c>
      <c r="Y274" s="4">
        <f>(X274-'[1]1982'!$Z$4)/('[1]1982'!$Z$3-'[1]1982'!$Z$4)</f>
        <v>4.409919649769093E-2</v>
      </c>
      <c r="AA274" t="s">
        <v>1118</v>
      </c>
      <c r="AB274">
        <v>17337</v>
      </c>
      <c r="AC274">
        <v>15582221</v>
      </c>
      <c r="AD274" t="s">
        <v>15</v>
      </c>
      <c r="AE274">
        <v>30</v>
      </c>
      <c r="AF274">
        <v>5</v>
      </c>
      <c r="AH274" t="s">
        <v>3004</v>
      </c>
      <c r="AI274" t="s">
        <v>3005</v>
      </c>
      <c r="AK274" t="s">
        <v>3006</v>
      </c>
      <c r="AL274">
        <v>130</v>
      </c>
      <c r="AM274" s="5">
        <f t="shared" si="26"/>
        <v>3.25</v>
      </c>
      <c r="AN274" s="6">
        <f>(AM274-'[1]1982'!$AO$4)/('[1]1982'!$AO$3-'[1]1982'!$AO$4)</f>
        <v>4.9223778871639529E-3</v>
      </c>
      <c r="AO274" s="7"/>
      <c r="AP274">
        <v>0</v>
      </c>
      <c r="AR274" t="s">
        <v>19</v>
      </c>
      <c r="AT274" s="3" t="s">
        <v>20</v>
      </c>
      <c r="AU274" s="8">
        <f t="shared" si="27"/>
        <v>3.2346150914532834</v>
      </c>
      <c r="AV274" s="8">
        <f t="shared" si="28"/>
        <v>2.4510787192427443</v>
      </c>
      <c r="AW274" s="8">
        <f t="shared" si="29"/>
        <v>1.6675423470322044</v>
      </c>
    </row>
    <row r="275" spans="1:49" x14ac:dyDescent="0.2">
      <c r="A275">
        <v>273</v>
      </c>
      <c r="B275" t="s">
        <v>3007</v>
      </c>
      <c r="C275" t="s">
        <v>3008</v>
      </c>
      <c r="F275" t="s">
        <v>3009</v>
      </c>
      <c r="G275" t="s">
        <v>4</v>
      </c>
      <c r="H275" t="s">
        <v>5</v>
      </c>
      <c r="I275" t="s">
        <v>3010</v>
      </c>
      <c r="J275">
        <v>60000461</v>
      </c>
      <c r="K275" t="s">
        <v>3011</v>
      </c>
      <c r="L275" t="s">
        <v>3012</v>
      </c>
      <c r="M275" t="s">
        <v>9</v>
      </c>
      <c r="N275">
        <v>2</v>
      </c>
      <c r="O275" t="s">
        <v>3013</v>
      </c>
      <c r="P275" t="s">
        <v>3014</v>
      </c>
      <c r="Q275" t="s">
        <v>3015</v>
      </c>
      <c r="R275" s="1">
        <v>29952</v>
      </c>
      <c r="S275" s="2">
        <f t="shared" si="24"/>
        <v>1982</v>
      </c>
      <c r="T275" s="2">
        <v>1982</v>
      </c>
      <c r="U275" s="2">
        <f t="shared" si="25"/>
        <v>40</v>
      </c>
      <c r="V275" s="1">
        <v>30195</v>
      </c>
      <c r="W275" t="s">
        <v>1117</v>
      </c>
      <c r="X275" s="3">
        <v>1.6519999999999999</v>
      </c>
      <c r="Y275" s="4">
        <f>(X275-'[1]1982'!$Z$4)/('[1]1982'!$Z$3-'[1]1982'!$Z$4)</f>
        <v>4.409919649769093E-2</v>
      </c>
      <c r="AA275" t="s">
        <v>1118</v>
      </c>
      <c r="AB275">
        <v>17337</v>
      </c>
      <c r="AC275">
        <v>15582221</v>
      </c>
      <c r="AD275" t="s">
        <v>15</v>
      </c>
      <c r="AE275">
        <v>30</v>
      </c>
      <c r="AF275">
        <v>5</v>
      </c>
      <c r="AH275" t="s">
        <v>3016</v>
      </c>
      <c r="AI275" t="s">
        <v>3017</v>
      </c>
      <c r="AK275" t="s">
        <v>3018</v>
      </c>
      <c r="AL275">
        <v>25</v>
      </c>
      <c r="AM275" s="5">
        <f t="shared" si="26"/>
        <v>0.625</v>
      </c>
      <c r="AN275" s="6">
        <f>(AM275-'[1]1982'!$AO$4)/('[1]1982'!$AO$3-'[1]1982'!$AO$4)</f>
        <v>9.4661113214691405E-4</v>
      </c>
      <c r="AO275" s="7"/>
      <c r="AP275">
        <v>0</v>
      </c>
      <c r="AR275" t="s">
        <v>19</v>
      </c>
      <c r="AT275" s="3" t="s">
        <v>20</v>
      </c>
      <c r="AU275" s="8">
        <f t="shared" si="27"/>
        <v>3.1153420888027727</v>
      </c>
      <c r="AV275" s="8">
        <f t="shared" si="28"/>
        <v>2.2522903814918922</v>
      </c>
      <c r="AW275" s="8">
        <f t="shared" si="29"/>
        <v>1.3892386741810119</v>
      </c>
    </row>
    <row r="276" spans="1:49" x14ac:dyDescent="0.2">
      <c r="A276">
        <v>274</v>
      </c>
      <c r="B276" t="s">
        <v>3019</v>
      </c>
      <c r="C276" t="s">
        <v>3020</v>
      </c>
      <c r="F276" t="s">
        <v>3021</v>
      </c>
      <c r="G276" t="s">
        <v>4</v>
      </c>
      <c r="H276" t="s">
        <v>5</v>
      </c>
      <c r="I276" t="s">
        <v>3022</v>
      </c>
      <c r="J276">
        <v>60005248</v>
      </c>
      <c r="K276" t="s">
        <v>3023</v>
      </c>
      <c r="L276" t="s">
        <v>2948</v>
      </c>
      <c r="M276" t="s">
        <v>9</v>
      </c>
      <c r="N276">
        <v>2</v>
      </c>
      <c r="O276" t="s">
        <v>3024</v>
      </c>
      <c r="P276" t="s">
        <v>3025</v>
      </c>
      <c r="Q276" t="s">
        <v>3026</v>
      </c>
      <c r="R276" s="1">
        <v>29952</v>
      </c>
      <c r="S276" s="2">
        <f t="shared" si="24"/>
        <v>1982</v>
      </c>
      <c r="T276" s="2">
        <v>1982</v>
      </c>
      <c r="U276" s="2">
        <f t="shared" si="25"/>
        <v>40</v>
      </c>
      <c r="V276" s="1">
        <v>30195</v>
      </c>
      <c r="W276" t="s">
        <v>1117</v>
      </c>
      <c r="X276" s="3">
        <v>1.6519999999999999</v>
      </c>
      <c r="Y276" s="4">
        <f>(X276-'[1]1982'!$Z$4)/('[1]1982'!$Z$3-'[1]1982'!$Z$4)</f>
        <v>4.409919649769093E-2</v>
      </c>
      <c r="AA276" t="s">
        <v>1118</v>
      </c>
      <c r="AB276">
        <v>17337</v>
      </c>
      <c r="AC276">
        <v>15582221</v>
      </c>
      <c r="AD276" t="s">
        <v>15</v>
      </c>
      <c r="AE276">
        <v>30</v>
      </c>
      <c r="AF276">
        <v>5</v>
      </c>
      <c r="AH276" t="s">
        <v>3027</v>
      </c>
      <c r="AI276" t="s">
        <v>3028</v>
      </c>
      <c r="AK276" t="s">
        <v>3029</v>
      </c>
      <c r="AL276">
        <v>1</v>
      </c>
      <c r="AM276" s="5">
        <f t="shared" si="26"/>
        <v>2.5000000000000001E-2</v>
      </c>
      <c r="AN276" s="6">
        <f>(AM276-'[1]1982'!$AO$4)/('[1]1982'!$AO$3-'[1]1982'!$AO$4)</f>
        <v>3.7864445285876567E-5</v>
      </c>
      <c r="AO276" s="7"/>
      <c r="AP276">
        <v>0</v>
      </c>
      <c r="AR276" t="s">
        <v>19</v>
      </c>
      <c r="AT276" s="3" t="s">
        <v>20</v>
      </c>
      <c r="AU276" s="8">
        <f t="shared" si="27"/>
        <v>3.0880796881969412</v>
      </c>
      <c r="AV276" s="8">
        <f t="shared" si="28"/>
        <v>2.2068530471488401</v>
      </c>
      <c r="AW276" s="8">
        <f t="shared" si="29"/>
        <v>1.3256264061007392</v>
      </c>
    </row>
    <row r="277" spans="1:49" x14ac:dyDescent="0.2">
      <c r="A277">
        <v>275</v>
      </c>
      <c r="B277" t="s">
        <v>3030</v>
      </c>
      <c r="C277" t="s">
        <v>3031</v>
      </c>
      <c r="F277" t="s">
        <v>3032</v>
      </c>
      <c r="G277" t="s">
        <v>4</v>
      </c>
      <c r="H277" t="s">
        <v>5</v>
      </c>
      <c r="I277" t="s">
        <v>3033</v>
      </c>
      <c r="J277">
        <v>60002798</v>
      </c>
      <c r="K277" t="s">
        <v>3034</v>
      </c>
      <c r="L277" t="s">
        <v>3035</v>
      </c>
      <c r="M277" t="s">
        <v>3035</v>
      </c>
      <c r="N277">
        <v>3</v>
      </c>
      <c r="O277" t="s">
        <v>3036</v>
      </c>
      <c r="P277" t="s">
        <v>3037</v>
      </c>
      <c r="Q277" t="s">
        <v>3038</v>
      </c>
      <c r="R277" s="1">
        <v>29952</v>
      </c>
      <c r="S277" s="2">
        <f t="shared" si="24"/>
        <v>1982</v>
      </c>
      <c r="T277" s="2">
        <v>1982</v>
      </c>
      <c r="U277" s="2">
        <f t="shared" si="25"/>
        <v>40</v>
      </c>
      <c r="V277" s="1">
        <v>30195</v>
      </c>
      <c r="W277" t="s">
        <v>1117</v>
      </c>
      <c r="X277" s="3">
        <v>1.6519999999999999</v>
      </c>
      <c r="Y277" s="4">
        <f>(X277-'[1]1982'!$Z$4)/('[1]1982'!$Z$3-'[1]1982'!$Z$4)</f>
        <v>4.409919649769093E-2</v>
      </c>
      <c r="AA277" t="s">
        <v>1118</v>
      </c>
      <c r="AB277">
        <v>17337</v>
      </c>
      <c r="AC277">
        <v>15582221</v>
      </c>
      <c r="AD277" t="s">
        <v>15</v>
      </c>
      <c r="AE277">
        <v>30</v>
      </c>
      <c r="AF277">
        <v>5</v>
      </c>
      <c r="AH277" t="s">
        <v>3039</v>
      </c>
      <c r="AI277" t="s">
        <v>3040</v>
      </c>
      <c r="AK277" t="s">
        <v>3041</v>
      </c>
      <c r="AL277">
        <v>4</v>
      </c>
      <c r="AM277" s="5">
        <f t="shared" si="26"/>
        <v>0.1</v>
      </c>
      <c r="AN277" s="6">
        <f>(AM277-'[1]1982'!$AO$4)/('[1]1982'!$AO$3-'[1]1982'!$AO$4)</f>
        <v>1.5145778114350627E-4</v>
      </c>
      <c r="AO277" s="7"/>
      <c r="AP277">
        <v>0</v>
      </c>
      <c r="AR277" t="s">
        <v>19</v>
      </c>
      <c r="AT277" s="3" t="s">
        <v>20</v>
      </c>
      <c r="AU277" s="8">
        <f t="shared" si="27"/>
        <v>3.0914874882726702</v>
      </c>
      <c r="AV277" s="8">
        <f t="shared" si="28"/>
        <v>2.2125327139417217</v>
      </c>
      <c r="AW277" s="8">
        <f t="shared" si="29"/>
        <v>1.3335779396107732</v>
      </c>
    </row>
    <row r="278" spans="1:49" x14ac:dyDescent="0.2">
      <c r="A278">
        <v>276</v>
      </c>
      <c r="B278" t="s">
        <v>3042</v>
      </c>
      <c r="C278" t="s">
        <v>3043</v>
      </c>
      <c r="F278" t="s">
        <v>3044</v>
      </c>
      <c r="G278" t="s">
        <v>4</v>
      </c>
      <c r="H278" t="s">
        <v>5</v>
      </c>
      <c r="I278" t="s">
        <v>3045</v>
      </c>
      <c r="J278" t="s">
        <v>3046</v>
      </c>
      <c r="K278" t="s">
        <v>3047</v>
      </c>
      <c r="L278" t="s">
        <v>3048</v>
      </c>
      <c r="M278" t="s">
        <v>3049</v>
      </c>
      <c r="N278">
        <v>3</v>
      </c>
      <c r="O278" t="s">
        <v>3050</v>
      </c>
      <c r="P278" t="s">
        <v>3051</v>
      </c>
      <c r="Q278" t="s">
        <v>3052</v>
      </c>
      <c r="R278" s="1">
        <v>29952</v>
      </c>
      <c r="S278" s="2">
        <f t="shared" si="24"/>
        <v>1982</v>
      </c>
      <c r="T278" s="2">
        <v>1982</v>
      </c>
      <c r="U278" s="2">
        <f t="shared" si="25"/>
        <v>40</v>
      </c>
      <c r="V278" s="1">
        <v>30195</v>
      </c>
      <c r="W278" t="s">
        <v>2069</v>
      </c>
      <c r="X278" s="3">
        <v>0.78200000000000003</v>
      </c>
      <c r="Y278" s="4">
        <f>(X278-'[1]1982'!$Z$4)/('[1]1982'!$Z$3-'[1]1982'!$Z$4)</f>
        <v>2.0875043378446919E-2</v>
      </c>
      <c r="AA278">
        <v>189316</v>
      </c>
      <c r="AB278">
        <v>19901</v>
      </c>
      <c r="AC278">
        <v>15579611</v>
      </c>
      <c r="AD278" t="s">
        <v>15</v>
      </c>
      <c r="AE278" t="s">
        <v>2070</v>
      </c>
      <c r="AF278">
        <v>3</v>
      </c>
      <c r="AH278" t="s">
        <v>3053</v>
      </c>
      <c r="AI278" t="s">
        <v>3054</v>
      </c>
      <c r="AK278" t="s">
        <v>3055</v>
      </c>
      <c r="AL278">
        <v>19</v>
      </c>
      <c r="AM278" s="5">
        <f t="shared" si="26"/>
        <v>0.47499999999999998</v>
      </c>
      <c r="AN278" s="6">
        <f>(AM278-'[1]1982'!$AO$4)/('[1]1982'!$AO$3-'[1]1982'!$AO$4)</f>
        <v>7.1942446043165469E-4</v>
      </c>
      <c r="AO278" s="7"/>
      <c r="AP278">
        <v>0</v>
      </c>
      <c r="AR278" t="s">
        <v>19</v>
      </c>
      <c r="AT278" s="3">
        <v>3.863</v>
      </c>
      <c r="AU278" s="8">
        <f t="shared" si="27"/>
        <v>1.4828357703042339</v>
      </c>
      <c r="AV278" s="8">
        <f t="shared" si="28"/>
        <v>1.0797233919439286</v>
      </c>
      <c r="AW278" s="8">
        <f t="shared" si="29"/>
        <v>0.67661101358362341</v>
      </c>
    </row>
    <row r="279" spans="1:49" x14ac:dyDescent="0.2">
      <c r="A279">
        <v>277</v>
      </c>
      <c r="B279" t="s">
        <v>3056</v>
      </c>
      <c r="C279" t="s">
        <v>3057</v>
      </c>
      <c r="F279" t="s">
        <v>3058</v>
      </c>
      <c r="G279" t="s">
        <v>4</v>
      </c>
      <c r="H279" t="s">
        <v>5</v>
      </c>
      <c r="I279" t="s">
        <v>3059</v>
      </c>
      <c r="J279" t="s">
        <v>3060</v>
      </c>
      <c r="K279" t="s">
        <v>3061</v>
      </c>
      <c r="L279" t="s">
        <v>3062</v>
      </c>
      <c r="M279" t="s">
        <v>1556</v>
      </c>
      <c r="N279">
        <v>2</v>
      </c>
      <c r="O279" t="s">
        <v>3063</v>
      </c>
      <c r="P279" t="s">
        <v>3064</v>
      </c>
      <c r="Q279" t="s">
        <v>3065</v>
      </c>
      <c r="R279" s="1">
        <v>29952</v>
      </c>
      <c r="S279" s="2">
        <f t="shared" si="24"/>
        <v>1982</v>
      </c>
      <c r="T279" s="2">
        <v>1982</v>
      </c>
      <c r="U279" s="2">
        <f t="shared" si="25"/>
        <v>40</v>
      </c>
      <c r="V279" s="1">
        <v>30195</v>
      </c>
      <c r="W279" t="s">
        <v>1967</v>
      </c>
      <c r="X279" s="3">
        <v>0.82</v>
      </c>
      <c r="Y279" s="4">
        <f>(X279-'[1]1982'!$Z$4)/('[1]1982'!$Z$3-'[1]1982'!$Z$4)</f>
        <v>2.1889431675609299E-2</v>
      </c>
      <c r="AA279">
        <v>189456</v>
      </c>
      <c r="AB279">
        <v>15361</v>
      </c>
      <c r="AC279">
        <v>15579662</v>
      </c>
      <c r="AD279" t="s">
        <v>15</v>
      </c>
      <c r="AE279" t="s">
        <v>1968</v>
      </c>
      <c r="AF279">
        <v>3</v>
      </c>
      <c r="AH279" t="s">
        <v>3066</v>
      </c>
      <c r="AI279" t="s">
        <v>3067</v>
      </c>
      <c r="AK279" t="s">
        <v>3068</v>
      </c>
      <c r="AL279">
        <v>9</v>
      </c>
      <c r="AM279" s="5">
        <f t="shared" si="26"/>
        <v>0.22500000000000001</v>
      </c>
      <c r="AN279" s="6">
        <f>(AM279-'[1]1982'!$AO$4)/('[1]1982'!$AO$3-'[1]1982'!$AO$4)</f>
        <v>3.4078000757288904E-4</v>
      </c>
      <c r="AO279" s="7"/>
      <c r="AP279">
        <v>0</v>
      </c>
      <c r="AR279" t="s">
        <v>19</v>
      </c>
      <c r="AT279" s="3" t="s">
        <v>20</v>
      </c>
      <c r="AU279" s="8">
        <f t="shared" si="27"/>
        <v>1.5424836175198373</v>
      </c>
      <c r="AV279" s="8">
        <f t="shared" si="28"/>
        <v>1.1115105841591093</v>
      </c>
      <c r="AW279" s="8">
        <f t="shared" si="29"/>
        <v>0.68053755079838119</v>
      </c>
    </row>
    <row r="280" spans="1:49" x14ac:dyDescent="0.2">
      <c r="A280">
        <v>278</v>
      </c>
      <c r="B280" t="s">
        <v>3069</v>
      </c>
      <c r="C280" t="s">
        <v>3070</v>
      </c>
      <c r="F280" t="s">
        <v>3071</v>
      </c>
      <c r="G280" t="s">
        <v>4</v>
      </c>
      <c r="H280" t="s">
        <v>5</v>
      </c>
      <c r="I280" t="s">
        <v>3072</v>
      </c>
      <c r="J280" t="s">
        <v>3073</v>
      </c>
      <c r="K280" t="s">
        <v>3074</v>
      </c>
      <c r="L280" t="s">
        <v>3075</v>
      </c>
      <c r="M280" t="s">
        <v>1076</v>
      </c>
      <c r="N280">
        <v>1</v>
      </c>
      <c r="O280" t="s">
        <v>3076</v>
      </c>
      <c r="P280">
        <v>7004054763</v>
      </c>
      <c r="Q280" t="s">
        <v>3077</v>
      </c>
      <c r="R280" s="1">
        <v>29952</v>
      </c>
      <c r="S280" s="2">
        <f t="shared" si="24"/>
        <v>1982</v>
      </c>
      <c r="T280" s="2">
        <v>1982</v>
      </c>
      <c r="U280" s="2">
        <f t="shared" si="25"/>
        <v>40</v>
      </c>
      <c r="V280" s="1">
        <v>30195</v>
      </c>
      <c r="W280" t="s">
        <v>1117</v>
      </c>
      <c r="X280" s="3">
        <v>1.6519999999999999</v>
      </c>
      <c r="Y280" s="4">
        <f>(X280-'[1]1982'!$Z$4)/('[1]1982'!$Z$3-'[1]1982'!$Z$4)</f>
        <v>4.409919649769093E-2</v>
      </c>
      <c r="AA280" t="s">
        <v>1118</v>
      </c>
      <c r="AB280">
        <v>17337</v>
      </c>
      <c r="AC280">
        <v>15582221</v>
      </c>
      <c r="AD280" t="s">
        <v>15</v>
      </c>
      <c r="AE280">
        <v>30</v>
      </c>
      <c r="AF280">
        <v>5</v>
      </c>
      <c r="AH280" t="s">
        <v>3078</v>
      </c>
      <c r="AI280" t="s">
        <v>3079</v>
      </c>
      <c r="AK280" t="s">
        <v>3080</v>
      </c>
      <c r="AL280">
        <v>31</v>
      </c>
      <c r="AM280" s="5">
        <f t="shared" si="26"/>
        <v>0.77500000000000002</v>
      </c>
      <c r="AN280" s="6">
        <f>(AM280-'[1]1982'!$AO$4)/('[1]1982'!$AO$3-'[1]1982'!$AO$4)</f>
        <v>1.1737978038621735E-3</v>
      </c>
      <c r="AO280" s="7"/>
      <c r="AP280">
        <v>0</v>
      </c>
      <c r="AR280" t="s">
        <v>19</v>
      </c>
      <c r="AT280" s="3" t="s">
        <v>20</v>
      </c>
      <c r="AU280" s="8">
        <f t="shared" si="27"/>
        <v>3.1221576889542302</v>
      </c>
      <c r="AV280" s="8">
        <f t="shared" si="28"/>
        <v>2.2636497150776553</v>
      </c>
      <c r="AW280" s="8">
        <f t="shared" si="29"/>
        <v>1.4051417412010798</v>
      </c>
    </row>
    <row r="281" spans="1:49" x14ac:dyDescent="0.2">
      <c r="A281">
        <v>279</v>
      </c>
      <c r="B281" t="s">
        <v>3081</v>
      </c>
      <c r="C281" t="s">
        <v>3082</v>
      </c>
      <c r="F281" t="s">
        <v>3083</v>
      </c>
      <c r="G281" t="s">
        <v>4</v>
      </c>
      <c r="H281" t="s">
        <v>5</v>
      </c>
      <c r="I281" t="s">
        <v>3084</v>
      </c>
      <c r="J281">
        <v>60076690</v>
      </c>
      <c r="K281" t="s">
        <v>2349</v>
      </c>
      <c r="L281" t="s">
        <v>2350</v>
      </c>
      <c r="M281" t="s">
        <v>9</v>
      </c>
      <c r="N281">
        <v>1</v>
      </c>
      <c r="O281" t="s">
        <v>3085</v>
      </c>
      <c r="P281">
        <v>7202500636</v>
      </c>
      <c r="Q281">
        <v>60076690</v>
      </c>
      <c r="R281" s="1">
        <v>29952</v>
      </c>
      <c r="S281" s="2">
        <f t="shared" si="24"/>
        <v>1982</v>
      </c>
      <c r="T281" s="2">
        <v>1982</v>
      </c>
      <c r="U281" s="2">
        <f t="shared" si="25"/>
        <v>40</v>
      </c>
      <c r="V281" s="1">
        <v>30195</v>
      </c>
      <c r="W281" t="s">
        <v>1117</v>
      </c>
      <c r="X281" s="3">
        <v>1.6519999999999999</v>
      </c>
      <c r="Y281" s="4">
        <f>(X281-'[1]1982'!$Z$4)/('[1]1982'!$Z$3-'[1]1982'!$Z$4)</f>
        <v>4.409919649769093E-2</v>
      </c>
      <c r="AA281" t="s">
        <v>1118</v>
      </c>
      <c r="AB281">
        <v>17337</v>
      </c>
      <c r="AC281">
        <v>15582221</v>
      </c>
      <c r="AD281" t="s">
        <v>15</v>
      </c>
      <c r="AE281">
        <v>30</v>
      </c>
      <c r="AF281">
        <v>5</v>
      </c>
      <c r="AH281" t="s">
        <v>3086</v>
      </c>
      <c r="AI281" t="s">
        <v>3087</v>
      </c>
      <c r="AK281" t="s">
        <v>3088</v>
      </c>
      <c r="AL281">
        <v>23</v>
      </c>
      <c r="AM281" s="5">
        <f t="shared" si="26"/>
        <v>0.57499999999999996</v>
      </c>
      <c r="AN281" s="6">
        <f>(AM281-'[1]1982'!$AO$4)/('[1]1982'!$AO$3-'[1]1982'!$AO$4)</f>
        <v>8.7088224157516082E-4</v>
      </c>
      <c r="AO281" s="7"/>
      <c r="AP281">
        <v>0</v>
      </c>
      <c r="AR281" t="s">
        <v>19</v>
      </c>
      <c r="AT281" s="3" t="s">
        <v>20</v>
      </c>
      <c r="AU281" s="8">
        <f t="shared" si="27"/>
        <v>3.1130702220856197</v>
      </c>
      <c r="AV281" s="8">
        <f t="shared" si="28"/>
        <v>2.2485039369633046</v>
      </c>
      <c r="AW281" s="8">
        <f t="shared" si="29"/>
        <v>1.3839376518409889</v>
      </c>
    </row>
    <row r="282" spans="1:49" x14ac:dyDescent="0.2">
      <c r="A282">
        <v>280</v>
      </c>
      <c r="B282" t="s">
        <v>3089</v>
      </c>
      <c r="C282" t="s">
        <v>3090</v>
      </c>
      <c r="F282" t="s">
        <v>3091</v>
      </c>
      <c r="G282" t="s">
        <v>4</v>
      </c>
      <c r="H282" t="s">
        <v>5</v>
      </c>
      <c r="I282" t="s">
        <v>3092</v>
      </c>
      <c r="J282" t="s">
        <v>3093</v>
      </c>
      <c r="K282" t="s">
        <v>3094</v>
      </c>
      <c r="L282" t="s">
        <v>3095</v>
      </c>
      <c r="M282" t="s">
        <v>218</v>
      </c>
      <c r="N282">
        <v>1</v>
      </c>
      <c r="O282" t="s">
        <v>3096</v>
      </c>
      <c r="P282">
        <v>35551318200</v>
      </c>
      <c r="Q282" t="s">
        <v>3097</v>
      </c>
      <c r="R282" s="1">
        <v>29952</v>
      </c>
      <c r="S282" s="2">
        <f t="shared" si="24"/>
        <v>1982</v>
      </c>
      <c r="T282" s="2">
        <v>1982</v>
      </c>
      <c r="U282" s="2">
        <f t="shared" si="25"/>
        <v>40</v>
      </c>
      <c r="V282" s="1">
        <v>30195</v>
      </c>
      <c r="W282" t="s">
        <v>1117</v>
      </c>
      <c r="X282" s="3">
        <v>1.6519999999999999</v>
      </c>
      <c r="Y282" s="4">
        <f>(X282-'[1]1982'!$Z$4)/('[1]1982'!$Z$3-'[1]1982'!$Z$4)</f>
        <v>4.409919649769093E-2</v>
      </c>
      <c r="AA282" t="s">
        <v>1118</v>
      </c>
      <c r="AB282">
        <v>17337</v>
      </c>
      <c r="AC282">
        <v>15582221</v>
      </c>
      <c r="AD282" t="s">
        <v>15</v>
      </c>
      <c r="AE282">
        <v>30</v>
      </c>
      <c r="AF282">
        <v>5</v>
      </c>
      <c r="AH282" t="s">
        <v>3098</v>
      </c>
      <c r="AI282" t="s">
        <v>3099</v>
      </c>
      <c r="AK282" t="s">
        <v>3100</v>
      </c>
      <c r="AL282">
        <v>5</v>
      </c>
      <c r="AM282" s="5">
        <f t="shared" si="26"/>
        <v>0.125</v>
      </c>
      <c r="AN282" s="6">
        <f>(AM282-'[1]1982'!$AO$4)/('[1]1982'!$AO$3-'[1]1982'!$AO$4)</f>
        <v>1.893222264293828E-4</v>
      </c>
      <c r="AO282" s="7"/>
      <c r="AP282">
        <v>0</v>
      </c>
      <c r="AR282" t="s">
        <v>19</v>
      </c>
      <c r="AT282" s="3" t="s">
        <v>20</v>
      </c>
      <c r="AU282" s="8">
        <f t="shared" si="27"/>
        <v>3.0926234216312465</v>
      </c>
      <c r="AV282" s="8">
        <f t="shared" si="28"/>
        <v>2.2144259362060157</v>
      </c>
      <c r="AW282" s="8">
        <f t="shared" si="29"/>
        <v>1.3362284507807847</v>
      </c>
    </row>
    <row r="283" spans="1:49" x14ac:dyDescent="0.2">
      <c r="A283">
        <v>281</v>
      </c>
      <c r="B283" t="s">
        <v>3101</v>
      </c>
      <c r="C283" t="s">
        <v>3102</v>
      </c>
      <c r="F283" t="s">
        <v>3103</v>
      </c>
      <c r="G283" t="s">
        <v>4</v>
      </c>
      <c r="H283" t="s">
        <v>5</v>
      </c>
      <c r="I283" t="s">
        <v>3104</v>
      </c>
      <c r="J283">
        <v>60005304</v>
      </c>
      <c r="K283" t="s">
        <v>1138</v>
      </c>
      <c r="L283" t="s">
        <v>1139</v>
      </c>
      <c r="M283" t="s">
        <v>9</v>
      </c>
      <c r="N283">
        <v>1</v>
      </c>
      <c r="O283" t="s">
        <v>3105</v>
      </c>
      <c r="P283">
        <v>7202992859</v>
      </c>
      <c r="Q283">
        <v>60005304</v>
      </c>
      <c r="R283" s="1">
        <v>29952</v>
      </c>
      <c r="S283" s="2">
        <f t="shared" si="24"/>
        <v>1982</v>
      </c>
      <c r="T283" s="2">
        <v>1982</v>
      </c>
      <c r="U283" s="2">
        <f t="shared" si="25"/>
        <v>40</v>
      </c>
      <c r="V283" s="1">
        <v>30195</v>
      </c>
      <c r="W283" t="s">
        <v>1117</v>
      </c>
      <c r="X283" s="3">
        <v>1.6519999999999999</v>
      </c>
      <c r="Y283" s="4">
        <f>(X283-'[1]1982'!$Z$4)/('[1]1982'!$Z$3-'[1]1982'!$Z$4)</f>
        <v>4.409919649769093E-2</v>
      </c>
      <c r="AA283" t="s">
        <v>1118</v>
      </c>
      <c r="AB283">
        <v>17337</v>
      </c>
      <c r="AC283">
        <v>15582221</v>
      </c>
      <c r="AD283" t="s">
        <v>15</v>
      </c>
      <c r="AE283">
        <v>30</v>
      </c>
      <c r="AF283">
        <v>5</v>
      </c>
      <c r="AH283" t="s">
        <v>3106</v>
      </c>
      <c r="AI283" t="s">
        <v>3107</v>
      </c>
      <c r="AK283" t="s">
        <v>3108</v>
      </c>
      <c r="AL283">
        <v>0</v>
      </c>
      <c r="AM283" s="5">
        <f t="shared" si="26"/>
        <v>0</v>
      </c>
      <c r="AN283" s="6">
        <f>(AM283-'[1]1982'!$AO$4)/('[1]1982'!$AO$3-'[1]1982'!$AO$4)</f>
        <v>0</v>
      </c>
      <c r="AO283" s="7"/>
      <c r="AP283">
        <v>0</v>
      </c>
      <c r="AR283" t="s">
        <v>19</v>
      </c>
      <c r="AT283" s="3" t="s">
        <v>20</v>
      </c>
      <c r="AU283" s="8">
        <f t="shared" si="27"/>
        <v>3.0869437548383649</v>
      </c>
      <c r="AV283" s="8">
        <f t="shared" si="28"/>
        <v>2.2049598248845466</v>
      </c>
      <c r="AW283" s="8">
        <f t="shared" si="29"/>
        <v>1.3229758949307278</v>
      </c>
    </row>
    <row r="284" spans="1:49" x14ac:dyDescent="0.2">
      <c r="A284">
        <v>282</v>
      </c>
      <c r="B284" t="s">
        <v>3109</v>
      </c>
      <c r="C284" t="s">
        <v>3110</v>
      </c>
      <c r="F284" t="s">
        <v>3111</v>
      </c>
      <c r="G284" t="s">
        <v>4</v>
      </c>
      <c r="H284" t="s">
        <v>5</v>
      </c>
      <c r="I284" t="s">
        <v>3112</v>
      </c>
      <c r="J284" t="s">
        <v>3113</v>
      </c>
      <c r="K284" t="s">
        <v>3114</v>
      </c>
      <c r="L284" t="s">
        <v>3115</v>
      </c>
      <c r="M284" t="s">
        <v>366</v>
      </c>
      <c r="N284">
        <v>1</v>
      </c>
      <c r="O284" t="s">
        <v>3116</v>
      </c>
      <c r="P284">
        <v>35753097600</v>
      </c>
      <c r="Q284" t="s">
        <v>3117</v>
      </c>
      <c r="R284" s="1">
        <v>29952</v>
      </c>
      <c r="S284" s="2">
        <f t="shared" si="24"/>
        <v>1982</v>
      </c>
      <c r="T284" s="2">
        <v>1982</v>
      </c>
      <c r="U284" s="2">
        <f t="shared" si="25"/>
        <v>40</v>
      </c>
      <c r="V284" s="1">
        <v>30195</v>
      </c>
      <c r="W284" t="s">
        <v>1117</v>
      </c>
      <c r="X284" s="3">
        <v>1.6519999999999999</v>
      </c>
      <c r="Y284" s="4">
        <f>(X284-'[1]1982'!$Z$4)/('[1]1982'!$Z$3-'[1]1982'!$Z$4)</f>
        <v>4.409919649769093E-2</v>
      </c>
      <c r="AA284" t="s">
        <v>1118</v>
      </c>
      <c r="AB284">
        <v>17337</v>
      </c>
      <c r="AC284">
        <v>15582221</v>
      </c>
      <c r="AD284" t="s">
        <v>15</v>
      </c>
      <c r="AE284">
        <v>30</v>
      </c>
      <c r="AF284">
        <v>5</v>
      </c>
      <c r="AH284" t="s">
        <v>3118</v>
      </c>
      <c r="AI284" t="s">
        <v>3119</v>
      </c>
      <c r="AK284" t="s">
        <v>3120</v>
      </c>
      <c r="AL284">
        <v>54</v>
      </c>
      <c r="AM284" s="5">
        <f t="shared" si="26"/>
        <v>1.35</v>
      </c>
      <c r="AN284" s="6">
        <f>(AM284-'[1]1982'!$AO$4)/('[1]1982'!$AO$3-'[1]1982'!$AO$4)</f>
        <v>2.0446800454373346E-3</v>
      </c>
      <c r="AO284" s="7"/>
      <c r="AP284">
        <v>0</v>
      </c>
      <c r="AR284" t="s">
        <v>19</v>
      </c>
      <c r="AT284" s="3" t="s">
        <v>20</v>
      </c>
      <c r="AU284" s="8">
        <f t="shared" si="27"/>
        <v>3.1482841562014849</v>
      </c>
      <c r="AV284" s="8">
        <f t="shared" si="28"/>
        <v>2.3071938271564134</v>
      </c>
      <c r="AW284" s="8">
        <f t="shared" si="29"/>
        <v>1.4661034981113412</v>
      </c>
    </row>
    <row r="285" spans="1:49" x14ac:dyDescent="0.2">
      <c r="A285">
        <v>283</v>
      </c>
      <c r="B285" t="s">
        <v>3121</v>
      </c>
      <c r="C285" t="s">
        <v>3122</v>
      </c>
      <c r="F285" t="s">
        <v>3123</v>
      </c>
      <c r="G285" t="s">
        <v>4</v>
      </c>
      <c r="H285" t="s">
        <v>5</v>
      </c>
      <c r="I285" t="s">
        <v>3124</v>
      </c>
      <c r="J285">
        <v>60005304</v>
      </c>
      <c r="K285" t="s">
        <v>1138</v>
      </c>
      <c r="L285" t="s">
        <v>1139</v>
      </c>
      <c r="M285" t="s">
        <v>9</v>
      </c>
      <c r="N285">
        <v>1</v>
      </c>
      <c r="O285" t="s">
        <v>3125</v>
      </c>
      <c r="P285">
        <v>7102018138</v>
      </c>
      <c r="Q285">
        <v>60005304</v>
      </c>
      <c r="R285" s="1">
        <v>29952</v>
      </c>
      <c r="S285" s="2">
        <f t="shared" si="24"/>
        <v>1982</v>
      </c>
      <c r="T285" s="2">
        <v>1982</v>
      </c>
      <c r="U285" s="2">
        <f t="shared" si="25"/>
        <v>40</v>
      </c>
      <c r="V285" s="1">
        <v>30195</v>
      </c>
      <c r="W285" t="s">
        <v>1117</v>
      </c>
      <c r="X285" s="3">
        <v>1.6519999999999999</v>
      </c>
      <c r="Y285" s="4">
        <f>(X285-'[1]1982'!$Z$4)/('[1]1982'!$Z$3-'[1]1982'!$Z$4)</f>
        <v>4.409919649769093E-2</v>
      </c>
      <c r="AA285" t="s">
        <v>1118</v>
      </c>
      <c r="AB285">
        <v>17337</v>
      </c>
      <c r="AC285">
        <v>15582221</v>
      </c>
      <c r="AD285" t="s">
        <v>15</v>
      </c>
      <c r="AE285">
        <v>30</v>
      </c>
      <c r="AF285">
        <v>5</v>
      </c>
      <c r="AH285" t="s">
        <v>3126</v>
      </c>
      <c r="AI285" t="s">
        <v>3127</v>
      </c>
      <c r="AK285" t="s">
        <v>3128</v>
      </c>
      <c r="AL285">
        <v>1</v>
      </c>
      <c r="AM285" s="5">
        <f t="shared" si="26"/>
        <v>2.5000000000000001E-2</v>
      </c>
      <c r="AN285" s="6">
        <f>(AM285-'[1]1982'!$AO$4)/('[1]1982'!$AO$3-'[1]1982'!$AO$4)</f>
        <v>3.7864445285876567E-5</v>
      </c>
      <c r="AO285" s="7"/>
      <c r="AP285">
        <v>0</v>
      </c>
      <c r="AR285" t="s">
        <v>19</v>
      </c>
      <c r="AT285" s="3" t="s">
        <v>20</v>
      </c>
      <c r="AU285" s="8">
        <f t="shared" si="27"/>
        <v>3.0880796881969412</v>
      </c>
      <c r="AV285" s="8">
        <f t="shared" si="28"/>
        <v>2.2068530471488401</v>
      </c>
      <c r="AW285" s="8">
        <f t="shared" si="29"/>
        <v>1.3256264061007392</v>
      </c>
    </row>
    <row r="286" spans="1:49" x14ac:dyDescent="0.2">
      <c r="A286">
        <v>284</v>
      </c>
      <c r="B286" t="s">
        <v>3129</v>
      </c>
      <c r="C286" t="s">
        <v>3130</v>
      </c>
      <c r="F286" t="s">
        <v>3131</v>
      </c>
      <c r="G286" t="s">
        <v>4</v>
      </c>
      <c r="H286" t="s">
        <v>5</v>
      </c>
      <c r="I286" t="s">
        <v>3132</v>
      </c>
      <c r="J286">
        <v>60004750</v>
      </c>
      <c r="K286" t="s">
        <v>3133</v>
      </c>
      <c r="L286" t="s">
        <v>3134</v>
      </c>
      <c r="M286" t="s">
        <v>640</v>
      </c>
      <c r="N286">
        <v>2</v>
      </c>
      <c r="O286" t="s">
        <v>3135</v>
      </c>
      <c r="P286" t="s">
        <v>3136</v>
      </c>
      <c r="Q286" t="s">
        <v>3137</v>
      </c>
      <c r="R286" s="1">
        <v>29952</v>
      </c>
      <c r="S286" s="2">
        <f t="shared" si="24"/>
        <v>1982</v>
      </c>
      <c r="T286" s="2">
        <v>1982</v>
      </c>
      <c r="U286" s="2">
        <f t="shared" si="25"/>
        <v>40</v>
      </c>
      <c r="V286" s="1">
        <v>30195</v>
      </c>
      <c r="W286" t="s">
        <v>1117</v>
      </c>
      <c r="X286" s="3">
        <v>1.6519999999999999</v>
      </c>
      <c r="Y286" s="4">
        <f>(X286-'[1]1982'!$Z$4)/('[1]1982'!$Z$3-'[1]1982'!$Z$4)</f>
        <v>4.409919649769093E-2</v>
      </c>
      <c r="AA286" t="s">
        <v>1118</v>
      </c>
      <c r="AB286">
        <v>17337</v>
      </c>
      <c r="AC286">
        <v>15582221</v>
      </c>
      <c r="AD286" t="s">
        <v>15</v>
      </c>
      <c r="AE286">
        <v>30</v>
      </c>
      <c r="AF286">
        <v>5</v>
      </c>
      <c r="AH286" t="s">
        <v>3138</v>
      </c>
      <c r="AI286" t="s">
        <v>3139</v>
      </c>
      <c r="AK286" t="s">
        <v>3140</v>
      </c>
      <c r="AL286">
        <v>68</v>
      </c>
      <c r="AM286" s="5">
        <f t="shared" si="26"/>
        <v>1.7</v>
      </c>
      <c r="AN286" s="6">
        <f>(AM286-'[1]1982'!$AO$4)/('[1]1982'!$AO$3-'[1]1982'!$AO$4)</f>
        <v>2.5747822794396063E-3</v>
      </c>
      <c r="AO286" s="7"/>
      <c r="AP286">
        <v>0</v>
      </c>
      <c r="AR286" t="s">
        <v>19</v>
      </c>
      <c r="AT286" s="3" t="s">
        <v>20</v>
      </c>
      <c r="AU286" s="8">
        <f t="shared" si="27"/>
        <v>3.1641872232215533</v>
      </c>
      <c r="AV286" s="8">
        <f t="shared" si="28"/>
        <v>2.3336989388565268</v>
      </c>
      <c r="AW286" s="8">
        <f t="shared" si="29"/>
        <v>1.5032106544915003</v>
      </c>
    </row>
    <row r="287" spans="1:49" x14ac:dyDescent="0.2">
      <c r="A287">
        <v>285</v>
      </c>
      <c r="B287" t="s">
        <v>3141</v>
      </c>
      <c r="C287" t="s">
        <v>3142</v>
      </c>
      <c r="F287" t="s">
        <v>3143</v>
      </c>
      <c r="G287" t="s">
        <v>4</v>
      </c>
      <c r="H287" t="s">
        <v>5</v>
      </c>
      <c r="I287" t="s">
        <v>3144</v>
      </c>
      <c r="J287">
        <v>60024592</v>
      </c>
      <c r="K287" t="s">
        <v>3145</v>
      </c>
      <c r="L287" t="s">
        <v>1288</v>
      </c>
      <c r="M287" t="s">
        <v>9</v>
      </c>
      <c r="N287">
        <v>2</v>
      </c>
      <c r="O287" t="s">
        <v>3146</v>
      </c>
      <c r="P287" t="s">
        <v>3147</v>
      </c>
      <c r="Q287" t="s">
        <v>3148</v>
      </c>
      <c r="R287" s="1">
        <v>29952</v>
      </c>
      <c r="S287" s="2">
        <f t="shared" si="24"/>
        <v>1982</v>
      </c>
      <c r="T287" s="2">
        <v>1982</v>
      </c>
      <c r="U287" s="2">
        <f t="shared" si="25"/>
        <v>40</v>
      </c>
      <c r="V287" s="1">
        <v>30195</v>
      </c>
      <c r="W287" t="s">
        <v>1117</v>
      </c>
      <c r="X287" s="3">
        <v>1.6519999999999999</v>
      </c>
      <c r="Y287" s="4">
        <f>(X287-'[1]1982'!$Z$4)/('[1]1982'!$Z$3-'[1]1982'!$Z$4)</f>
        <v>4.409919649769093E-2</v>
      </c>
      <c r="AA287" t="s">
        <v>1118</v>
      </c>
      <c r="AB287">
        <v>17337</v>
      </c>
      <c r="AC287">
        <v>15582221</v>
      </c>
      <c r="AD287" t="s">
        <v>15</v>
      </c>
      <c r="AE287">
        <v>30</v>
      </c>
      <c r="AF287">
        <v>5</v>
      </c>
      <c r="AH287" t="s">
        <v>3149</v>
      </c>
      <c r="AI287" t="s">
        <v>3150</v>
      </c>
      <c r="AK287" t="s">
        <v>3151</v>
      </c>
      <c r="AL287">
        <v>30</v>
      </c>
      <c r="AM287" s="5">
        <f t="shared" si="26"/>
        <v>0.75</v>
      </c>
      <c r="AN287" s="6">
        <f>(AM287-'[1]1982'!$AO$4)/('[1]1982'!$AO$3-'[1]1982'!$AO$4)</f>
        <v>1.1359333585762969E-3</v>
      </c>
      <c r="AO287" s="7"/>
      <c r="AP287">
        <v>0</v>
      </c>
      <c r="AR287" t="s">
        <v>19</v>
      </c>
      <c r="AT287" s="3" t="s">
        <v>20</v>
      </c>
      <c r="AU287" s="8">
        <f t="shared" si="27"/>
        <v>3.1210217555956539</v>
      </c>
      <c r="AV287" s="8">
        <f t="shared" si="28"/>
        <v>2.2617564928133613</v>
      </c>
      <c r="AW287" s="8">
        <f t="shared" si="29"/>
        <v>1.4024912300310686</v>
      </c>
    </row>
    <row r="288" spans="1:49" x14ac:dyDescent="0.2">
      <c r="A288">
        <v>286</v>
      </c>
      <c r="B288" t="s">
        <v>3152</v>
      </c>
      <c r="C288" t="s">
        <v>3153</v>
      </c>
      <c r="F288" t="s">
        <v>3154</v>
      </c>
      <c r="G288" t="s">
        <v>4</v>
      </c>
      <c r="H288" t="s">
        <v>5</v>
      </c>
      <c r="I288" t="s">
        <v>3092</v>
      </c>
      <c r="J288">
        <v>60032730</v>
      </c>
      <c r="K288" t="s">
        <v>3155</v>
      </c>
      <c r="L288" t="s">
        <v>3156</v>
      </c>
      <c r="M288" t="s">
        <v>640</v>
      </c>
      <c r="N288">
        <v>1</v>
      </c>
      <c r="O288" t="s">
        <v>3157</v>
      </c>
      <c r="P288">
        <v>55427713700</v>
      </c>
      <c r="Q288">
        <v>60032730</v>
      </c>
      <c r="R288" s="1">
        <v>29952</v>
      </c>
      <c r="S288" s="2">
        <f t="shared" si="24"/>
        <v>1982</v>
      </c>
      <c r="T288" s="2">
        <v>1982</v>
      </c>
      <c r="U288" s="2">
        <f t="shared" si="25"/>
        <v>40</v>
      </c>
      <c r="V288" s="1">
        <v>30195</v>
      </c>
      <c r="W288" t="s">
        <v>1117</v>
      </c>
      <c r="X288" s="3">
        <v>1.6519999999999999</v>
      </c>
      <c r="Y288" s="4">
        <f>(X288-'[1]1982'!$Z$4)/('[1]1982'!$Z$3-'[1]1982'!$Z$4)</f>
        <v>4.409919649769093E-2</v>
      </c>
      <c r="AA288" t="s">
        <v>1118</v>
      </c>
      <c r="AB288">
        <v>17337</v>
      </c>
      <c r="AC288">
        <v>15582221</v>
      </c>
      <c r="AD288" t="s">
        <v>15</v>
      </c>
      <c r="AE288">
        <v>30</v>
      </c>
      <c r="AF288">
        <v>5</v>
      </c>
      <c r="AH288" t="s">
        <v>3158</v>
      </c>
      <c r="AI288" t="s">
        <v>3159</v>
      </c>
      <c r="AK288" t="s">
        <v>3160</v>
      </c>
      <c r="AL288">
        <v>22</v>
      </c>
      <c r="AM288" s="5">
        <f t="shared" si="26"/>
        <v>0.55000000000000004</v>
      </c>
      <c r="AN288" s="6">
        <f>(AM288-'[1]1982'!$AO$4)/('[1]1982'!$AO$3-'[1]1982'!$AO$4)</f>
        <v>8.3301779628928443E-4</v>
      </c>
      <c r="AO288" s="7"/>
      <c r="AP288">
        <v>0</v>
      </c>
      <c r="AR288" t="s">
        <v>19</v>
      </c>
      <c r="AT288" s="3" t="s">
        <v>20</v>
      </c>
      <c r="AU288" s="8">
        <f t="shared" si="27"/>
        <v>3.1119342887270434</v>
      </c>
      <c r="AV288" s="8">
        <f t="shared" si="28"/>
        <v>2.2466107146990106</v>
      </c>
      <c r="AW288" s="8">
        <f t="shared" si="29"/>
        <v>1.3812871406709777</v>
      </c>
    </row>
    <row r="289" spans="1:49" x14ac:dyDescent="0.2">
      <c r="A289">
        <v>287</v>
      </c>
      <c r="B289" t="s">
        <v>3161</v>
      </c>
      <c r="C289" t="s">
        <v>3162</v>
      </c>
      <c r="F289" t="s">
        <v>3163</v>
      </c>
      <c r="G289" t="s">
        <v>4</v>
      </c>
      <c r="H289" t="s">
        <v>5</v>
      </c>
      <c r="I289" t="s">
        <v>2890</v>
      </c>
      <c r="J289">
        <v>60082877</v>
      </c>
      <c r="K289" t="s">
        <v>3164</v>
      </c>
      <c r="L289" t="s">
        <v>3165</v>
      </c>
      <c r="M289" t="s">
        <v>94</v>
      </c>
      <c r="N289">
        <v>1</v>
      </c>
      <c r="O289" t="s">
        <v>3166</v>
      </c>
      <c r="P289">
        <v>57215800210</v>
      </c>
      <c r="Q289">
        <v>60082877</v>
      </c>
      <c r="R289" s="1">
        <v>29952</v>
      </c>
      <c r="S289" s="2">
        <f t="shared" si="24"/>
        <v>1982</v>
      </c>
      <c r="T289" s="2">
        <v>1982</v>
      </c>
      <c r="U289" s="2">
        <f t="shared" si="25"/>
        <v>40</v>
      </c>
      <c r="V289" s="1">
        <v>30195</v>
      </c>
      <c r="W289" t="s">
        <v>1117</v>
      </c>
      <c r="X289" s="3">
        <v>1.6519999999999999</v>
      </c>
      <c r="Y289" s="4">
        <f>(X289-'[1]1982'!$Z$4)/('[1]1982'!$Z$3-'[1]1982'!$Z$4)</f>
        <v>4.409919649769093E-2</v>
      </c>
      <c r="AA289" t="s">
        <v>1118</v>
      </c>
      <c r="AB289">
        <v>17337</v>
      </c>
      <c r="AC289">
        <v>15582221</v>
      </c>
      <c r="AD289" t="s">
        <v>15</v>
      </c>
      <c r="AE289">
        <v>30</v>
      </c>
      <c r="AF289">
        <v>5</v>
      </c>
      <c r="AH289" t="s">
        <v>3167</v>
      </c>
      <c r="AI289" t="s">
        <v>3168</v>
      </c>
      <c r="AK289" t="s">
        <v>3169</v>
      </c>
      <c r="AL289">
        <v>3</v>
      </c>
      <c r="AM289" s="5">
        <f t="shared" si="26"/>
        <v>7.4999999999999997E-2</v>
      </c>
      <c r="AN289" s="6">
        <f>(AM289-'[1]1982'!$AO$4)/('[1]1982'!$AO$3-'[1]1982'!$AO$4)</f>
        <v>1.1359333585762968E-4</v>
      </c>
      <c r="AO289" s="7"/>
      <c r="AP289">
        <v>0</v>
      </c>
      <c r="AR289" t="s">
        <v>19</v>
      </c>
      <c r="AT289" s="3" t="s">
        <v>20</v>
      </c>
      <c r="AU289" s="8">
        <f t="shared" si="27"/>
        <v>3.0903515549140939</v>
      </c>
      <c r="AV289" s="8">
        <f t="shared" si="28"/>
        <v>2.2106394916774281</v>
      </c>
      <c r="AW289" s="8">
        <f t="shared" si="29"/>
        <v>1.330927428440762</v>
      </c>
    </row>
    <row r="290" spans="1:49" x14ac:dyDescent="0.2">
      <c r="A290">
        <v>288</v>
      </c>
      <c r="B290" t="s">
        <v>3170</v>
      </c>
      <c r="C290" t="s">
        <v>3171</v>
      </c>
      <c r="F290" t="s">
        <v>3172</v>
      </c>
      <c r="G290" t="s">
        <v>4</v>
      </c>
      <c r="H290" t="s">
        <v>5</v>
      </c>
      <c r="I290" t="s">
        <v>3173</v>
      </c>
      <c r="J290" t="s">
        <v>3174</v>
      </c>
      <c r="K290" t="s">
        <v>3175</v>
      </c>
      <c r="L290" t="s">
        <v>3176</v>
      </c>
      <c r="M290" t="s">
        <v>218</v>
      </c>
      <c r="N290">
        <v>2</v>
      </c>
      <c r="O290" t="s">
        <v>3177</v>
      </c>
      <c r="P290" t="s">
        <v>3178</v>
      </c>
      <c r="Q290" t="s">
        <v>3179</v>
      </c>
      <c r="R290" s="1">
        <v>29952</v>
      </c>
      <c r="S290" s="2">
        <f t="shared" si="24"/>
        <v>1982</v>
      </c>
      <c r="T290" s="2">
        <v>1982</v>
      </c>
      <c r="U290" s="2">
        <f t="shared" si="25"/>
        <v>40</v>
      </c>
      <c r="V290" s="1">
        <v>30195</v>
      </c>
      <c r="W290" t="s">
        <v>1117</v>
      </c>
      <c r="X290" s="3">
        <v>1.6519999999999999</v>
      </c>
      <c r="Y290" s="4">
        <f>(X290-'[1]1982'!$Z$4)/('[1]1982'!$Z$3-'[1]1982'!$Z$4)</f>
        <v>4.409919649769093E-2</v>
      </c>
      <c r="AA290" t="s">
        <v>1118</v>
      </c>
      <c r="AB290">
        <v>17337</v>
      </c>
      <c r="AC290">
        <v>15582221</v>
      </c>
      <c r="AD290" t="s">
        <v>15</v>
      </c>
      <c r="AE290">
        <v>30</v>
      </c>
      <c r="AF290">
        <v>5</v>
      </c>
      <c r="AH290" t="s">
        <v>3180</v>
      </c>
      <c r="AI290" t="s">
        <v>3181</v>
      </c>
      <c r="AK290" t="s">
        <v>3182</v>
      </c>
      <c r="AL290">
        <v>57</v>
      </c>
      <c r="AM290" s="5">
        <f t="shared" si="26"/>
        <v>1.425</v>
      </c>
      <c r="AN290" s="6">
        <f>(AM290-'[1]1982'!$AO$4)/('[1]1982'!$AO$3-'[1]1982'!$AO$4)</f>
        <v>2.158273381294964E-3</v>
      </c>
      <c r="AO290" s="7"/>
      <c r="AP290">
        <v>0</v>
      </c>
      <c r="AR290" t="s">
        <v>19</v>
      </c>
      <c r="AT290" s="3" t="s">
        <v>20</v>
      </c>
      <c r="AU290" s="8">
        <f t="shared" si="27"/>
        <v>3.1516919562772139</v>
      </c>
      <c r="AV290" s="8">
        <f t="shared" si="28"/>
        <v>2.3128734939492945</v>
      </c>
      <c r="AW290" s="8">
        <f t="shared" si="29"/>
        <v>1.4740550316213752</v>
      </c>
    </row>
    <row r="291" spans="1:49" x14ac:dyDescent="0.2">
      <c r="A291">
        <v>289</v>
      </c>
      <c r="B291" t="s">
        <v>3183</v>
      </c>
      <c r="F291" t="s">
        <v>3184</v>
      </c>
      <c r="G291" t="s">
        <v>4</v>
      </c>
      <c r="H291" t="s">
        <v>5</v>
      </c>
      <c r="I291" t="s">
        <v>3185</v>
      </c>
      <c r="N291">
        <v>1</v>
      </c>
      <c r="O291" t="s">
        <v>3186</v>
      </c>
      <c r="P291">
        <v>6603252214</v>
      </c>
      <c r="R291" s="1">
        <v>29952</v>
      </c>
      <c r="S291" s="2">
        <f t="shared" si="24"/>
        <v>1982</v>
      </c>
      <c r="T291" s="2">
        <v>1982</v>
      </c>
      <c r="U291" s="2">
        <f t="shared" si="25"/>
        <v>40</v>
      </c>
      <c r="V291" s="1" t="s">
        <v>2992</v>
      </c>
      <c r="W291" t="s">
        <v>3187</v>
      </c>
      <c r="X291" s="3" t="s">
        <v>20</v>
      </c>
      <c r="Y291" s="4" t="e">
        <f>(X291-'[1]1982'!$Z$4)/('[1]1982'!$Z$3-'[1]1982'!$Z$4)</f>
        <v>#VALUE!</v>
      </c>
      <c r="AB291">
        <v>34646</v>
      </c>
      <c r="AD291" t="s">
        <v>15</v>
      </c>
      <c r="AE291">
        <v>8</v>
      </c>
      <c r="AF291">
        <v>1</v>
      </c>
      <c r="AH291" t="s">
        <v>3188</v>
      </c>
      <c r="AI291" t="s">
        <v>3189</v>
      </c>
      <c r="AK291" t="s">
        <v>3190</v>
      </c>
      <c r="AL291">
        <v>0</v>
      </c>
      <c r="AM291" s="5">
        <f t="shared" si="26"/>
        <v>0</v>
      </c>
      <c r="AN291" s="6">
        <f>(AM291-'[1]1982'!$AO$4)/('[1]1982'!$AO$3-'[1]1982'!$AO$4)</f>
        <v>0</v>
      </c>
      <c r="AO291" s="7"/>
      <c r="AP291">
        <v>0</v>
      </c>
      <c r="AR291" t="s">
        <v>19</v>
      </c>
      <c r="AT291" s="3" t="s">
        <v>20</v>
      </c>
      <c r="AU291" s="8" t="e">
        <f t="shared" si="27"/>
        <v>#VALUE!</v>
      </c>
      <c r="AV291" s="8" t="e">
        <f t="shared" si="28"/>
        <v>#VALUE!</v>
      </c>
      <c r="AW291" s="8" t="e">
        <f t="shared" si="29"/>
        <v>#VALUE!</v>
      </c>
    </row>
    <row r="292" spans="1:49" x14ac:dyDescent="0.2">
      <c r="A292">
        <v>290</v>
      </c>
      <c r="B292" t="s">
        <v>3191</v>
      </c>
      <c r="C292" t="s">
        <v>3192</v>
      </c>
      <c r="D292">
        <v>376634982900268</v>
      </c>
      <c r="F292" t="s">
        <v>3193</v>
      </c>
      <c r="G292" t="s">
        <v>4</v>
      </c>
      <c r="H292" t="s">
        <v>5</v>
      </c>
      <c r="I292" t="s">
        <v>3194</v>
      </c>
      <c r="J292">
        <v>60028054</v>
      </c>
      <c r="K292" t="s">
        <v>3195</v>
      </c>
      <c r="L292" t="s">
        <v>3196</v>
      </c>
      <c r="M292" t="s">
        <v>3197</v>
      </c>
      <c r="N292">
        <v>1</v>
      </c>
      <c r="O292" t="s">
        <v>3198</v>
      </c>
      <c r="P292">
        <v>56261465700</v>
      </c>
      <c r="Q292">
        <v>60028054</v>
      </c>
      <c r="R292" s="1">
        <v>29952</v>
      </c>
      <c r="S292" s="2">
        <f t="shared" si="24"/>
        <v>1982</v>
      </c>
      <c r="T292" s="2">
        <v>1982</v>
      </c>
      <c r="U292" s="2">
        <f t="shared" si="25"/>
        <v>40</v>
      </c>
      <c r="V292" s="1">
        <v>30195</v>
      </c>
      <c r="W292" t="s">
        <v>3199</v>
      </c>
      <c r="X292" s="3" t="s">
        <v>20</v>
      </c>
      <c r="Y292" s="4" t="e">
        <f>(X292-'[1]1982'!$Z$4)/('[1]1982'!$Z$3-'[1]1982'!$Z$4)</f>
        <v>#VALUE!</v>
      </c>
      <c r="AA292">
        <v>3766349</v>
      </c>
      <c r="AB292">
        <v>54965</v>
      </c>
      <c r="AD292" t="s">
        <v>15</v>
      </c>
      <c r="AE292">
        <v>4</v>
      </c>
      <c r="AF292" s="9">
        <v>44288</v>
      </c>
      <c r="AH292">
        <v>189</v>
      </c>
      <c r="AI292" t="s">
        <v>3200</v>
      </c>
      <c r="AK292" t="s">
        <v>3201</v>
      </c>
      <c r="AL292">
        <v>0</v>
      </c>
      <c r="AM292" s="5">
        <f t="shared" si="26"/>
        <v>0</v>
      </c>
      <c r="AN292" s="6">
        <f>(AM292-'[1]1982'!$AO$4)/('[1]1982'!$AO$3-'[1]1982'!$AO$4)</f>
        <v>0</v>
      </c>
      <c r="AO292" s="7"/>
      <c r="AP292">
        <v>0</v>
      </c>
      <c r="AR292" t="s">
        <v>19</v>
      </c>
      <c r="AT292" s="3" t="s">
        <v>20</v>
      </c>
      <c r="AU292" s="8" t="e">
        <f t="shared" si="27"/>
        <v>#VALUE!</v>
      </c>
      <c r="AV292" s="8" t="e">
        <f t="shared" si="28"/>
        <v>#VALUE!</v>
      </c>
      <c r="AW292" s="8" t="e">
        <f t="shared" si="29"/>
        <v>#VALUE!</v>
      </c>
    </row>
    <row r="293" spans="1:49" x14ac:dyDescent="0.2">
      <c r="A293">
        <v>291</v>
      </c>
      <c r="B293" t="s">
        <v>3202</v>
      </c>
      <c r="F293" t="s">
        <v>3203</v>
      </c>
      <c r="G293" t="s">
        <v>4</v>
      </c>
      <c r="H293" t="s">
        <v>5</v>
      </c>
      <c r="I293" t="s">
        <v>3204</v>
      </c>
      <c r="N293">
        <v>2</v>
      </c>
      <c r="O293" t="s">
        <v>3205</v>
      </c>
      <c r="P293" t="s">
        <v>3206</v>
      </c>
      <c r="Q293" t="s">
        <v>156</v>
      </c>
      <c r="R293" s="1">
        <v>29952</v>
      </c>
      <c r="S293" s="2">
        <f t="shared" si="24"/>
        <v>1982</v>
      </c>
      <c r="T293" s="2">
        <v>1982</v>
      </c>
      <c r="U293" s="2">
        <f t="shared" si="25"/>
        <v>40</v>
      </c>
      <c r="V293" s="1" t="s">
        <v>3207</v>
      </c>
      <c r="W293" t="s">
        <v>3208</v>
      </c>
      <c r="X293" s="3" t="s">
        <v>20</v>
      </c>
      <c r="Y293" s="4" t="e">
        <f>(X293-'[1]1982'!$Z$4)/('[1]1982'!$Z$3-'[1]1982'!$Z$4)</f>
        <v>#VALUE!</v>
      </c>
      <c r="AA293">
        <v>959669</v>
      </c>
      <c r="AB293">
        <v>94658</v>
      </c>
      <c r="AD293" t="s">
        <v>15</v>
      </c>
      <c r="AE293">
        <v>12</v>
      </c>
      <c r="AF293">
        <v>2</v>
      </c>
      <c r="AH293" t="s">
        <v>3209</v>
      </c>
      <c r="AI293" t="s">
        <v>3210</v>
      </c>
      <c r="AK293" t="s">
        <v>3211</v>
      </c>
      <c r="AL293">
        <v>2</v>
      </c>
      <c r="AM293" s="5">
        <f t="shared" si="26"/>
        <v>0.05</v>
      </c>
      <c r="AN293" s="6">
        <f>(AM293-'[1]1982'!$AO$4)/('[1]1982'!$AO$3-'[1]1982'!$AO$4)</f>
        <v>7.5728890571753133E-5</v>
      </c>
      <c r="AO293" s="7"/>
      <c r="AP293">
        <v>0</v>
      </c>
      <c r="AR293" t="s">
        <v>19</v>
      </c>
      <c r="AT293" s="3" t="s">
        <v>20</v>
      </c>
      <c r="AU293" s="8" t="e">
        <f t="shared" si="27"/>
        <v>#VALUE!</v>
      </c>
      <c r="AV293" s="8" t="e">
        <f t="shared" si="28"/>
        <v>#VALUE!</v>
      </c>
      <c r="AW293" s="8" t="e">
        <f t="shared" si="29"/>
        <v>#VALUE!</v>
      </c>
    </row>
    <row r="294" spans="1:49" x14ac:dyDescent="0.2">
      <c r="A294">
        <v>292</v>
      </c>
      <c r="B294" t="s">
        <v>3212</v>
      </c>
      <c r="C294" t="s">
        <v>3213</v>
      </c>
      <c r="F294" t="s">
        <v>3214</v>
      </c>
      <c r="G294" t="s">
        <v>4</v>
      </c>
      <c r="H294" t="s">
        <v>5</v>
      </c>
      <c r="I294" t="s">
        <v>3215</v>
      </c>
      <c r="N294">
        <v>1</v>
      </c>
      <c r="O294" t="s">
        <v>3216</v>
      </c>
      <c r="P294">
        <v>7006842497</v>
      </c>
      <c r="R294" s="1">
        <v>29952</v>
      </c>
      <c r="S294" s="2">
        <f t="shared" si="24"/>
        <v>1982</v>
      </c>
      <c r="T294" s="2">
        <v>1982</v>
      </c>
      <c r="U294" s="2">
        <f t="shared" si="25"/>
        <v>40</v>
      </c>
      <c r="V294" s="1" t="s">
        <v>3217</v>
      </c>
      <c r="W294" t="s">
        <v>2385</v>
      </c>
      <c r="X294" s="3">
        <v>0.371</v>
      </c>
      <c r="Y294" s="4">
        <f>(X294-'[1]1982'!$Z$4)/('[1]1982'!$Z$3-'[1]1982'!$Z$4)</f>
        <v>9.9036331117695747E-3</v>
      </c>
      <c r="AA294">
        <v>486604</v>
      </c>
      <c r="AB294">
        <v>28580</v>
      </c>
      <c r="AC294" t="s">
        <v>2386</v>
      </c>
      <c r="AD294" t="s">
        <v>15</v>
      </c>
      <c r="AE294">
        <v>17</v>
      </c>
      <c r="AF294">
        <v>5</v>
      </c>
      <c r="AH294" t="s">
        <v>3218</v>
      </c>
      <c r="AI294" t="s">
        <v>3219</v>
      </c>
      <c r="AK294" t="s">
        <v>3220</v>
      </c>
      <c r="AL294">
        <v>25</v>
      </c>
      <c r="AM294" s="5">
        <f t="shared" si="26"/>
        <v>0.625</v>
      </c>
      <c r="AN294" s="6">
        <f>(AM294-'[1]1982'!$AO$4)/('[1]1982'!$AO$3-'[1]1982'!$AO$4)</f>
        <v>9.4661113214691405E-4</v>
      </c>
      <c r="AO294" s="7"/>
      <c r="AP294">
        <v>0</v>
      </c>
      <c r="AR294" t="s">
        <v>19</v>
      </c>
      <c r="AT294" s="3">
        <v>1.431</v>
      </c>
      <c r="AU294" s="8">
        <f t="shared" si="27"/>
        <v>0.72165265178827753</v>
      </c>
      <c r="AV294" s="8">
        <f t="shared" si="28"/>
        <v>0.54251221219582446</v>
      </c>
      <c r="AW294" s="8">
        <f t="shared" si="29"/>
        <v>0.36337177260337122</v>
      </c>
    </row>
    <row r="295" spans="1:49" x14ac:dyDescent="0.2">
      <c r="A295">
        <v>293</v>
      </c>
      <c r="B295" t="s">
        <v>3221</v>
      </c>
      <c r="C295" t="s">
        <v>3222</v>
      </c>
      <c r="F295" t="s">
        <v>3223</v>
      </c>
      <c r="G295" t="s">
        <v>4</v>
      </c>
      <c r="H295" t="s">
        <v>5</v>
      </c>
      <c r="I295" t="s">
        <v>3224</v>
      </c>
      <c r="N295">
        <v>3</v>
      </c>
      <c r="O295" t="s">
        <v>3225</v>
      </c>
      <c r="P295" t="s">
        <v>3226</v>
      </c>
      <c r="Q295" t="s">
        <v>145</v>
      </c>
      <c r="R295" s="1">
        <v>29952</v>
      </c>
      <c r="S295" s="2">
        <f t="shared" si="24"/>
        <v>1982</v>
      </c>
      <c r="T295" s="2">
        <v>1982</v>
      </c>
      <c r="U295" s="2">
        <f t="shared" si="25"/>
        <v>40</v>
      </c>
      <c r="V295" s="1" t="s">
        <v>3217</v>
      </c>
      <c r="W295" t="s">
        <v>2385</v>
      </c>
      <c r="X295" s="3">
        <v>0.371</v>
      </c>
      <c r="Y295" s="4">
        <f>(X295-'[1]1982'!$Z$4)/('[1]1982'!$Z$3-'[1]1982'!$Z$4)</f>
        <v>9.9036331117695747E-3</v>
      </c>
      <c r="AA295">
        <v>486604</v>
      </c>
      <c r="AB295">
        <v>28580</v>
      </c>
      <c r="AC295" t="s">
        <v>2386</v>
      </c>
      <c r="AD295" t="s">
        <v>15</v>
      </c>
      <c r="AE295">
        <v>17</v>
      </c>
      <c r="AF295">
        <v>5</v>
      </c>
      <c r="AH295" t="s">
        <v>3227</v>
      </c>
      <c r="AI295" t="s">
        <v>3228</v>
      </c>
      <c r="AK295" t="s">
        <v>3229</v>
      </c>
      <c r="AL295">
        <v>23</v>
      </c>
      <c r="AM295" s="5">
        <f t="shared" si="26"/>
        <v>0.57499999999999996</v>
      </c>
      <c r="AN295" s="6">
        <f>(AM295-'[1]1982'!$AO$4)/('[1]1982'!$AO$3-'[1]1982'!$AO$4)</f>
        <v>8.7088224157516082E-4</v>
      </c>
      <c r="AO295" s="7"/>
      <c r="AP295">
        <v>0</v>
      </c>
      <c r="AR295" t="s">
        <v>19</v>
      </c>
      <c r="AT295" s="3">
        <v>1.431</v>
      </c>
      <c r="AU295" s="8">
        <f t="shared" si="27"/>
        <v>0.71938078507112502</v>
      </c>
      <c r="AV295" s="8">
        <f t="shared" si="28"/>
        <v>0.53872576766723679</v>
      </c>
      <c r="AW295" s="8">
        <f t="shared" si="29"/>
        <v>0.3580707502633485</v>
      </c>
    </row>
    <row r="296" spans="1:49" x14ac:dyDescent="0.2">
      <c r="A296">
        <v>294</v>
      </c>
      <c r="B296" t="s">
        <v>3230</v>
      </c>
      <c r="F296" t="s">
        <v>3231</v>
      </c>
      <c r="G296" t="s">
        <v>4</v>
      </c>
      <c r="H296" t="s">
        <v>5</v>
      </c>
      <c r="I296" t="s">
        <v>3232</v>
      </c>
      <c r="N296">
        <v>1</v>
      </c>
      <c r="O296" t="s">
        <v>3233</v>
      </c>
      <c r="P296">
        <v>6601961535</v>
      </c>
      <c r="R296" s="1">
        <v>29952</v>
      </c>
      <c r="S296" s="2">
        <f t="shared" si="24"/>
        <v>1982</v>
      </c>
      <c r="T296" s="2">
        <v>1982</v>
      </c>
      <c r="U296" s="2">
        <f t="shared" si="25"/>
        <v>40</v>
      </c>
      <c r="V296" s="1" t="s">
        <v>3234</v>
      </c>
      <c r="W296" t="s">
        <v>3235</v>
      </c>
      <c r="X296" s="3" t="s">
        <v>20</v>
      </c>
      <c r="Y296" s="4" t="e">
        <f>(X296-'[1]1982'!$Z$4)/('[1]1982'!$Z$3-'[1]1982'!$Z$4)</f>
        <v>#VALUE!</v>
      </c>
      <c r="AA296">
        <v>252883</v>
      </c>
      <c r="AB296">
        <v>40968</v>
      </c>
      <c r="AD296" t="s">
        <v>15</v>
      </c>
      <c r="AE296">
        <v>45</v>
      </c>
      <c r="AF296">
        <v>226</v>
      </c>
      <c r="AH296" t="s">
        <v>3236</v>
      </c>
      <c r="AI296" t="s">
        <v>3237</v>
      </c>
      <c r="AK296" t="s">
        <v>3238</v>
      </c>
      <c r="AL296">
        <v>0</v>
      </c>
      <c r="AM296" s="5">
        <f t="shared" si="26"/>
        <v>0</v>
      </c>
      <c r="AN296" s="6">
        <f>(AM296-'[1]1982'!$AO$4)/('[1]1982'!$AO$3-'[1]1982'!$AO$4)</f>
        <v>0</v>
      </c>
      <c r="AO296" s="7"/>
      <c r="AP296">
        <v>0</v>
      </c>
      <c r="AR296" t="s">
        <v>19</v>
      </c>
      <c r="AT296" s="3" t="s">
        <v>20</v>
      </c>
      <c r="AU296" s="8" t="e">
        <f t="shared" si="27"/>
        <v>#VALUE!</v>
      </c>
      <c r="AV296" s="8" t="e">
        <f t="shared" si="28"/>
        <v>#VALUE!</v>
      </c>
      <c r="AW296" s="8" t="e">
        <f t="shared" si="29"/>
        <v>#VALUE!</v>
      </c>
    </row>
    <row r="297" spans="1:49" x14ac:dyDescent="0.2">
      <c r="A297">
        <v>295</v>
      </c>
      <c r="B297" t="s">
        <v>3239</v>
      </c>
      <c r="C297" t="s">
        <v>3240</v>
      </c>
      <c r="F297" t="s">
        <v>3241</v>
      </c>
      <c r="G297" t="s">
        <v>4</v>
      </c>
      <c r="H297" t="s">
        <v>5</v>
      </c>
      <c r="I297" t="s">
        <v>3242</v>
      </c>
      <c r="N297">
        <v>5</v>
      </c>
      <c r="O297" t="s">
        <v>3243</v>
      </c>
      <c r="P297" t="s">
        <v>3244</v>
      </c>
      <c r="Q297" t="s">
        <v>56</v>
      </c>
      <c r="R297" s="1">
        <v>29952</v>
      </c>
      <c r="S297" s="2">
        <f t="shared" si="24"/>
        <v>1982</v>
      </c>
      <c r="T297" s="2">
        <v>1982</v>
      </c>
      <c r="U297" s="2">
        <f t="shared" si="25"/>
        <v>40</v>
      </c>
      <c r="V297" s="1" t="s">
        <v>3217</v>
      </c>
      <c r="W297" t="s">
        <v>2385</v>
      </c>
      <c r="X297" s="3">
        <v>0.371</v>
      </c>
      <c r="Y297" s="4">
        <f>(X297-'[1]1982'!$Z$4)/('[1]1982'!$Z$3-'[1]1982'!$Z$4)</f>
        <v>9.9036331117695747E-3</v>
      </c>
      <c r="AA297">
        <v>486604</v>
      </c>
      <c r="AB297">
        <v>28580</v>
      </c>
      <c r="AC297" t="s">
        <v>2386</v>
      </c>
      <c r="AD297" t="s">
        <v>15</v>
      </c>
      <c r="AE297">
        <v>17</v>
      </c>
      <c r="AF297" t="s">
        <v>3245</v>
      </c>
      <c r="AH297" t="s">
        <v>3246</v>
      </c>
      <c r="AI297" t="s">
        <v>3247</v>
      </c>
      <c r="AK297" t="s">
        <v>3248</v>
      </c>
      <c r="AL297">
        <v>1</v>
      </c>
      <c r="AM297" s="5">
        <f t="shared" si="26"/>
        <v>2.5000000000000001E-2</v>
      </c>
      <c r="AN297" s="6">
        <f>(AM297-'[1]1982'!$AO$4)/('[1]1982'!$AO$3-'[1]1982'!$AO$4)</f>
        <v>3.7864445285876567E-5</v>
      </c>
      <c r="AO297" s="7"/>
      <c r="AP297">
        <v>0</v>
      </c>
      <c r="AR297" t="s">
        <v>19</v>
      </c>
      <c r="AT297" s="3">
        <v>1.431</v>
      </c>
      <c r="AU297" s="8">
        <f t="shared" si="27"/>
        <v>0.69439025118244646</v>
      </c>
      <c r="AV297" s="8">
        <f t="shared" si="28"/>
        <v>0.49707487785277255</v>
      </c>
      <c r="AW297" s="8">
        <f t="shared" si="29"/>
        <v>0.29975950452309863</v>
      </c>
    </row>
    <row r="298" spans="1:49" x14ac:dyDescent="0.2">
      <c r="A298">
        <v>296</v>
      </c>
      <c r="B298" t="s">
        <v>3249</v>
      </c>
      <c r="C298" t="s">
        <v>3250</v>
      </c>
      <c r="F298" t="s">
        <v>3251</v>
      </c>
      <c r="G298" t="s">
        <v>4</v>
      </c>
      <c r="H298" t="s">
        <v>5</v>
      </c>
      <c r="I298" t="s">
        <v>3252</v>
      </c>
      <c r="J298">
        <v>60101699</v>
      </c>
      <c r="K298" t="s">
        <v>3253</v>
      </c>
      <c r="L298" t="s">
        <v>583</v>
      </c>
      <c r="M298" t="s">
        <v>485</v>
      </c>
      <c r="N298">
        <v>2</v>
      </c>
      <c r="O298" t="s">
        <v>3254</v>
      </c>
      <c r="P298" t="s">
        <v>3255</v>
      </c>
      <c r="Q298" t="s">
        <v>3256</v>
      </c>
      <c r="R298" s="1">
        <v>29952</v>
      </c>
      <c r="S298" s="2">
        <f t="shared" si="24"/>
        <v>1982</v>
      </c>
      <c r="T298" s="2">
        <v>1982</v>
      </c>
      <c r="U298" s="2">
        <f t="shared" si="25"/>
        <v>40</v>
      </c>
      <c r="V298" s="1">
        <v>30195</v>
      </c>
      <c r="W298" t="s">
        <v>2417</v>
      </c>
      <c r="X298" s="3">
        <v>1.137</v>
      </c>
      <c r="Y298" s="4">
        <f>(X298-'[1]1982'!$Z$4)/('[1]1982'!$Z$3-'[1]1982'!$Z$4)</f>
        <v>3.0351565628253384E-2</v>
      </c>
      <c r="AA298">
        <v>189251</v>
      </c>
      <c r="AB298">
        <v>17336</v>
      </c>
      <c r="AD298" t="s">
        <v>15</v>
      </c>
      <c r="AE298" t="s">
        <v>2418</v>
      </c>
      <c r="AF298">
        <v>5</v>
      </c>
      <c r="AH298" t="s">
        <v>3257</v>
      </c>
      <c r="AI298" t="s">
        <v>3258</v>
      </c>
      <c r="AK298" t="s">
        <v>3259</v>
      </c>
      <c r="AL298">
        <v>0</v>
      </c>
      <c r="AM298" s="5">
        <f t="shared" si="26"/>
        <v>0</v>
      </c>
      <c r="AN298" s="6">
        <f>(AM298-'[1]1982'!$AO$4)/('[1]1982'!$AO$3-'[1]1982'!$AO$4)</f>
        <v>0</v>
      </c>
      <c r="AO298" s="7"/>
      <c r="AP298">
        <v>0</v>
      </c>
      <c r="AR298" t="s">
        <v>19</v>
      </c>
      <c r="AT298" s="3" t="s">
        <v>20</v>
      </c>
      <c r="AU298" s="8">
        <f t="shared" si="27"/>
        <v>2.1246095939777367</v>
      </c>
      <c r="AV298" s="8">
        <f t="shared" si="28"/>
        <v>1.5175782814126693</v>
      </c>
      <c r="AW298" s="8">
        <f t="shared" si="29"/>
        <v>0.91054696884760156</v>
      </c>
    </row>
    <row r="299" spans="1:49" x14ac:dyDescent="0.2">
      <c r="A299">
        <v>297</v>
      </c>
      <c r="B299" t="s">
        <v>3260</v>
      </c>
      <c r="C299" t="s">
        <v>3261</v>
      </c>
      <c r="F299" t="s">
        <v>3262</v>
      </c>
      <c r="G299" t="s">
        <v>4</v>
      </c>
      <c r="H299" t="s">
        <v>5</v>
      </c>
      <c r="I299" t="s">
        <v>3263</v>
      </c>
      <c r="N299">
        <v>4</v>
      </c>
      <c r="O299" t="s">
        <v>3264</v>
      </c>
      <c r="P299" t="s">
        <v>3265</v>
      </c>
      <c r="Q299" t="s">
        <v>165</v>
      </c>
      <c r="R299" s="1">
        <v>29952</v>
      </c>
      <c r="S299" s="2">
        <f t="shared" si="24"/>
        <v>1982</v>
      </c>
      <c r="T299" s="2">
        <v>1982</v>
      </c>
      <c r="U299" s="2">
        <f t="shared" si="25"/>
        <v>40</v>
      </c>
      <c r="V299" s="1" t="s">
        <v>3217</v>
      </c>
      <c r="W299" t="s">
        <v>2385</v>
      </c>
      <c r="X299" s="3">
        <v>0.371</v>
      </c>
      <c r="Y299" s="4">
        <f>(X299-'[1]1982'!$Z$4)/('[1]1982'!$Z$3-'[1]1982'!$Z$4)</f>
        <v>9.9036331117695747E-3</v>
      </c>
      <c r="AA299">
        <v>486604</v>
      </c>
      <c r="AB299">
        <v>28580</v>
      </c>
      <c r="AC299" t="s">
        <v>2386</v>
      </c>
      <c r="AD299" t="s">
        <v>15</v>
      </c>
      <c r="AE299">
        <v>17</v>
      </c>
      <c r="AF299" t="s">
        <v>3245</v>
      </c>
      <c r="AH299" t="s">
        <v>3266</v>
      </c>
      <c r="AI299" t="s">
        <v>3267</v>
      </c>
      <c r="AK299" t="s">
        <v>3268</v>
      </c>
      <c r="AL299">
        <v>14</v>
      </c>
      <c r="AM299" s="5">
        <f t="shared" si="26"/>
        <v>0.35</v>
      </c>
      <c r="AN299" s="6">
        <f>(AM299-'[1]1982'!$AO$4)/('[1]1982'!$AO$3-'[1]1982'!$AO$4)</f>
        <v>5.3010223400227184E-4</v>
      </c>
      <c r="AO299" s="7"/>
      <c r="AP299">
        <v>0</v>
      </c>
      <c r="AR299" t="s">
        <v>19</v>
      </c>
      <c r="AT299" s="3">
        <v>1.431</v>
      </c>
      <c r="AU299" s="8">
        <f t="shared" si="27"/>
        <v>0.70915738484393831</v>
      </c>
      <c r="AV299" s="8">
        <f t="shared" si="28"/>
        <v>0.52168676728859231</v>
      </c>
      <c r="AW299" s="8">
        <f t="shared" si="29"/>
        <v>0.33421614973324626</v>
      </c>
    </row>
    <row r="300" spans="1:49" x14ac:dyDescent="0.2">
      <c r="A300">
        <v>298</v>
      </c>
      <c r="B300" t="s">
        <v>3269</v>
      </c>
      <c r="F300" t="s">
        <v>3270</v>
      </c>
      <c r="G300" t="s">
        <v>4</v>
      </c>
      <c r="H300" t="s">
        <v>5</v>
      </c>
      <c r="I300" t="s">
        <v>3271</v>
      </c>
      <c r="N300">
        <v>1</v>
      </c>
      <c r="O300" t="s">
        <v>3272</v>
      </c>
      <c r="P300">
        <v>6701711101</v>
      </c>
      <c r="R300" s="1">
        <v>29952</v>
      </c>
      <c r="S300" s="2">
        <f t="shared" si="24"/>
        <v>1982</v>
      </c>
      <c r="T300" s="2">
        <v>1982</v>
      </c>
      <c r="U300" s="2">
        <f t="shared" si="25"/>
        <v>40</v>
      </c>
      <c r="V300" s="1" t="s">
        <v>2992</v>
      </c>
      <c r="W300" t="s">
        <v>1643</v>
      </c>
      <c r="X300" s="3" t="s">
        <v>20</v>
      </c>
      <c r="Y300" s="4" t="e">
        <f>(X300-'[1]1982'!$Z$4)/('[1]1982'!$Z$3-'[1]1982'!$Z$4)</f>
        <v>#VALUE!</v>
      </c>
      <c r="AA300">
        <v>337889</v>
      </c>
      <c r="AB300">
        <v>40920</v>
      </c>
      <c r="AD300" t="s">
        <v>15</v>
      </c>
      <c r="AE300">
        <v>27</v>
      </c>
      <c r="AF300">
        <v>9</v>
      </c>
      <c r="AH300" t="s">
        <v>3273</v>
      </c>
      <c r="AI300" t="s">
        <v>3274</v>
      </c>
      <c r="AK300" t="s">
        <v>3275</v>
      </c>
      <c r="AL300">
        <v>0</v>
      </c>
      <c r="AM300" s="5">
        <f t="shared" si="26"/>
        <v>0</v>
      </c>
      <c r="AN300" s="6">
        <f>(AM300-'[1]1982'!$AO$4)/('[1]1982'!$AO$3-'[1]1982'!$AO$4)</f>
        <v>0</v>
      </c>
      <c r="AO300" s="7"/>
      <c r="AP300">
        <v>0</v>
      </c>
      <c r="AR300" t="s">
        <v>19</v>
      </c>
      <c r="AT300" s="3" t="s">
        <v>20</v>
      </c>
      <c r="AU300" s="8" t="e">
        <f t="shared" si="27"/>
        <v>#VALUE!</v>
      </c>
      <c r="AV300" s="8" t="e">
        <f t="shared" si="28"/>
        <v>#VALUE!</v>
      </c>
      <c r="AW300" s="8" t="e">
        <f t="shared" si="29"/>
        <v>#VALUE!</v>
      </c>
    </row>
    <row r="301" spans="1:49" x14ac:dyDescent="0.2">
      <c r="A301">
        <v>299</v>
      </c>
      <c r="B301" t="s">
        <v>3276</v>
      </c>
      <c r="F301" t="s">
        <v>3277</v>
      </c>
      <c r="G301" t="s">
        <v>4</v>
      </c>
      <c r="H301" t="s">
        <v>5</v>
      </c>
      <c r="I301" t="s">
        <v>3278</v>
      </c>
      <c r="N301">
        <v>1</v>
      </c>
      <c r="O301" t="s">
        <v>3279</v>
      </c>
      <c r="P301">
        <v>7102306318</v>
      </c>
      <c r="R301" s="1">
        <v>29952</v>
      </c>
      <c r="S301" s="2">
        <f t="shared" si="24"/>
        <v>1982</v>
      </c>
      <c r="T301" s="2">
        <v>1982</v>
      </c>
      <c r="U301" s="2">
        <f t="shared" si="25"/>
        <v>40</v>
      </c>
      <c r="V301" s="1" t="s">
        <v>2992</v>
      </c>
      <c r="W301" t="s">
        <v>1643</v>
      </c>
      <c r="X301" s="3" t="s">
        <v>20</v>
      </c>
      <c r="Y301" s="4" t="e">
        <f>(X301-'[1]1982'!$Z$4)/('[1]1982'!$Z$3-'[1]1982'!$Z$4)</f>
        <v>#VALUE!</v>
      </c>
      <c r="AA301">
        <v>337889</v>
      </c>
      <c r="AB301">
        <v>40920</v>
      </c>
      <c r="AD301" t="s">
        <v>15</v>
      </c>
      <c r="AE301">
        <v>27</v>
      </c>
      <c r="AF301">
        <v>9</v>
      </c>
      <c r="AH301" t="s">
        <v>3280</v>
      </c>
      <c r="AI301" t="s">
        <v>3281</v>
      </c>
      <c r="AK301" t="s">
        <v>3282</v>
      </c>
      <c r="AL301">
        <v>0</v>
      </c>
      <c r="AM301" s="5">
        <f t="shared" si="26"/>
        <v>0</v>
      </c>
      <c r="AN301" s="6">
        <f>(AM301-'[1]1982'!$AO$4)/('[1]1982'!$AO$3-'[1]1982'!$AO$4)</f>
        <v>0</v>
      </c>
      <c r="AO301" s="7"/>
      <c r="AP301">
        <v>0</v>
      </c>
      <c r="AR301" t="s">
        <v>19</v>
      </c>
      <c r="AT301" s="3" t="s">
        <v>20</v>
      </c>
      <c r="AU301" s="8" t="e">
        <f t="shared" si="27"/>
        <v>#VALUE!</v>
      </c>
      <c r="AV301" s="8" t="e">
        <f t="shared" si="28"/>
        <v>#VALUE!</v>
      </c>
      <c r="AW301" s="8" t="e">
        <f t="shared" si="29"/>
        <v>#VALUE!</v>
      </c>
    </row>
    <row r="302" spans="1:49" x14ac:dyDescent="0.2">
      <c r="A302">
        <v>300</v>
      </c>
      <c r="B302" t="s">
        <v>3283</v>
      </c>
      <c r="C302" t="s">
        <v>3284</v>
      </c>
      <c r="F302" t="s">
        <v>3285</v>
      </c>
      <c r="G302" t="s">
        <v>4</v>
      </c>
      <c r="H302" t="s">
        <v>5</v>
      </c>
      <c r="I302" t="s">
        <v>3286</v>
      </c>
      <c r="N302">
        <v>3</v>
      </c>
      <c r="O302" t="s">
        <v>3287</v>
      </c>
      <c r="P302" t="s">
        <v>3288</v>
      </c>
      <c r="Q302" t="s">
        <v>145</v>
      </c>
      <c r="R302" s="1">
        <v>29952</v>
      </c>
      <c r="S302" s="2">
        <f t="shared" si="24"/>
        <v>1982</v>
      </c>
      <c r="T302" s="2">
        <v>1982</v>
      </c>
      <c r="U302" s="2">
        <f t="shared" si="25"/>
        <v>40</v>
      </c>
      <c r="V302" s="1" t="s">
        <v>2992</v>
      </c>
      <c r="W302" t="s">
        <v>3289</v>
      </c>
      <c r="X302" s="3" t="s">
        <v>20</v>
      </c>
      <c r="Y302" s="4" t="e">
        <f>(X302-'[1]1982'!$Z$4)/('[1]1982'!$Z$3-'[1]1982'!$Z$4)</f>
        <v>#VALUE!</v>
      </c>
      <c r="AA302" t="s">
        <v>3290</v>
      </c>
      <c r="AB302">
        <v>31890</v>
      </c>
      <c r="AD302" t="s">
        <v>15</v>
      </c>
      <c r="AE302">
        <v>129</v>
      </c>
      <c r="AF302">
        <v>7</v>
      </c>
      <c r="AH302" t="s">
        <v>3291</v>
      </c>
      <c r="AI302" t="s">
        <v>3292</v>
      </c>
      <c r="AK302" t="s">
        <v>3293</v>
      </c>
      <c r="AL302">
        <v>0</v>
      </c>
      <c r="AM302" s="5">
        <f t="shared" si="26"/>
        <v>0</v>
      </c>
      <c r="AN302" s="6">
        <f>(AM302-'[1]1982'!$AO$4)/('[1]1982'!$AO$3-'[1]1982'!$AO$4)</f>
        <v>0</v>
      </c>
      <c r="AO302" s="7"/>
      <c r="AP302">
        <v>0</v>
      </c>
      <c r="AR302" t="s">
        <v>19</v>
      </c>
      <c r="AT302" s="3" t="s">
        <v>20</v>
      </c>
      <c r="AU302" s="8" t="e">
        <f t="shared" si="27"/>
        <v>#VALUE!</v>
      </c>
      <c r="AV302" s="8" t="e">
        <f t="shared" si="28"/>
        <v>#VALUE!</v>
      </c>
      <c r="AW302" s="8" t="e">
        <f t="shared" si="29"/>
        <v>#VALUE!</v>
      </c>
    </row>
    <row r="303" spans="1:49" x14ac:dyDescent="0.2">
      <c r="A303">
        <v>301</v>
      </c>
      <c r="B303" t="s">
        <v>3294</v>
      </c>
      <c r="F303" t="s">
        <v>3295</v>
      </c>
      <c r="G303" t="s">
        <v>4</v>
      </c>
      <c r="H303" t="s">
        <v>5</v>
      </c>
      <c r="I303" t="s">
        <v>3296</v>
      </c>
      <c r="N303">
        <v>1</v>
      </c>
      <c r="O303" t="s">
        <v>3297</v>
      </c>
      <c r="P303">
        <v>57213925102</v>
      </c>
      <c r="R303" s="1">
        <v>29952</v>
      </c>
      <c r="S303" s="2">
        <f t="shared" si="24"/>
        <v>1982</v>
      </c>
      <c r="T303" s="2">
        <v>1982</v>
      </c>
      <c r="U303" s="2">
        <f t="shared" si="25"/>
        <v>40</v>
      </c>
      <c r="V303" s="1" t="s">
        <v>3207</v>
      </c>
      <c r="W303" t="s">
        <v>3208</v>
      </c>
      <c r="X303" s="3" t="s">
        <v>20</v>
      </c>
      <c r="Y303" s="4" t="e">
        <f>(X303-'[1]1982'!$Z$4)/('[1]1982'!$Z$3-'[1]1982'!$Z$4)</f>
        <v>#VALUE!</v>
      </c>
      <c r="AA303">
        <v>959669</v>
      </c>
      <c r="AB303">
        <v>94658</v>
      </c>
      <c r="AD303" t="s">
        <v>15</v>
      </c>
      <c r="AE303">
        <v>12</v>
      </c>
      <c r="AF303">
        <v>2</v>
      </c>
      <c r="AH303" t="s">
        <v>3298</v>
      </c>
      <c r="AI303" t="s">
        <v>3299</v>
      </c>
      <c r="AK303" t="s">
        <v>3300</v>
      </c>
      <c r="AL303">
        <v>0</v>
      </c>
      <c r="AM303" s="5">
        <f t="shared" si="26"/>
        <v>0</v>
      </c>
      <c r="AN303" s="6">
        <f>(AM303-'[1]1982'!$AO$4)/('[1]1982'!$AO$3-'[1]1982'!$AO$4)</f>
        <v>0</v>
      </c>
      <c r="AO303" s="7"/>
      <c r="AP303">
        <v>0</v>
      </c>
      <c r="AR303" t="s">
        <v>19</v>
      </c>
      <c r="AT303" s="3" t="s">
        <v>20</v>
      </c>
      <c r="AU303" s="8" t="e">
        <f t="shared" si="27"/>
        <v>#VALUE!</v>
      </c>
      <c r="AV303" s="8" t="e">
        <f t="shared" si="28"/>
        <v>#VALUE!</v>
      </c>
      <c r="AW303" s="8" t="e">
        <f t="shared" si="29"/>
        <v>#VALUE!</v>
      </c>
    </row>
    <row r="304" spans="1:49" x14ac:dyDescent="0.2">
      <c r="A304">
        <v>302</v>
      </c>
      <c r="B304" t="s">
        <v>3301</v>
      </c>
      <c r="C304" t="s">
        <v>3302</v>
      </c>
      <c r="F304" t="s">
        <v>3303</v>
      </c>
      <c r="G304" t="s">
        <v>4</v>
      </c>
      <c r="H304" t="s">
        <v>5</v>
      </c>
      <c r="I304" t="s">
        <v>3304</v>
      </c>
      <c r="J304">
        <v>60010571</v>
      </c>
      <c r="K304" t="s">
        <v>3305</v>
      </c>
      <c r="L304" t="s">
        <v>3306</v>
      </c>
      <c r="M304" t="s">
        <v>1775</v>
      </c>
      <c r="N304">
        <v>2</v>
      </c>
      <c r="O304" t="s">
        <v>3307</v>
      </c>
      <c r="P304" t="s">
        <v>3308</v>
      </c>
      <c r="Q304" t="s">
        <v>3309</v>
      </c>
      <c r="R304" s="1">
        <v>29952</v>
      </c>
      <c r="S304" s="2">
        <f t="shared" si="24"/>
        <v>1982</v>
      </c>
      <c r="T304" s="2">
        <v>1982</v>
      </c>
      <c r="U304" s="2">
        <f t="shared" si="25"/>
        <v>40</v>
      </c>
      <c r="V304" s="1">
        <v>30195</v>
      </c>
      <c r="W304" t="s">
        <v>2417</v>
      </c>
      <c r="X304" s="3">
        <v>1.137</v>
      </c>
      <c r="Y304" s="4">
        <f>(X304-'[1]1982'!$Z$4)/('[1]1982'!$Z$3-'[1]1982'!$Z$4)</f>
        <v>3.0351565628253384E-2</v>
      </c>
      <c r="AA304">
        <v>189251</v>
      </c>
      <c r="AB304">
        <v>17336</v>
      </c>
      <c r="AD304" t="s">
        <v>15</v>
      </c>
      <c r="AE304" t="s">
        <v>2418</v>
      </c>
      <c r="AF304">
        <v>5</v>
      </c>
      <c r="AH304" t="s">
        <v>3310</v>
      </c>
      <c r="AI304" t="s">
        <v>3311</v>
      </c>
      <c r="AK304" t="s">
        <v>3312</v>
      </c>
      <c r="AL304">
        <v>17</v>
      </c>
      <c r="AM304" s="5">
        <f t="shared" si="26"/>
        <v>0.42499999999999999</v>
      </c>
      <c r="AN304" s="6">
        <f>(AM304-'[1]1982'!$AO$4)/('[1]1982'!$AO$3-'[1]1982'!$AO$4)</f>
        <v>6.4369556985990157E-4</v>
      </c>
      <c r="AO304" s="7"/>
      <c r="AP304">
        <v>0</v>
      </c>
      <c r="AR304" t="s">
        <v>19</v>
      </c>
      <c r="AT304" s="3" t="s">
        <v>20</v>
      </c>
      <c r="AU304" s="8">
        <f t="shared" si="27"/>
        <v>2.1439204610735336</v>
      </c>
      <c r="AV304" s="8">
        <f t="shared" si="28"/>
        <v>1.5497630599056642</v>
      </c>
      <c r="AW304" s="8">
        <f t="shared" si="29"/>
        <v>0.95560565873779468</v>
      </c>
    </row>
    <row r="305" spans="1:49" x14ac:dyDescent="0.2">
      <c r="A305">
        <v>303</v>
      </c>
      <c r="B305" t="s">
        <v>3313</v>
      </c>
      <c r="C305" t="s">
        <v>3314</v>
      </c>
      <c r="F305" t="s">
        <v>3315</v>
      </c>
      <c r="G305" t="s">
        <v>4</v>
      </c>
      <c r="H305" t="s">
        <v>5</v>
      </c>
      <c r="I305" t="s">
        <v>3316</v>
      </c>
      <c r="N305">
        <v>3</v>
      </c>
      <c r="O305" t="s">
        <v>3317</v>
      </c>
      <c r="P305" t="s">
        <v>3318</v>
      </c>
      <c r="Q305" t="s">
        <v>145</v>
      </c>
      <c r="R305" s="1">
        <v>29952</v>
      </c>
      <c r="S305" s="2">
        <f t="shared" si="24"/>
        <v>1982</v>
      </c>
      <c r="T305" s="2">
        <v>1982</v>
      </c>
      <c r="U305" s="2">
        <f t="shared" si="25"/>
        <v>40</v>
      </c>
      <c r="V305" s="1" t="s">
        <v>3217</v>
      </c>
      <c r="W305" t="s">
        <v>2385</v>
      </c>
      <c r="X305" s="3">
        <v>0.371</v>
      </c>
      <c r="Y305" s="4">
        <f>(X305-'[1]1982'!$Z$4)/('[1]1982'!$Z$3-'[1]1982'!$Z$4)</f>
        <v>9.9036331117695747E-3</v>
      </c>
      <c r="AA305">
        <v>486604</v>
      </c>
      <c r="AB305">
        <v>28580</v>
      </c>
      <c r="AC305" t="s">
        <v>2386</v>
      </c>
      <c r="AD305" t="s">
        <v>15</v>
      </c>
      <c r="AE305">
        <v>17</v>
      </c>
      <c r="AF305">
        <v>5</v>
      </c>
      <c r="AH305" t="s">
        <v>3319</v>
      </c>
      <c r="AI305" t="s">
        <v>3320</v>
      </c>
      <c r="AK305" t="s">
        <v>3321</v>
      </c>
      <c r="AL305">
        <v>21</v>
      </c>
      <c r="AM305" s="5">
        <f t="shared" si="26"/>
        <v>0.52500000000000002</v>
      </c>
      <c r="AN305" s="6">
        <f>(AM305-'[1]1982'!$AO$4)/('[1]1982'!$AO$3-'[1]1982'!$AO$4)</f>
        <v>7.9515335100340781E-4</v>
      </c>
      <c r="AO305" s="7"/>
      <c r="AP305">
        <v>0</v>
      </c>
      <c r="AR305" t="s">
        <v>19</v>
      </c>
      <c r="AT305" s="3">
        <v>1.431</v>
      </c>
      <c r="AU305" s="8">
        <f t="shared" si="27"/>
        <v>0.7171089183539725</v>
      </c>
      <c r="AV305" s="8">
        <f t="shared" si="28"/>
        <v>0.53493932313864911</v>
      </c>
      <c r="AW305" s="8">
        <f t="shared" si="29"/>
        <v>0.35276972792332578</v>
      </c>
    </row>
    <row r="306" spans="1:49" x14ac:dyDescent="0.2">
      <c r="A306">
        <v>304</v>
      </c>
      <c r="B306" t="s">
        <v>3322</v>
      </c>
      <c r="C306" t="s">
        <v>3323</v>
      </c>
      <c r="F306" t="s">
        <v>3324</v>
      </c>
      <c r="G306" t="s">
        <v>4</v>
      </c>
      <c r="H306" t="s">
        <v>5</v>
      </c>
      <c r="I306" t="s">
        <v>2457</v>
      </c>
      <c r="J306">
        <v>60102562</v>
      </c>
      <c r="K306" t="s">
        <v>3325</v>
      </c>
      <c r="L306" t="s">
        <v>3326</v>
      </c>
      <c r="M306" t="s">
        <v>9</v>
      </c>
      <c r="N306">
        <v>1</v>
      </c>
      <c r="O306" t="s">
        <v>2461</v>
      </c>
      <c r="P306">
        <v>7102870158</v>
      </c>
      <c r="Q306">
        <v>60102562</v>
      </c>
      <c r="R306" s="1">
        <v>29952</v>
      </c>
      <c r="S306" s="2">
        <f t="shared" si="24"/>
        <v>1982</v>
      </c>
      <c r="T306" s="2">
        <v>1982</v>
      </c>
      <c r="U306" s="2">
        <f t="shared" si="25"/>
        <v>40</v>
      </c>
      <c r="V306" s="1">
        <v>30195</v>
      </c>
      <c r="W306" t="s">
        <v>2417</v>
      </c>
      <c r="X306" s="3">
        <v>1.137</v>
      </c>
      <c r="Y306" s="4">
        <f>(X306-'[1]1982'!$Z$4)/('[1]1982'!$Z$3-'[1]1982'!$Z$4)</f>
        <v>3.0351565628253384E-2</v>
      </c>
      <c r="AA306">
        <v>189251</v>
      </c>
      <c r="AB306">
        <v>17336</v>
      </c>
      <c r="AD306" t="s">
        <v>15</v>
      </c>
      <c r="AE306" t="s">
        <v>2418</v>
      </c>
      <c r="AF306">
        <v>5</v>
      </c>
      <c r="AH306" t="s">
        <v>3327</v>
      </c>
      <c r="AI306" t="s">
        <v>3328</v>
      </c>
      <c r="AK306" t="s">
        <v>3329</v>
      </c>
      <c r="AL306">
        <v>6</v>
      </c>
      <c r="AM306" s="5">
        <f t="shared" si="26"/>
        <v>0.15</v>
      </c>
      <c r="AN306" s="6">
        <f>(AM306-'[1]1982'!$AO$4)/('[1]1982'!$AO$3-'[1]1982'!$AO$4)</f>
        <v>2.2718667171525936E-4</v>
      </c>
      <c r="AO306" s="7"/>
      <c r="AP306">
        <v>0</v>
      </c>
      <c r="AR306" t="s">
        <v>19</v>
      </c>
      <c r="AT306" s="3" t="s">
        <v>20</v>
      </c>
      <c r="AU306" s="8">
        <f t="shared" si="27"/>
        <v>2.1314251941291942</v>
      </c>
      <c r="AV306" s="8">
        <f t="shared" si="28"/>
        <v>1.5289376149984322</v>
      </c>
      <c r="AW306" s="8">
        <f t="shared" si="29"/>
        <v>0.92645003586766983</v>
      </c>
    </row>
    <row r="307" spans="1:49" x14ac:dyDescent="0.2">
      <c r="A307">
        <v>305</v>
      </c>
      <c r="B307" t="s">
        <v>3330</v>
      </c>
      <c r="F307" t="s">
        <v>3331</v>
      </c>
      <c r="G307" t="s">
        <v>4</v>
      </c>
      <c r="H307" t="s">
        <v>5</v>
      </c>
      <c r="I307" t="s">
        <v>3332</v>
      </c>
      <c r="N307">
        <v>1</v>
      </c>
      <c r="O307" t="s">
        <v>3333</v>
      </c>
      <c r="P307">
        <v>7003655363</v>
      </c>
      <c r="R307" s="1">
        <v>29952</v>
      </c>
      <c r="S307" s="2">
        <f t="shared" si="24"/>
        <v>1982</v>
      </c>
      <c r="T307" s="2">
        <v>1982</v>
      </c>
      <c r="U307" s="2">
        <f t="shared" si="25"/>
        <v>40</v>
      </c>
      <c r="V307" s="1" t="s">
        <v>2992</v>
      </c>
      <c r="W307" t="s">
        <v>2185</v>
      </c>
      <c r="X307" s="3">
        <v>0.14099999999999999</v>
      </c>
      <c r="Y307" s="4">
        <f>(X307-'[1]1982'!$Z$4)/('[1]1982'!$Z$3-'[1]1982'!$Z$4)</f>
        <v>3.7639144710498915E-3</v>
      </c>
      <c r="AA307">
        <v>402508</v>
      </c>
      <c r="AB307">
        <v>20868</v>
      </c>
      <c r="AD307" t="s">
        <v>15</v>
      </c>
      <c r="AE307" t="s">
        <v>2186</v>
      </c>
      <c r="AF307">
        <v>9</v>
      </c>
      <c r="AH307" t="s">
        <v>3334</v>
      </c>
      <c r="AI307" t="s">
        <v>3335</v>
      </c>
      <c r="AK307" t="s">
        <v>3336</v>
      </c>
      <c r="AL307">
        <v>0</v>
      </c>
      <c r="AM307" s="5">
        <f t="shared" si="26"/>
        <v>0</v>
      </c>
      <c r="AN307" s="6">
        <f>(AM307-'[1]1982'!$AO$4)/('[1]1982'!$AO$3-'[1]1982'!$AO$4)</f>
        <v>0</v>
      </c>
      <c r="AO307" s="7"/>
      <c r="AP307">
        <v>0</v>
      </c>
      <c r="AR307" t="s">
        <v>19</v>
      </c>
      <c r="AT307" s="3" t="s">
        <v>20</v>
      </c>
      <c r="AU307" s="8">
        <f t="shared" si="27"/>
        <v>0.26347401297349238</v>
      </c>
      <c r="AV307" s="8">
        <f t="shared" si="28"/>
        <v>0.18819572355249459</v>
      </c>
      <c r="AW307" s="8">
        <f t="shared" si="29"/>
        <v>0.11291743413149673</v>
      </c>
    </row>
    <row r="308" spans="1:49" x14ac:dyDescent="0.2">
      <c r="A308">
        <v>306</v>
      </c>
      <c r="B308" t="s">
        <v>3337</v>
      </c>
      <c r="F308" t="s">
        <v>3338</v>
      </c>
      <c r="G308" t="s">
        <v>4</v>
      </c>
      <c r="H308" t="s">
        <v>5</v>
      </c>
      <c r="I308" t="s">
        <v>3339</v>
      </c>
      <c r="N308">
        <v>3</v>
      </c>
      <c r="O308" t="s">
        <v>3340</v>
      </c>
      <c r="P308" t="s">
        <v>3341</v>
      </c>
      <c r="Q308" t="s">
        <v>145</v>
      </c>
      <c r="R308" s="1">
        <v>29952</v>
      </c>
      <c r="S308" s="2">
        <f t="shared" si="24"/>
        <v>1982</v>
      </c>
      <c r="T308" s="2">
        <v>1982</v>
      </c>
      <c r="U308" s="2">
        <f t="shared" si="25"/>
        <v>40</v>
      </c>
      <c r="V308" s="1" t="s">
        <v>2992</v>
      </c>
      <c r="W308" t="s">
        <v>2185</v>
      </c>
      <c r="X308" s="3">
        <v>0.14099999999999999</v>
      </c>
      <c r="Y308" s="4">
        <f>(X308-'[1]1982'!$Z$4)/('[1]1982'!$Z$3-'[1]1982'!$Z$4)</f>
        <v>3.7639144710498915E-3</v>
      </c>
      <c r="AA308">
        <v>402508</v>
      </c>
      <c r="AB308">
        <v>20868</v>
      </c>
      <c r="AD308" t="s">
        <v>15</v>
      </c>
      <c r="AE308" t="s">
        <v>2186</v>
      </c>
      <c r="AF308">
        <v>9</v>
      </c>
      <c r="AH308" t="s">
        <v>3342</v>
      </c>
      <c r="AI308" t="s">
        <v>3343</v>
      </c>
      <c r="AK308" t="s">
        <v>3344</v>
      </c>
      <c r="AL308">
        <v>0</v>
      </c>
      <c r="AM308" s="5">
        <f t="shared" si="26"/>
        <v>0</v>
      </c>
      <c r="AN308" s="6">
        <f>(AM308-'[1]1982'!$AO$4)/('[1]1982'!$AO$3-'[1]1982'!$AO$4)</f>
        <v>0</v>
      </c>
      <c r="AO308" s="7"/>
      <c r="AP308">
        <v>0</v>
      </c>
      <c r="AR308" t="s">
        <v>19</v>
      </c>
      <c r="AT308" s="3" t="s">
        <v>20</v>
      </c>
      <c r="AU308" s="8">
        <f t="shared" si="27"/>
        <v>0.26347401297349238</v>
      </c>
      <c r="AV308" s="8">
        <f t="shared" si="28"/>
        <v>0.18819572355249459</v>
      </c>
      <c r="AW308" s="8">
        <f t="shared" si="29"/>
        <v>0.11291743413149673</v>
      </c>
    </row>
    <row r="309" spans="1:49" x14ac:dyDescent="0.2">
      <c r="A309">
        <v>307</v>
      </c>
      <c r="B309" t="s">
        <v>3345</v>
      </c>
      <c r="F309" t="s">
        <v>3346</v>
      </c>
      <c r="G309" t="s">
        <v>4</v>
      </c>
      <c r="H309" t="s">
        <v>5</v>
      </c>
      <c r="I309" t="s">
        <v>3347</v>
      </c>
      <c r="N309">
        <v>4</v>
      </c>
      <c r="O309" t="s">
        <v>3348</v>
      </c>
      <c r="P309" t="s">
        <v>3349</v>
      </c>
      <c r="Q309" t="s">
        <v>165</v>
      </c>
      <c r="R309" s="1">
        <v>29952</v>
      </c>
      <c r="S309" s="2">
        <f t="shared" si="24"/>
        <v>1982</v>
      </c>
      <c r="T309" s="2">
        <v>1982</v>
      </c>
      <c r="U309" s="2">
        <f t="shared" si="25"/>
        <v>40</v>
      </c>
      <c r="V309" s="1" t="s">
        <v>2992</v>
      </c>
      <c r="W309" t="s">
        <v>1643</v>
      </c>
      <c r="X309" s="3" t="s">
        <v>20</v>
      </c>
      <c r="Y309" s="4" t="e">
        <f>(X309-'[1]1982'!$Z$4)/('[1]1982'!$Z$3-'[1]1982'!$Z$4)</f>
        <v>#VALUE!</v>
      </c>
      <c r="AA309">
        <v>337889</v>
      </c>
      <c r="AB309">
        <v>40920</v>
      </c>
      <c r="AD309" t="s">
        <v>15</v>
      </c>
      <c r="AE309">
        <v>27</v>
      </c>
      <c r="AF309">
        <v>9</v>
      </c>
      <c r="AH309" t="s">
        <v>3350</v>
      </c>
      <c r="AI309" t="s">
        <v>3351</v>
      </c>
      <c r="AK309" t="s">
        <v>3352</v>
      </c>
      <c r="AL309">
        <v>1</v>
      </c>
      <c r="AM309" s="5">
        <f t="shared" si="26"/>
        <v>2.5000000000000001E-2</v>
      </c>
      <c r="AN309" s="6">
        <f>(AM309-'[1]1982'!$AO$4)/('[1]1982'!$AO$3-'[1]1982'!$AO$4)</f>
        <v>3.7864445285876567E-5</v>
      </c>
      <c r="AO309" s="7"/>
      <c r="AP309">
        <v>0</v>
      </c>
      <c r="AR309" t="s">
        <v>19</v>
      </c>
      <c r="AT309" s="3" t="s">
        <v>20</v>
      </c>
      <c r="AU309" s="8" t="e">
        <f t="shared" si="27"/>
        <v>#VALUE!</v>
      </c>
      <c r="AV309" s="8" t="e">
        <f t="shared" si="28"/>
        <v>#VALUE!</v>
      </c>
      <c r="AW309" s="8" t="e">
        <f t="shared" si="29"/>
        <v>#VALUE!</v>
      </c>
    </row>
    <row r="310" spans="1:49" x14ac:dyDescent="0.2">
      <c r="A310">
        <v>308</v>
      </c>
      <c r="B310" t="s">
        <v>3353</v>
      </c>
      <c r="F310" t="s">
        <v>3354</v>
      </c>
      <c r="G310" t="s">
        <v>4</v>
      </c>
      <c r="H310" t="s">
        <v>5</v>
      </c>
      <c r="I310" t="s">
        <v>3355</v>
      </c>
      <c r="N310">
        <v>3</v>
      </c>
      <c r="O310" t="s">
        <v>3356</v>
      </c>
      <c r="P310" t="s">
        <v>3357</v>
      </c>
      <c r="Q310" t="s">
        <v>145</v>
      </c>
      <c r="R310" s="1">
        <v>29952</v>
      </c>
      <c r="S310" s="2">
        <f t="shared" si="24"/>
        <v>1982</v>
      </c>
      <c r="T310" s="2">
        <v>1982</v>
      </c>
      <c r="U310" s="2">
        <f t="shared" si="25"/>
        <v>40</v>
      </c>
      <c r="V310" s="1" t="s">
        <v>2992</v>
      </c>
      <c r="W310" t="s">
        <v>3358</v>
      </c>
      <c r="X310" s="3" t="s">
        <v>20</v>
      </c>
      <c r="Y310" s="4" t="e">
        <f>(X310-'[1]1982'!$Z$4)/('[1]1982'!$Z$3-'[1]1982'!$Z$4)</f>
        <v>#VALUE!</v>
      </c>
      <c r="AA310" t="s">
        <v>3359</v>
      </c>
      <c r="AB310">
        <v>30906</v>
      </c>
      <c r="AD310" t="s">
        <v>15</v>
      </c>
      <c r="AE310" t="s">
        <v>3360</v>
      </c>
      <c r="AF310">
        <v>9</v>
      </c>
      <c r="AH310" t="s">
        <v>3361</v>
      </c>
      <c r="AI310" t="s">
        <v>3362</v>
      </c>
      <c r="AK310" t="s">
        <v>3363</v>
      </c>
      <c r="AL310">
        <v>3</v>
      </c>
      <c r="AM310" s="5">
        <f t="shared" si="26"/>
        <v>7.4999999999999997E-2</v>
      </c>
      <c r="AN310" s="6">
        <f>(AM310-'[1]1982'!$AO$4)/('[1]1982'!$AO$3-'[1]1982'!$AO$4)</f>
        <v>1.1359333585762968E-4</v>
      </c>
      <c r="AO310" s="7"/>
      <c r="AP310">
        <v>0</v>
      </c>
      <c r="AR310" t="s">
        <v>19</v>
      </c>
      <c r="AT310" s="3" t="s">
        <v>20</v>
      </c>
      <c r="AU310" s="8" t="e">
        <f t="shared" si="27"/>
        <v>#VALUE!</v>
      </c>
      <c r="AV310" s="8" t="e">
        <f t="shared" si="28"/>
        <v>#VALUE!</v>
      </c>
      <c r="AW310" s="8" t="e">
        <f t="shared" si="29"/>
        <v>#VALUE!</v>
      </c>
    </row>
    <row r="311" spans="1:49" x14ac:dyDescent="0.2">
      <c r="A311">
        <v>309</v>
      </c>
      <c r="B311" t="s">
        <v>3364</v>
      </c>
      <c r="C311" t="s">
        <v>3365</v>
      </c>
      <c r="F311" t="s">
        <v>3366</v>
      </c>
      <c r="G311" t="s">
        <v>4</v>
      </c>
      <c r="H311" t="s">
        <v>5</v>
      </c>
      <c r="I311" t="s">
        <v>3367</v>
      </c>
      <c r="N311">
        <v>1</v>
      </c>
      <c r="O311" t="s">
        <v>3368</v>
      </c>
      <c r="P311">
        <v>57191227423</v>
      </c>
      <c r="R311" s="1">
        <v>29952</v>
      </c>
      <c r="S311" s="2">
        <f t="shared" si="24"/>
        <v>1982</v>
      </c>
      <c r="T311" s="2">
        <v>1982</v>
      </c>
      <c r="U311" s="2">
        <f t="shared" si="25"/>
        <v>40</v>
      </c>
      <c r="V311" s="1" t="s">
        <v>3217</v>
      </c>
      <c r="W311" t="s">
        <v>2385</v>
      </c>
      <c r="X311" s="3">
        <v>0.371</v>
      </c>
      <c r="Y311" s="4">
        <f>(X311-'[1]1982'!$Z$4)/('[1]1982'!$Z$3-'[1]1982'!$Z$4)</f>
        <v>9.9036331117695747E-3</v>
      </c>
      <c r="AA311">
        <v>486604</v>
      </c>
      <c r="AB311">
        <v>28580</v>
      </c>
      <c r="AC311" t="s">
        <v>2386</v>
      </c>
      <c r="AD311" t="s">
        <v>15</v>
      </c>
      <c r="AE311">
        <v>17</v>
      </c>
      <c r="AF311">
        <v>5</v>
      </c>
      <c r="AH311" t="s">
        <v>3369</v>
      </c>
      <c r="AI311" t="s">
        <v>3370</v>
      </c>
      <c r="AK311" t="s">
        <v>3371</v>
      </c>
      <c r="AL311">
        <v>10</v>
      </c>
      <c r="AM311" s="5">
        <f t="shared" si="26"/>
        <v>0.25</v>
      </c>
      <c r="AN311" s="6">
        <f>(AM311-'[1]1982'!$AO$4)/('[1]1982'!$AO$3-'[1]1982'!$AO$4)</f>
        <v>3.786444528587656E-4</v>
      </c>
      <c r="AO311" s="7"/>
      <c r="AP311">
        <v>0</v>
      </c>
      <c r="AR311" t="s">
        <v>19</v>
      </c>
      <c r="AT311" s="3">
        <v>1.431</v>
      </c>
      <c r="AU311" s="8">
        <f t="shared" si="27"/>
        <v>0.70461365140963317</v>
      </c>
      <c r="AV311" s="8">
        <f t="shared" si="28"/>
        <v>0.51411387823141697</v>
      </c>
      <c r="AW311" s="8">
        <f t="shared" si="29"/>
        <v>0.32361410505320082</v>
      </c>
    </row>
    <row r="312" spans="1:49" x14ac:dyDescent="0.2">
      <c r="A312">
        <v>310</v>
      </c>
      <c r="B312" t="s">
        <v>3372</v>
      </c>
      <c r="C312" t="s">
        <v>3373</v>
      </c>
      <c r="F312" t="s">
        <v>3374</v>
      </c>
      <c r="G312" t="s">
        <v>4</v>
      </c>
      <c r="H312" t="s">
        <v>5</v>
      </c>
      <c r="I312" t="s">
        <v>3375</v>
      </c>
      <c r="N312">
        <v>2</v>
      </c>
      <c r="O312" t="s">
        <v>3376</v>
      </c>
      <c r="P312" t="s">
        <v>3377</v>
      </c>
      <c r="Q312" t="s">
        <v>156</v>
      </c>
      <c r="R312" s="1">
        <v>29952</v>
      </c>
      <c r="S312" s="2">
        <f t="shared" si="24"/>
        <v>1982</v>
      </c>
      <c r="T312" s="2">
        <v>1982</v>
      </c>
      <c r="U312" s="2">
        <f t="shared" si="25"/>
        <v>40</v>
      </c>
      <c r="V312" s="1" t="s">
        <v>3217</v>
      </c>
      <c r="W312" t="s">
        <v>2385</v>
      </c>
      <c r="X312" s="3">
        <v>0.371</v>
      </c>
      <c r="Y312" s="4">
        <f>(X312-'[1]1982'!$Z$4)/('[1]1982'!$Z$3-'[1]1982'!$Z$4)</f>
        <v>9.9036331117695747E-3</v>
      </c>
      <c r="AA312">
        <v>486604</v>
      </c>
      <c r="AB312">
        <v>28580</v>
      </c>
      <c r="AC312" t="s">
        <v>2386</v>
      </c>
      <c r="AD312" t="s">
        <v>15</v>
      </c>
      <c r="AE312">
        <v>17</v>
      </c>
      <c r="AF312">
        <v>5</v>
      </c>
      <c r="AH312" t="s">
        <v>3378</v>
      </c>
      <c r="AI312" t="s">
        <v>3379</v>
      </c>
      <c r="AK312" t="s">
        <v>3380</v>
      </c>
      <c r="AL312">
        <v>11</v>
      </c>
      <c r="AM312" s="5">
        <f t="shared" si="26"/>
        <v>0.27500000000000002</v>
      </c>
      <c r="AN312" s="6">
        <f>(AM312-'[1]1982'!$AO$4)/('[1]1982'!$AO$3-'[1]1982'!$AO$4)</f>
        <v>4.1650889814464221E-4</v>
      </c>
      <c r="AO312" s="7"/>
      <c r="AP312">
        <v>0</v>
      </c>
      <c r="AR312" t="s">
        <v>19</v>
      </c>
      <c r="AT312" s="3">
        <v>1.431</v>
      </c>
      <c r="AU312" s="8">
        <f t="shared" si="27"/>
        <v>0.70574958476820937</v>
      </c>
      <c r="AV312" s="8">
        <f t="shared" si="28"/>
        <v>0.51600710049571086</v>
      </c>
      <c r="AW312" s="8">
        <f t="shared" si="29"/>
        <v>0.32626461622321218</v>
      </c>
    </row>
    <row r="313" spans="1:49" x14ac:dyDescent="0.2">
      <c r="A313">
        <v>311</v>
      </c>
      <c r="B313" t="s">
        <v>3381</v>
      </c>
      <c r="F313" t="s">
        <v>3382</v>
      </c>
      <c r="G313" t="s">
        <v>4</v>
      </c>
      <c r="H313" t="s">
        <v>5</v>
      </c>
      <c r="I313" t="s">
        <v>3383</v>
      </c>
      <c r="N313">
        <v>3</v>
      </c>
      <c r="O313" t="s">
        <v>3384</v>
      </c>
      <c r="P313" t="s">
        <v>3385</v>
      </c>
      <c r="Q313" t="s">
        <v>145</v>
      </c>
      <c r="R313" s="1">
        <v>29952</v>
      </c>
      <c r="S313" s="2">
        <f t="shared" si="24"/>
        <v>1982</v>
      </c>
      <c r="T313" s="2">
        <v>1982</v>
      </c>
      <c r="U313" s="2">
        <f t="shared" si="25"/>
        <v>40</v>
      </c>
      <c r="V313" s="1" t="s">
        <v>2992</v>
      </c>
      <c r="W313" t="s">
        <v>2185</v>
      </c>
      <c r="X313" s="3">
        <v>0.14099999999999999</v>
      </c>
      <c r="Y313" s="4">
        <f>(X313-'[1]1982'!$Z$4)/('[1]1982'!$Z$3-'[1]1982'!$Z$4)</f>
        <v>3.7639144710498915E-3</v>
      </c>
      <c r="AA313">
        <v>402508</v>
      </c>
      <c r="AB313">
        <v>20868</v>
      </c>
      <c r="AD313" t="s">
        <v>15</v>
      </c>
      <c r="AE313" t="s">
        <v>2186</v>
      </c>
      <c r="AF313">
        <v>9</v>
      </c>
      <c r="AH313" t="s">
        <v>3386</v>
      </c>
      <c r="AI313" t="s">
        <v>3387</v>
      </c>
      <c r="AK313" t="s">
        <v>3388</v>
      </c>
      <c r="AL313">
        <v>0</v>
      </c>
      <c r="AM313" s="5">
        <f t="shared" si="26"/>
        <v>0</v>
      </c>
      <c r="AN313" s="6">
        <f>(AM313-'[1]1982'!$AO$4)/('[1]1982'!$AO$3-'[1]1982'!$AO$4)</f>
        <v>0</v>
      </c>
      <c r="AO313" s="7"/>
      <c r="AP313">
        <v>0</v>
      </c>
      <c r="AR313" t="s">
        <v>19</v>
      </c>
      <c r="AT313" s="3" t="s">
        <v>20</v>
      </c>
      <c r="AU313" s="8">
        <f t="shared" si="27"/>
        <v>0.26347401297349238</v>
      </c>
      <c r="AV313" s="8">
        <f t="shared" si="28"/>
        <v>0.18819572355249459</v>
      </c>
      <c r="AW313" s="8">
        <f t="shared" si="29"/>
        <v>0.11291743413149673</v>
      </c>
    </row>
    <row r="314" spans="1:49" x14ac:dyDescent="0.2">
      <c r="A314">
        <v>312</v>
      </c>
      <c r="B314" t="s">
        <v>3389</v>
      </c>
      <c r="C314" t="s">
        <v>3390</v>
      </c>
      <c r="F314" t="s">
        <v>3391</v>
      </c>
      <c r="G314" t="s">
        <v>4</v>
      </c>
      <c r="H314" t="s">
        <v>5</v>
      </c>
      <c r="I314" t="s">
        <v>3392</v>
      </c>
      <c r="N314">
        <v>2</v>
      </c>
      <c r="O314" t="s">
        <v>3393</v>
      </c>
      <c r="P314" t="s">
        <v>3394</v>
      </c>
      <c r="Q314" t="s">
        <v>156</v>
      </c>
      <c r="R314" s="1">
        <v>29952</v>
      </c>
      <c r="S314" s="2">
        <f t="shared" si="24"/>
        <v>1982</v>
      </c>
      <c r="T314" s="2">
        <v>1982</v>
      </c>
      <c r="U314" s="2">
        <f t="shared" si="25"/>
        <v>40</v>
      </c>
      <c r="V314" s="1" t="s">
        <v>3217</v>
      </c>
      <c r="W314" t="s">
        <v>2385</v>
      </c>
      <c r="X314" s="3">
        <v>0.371</v>
      </c>
      <c r="Y314" s="4">
        <f>(X314-'[1]1982'!$Z$4)/('[1]1982'!$Z$3-'[1]1982'!$Z$4)</f>
        <v>9.9036331117695747E-3</v>
      </c>
      <c r="AA314">
        <v>486604</v>
      </c>
      <c r="AB314">
        <v>28580</v>
      </c>
      <c r="AC314" t="s">
        <v>2386</v>
      </c>
      <c r="AD314" t="s">
        <v>15</v>
      </c>
      <c r="AE314">
        <v>17</v>
      </c>
      <c r="AF314">
        <v>5</v>
      </c>
      <c r="AH314" t="s">
        <v>3395</v>
      </c>
      <c r="AI314" t="s">
        <v>3396</v>
      </c>
      <c r="AK314" t="s">
        <v>3397</v>
      </c>
      <c r="AL314">
        <v>17</v>
      </c>
      <c r="AM314" s="5">
        <f t="shared" si="26"/>
        <v>0.42499999999999999</v>
      </c>
      <c r="AN314" s="6">
        <f>(AM314-'[1]1982'!$AO$4)/('[1]1982'!$AO$3-'[1]1982'!$AO$4)</f>
        <v>6.4369556985990157E-4</v>
      </c>
      <c r="AO314" s="7"/>
      <c r="AP314">
        <v>0</v>
      </c>
      <c r="AR314" t="s">
        <v>19</v>
      </c>
      <c r="AT314" s="3">
        <v>1.431</v>
      </c>
      <c r="AU314" s="8">
        <f t="shared" si="27"/>
        <v>0.71256518491966725</v>
      </c>
      <c r="AV314" s="8">
        <f t="shared" si="28"/>
        <v>0.52736643408147388</v>
      </c>
      <c r="AW314" s="8">
        <f t="shared" si="29"/>
        <v>0.34216768324328034</v>
      </c>
    </row>
    <row r="315" spans="1:49" x14ac:dyDescent="0.2">
      <c r="A315">
        <v>313</v>
      </c>
      <c r="B315" t="s">
        <v>3398</v>
      </c>
      <c r="C315" t="s">
        <v>3399</v>
      </c>
      <c r="F315" t="s">
        <v>3400</v>
      </c>
      <c r="G315" t="s">
        <v>4</v>
      </c>
      <c r="H315" t="s">
        <v>5</v>
      </c>
      <c r="I315" t="s">
        <v>3401</v>
      </c>
      <c r="J315">
        <v>60024324</v>
      </c>
      <c r="K315" t="s">
        <v>3402</v>
      </c>
      <c r="L315" t="s">
        <v>3403</v>
      </c>
      <c r="M315" t="s">
        <v>9</v>
      </c>
      <c r="N315">
        <v>3</v>
      </c>
      <c r="O315" t="s">
        <v>3404</v>
      </c>
      <c r="P315" t="s">
        <v>3405</v>
      </c>
      <c r="Q315" t="s">
        <v>3406</v>
      </c>
      <c r="R315" s="1">
        <v>29952</v>
      </c>
      <c r="S315" s="2">
        <f t="shared" si="24"/>
        <v>1982</v>
      </c>
      <c r="T315" s="2">
        <v>1982</v>
      </c>
      <c r="U315" s="2">
        <f t="shared" si="25"/>
        <v>40</v>
      </c>
      <c r="V315" s="1">
        <v>30195</v>
      </c>
      <c r="W315" t="s">
        <v>3407</v>
      </c>
      <c r="X315" s="3">
        <v>0.46</v>
      </c>
      <c r="Y315" s="4">
        <f>(X315-'[1]1982'!$Z$4)/('[1]1982'!$Z$3-'[1]1982'!$Z$4)</f>
        <v>1.2279437281439364E-2</v>
      </c>
      <c r="AA315">
        <v>933813</v>
      </c>
      <c r="AB315">
        <v>28031</v>
      </c>
      <c r="AC315">
        <v>19399375</v>
      </c>
      <c r="AD315" t="s">
        <v>15</v>
      </c>
      <c r="AE315">
        <v>10</v>
      </c>
      <c r="AF315">
        <v>3</v>
      </c>
      <c r="AH315" t="s">
        <v>3408</v>
      </c>
      <c r="AI315" t="s">
        <v>3409</v>
      </c>
      <c r="AK315" t="s">
        <v>3410</v>
      </c>
      <c r="AL315">
        <v>1</v>
      </c>
      <c r="AM315" s="5">
        <f t="shared" si="26"/>
        <v>2.5000000000000001E-2</v>
      </c>
      <c r="AN315" s="6">
        <f>(AM315-'[1]1982'!$AO$4)/('[1]1982'!$AO$3-'[1]1982'!$AO$4)</f>
        <v>3.7864445285876567E-5</v>
      </c>
      <c r="AO315" s="7"/>
      <c r="AP315">
        <v>0</v>
      </c>
      <c r="AR315" t="s">
        <v>19</v>
      </c>
      <c r="AT315" s="3">
        <v>1.222</v>
      </c>
      <c r="AU315" s="8">
        <f t="shared" si="27"/>
        <v>0.86069654305933152</v>
      </c>
      <c r="AV315" s="8">
        <f t="shared" si="28"/>
        <v>0.61586508633626202</v>
      </c>
      <c r="AW315" s="8">
        <f t="shared" si="29"/>
        <v>0.37103362961319225</v>
      </c>
    </row>
    <row r="316" spans="1:49" x14ac:dyDescent="0.2">
      <c r="A316">
        <v>314</v>
      </c>
      <c r="B316" t="s">
        <v>3411</v>
      </c>
      <c r="C316" t="s">
        <v>3412</v>
      </c>
      <c r="F316" t="s">
        <v>3413</v>
      </c>
      <c r="G316" t="s">
        <v>4</v>
      </c>
      <c r="H316" t="s">
        <v>5</v>
      </c>
      <c r="I316" t="s">
        <v>3414</v>
      </c>
      <c r="J316">
        <v>60121438</v>
      </c>
      <c r="K316" t="s">
        <v>116</v>
      </c>
      <c r="L316" t="s">
        <v>117</v>
      </c>
      <c r="M316" t="s">
        <v>9</v>
      </c>
      <c r="N316">
        <v>3</v>
      </c>
      <c r="O316" t="s">
        <v>3415</v>
      </c>
      <c r="P316" t="s">
        <v>3416</v>
      </c>
      <c r="Q316" t="s">
        <v>3417</v>
      </c>
      <c r="R316" s="1">
        <v>29952</v>
      </c>
      <c r="S316" s="2">
        <f t="shared" si="24"/>
        <v>1982</v>
      </c>
      <c r="T316" s="2">
        <v>1982</v>
      </c>
      <c r="U316" s="2">
        <f t="shared" si="25"/>
        <v>40</v>
      </c>
      <c r="V316" s="1">
        <v>30164</v>
      </c>
      <c r="W316" t="s">
        <v>1795</v>
      </c>
      <c r="X316" s="3">
        <v>1.3720000000000001</v>
      </c>
      <c r="Y316" s="4">
        <f>(X316-'[1]1982'!$Z$4)/('[1]1982'!$Z$3-'[1]1982'!$Z$4)</f>
        <v>3.662475641333654E-2</v>
      </c>
      <c r="AA316">
        <v>189480</v>
      </c>
      <c r="AB316">
        <v>17366</v>
      </c>
      <c r="AC316">
        <v>15579670</v>
      </c>
      <c r="AD316" t="s">
        <v>15</v>
      </c>
      <c r="AE316">
        <v>30</v>
      </c>
      <c r="AF316">
        <v>8</v>
      </c>
      <c r="AH316" t="s">
        <v>3418</v>
      </c>
      <c r="AI316" t="s">
        <v>3419</v>
      </c>
      <c r="AK316" t="s">
        <v>3420</v>
      </c>
      <c r="AL316">
        <v>16</v>
      </c>
      <c r="AM316" s="5">
        <f t="shared" si="26"/>
        <v>0.4</v>
      </c>
      <c r="AN316" s="6">
        <f>(AM316-'[1]1982'!$AO$4)/('[1]1982'!$AO$3-'[1]1982'!$AO$4)</f>
        <v>6.0583112457402507E-4</v>
      </c>
      <c r="AO316" s="7"/>
      <c r="AP316">
        <v>0</v>
      </c>
      <c r="AR316" t="s">
        <v>19</v>
      </c>
      <c r="AT316" s="3" t="s">
        <v>20</v>
      </c>
      <c r="AU316" s="8">
        <f t="shared" si="27"/>
        <v>2.5819078826707784</v>
      </c>
      <c r="AV316" s="8">
        <f t="shared" si="28"/>
        <v>1.8615293768955283</v>
      </c>
      <c r="AW316" s="8">
        <f t="shared" si="29"/>
        <v>1.141150871120278</v>
      </c>
    </row>
    <row r="317" spans="1:49" x14ac:dyDescent="0.2">
      <c r="A317">
        <v>315</v>
      </c>
      <c r="B317" t="s">
        <v>3421</v>
      </c>
      <c r="C317" t="s">
        <v>3422</v>
      </c>
      <c r="F317" t="s">
        <v>3423</v>
      </c>
      <c r="G317" t="s">
        <v>4</v>
      </c>
      <c r="H317" t="s">
        <v>5</v>
      </c>
      <c r="I317" t="s">
        <v>3424</v>
      </c>
      <c r="J317">
        <v>60021097</v>
      </c>
      <c r="K317" t="s">
        <v>808</v>
      </c>
      <c r="L317" t="s">
        <v>809</v>
      </c>
      <c r="M317" t="s">
        <v>94</v>
      </c>
      <c r="N317">
        <v>2</v>
      </c>
      <c r="O317" t="s">
        <v>3425</v>
      </c>
      <c r="P317" t="s">
        <v>3426</v>
      </c>
      <c r="Q317" t="s">
        <v>3427</v>
      </c>
      <c r="R317" s="1">
        <v>29952</v>
      </c>
      <c r="S317" s="2">
        <f t="shared" si="24"/>
        <v>1982</v>
      </c>
      <c r="T317" s="2">
        <v>1982</v>
      </c>
      <c r="U317" s="2">
        <f t="shared" si="25"/>
        <v>40</v>
      </c>
      <c r="V317" s="1">
        <v>29983</v>
      </c>
      <c r="W317" t="s">
        <v>811</v>
      </c>
      <c r="X317" s="3" t="s">
        <v>20</v>
      </c>
      <c r="Y317" s="4" t="e">
        <f>(X317-'[1]1982'!$Z$4)/('[1]1982'!$Z$3-'[1]1982'!$Z$4)</f>
        <v>#VALUE!</v>
      </c>
      <c r="AA317">
        <v>337722</v>
      </c>
      <c r="AB317">
        <v>35312</v>
      </c>
      <c r="AD317" t="s">
        <v>15</v>
      </c>
      <c r="AE317">
        <v>52</v>
      </c>
      <c r="AH317" t="s">
        <v>3428</v>
      </c>
      <c r="AI317" t="s">
        <v>3429</v>
      </c>
      <c r="AJ317" t="s">
        <v>3430</v>
      </c>
      <c r="AK317" t="s">
        <v>3431</v>
      </c>
      <c r="AL317">
        <v>0</v>
      </c>
      <c r="AM317" s="5">
        <f t="shared" si="26"/>
        <v>0</v>
      </c>
      <c r="AN317" s="6">
        <f>(AM317-'[1]1982'!$AO$4)/('[1]1982'!$AO$3-'[1]1982'!$AO$4)</f>
        <v>0</v>
      </c>
      <c r="AO317" s="7"/>
      <c r="AP317">
        <v>0</v>
      </c>
      <c r="AR317" t="s">
        <v>19</v>
      </c>
      <c r="AT317" s="3" t="s">
        <v>20</v>
      </c>
      <c r="AU317" s="8" t="e">
        <f t="shared" si="27"/>
        <v>#VALUE!</v>
      </c>
      <c r="AV317" s="8" t="e">
        <f t="shared" si="28"/>
        <v>#VALUE!</v>
      </c>
      <c r="AW317" s="8" t="e">
        <f t="shared" si="29"/>
        <v>#VALUE!</v>
      </c>
    </row>
    <row r="318" spans="1:49" x14ac:dyDescent="0.2">
      <c r="A318">
        <v>316</v>
      </c>
      <c r="B318" t="s">
        <v>3432</v>
      </c>
      <c r="C318" t="s">
        <v>3433</v>
      </c>
      <c r="F318" t="s">
        <v>3434</v>
      </c>
      <c r="G318" t="s">
        <v>4</v>
      </c>
      <c r="H318" t="s">
        <v>5</v>
      </c>
      <c r="I318" t="s">
        <v>3435</v>
      </c>
      <c r="J318">
        <v>60021293</v>
      </c>
      <c r="K318" t="s">
        <v>3436</v>
      </c>
      <c r="L318" t="s">
        <v>3437</v>
      </c>
      <c r="M318" t="s">
        <v>9</v>
      </c>
      <c r="N318">
        <v>1</v>
      </c>
      <c r="O318" t="s">
        <v>3438</v>
      </c>
      <c r="P318">
        <v>56128115600</v>
      </c>
      <c r="Q318">
        <v>60021293</v>
      </c>
      <c r="R318" s="1">
        <v>29952</v>
      </c>
      <c r="S318" s="2">
        <f t="shared" si="24"/>
        <v>1982</v>
      </c>
      <c r="T318" s="2">
        <v>1982</v>
      </c>
      <c r="U318" s="2">
        <f t="shared" si="25"/>
        <v>40</v>
      </c>
      <c r="V318" s="1">
        <v>30164</v>
      </c>
      <c r="W318" t="s">
        <v>2551</v>
      </c>
      <c r="X318" s="3">
        <v>0.65500000000000003</v>
      </c>
      <c r="Y318" s="4">
        <f>(X318-'[1]1982'!$Z$4)/('[1]1982'!$Z$3-'[1]1982'!$Z$4)</f>
        <v>1.7484850911614749E-2</v>
      </c>
      <c r="AA318">
        <v>189375</v>
      </c>
      <c r="AB318">
        <v>26051</v>
      </c>
      <c r="AC318" t="s">
        <v>2552</v>
      </c>
      <c r="AD318" t="s">
        <v>15</v>
      </c>
      <c r="AE318" t="s">
        <v>2553</v>
      </c>
      <c r="AF318">
        <v>3</v>
      </c>
      <c r="AH318" t="s">
        <v>3439</v>
      </c>
      <c r="AI318" t="s">
        <v>3440</v>
      </c>
      <c r="AJ318" t="s">
        <v>3441</v>
      </c>
      <c r="AK318" t="s">
        <v>3442</v>
      </c>
      <c r="AL318">
        <v>82</v>
      </c>
      <c r="AM318" s="5">
        <f t="shared" si="26"/>
        <v>2.0499999999999998</v>
      </c>
      <c r="AN318" s="6">
        <f>(AM318-'[1]1982'!$AO$4)/('[1]1982'!$AO$3-'[1]1982'!$AO$4)</f>
        <v>3.104884513441878E-3</v>
      </c>
      <c r="AO318" s="7"/>
      <c r="AP318">
        <v>0</v>
      </c>
      <c r="AR318" t="s">
        <v>19</v>
      </c>
      <c r="AT318" s="3" t="s">
        <v>20</v>
      </c>
      <c r="AU318" s="8">
        <f t="shared" si="27"/>
        <v>1.3170860992162887</v>
      </c>
      <c r="AV318" s="8">
        <f t="shared" si="28"/>
        <v>1.0294867712528313</v>
      </c>
      <c r="AW318" s="8">
        <f t="shared" si="29"/>
        <v>0.74188744328937384</v>
      </c>
    </row>
    <row r="319" spans="1:49" x14ac:dyDescent="0.2">
      <c r="A319">
        <v>317</v>
      </c>
      <c r="B319" t="s">
        <v>3443</v>
      </c>
      <c r="C319" t="s">
        <v>3444</v>
      </c>
      <c r="F319" t="s">
        <v>3445</v>
      </c>
      <c r="G319" t="s">
        <v>4</v>
      </c>
      <c r="H319" t="s">
        <v>5</v>
      </c>
      <c r="I319" t="s">
        <v>3435</v>
      </c>
      <c r="J319">
        <v>60021293</v>
      </c>
      <c r="K319" t="s">
        <v>3436</v>
      </c>
      <c r="L319" t="s">
        <v>3437</v>
      </c>
      <c r="M319" t="s">
        <v>9</v>
      </c>
      <c r="N319">
        <v>3</v>
      </c>
      <c r="O319" t="s">
        <v>3446</v>
      </c>
      <c r="P319" t="s">
        <v>3447</v>
      </c>
      <c r="Q319" t="s">
        <v>3448</v>
      </c>
      <c r="R319" s="1">
        <v>29952</v>
      </c>
      <c r="S319" s="2">
        <f t="shared" si="24"/>
        <v>1982</v>
      </c>
      <c r="T319" s="2">
        <v>1982</v>
      </c>
      <c r="U319" s="2">
        <f t="shared" si="25"/>
        <v>40</v>
      </c>
      <c r="V319" s="1">
        <v>30164</v>
      </c>
      <c r="W319" t="s">
        <v>2551</v>
      </c>
      <c r="X319" s="3">
        <v>0.65500000000000003</v>
      </c>
      <c r="Y319" s="4">
        <f>(X319-'[1]1982'!$Z$4)/('[1]1982'!$Z$3-'[1]1982'!$Z$4)</f>
        <v>1.7484850911614749E-2</v>
      </c>
      <c r="AA319">
        <v>189375</v>
      </c>
      <c r="AB319">
        <v>26051</v>
      </c>
      <c r="AC319" t="s">
        <v>2552</v>
      </c>
      <c r="AD319" t="s">
        <v>15</v>
      </c>
      <c r="AE319" t="s">
        <v>2553</v>
      </c>
      <c r="AF319">
        <v>3</v>
      </c>
      <c r="AH319" t="s">
        <v>3449</v>
      </c>
      <c r="AI319" t="s">
        <v>3450</v>
      </c>
      <c r="AJ319" t="s">
        <v>3451</v>
      </c>
      <c r="AK319" t="s">
        <v>3452</v>
      </c>
      <c r="AL319">
        <v>120</v>
      </c>
      <c r="AM319" s="5">
        <f t="shared" si="26"/>
        <v>3</v>
      </c>
      <c r="AN319" s="6">
        <f>(AM319-'[1]1982'!$AO$4)/('[1]1982'!$AO$3-'[1]1982'!$AO$4)</f>
        <v>4.5437334343051876E-3</v>
      </c>
      <c r="AO319" s="7"/>
      <c r="AP319">
        <v>0</v>
      </c>
      <c r="AR319" t="s">
        <v>19</v>
      </c>
      <c r="AT319" s="3" t="s">
        <v>20</v>
      </c>
      <c r="AU319" s="8">
        <f t="shared" si="27"/>
        <v>1.360251566842188</v>
      </c>
      <c r="AV319" s="8">
        <f t="shared" si="28"/>
        <v>1.1014292172959967</v>
      </c>
      <c r="AW319" s="8">
        <f t="shared" si="29"/>
        <v>0.84260686774980564</v>
      </c>
    </row>
    <row r="320" spans="1:49" x14ac:dyDescent="0.2">
      <c r="A320">
        <v>318</v>
      </c>
      <c r="B320" t="s">
        <v>3453</v>
      </c>
      <c r="C320" t="s">
        <v>3454</v>
      </c>
      <c r="F320" t="s">
        <v>3455</v>
      </c>
      <c r="G320" t="s">
        <v>4</v>
      </c>
      <c r="H320" t="s">
        <v>5</v>
      </c>
      <c r="I320" t="s">
        <v>3456</v>
      </c>
      <c r="J320">
        <v>60025778</v>
      </c>
      <c r="K320" t="s">
        <v>3457</v>
      </c>
      <c r="L320" t="s">
        <v>3458</v>
      </c>
      <c r="M320" t="s">
        <v>9</v>
      </c>
      <c r="N320">
        <v>1</v>
      </c>
      <c r="O320" t="s">
        <v>3459</v>
      </c>
      <c r="P320">
        <v>7004091039</v>
      </c>
      <c r="Q320">
        <v>60025778</v>
      </c>
      <c r="R320" s="1">
        <v>29952</v>
      </c>
      <c r="S320" s="2">
        <f t="shared" si="24"/>
        <v>1982</v>
      </c>
      <c r="T320" s="2">
        <v>1982</v>
      </c>
      <c r="U320" s="2">
        <f t="shared" si="25"/>
        <v>40</v>
      </c>
      <c r="V320" s="1">
        <v>30164</v>
      </c>
      <c r="W320" t="s">
        <v>2551</v>
      </c>
      <c r="X320" s="3">
        <v>0.65500000000000003</v>
      </c>
      <c r="Y320" s="4">
        <f>(X320-'[1]1982'!$Z$4)/('[1]1982'!$Z$3-'[1]1982'!$Z$4)</f>
        <v>1.7484850911614749E-2</v>
      </c>
      <c r="AA320">
        <v>189375</v>
      </c>
      <c r="AB320">
        <v>26051</v>
      </c>
      <c r="AC320" t="s">
        <v>2552</v>
      </c>
      <c r="AD320" t="s">
        <v>15</v>
      </c>
      <c r="AE320" t="s">
        <v>2553</v>
      </c>
      <c r="AF320">
        <v>3</v>
      </c>
      <c r="AH320" t="s">
        <v>3460</v>
      </c>
      <c r="AI320" t="s">
        <v>3461</v>
      </c>
      <c r="AJ320" t="s">
        <v>3462</v>
      </c>
      <c r="AK320" t="s">
        <v>3463</v>
      </c>
      <c r="AL320">
        <v>3</v>
      </c>
      <c r="AM320" s="5">
        <f t="shared" si="26"/>
        <v>7.4999999999999997E-2</v>
      </c>
      <c r="AN320" s="6">
        <f>(AM320-'[1]1982'!$AO$4)/('[1]1982'!$AO$3-'[1]1982'!$AO$4)</f>
        <v>1.1359333585762968E-4</v>
      </c>
      <c r="AO320" s="7"/>
      <c r="AP320">
        <v>0</v>
      </c>
      <c r="AR320" t="s">
        <v>19</v>
      </c>
      <c r="AT320" s="3" t="s">
        <v>20</v>
      </c>
      <c r="AU320" s="8">
        <f t="shared" si="27"/>
        <v>1.2273473638887611</v>
      </c>
      <c r="AV320" s="8">
        <f t="shared" si="28"/>
        <v>0.87992221237361889</v>
      </c>
      <c r="AW320" s="8">
        <f t="shared" si="29"/>
        <v>0.53249706085847659</v>
      </c>
    </row>
    <row r="321" spans="1:49" x14ac:dyDescent="0.2">
      <c r="A321">
        <v>319</v>
      </c>
      <c r="B321" t="s">
        <v>3464</v>
      </c>
      <c r="C321" t="s">
        <v>3465</v>
      </c>
      <c r="F321" t="s">
        <v>3466</v>
      </c>
      <c r="G321" t="s">
        <v>4</v>
      </c>
      <c r="H321" t="s">
        <v>5</v>
      </c>
      <c r="I321" t="s">
        <v>3467</v>
      </c>
      <c r="J321">
        <v>60023053</v>
      </c>
      <c r="K321" t="s">
        <v>3468</v>
      </c>
      <c r="L321" t="s">
        <v>3469</v>
      </c>
      <c r="M321" t="s">
        <v>9</v>
      </c>
      <c r="N321">
        <v>1</v>
      </c>
      <c r="O321" t="s">
        <v>3470</v>
      </c>
      <c r="P321">
        <v>56782537200</v>
      </c>
      <c r="Q321">
        <v>60023053</v>
      </c>
      <c r="R321" s="1">
        <v>29952</v>
      </c>
      <c r="S321" s="2">
        <f t="shared" si="24"/>
        <v>1982</v>
      </c>
      <c r="T321" s="2">
        <v>1982</v>
      </c>
      <c r="U321" s="2">
        <f t="shared" si="25"/>
        <v>40</v>
      </c>
      <c r="V321" s="1">
        <v>30164</v>
      </c>
      <c r="W321" t="s">
        <v>2551</v>
      </c>
      <c r="X321" s="3">
        <v>0.65500000000000003</v>
      </c>
      <c r="Y321" s="4">
        <f>(X321-'[1]1982'!$Z$4)/('[1]1982'!$Z$3-'[1]1982'!$Z$4)</f>
        <v>1.7484850911614749E-2</v>
      </c>
      <c r="AA321">
        <v>189375</v>
      </c>
      <c r="AB321">
        <v>26051</v>
      </c>
      <c r="AC321" t="s">
        <v>2552</v>
      </c>
      <c r="AD321" t="s">
        <v>15</v>
      </c>
      <c r="AE321" t="s">
        <v>2553</v>
      </c>
      <c r="AF321">
        <v>3</v>
      </c>
      <c r="AH321" t="s">
        <v>3471</v>
      </c>
      <c r="AI321" t="s">
        <v>3472</v>
      </c>
      <c r="AJ321" t="s">
        <v>3473</v>
      </c>
      <c r="AK321" t="s">
        <v>3474</v>
      </c>
      <c r="AL321">
        <v>5</v>
      </c>
      <c r="AM321" s="5">
        <f t="shared" si="26"/>
        <v>0.125</v>
      </c>
      <c r="AN321" s="6">
        <f>(AM321-'[1]1982'!$AO$4)/('[1]1982'!$AO$3-'[1]1982'!$AO$4)</f>
        <v>1.893222264293828E-4</v>
      </c>
      <c r="AO321" s="7"/>
      <c r="AP321">
        <v>0</v>
      </c>
      <c r="AR321" t="s">
        <v>19</v>
      </c>
      <c r="AT321" s="3" t="s">
        <v>20</v>
      </c>
      <c r="AU321" s="8">
        <f t="shared" si="27"/>
        <v>1.2296192306059137</v>
      </c>
      <c r="AV321" s="8">
        <f t="shared" si="28"/>
        <v>0.88370865690220668</v>
      </c>
      <c r="AW321" s="8">
        <f t="shared" si="29"/>
        <v>0.53779808319849931</v>
      </c>
    </row>
    <row r="322" spans="1:49" x14ac:dyDescent="0.2">
      <c r="A322">
        <v>320</v>
      </c>
      <c r="B322" t="s">
        <v>3475</v>
      </c>
      <c r="C322" t="s">
        <v>3476</v>
      </c>
      <c r="F322" t="s">
        <v>3477</v>
      </c>
      <c r="G322" t="s">
        <v>4</v>
      </c>
      <c r="H322" t="s">
        <v>5</v>
      </c>
      <c r="I322" t="s">
        <v>3478</v>
      </c>
      <c r="J322">
        <v>60009982</v>
      </c>
      <c r="K322" t="s">
        <v>3479</v>
      </c>
      <c r="L322" t="s">
        <v>3002</v>
      </c>
      <c r="M322" t="s">
        <v>9</v>
      </c>
      <c r="N322">
        <v>1</v>
      </c>
      <c r="O322" t="s">
        <v>2629</v>
      </c>
      <c r="P322">
        <v>35586046100</v>
      </c>
      <c r="Q322">
        <v>60009982</v>
      </c>
      <c r="R322" s="1">
        <v>29952</v>
      </c>
      <c r="S322" s="2">
        <f t="shared" ref="S322:S385" si="30">YEAR(R322)</f>
        <v>1982</v>
      </c>
      <c r="T322" s="2">
        <v>1982</v>
      </c>
      <c r="U322" s="2">
        <f t="shared" ref="U322:U385" si="31">2022-T322</f>
        <v>40</v>
      </c>
      <c r="V322" s="1">
        <v>30164</v>
      </c>
      <c r="W322" t="s">
        <v>2551</v>
      </c>
      <c r="X322" s="3">
        <v>0.65500000000000003</v>
      </c>
      <c r="Y322" s="4">
        <f>(X322-'[1]1982'!$Z$4)/('[1]1982'!$Z$3-'[1]1982'!$Z$4)</f>
        <v>1.7484850911614749E-2</v>
      </c>
      <c r="AA322">
        <v>189375</v>
      </c>
      <c r="AB322">
        <v>26051</v>
      </c>
      <c r="AC322" t="s">
        <v>2552</v>
      </c>
      <c r="AD322" t="s">
        <v>15</v>
      </c>
      <c r="AE322" t="s">
        <v>2553</v>
      </c>
      <c r="AF322">
        <v>3</v>
      </c>
      <c r="AH322" t="s">
        <v>3480</v>
      </c>
      <c r="AI322" t="s">
        <v>3481</v>
      </c>
      <c r="AJ322" t="s">
        <v>3482</v>
      </c>
      <c r="AK322" t="s">
        <v>3483</v>
      </c>
      <c r="AL322">
        <v>7</v>
      </c>
      <c r="AM322" s="5">
        <f t="shared" ref="AM322:AM385" si="32">AL322/U322</f>
        <v>0.17499999999999999</v>
      </c>
      <c r="AN322" s="6">
        <f>(AM322-'[1]1982'!$AO$4)/('[1]1982'!$AO$3-'[1]1982'!$AO$4)</f>
        <v>2.6505111700113592E-4</v>
      </c>
      <c r="AO322" s="7"/>
      <c r="AP322">
        <v>0</v>
      </c>
      <c r="AR322" t="s">
        <v>19</v>
      </c>
      <c r="AT322" s="3" t="s">
        <v>20</v>
      </c>
      <c r="AU322" s="8">
        <f t="shared" ref="AU322:AU385" si="33">(Y322*0.7+AN322*0.3)*100</f>
        <v>1.2318910973230663</v>
      </c>
      <c r="AV322" s="8">
        <f t="shared" ref="AV322:AV385" si="34">(Y322*0.5+AN322*0.5)*100</f>
        <v>0.88749510143079424</v>
      </c>
      <c r="AW322" s="8">
        <f t="shared" ref="AW322:AW385" si="35">(Y322*0.3+AN322*0.7)*100</f>
        <v>0.54309910553852203</v>
      </c>
    </row>
    <row r="323" spans="1:49" x14ac:dyDescent="0.2">
      <c r="A323">
        <v>321</v>
      </c>
      <c r="B323" t="s">
        <v>3484</v>
      </c>
      <c r="C323" t="s">
        <v>3485</v>
      </c>
      <c r="F323" t="s">
        <v>3486</v>
      </c>
      <c r="G323" t="s">
        <v>4</v>
      </c>
      <c r="H323" t="s">
        <v>5</v>
      </c>
      <c r="I323" t="s">
        <v>3487</v>
      </c>
      <c r="J323">
        <v>60010571</v>
      </c>
      <c r="K323" t="s">
        <v>3305</v>
      </c>
      <c r="L323" t="s">
        <v>3306</v>
      </c>
      <c r="M323" t="s">
        <v>1775</v>
      </c>
      <c r="N323">
        <v>2</v>
      </c>
      <c r="O323" t="s">
        <v>3488</v>
      </c>
      <c r="P323" t="s">
        <v>3489</v>
      </c>
      <c r="Q323" t="s">
        <v>3309</v>
      </c>
      <c r="R323" s="1">
        <v>29952</v>
      </c>
      <c r="S323" s="2">
        <f t="shared" si="30"/>
        <v>1982</v>
      </c>
      <c r="T323" s="2">
        <v>1982</v>
      </c>
      <c r="U323" s="2">
        <f t="shared" si="31"/>
        <v>40</v>
      </c>
      <c r="V323" s="1">
        <v>30164</v>
      </c>
      <c r="W323" s="11" t="s">
        <v>822</v>
      </c>
      <c r="X323" s="3">
        <v>2.383</v>
      </c>
      <c r="Y323" s="4">
        <f>(X323-'[1]1982'!$Z$4)/('[1]1982'!$Z$3-'[1]1982'!$Z$4)</f>
        <v>6.3612824003630442E-2</v>
      </c>
      <c r="AA323">
        <v>1437070</v>
      </c>
      <c r="AB323">
        <v>39742</v>
      </c>
      <c r="AD323" t="s">
        <v>15</v>
      </c>
      <c r="AE323">
        <v>129</v>
      </c>
      <c r="AF323">
        <v>4</v>
      </c>
      <c r="AH323" t="s">
        <v>3490</v>
      </c>
      <c r="AI323" t="s">
        <v>3491</v>
      </c>
      <c r="AJ323" t="s">
        <v>3492</v>
      </c>
      <c r="AK323" t="s">
        <v>3493</v>
      </c>
      <c r="AL323">
        <v>9</v>
      </c>
      <c r="AM323" s="5">
        <f t="shared" si="32"/>
        <v>0.22500000000000001</v>
      </c>
      <c r="AN323" s="6">
        <f>(AM323-'[1]1982'!$AO$4)/('[1]1982'!$AO$3-'[1]1982'!$AO$4)</f>
        <v>3.4078000757288904E-4</v>
      </c>
      <c r="AO323" s="7"/>
      <c r="AP323">
        <v>0</v>
      </c>
      <c r="AR323" t="s">
        <v>19</v>
      </c>
      <c r="AT323" s="3" t="s">
        <v>20</v>
      </c>
      <c r="AU323" s="8">
        <f t="shared" si="33"/>
        <v>4.4631210804813177</v>
      </c>
      <c r="AV323" s="8">
        <f t="shared" si="34"/>
        <v>3.1976802005601663</v>
      </c>
      <c r="AW323" s="8">
        <f t="shared" si="35"/>
        <v>1.9322393206390156</v>
      </c>
    </row>
    <row r="324" spans="1:49" x14ac:dyDescent="0.2">
      <c r="A324">
        <v>322</v>
      </c>
      <c r="B324" t="s">
        <v>3494</v>
      </c>
      <c r="C324" t="s">
        <v>3495</v>
      </c>
      <c r="F324" t="s">
        <v>3496</v>
      </c>
      <c r="G324" t="s">
        <v>4</v>
      </c>
      <c r="H324" t="s">
        <v>5</v>
      </c>
      <c r="I324" t="s">
        <v>3497</v>
      </c>
      <c r="N324">
        <v>2</v>
      </c>
      <c r="O324" t="s">
        <v>3498</v>
      </c>
      <c r="P324" t="s">
        <v>3499</v>
      </c>
      <c r="Q324" t="s">
        <v>156</v>
      </c>
      <c r="R324" s="1">
        <v>29952</v>
      </c>
      <c r="S324" s="2">
        <f t="shared" si="30"/>
        <v>1982</v>
      </c>
      <c r="T324" s="2">
        <v>1982</v>
      </c>
      <c r="U324" s="2">
        <f t="shared" si="31"/>
        <v>40</v>
      </c>
      <c r="V324" s="1" t="s">
        <v>3500</v>
      </c>
      <c r="W324" s="11" t="s">
        <v>1908</v>
      </c>
      <c r="X324" s="3">
        <v>2.383</v>
      </c>
      <c r="Y324" s="4">
        <f>(X324-'[1]1982'!$Z$4)/('[1]1982'!$Z$3-'[1]1982'!$Z$4)</f>
        <v>6.3612824003630442E-2</v>
      </c>
      <c r="AA324">
        <v>1437097</v>
      </c>
      <c r="AB324">
        <v>101236</v>
      </c>
      <c r="AD324" t="s">
        <v>15</v>
      </c>
      <c r="AE324">
        <v>129</v>
      </c>
      <c r="AF324">
        <v>4</v>
      </c>
      <c r="AH324" t="s">
        <v>3501</v>
      </c>
      <c r="AI324" t="s">
        <v>3502</v>
      </c>
      <c r="AK324" t="s">
        <v>3503</v>
      </c>
      <c r="AL324">
        <v>5</v>
      </c>
      <c r="AM324" s="5">
        <f t="shared" si="32"/>
        <v>0.125</v>
      </c>
      <c r="AN324" s="6">
        <f>(AM324-'[1]1982'!$AO$4)/('[1]1982'!$AO$3-'[1]1982'!$AO$4)</f>
        <v>1.893222264293828E-4</v>
      </c>
      <c r="AO324" s="7"/>
      <c r="AP324">
        <v>0</v>
      </c>
      <c r="AR324" t="s">
        <v>19</v>
      </c>
      <c r="AT324" s="3" t="s">
        <v>20</v>
      </c>
      <c r="AU324" s="8">
        <f t="shared" si="33"/>
        <v>4.4585773470470125</v>
      </c>
      <c r="AV324" s="8">
        <f t="shared" si="34"/>
        <v>3.1901073115029912</v>
      </c>
      <c r="AW324" s="8">
        <f t="shared" si="35"/>
        <v>1.9216372759589699</v>
      </c>
    </row>
    <row r="325" spans="1:49" x14ac:dyDescent="0.2">
      <c r="A325">
        <v>323</v>
      </c>
      <c r="B325" t="s">
        <v>3504</v>
      </c>
      <c r="C325" t="s">
        <v>3505</v>
      </c>
      <c r="F325" t="s">
        <v>3506</v>
      </c>
      <c r="G325" t="s">
        <v>4</v>
      </c>
      <c r="H325" t="s">
        <v>5</v>
      </c>
      <c r="I325" t="s">
        <v>3507</v>
      </c>
      <c r="N325">
        <v>2</v>
      </c>
      <c r="O325" t="s">
        <v>3508</v>
      </c>
      <c r="P325" t="s">
        <v>3509</v>
      </c>
      <c r="Q325" t="s">
        <v>156</v>
      </c>
      <c r="R325" s="1">
        <v>29952</v>
      </c>
      <c r="S325" s="2">
        <f t="shared" si="30"/>
        <v>1982</v>
      </c>
      <c r="T325" s="2">
        <v>1982</v>
      </c>
      <c r="U325" s="2">
        <f t="shared" si="31"/>
        <v>40</v>
      </c>
      <c r="V325" s="1" t="s">
        <v>3500</v>
      </c>
      <c r="W325" s="11" t="s">
        <v>1908</v>
      </c>
      <c r="X325" s="3">
        <v>2.383</v>
      </c>
      <c r="Y325" s="4">
        <f>(X325-'[1]1982'!$Z$4)/('[1]1982'!$Z$3-'[1]1982'!$Z$4)</f>
        <v>6.3612824003630442E-2</v>
      </c>
      <c r="AA325">
        <v>1437097</v>
      </c>
      <c r="AB325">
        <v>101236</v>
      </c>
      <c r="AD325" t="s">
        <v>15</v>
      </c>
      <c r="AE325">
        <v>129</v>
      </c>
      <c r="AF325">
        <v>4</v>
      </c>
      <c r="AH325" t="s">
        <v>3510</v>
      </c>
      <c r="AI325" t="s">
        <v>3511</v>
      </c>
      <c r="AK325" t="s">
        <v>3512</v>
      </c>
      <c r="AL325">
        <v>3</v>
      </c>
      <c r="AM325" s="5">
        <f t="shared" si="32"/>
        <v>7.4999999999999997E-2</v>
      </c>
      <c r="AN325" s="6">
        <f>(AM325-'[1]1982'!$AO$4)/('[1]1982'!$AO$3-'[1]1982'!$AO$4)</f>
        <v>1.1359333585762968E-4</v>
      </c>
      <c r="AO325" s="7"/>
      <c r="AP325">
        <v>0</v>
      </c>
      <c r="AR325" t="s">
        <v>19</v>
      </c>
      <c r="AT325" s="3" t="s">
        <v>20</v>
      </c>
      <c r="AU325" s="8">
        <f t="shared" si="33"/>
        <v>4.4563054803298598</v>
      </c>
      <c r="AV325" s="8">
        <f t="shared" si="34"/>
        <v>3.1863208669744036</v>
      </c>
      <c r="AW325" s="8">
        <f t="shared" si="35"/>
        <v>1.9163362536189474</v>
      </c>
    </row>
    <row r="326" spans="1:49" x14ac:dyDescent="0.2">
      <c r="A326">
        <v>324</v>
      </c>
      <c r="B326" t="s">
        <v>3513</v>
      </c>
      <c r="C326" t="s">
        <v>3514</v>
      </c>
      <c r="F326" t="s">
        <v>3515</v>
      </c>
      <c r="G326" t="s">
        <v>4</v>
      </c>
      <c r="H326" t="s">
        <v>5</v>
      </c>
      <c r="I326" t="s">
        <v>3516</v>
      </c>
      <c r="N326">
        <v>1</v>
      </c>
      <c r="O326" t="s">
        <v>3517</v>
      </c>
      <c r="P326">
        <v>55884538900</v>
      </c>
      <c r="R326" s="1">
        <v>29952</v>
      </c>
      <c r="S326" s="2">
        <f t="shared" si="30"/>
        <v>1982</v>
      </c>
      <c r="T326" s="2">
        <v>1982</v>
      </c>
      <c r="U326" s="2">
        <f t="shared" si="31"/>
        <v>40</v>
      </c>
      <c r="V326" s="1" t="s">
        <v>3500</v>
      </c>
      <c r="W326" s="11" t="s">
        <v>1908</v>
      </c>
      <c r="X326" s="3">
        <v>2.383</v>
      </c>
      <c r="Y326" s="4">
        <f>(X326-'[1]1982'!$Z$4)/('[1]1982'!$Z$3-'[1]1982'!$Z$4)</f>
        <v>6.3612824003630442E-2</v>
      </c>
      <c r="AA326">
        <v>1437097</v>
      </c>
      <c r="AB326">
        <v>101236</v>
      </c>
      <c r="AD326" t="s">
        <v>15</v>
      </c>
      <c r="AE326">
        <v>129</v>
      </c>
      <c r="AF326">
        <v>4</v>
      </c>
      <c r="AH326" t="s">
        <v>3518</v>
      </c>
      <c r="AI326" t="s">
        <v>3519</v>
      </c>
      <c r="AK326" t="s">
        <v>3520</v>
      </c>
      <c r="AL326">
        <v>24</v>
      </c>
      <c r="AM326" s="5">
        <f t="shared" si="32"/>
        <v>0.6</v>
      </c>
      <c r="AN326" s="6">
        <f>(AM326-'[1]1982'!$AO$4)/('[1]1982'!$AO$3-'[1]1982'!$AO$4)</f>
        <v>9.0874668686103744E-4</v>
      </c>
      <c r="AO326" s="7"/>
      <c r="AP326">
        <v>0</v>
      </c>
      <c r="AR326" t="s">
        <v>19</v>
      </c>
      <c r="AT326" s="3" t="s">
        <v>20</v>
      </c>
      <c r="AU326" s="8">
        <f t="shared" si="33"/>
        <v>4.480160080859962</v>
      </c>
      <c r="AV326" s="8">
        <f t="shared" si="34"/>
        <v>3.2260785345245742</v>
      </c>
      <c r="AW326" s="8">
        <f t="shared" si="35"/>
        <v>1.9719969881891859</v>
      </c>
    </row>
    <row r="327" spans="1:49" x14ac:dyDescent="0.2">
      <c r="A327">
        <v>325</v>
      </c>
      <c r="B327" t="s">
        <v>3521</v>
      </c>
      <c r="C327" t="s">
        <v>3522</v>
      </c>
      <c r="D327">
        <v>94576582900972</v>
      </c>
      <c r="F327" t="s">
        <v>3523</v>
      </c>
      <c r="G327" t="s">
        <v>4</v>
      </c>
      <c r="H327" t="s">
        <v>5</v>
      </c>
      <c r="I327" t="s">
        <v>3524</v>
      </c>
      <c r="J327">
        <v>60015623</v>
      </c>
      <c r="K327" t="s">
        <v>3525</v>
      </c>
      <c r="L327" t="s">
        <v>3526</v>
      </c>
      <c r="M327" t="s">
        <v>9</v>
      </c>
      <c r="N327">
        <v>1</v>
      </c>
      <c r="O327" t="s">
        <v>3527</v>
      </c>
      <c r="P327">
        <v>7406484637</v>
      </c>
      <c r="Q327">
        <v>60015623</v>
      </c>
      <c r="R327" s="1">
        <v>29952</v>
      </c>
      <c r="S327" s="2">
        <f t="shared" si="30"/>
        <v>1982</v>
      </c>
      <c r="T327" s="2">
        <v>1982</v>
      </c>
      <c r="U327" s="2">
        <f t="shared" si="31"/>
        <v>40</v>
      </c>
      <c r="V327" s="1">
        <v>30164</v>
      </c>
      <c r="W327" t="s">
        <v>1898</v>
      </c>
      <c r="X327" s="3">
        <v>1.1339999999999999</v>
      </c>
      <c r="Y327" s="4">
        <f>(X327-'[1]1982'!$Z$4)/('[1]1982'!$Z$3-'[1]1982'!$Z$4)</f>
        <v>3.0271482341635299E-2</v>
      </c>
      <c r="AA327">
        <v>945765</v>
      </c>
      <c r="AB327">
        <v>12372</v>
      </c>
      <c r="AD327" t="s">
        <v>15</v>
      </c>
      <c r="AE327">
        <v>9</v>
      </c>
      <c r="AF327">
        <v>8</v>
      </c>
      <c r="AH327" t="s">
        <v>3528</v>
      </c>
      <c r="AI327" t="s">
        <v>3529</v>
      </c>
      <c r="AK327" t="s">
        <v>3530</v>
      </c>
      <c r="AL327">
        <v>0</v>
      </c>
      <c r="AM327" s="5">
        <f t="shared" si="32"/>
        <v>0</v>
      </c>
      <c r="AN327" s="6">
        <f>(AM327-'[1]1982'!$AO$4)/('[1]1982'!$AO$3-'[1]1982'!$AO$4)</f>
        <v>0</v>
      </c>
      <c r="AO327" s="7"/>
      <c r="AP327">
        <v>0</v>
      </c>
      <c r="AR327" t="s">
        <v>19</v>
      </c>
      <c r="AT327" s="3">
        <v>2.4129999999999998</v>
      </c>
      <c r="AU327" s="8">
        <f t="shared" si="33"/>
        <v>2.119003763914471</v>
      </c>
      <c r="AV327" s="8">
        <f t="shared" si="34"/>
        <v>1.5135741170817649</v>
      </c>
      <c r="AW327" s="8">
        <f t="shared" si="35"/>
        <v>0.90814447024905898</v>
      </c>
    </row>
    <row r="328" spans="1:49" x14ac:dyDescent="0.2">
      <c r="A328">
        <v>326</v>
      </c>
      <c r="B328" t="s">
        <v>3531</v>
      </c>
      <c r="C328" t="s">
        <v>3532</v>
      </c>
      <c r="F328" t="s">
        <v>3533</v>
      </c>
      <c r="G328" t="s">
        <v>4</v>
      </c>
      <c r="H328" t="s">
        <v>5</v>
      </c>
      <c r="I328" t="s">
        <v>3534</v>
      </c>
      <c r="J328">
        <v>60107350</v>
      </c>
      <c r="K328" t="s">
        <v>3535</v>
      </c>
      <c r="L328" t="s">
        <v>3536</v>
      </c>
      <c r="M328" t="s">
        <v>485</v>
      </c>
      <c r="N328">
        <v>4</v>
      </c>
      <c r="O328" t="s">
        <v>3537</v>
      </c>
      <c r="P328" t="s">
        <v>3538</v>
      </c>
      <c r="Q328" t="s">
        <v>3539</v>
      </c>
      <c r="R328" s="1">
        <v>29952</v>
      </c>
      <c r="S328" s="2">
        <f t="shared" si="30"/>
        <v>1982</v>
      </c>
      <c r="T328" s="2">
        <v>1982</v>
      </c>
      <c r="U328" s="2">
        <f t="shared" si="31"/>
        <v>40</v>
      </c>
      <c r="V328" s="1">
        <v>30164</v>
      </c>
      <c r="W328" t="s">
        <v>3540</v>
      </c>
      <c r="X328" s="3">
        <v>0.76700000000000002</v>
      </c>
      <c r="Y328" s="4">
        <f>(X328-'[1]1982'!$Z$4)/('[1]1982'!$Z$3-'[1]1982'!$Z$4)</f>
        <v>2.0474626945356504E-2</v>
      </c>
      <c r="AA328">
        <v>983063</v>
      </c>
      <c r="AB328">
        <v>26048</v>
      </c>
      <c r="AD328" t="s">
        <v>15</v>
      </c>
      <c r="AE328" t="s">
        <v>3541</v>
      </c>
      <c r="AF328">
        <v>3</v>
      </c>
      <c r="AH328" t="s">
        <v>3542</v>
      </c>
      <c r="AI328" t="s">
        <v>3543</v>
      </c>
      <c r="AK328" t="s">
        <v>3544</v>
      </c>
      <c r="AL328">
        <v>1</v>
      </c>
      <c r="AM328" s="5">
        <f t="shared" si="32"/>
        <v>2.5000000000000001E-2</v>
      </c>
      <c r="AN328" s="6">
        <f>(AM328-'[1]1982'!$AO$4)/('[1]1982'!$AO$3-'[1]1982'!$AO$4)</f>
        <v>3.7864445285876567E-5</v>
      </c>
      <c r="AO328" s="7"/>
      <c r="AP328">
        <v>0</v>
      </c>
      <c r="AR328" t="s">
        <v>19</v>
      </c>
      <c r="AT328" s="3" t="s">
        <v>20</v>
      </c>
      <c r="AU328" s="8">
        <f t="shared" si="33"/>
        <v>1.4343598195335314</v>
      </c>
      <c r="AV328" s="8">
        <f t="shared" si="34"/>
        <v>1.0256245695321191</v>
      </c>
      <c r="AW328" s="8">
        <f t="shared" si="35"/>
        <v>0.61688931953070647</v>
      </c>
    </row>
    <row r="329" spans="1:49" x14ac:dyDescent="0.2">
      <c r="A329">
        <v>327</v>
      </c>
      <c r="B329" t="s">
        <v>3545</v>
      </c>
      <c r="C329" t="s">
        <v>3546</v>
      </c>
      <c r="F329" t="s">
        <v>3547</v>
      </c>
      <c r="G329" t="s">
        <v>4</v>
      </c>
      <c r="H329" t="s">
        <v>5</v>
      </c>
      <c r="I329" t="s">
        <v>3548</v>
      </c>
      <c r="N329">
        <v>3</v>
      </c>
      <c r="O329" t="s">
        <v>3549</v>
      </c>
      <c r="P329" t="s">
        <v>3550</v>
      </c>
      <c r="Q329" t="s">
        <v>145</v>
      </c>
      <c r="R329" s="1">
        <v>29952</v>
      </c>
      <c r="S329" s="2">
        <f t="shared" si="30"/>
        <v>1982</v>
      </c>
      <c r="T329" s="2">
        <v>1982</v>
      </c>
      <c r="U329" s="2">
        <f t="shared" si="31"/>
        <v>40</v>
      </c>
      <c r="V329" s="1" t="s">
        <v>3500</v>
      </c>
      <c r="W329" s="11" t="s">
        <v>1908</v>
      </c>
      <c r="X329" s="3">
        <v>2.383</v>
      </c>
      <c r="Y329" s="4">
        <f>(X329-'[1]1982'!$Z$4)/('[1]1982'!$Z$3-'[1]1982'!$Z$4)</f>
        <v>6.3612824003630442E-2</v>
      </c>
      <c r="AA329">
        <v>1437097</v>
      </c>
      <c r="AB329">
        <v>101236</v>
      </c>
      <c r="AD329" t="s">
        <v>15</v>
      </c>
      <c r="AE329">
        <v>129</v>
      </c>
      <c r="AF329">
        <v>4</v>
      </c>
      <c r="AH329" t="s">
        <v>3551</v>
      </c>
      <c r="AI329" t="s">
        <v>3552</v>
      </c>
      <c r="AK329" t="s">
        <v>3553</v>
      </c>
      <c r="AL329">
        <v>3</v>
      </c>
      <c r="AM329" s="5">
        <f t="shared" si="32"/>
        <v>7.4999999999999997E-2</v>
      </c>
      <c r="AN329" s="6">
        <f>(AM329-'[1]1982'!$AO$4)/('[1]1982'!$AO$3-'[1]1982'!$AO$4)</f>
        <v>1.1359333585762968E-4</v>
      </c>
      <c r="AO329" s="7"/>
      <c r="AP329">
        <v>0</v>
      </c>
      <c r="AR329" t="s">
        <v>19</v>
      </c>
      <c r="AT329" s="3" t="s">
        <v>20</v>
      </c>
      <c r="AU329" s="8">
        <f t="shared" si="33"/>
        <v>4.4563054803298598</v>
      </c>
      <c r="AV329" s="8">
        <f t="shared" si="34"/>
        <v>3.1863208669744036</v>
      </c>
      <c r="AW329" s="8">
        <f t="shared" si="35"/>
        <v>1.9163362536189474</v>
      </c>
    </row>
    <row r="330" spans="1:49" x14ac:dyDescent="0.2">
      <c r="A330">
        <v>328</v>
      </c>
      <c r="B330" t="s">
        <v>3554</v>
      </c>
      <c r="C330" t="s">
        <v>3555</v>
      </c>
      <c r="F330" t="s">
        <v>3556</v>
      </c>
      <c r="G330" t="s">
        <v>4</v>
      </c>
      <c r="H330" t="s">
        <v>5</v>
      </c>
      <c r="I330" t="s">
        <v>3557</v>
      </c>
      <c r="N330">
        <v>2</v>
      </c>
      <c r="O330" t="s">
        <v>3558</v>
      </c>
      <c r="P330" t="s">
        <v>3559</v>
      </c>
      <c r="Q330" t="s">
        <v>156</v>
      </c>
      <c r="R330" s="1">
        <v>29952</v>
      </c>
      <c r="S330" s="2">
        <f t="shared" si="30"/>
        <v>1982</v>
      </c>
      <c r="T330" s="2">
        <v>1982</v>
      </c>
      <c r="U330" s="2">
        <f t="shared" si="31"/>
        <v>40</v>
      </c>
      <c r="V330" s="1" t="s">
        <v>3500</v>
      </c>
      <c r="W330" s="11" t="s">
        <v>1908</v>
      </c>
      <c r="X330" s="3">
        <v>2.383</v>
      </c>
      <c r="Y330" s="4">
        <f>(X330-'[1]1982'!$Z$4)/('[1]1982'!$Z$3-'[1]1982'!$Z$4)</f>
        <v>6.3612824003630442E-2</v>
      </c>
      <c r="AA330">
        <v>1437097</v>
      </c>
      <c r="AB330">
        <v>101236</v>
      </c>
      <c r="AD330" t="s">
        <v>15</v>
      </c>
      <c r="AE330">
        <v>129</v>
      </c>
      <c r="AF330">
        <v>4</v>
      </c>
      <c r="AH330" t="s">
        <v>3560</v>
      </c>
      <c r="AI330" t="s">
        <v>3561</v>
      </c>
      <c r="AK330" t="s">
        <v>3562</v>
      </c>
      <c r="AL330">
        <v>32</v>
      </c>
      <c r="AM330" s="5">
        <f t="shared" si="32"/>
        <v>0.8</v>
      </c>
      <c r="AN330" s="6">
        <f>(AM330-'[1]1982'!$AO$4)/('[1]1982'!$AO$3-'[1]1982'!$AO$4)</f>
        <v>1.2116622491480501E-3</v>
      </c>
      <c r="AO330" s="7"/>
      <c r="AP330">
        <v>0</v>
      </c>
      <c r="AR330" t="s">
        <v>19</v>
      </c>
      <c r="AT330" s="3" t="s">
        <v>20</v>
      </c>
      <c r="AU330" s="8">
        <f t="shared" si="33"/>
        <v>4.4892475477285725</v>
      </c>
      <c r="AV330" s="8">
        <f t="shared" si="34"/>
        <v>3.2412243126389249</v>
      </c>
      <c r="AW330" s="8">
        <f t="shared" si="35"/>
        <v>1.9932010775492768</v>
      </c>
    </row>
    <row r="331" spans="1:49" x14ac:dyDescent="0.2">
      <c r="A331">
        <v>329</v>
      </c>
      <c r="B331" t="s">
        <v>3563</v>
      </c>
      <c r="C331" t="s">
        <v>3564</v>
      </c>
      <c r="F331" t="s">
        <v>3565</v>
      </c>
      <c r="G331" t="s">
        <v>4</v>
      </c>
      <c r="H331" t="s">
        <v>5</v>
      </c>
      <c r="I331" t="s">
        <v>3566</v>
      </c>
      <c r="J331">
        <v>60025997</v>
      </c>
      <c r="K331" t="s">
        <v>3567</v>
      </c>
      <c r="L331" t="s">
        <v>583</v>
      </c>
      <c r="M331" t="s">
        <v>485</v>
      </c>
      <c r="N331">
        <v>2</v>
      </c>
      <c r="O331" t="s">
        <v>3568</v>
      </c>
      <c r="P331" t="s">
        <v>3569</v>
      </c>
      <c r="Q331" t="s">
        <v>3570</v>
      </c>
      <c r="R331" s="1">
        <v>29952</v>
      </c>
      <c r="S331" s="2">
        <f t="shared" si="30"/>
        <v>1982</v>
      </c>
      <c r="T331" s="2">
        <v>1982</v>
      </c>
      <c r="U331" s="2">
        <f t="shared" si="31"/>
        <v>40</v>
      </c>
      <c r="V331" s="1">
        <v>1982</v>
      </c>
      <c r="W331" t="s">
        <v>1005</v>
      </c>
      <c r="X331" s="3">
        <v>0.111</v>
      </c>
      <c r="Y331" s="4">
        <f>(X331-'[1]1982'!$Z$4)/('[1]1982'!$Z$3-'[1]1982'!$Z$4)</f>
        <v>2.9630816048690639E-3</v>
      </c>
      <c r="AA331">
        <v>87566621</v>
      </c>
      <c r="AB331">
        <v>24890</v>
      </c>
      <c r="AC331">
        <v>15206424</v>
      </c>
      <c r="AD331" t="s">
        <v>15</v>
      </c>
      <c r="AE331">
        <v>65</v>
      </c>
      <c r="AF331">
        <v>8</v>
      </c>
      <c r="AH331" t="s">
        <v>3571</v>
      </c>
      <c r="AI331" t="s">
        <v>3572</v>
      </c>
      <c r="AK331" t="s">
        <v>3573</v>
      </c>
      <c r="AL331">
        <v>7</v>
      </c>
      <c r="AM331" s="5">
        <f t="shared" si="32"/>
        <v>0.17499999999999999</v>
      </c>
      <c r="AN331" s="6">
        <f>(AM331-'[1]1982'!$AO$4)/('[1]1982'!$AO$3-'[1]1982'!$AO$4)</f>
        <v>2.6505111700113592E-4</v>
      </c>
      <c r="AO331" s="7"/>
      <c r="AP331">
        <v>0</v>
      </c>
      <c r="AR331" t="s">
        <v>19</v>
      </c>
      <c r="AT331" s="3" t="s">
        <v>20</v>
      </c>
      <c r="AU331" s="8">
        <f t="shared" si="33"/>
        <v>0.21536724585086853</v>
      </c>
      <c r="AV331" s="8">
        <f t="shared" si="34"/>
        <v>0.16140663609351</v>
      </c>
      <c r="AW331" s="8">
        <f t="shared" si="35"/>
        <v>0.10744602633615141</v>
      </c>
    </row>
    <row r="332" spans="1:49" x14ac:dyDescent="0.2">
      <c r="A332">
        <v>330</v>
      </c>
      <c r="B332" t="s">
        <v>3574</v>
      </c>
      <c r="C332" t="s">
        <v>3575</v>
      </c>
      <c r="F332" t="s">
        <v>3576</v>
      </c>
      <c r="G332" t="s">
        <v>4</v>
      </c>
      <c r="H332" t="s">
        <v>5</v>
      </c>
      <c r="I332" t="s">
        <v>3577</v>
      </c>
      <c r="J332" t="s">
        <v>3578</v>
      </c>
      <c r="K332" t="s">
        <v>3579</v>
      </c>
      <c r="L332" t="s">
        <v>3580</v>
      </c>
      <c r="M332" t="s">
        <v>500</v>
      </c>
      <c r="N332">
        <v>4</v>
      </c>
      <c r="O332" t="s">
        <v>3581</v>
      </c>
      <c r="P332" t="s">
        <v>3582</v>
      </c>
      <c r="Q332" t="s">
        <v>3583</v>
      </c>
      <c r="R332" s="1">
        <v>29952</v>
      </c>
      <c r="S332" s="2">
        <f t="shared" si="30"/>
        <v>1982</v>
      </c>
      <c r="T332" s="2">
        <v>1982</v>
      </c>
      <c r="U332" s="2">
        <f t="shared" si="31"/>
        <v>40</v>
      </c>
      <c r="V332" s="1">
        <v>1982</v>
      </c>
      <c r="W332" t="s">
        <v>1005</v>
      </c>
      <c r="X332" s="3">
        <v>0.111</v>
      </c>
      <c r="Y332" s="4">
        <f>(X332-'[1]1982'!$Z$4)/('[1]1982'!$Z$3-'[1]1982'!$Z$4)</f>
        <v>2.9630816048690639E-3</v>
      </c>
      <c r="AA332">
        <v>87566621</v>
      </c>
      <c r="AB332">
        <v>24890</v>
      </c>
      <c r="AC332">
        <v>15206424</v>
      </c>
      <c r="AD332" t="s">
        <v>15</v>
      </c>
      <c r="AE332">
        <v>65</v>
      </c>
      <c r="AF332">
        <v>8</v>
      </c>
      <c r="AH332" t="s">
        <v>3584</v>
      </c>
      <c r="AI332" t="s">
        <v>3585</v>
      </c>
      <c r="AK332" t="s">
        <v>3586</v>
      </c>
      <c r="AL332">
        <v>0</v>
      </c>
      <c r="AM332" s="5">
        <f t="shared" si="32"/>
        <v>0</v>
      </c>
      <c r="AN332" s="6">
        <f>(AM332-'[1]1982'!$AO$4)/('[1]1982'!$AO$3-'[1]1982'!$AO$4)</f>
        <v>0</v>
      </c>
      <c r="AO332" s="7"/>
      <c r="AP332">
        <v>0</v>
      </c>
      <c r="AR332" t="s">
        <v>19</v>
      </c>
      <c r="AT332" s="3" t="s">
        <v>20</v>
      </c>
      <c r="AU332" s="8">
        <f t="shared" si="33"/>
        <v>0.20741571234083445</v>
      </c>
      <c r="AV332" s="8">
        <f t="shared" si="34"/>
        <v>0.1481540802434532</v>
      </c>
      <c r="AW332" s="8">
        <f t="shared" si="35"/>
        <v>8.8892448146071903E-2</v>
      </c>
    </row>
    <row r="333" spans="1:49" x14ac:dyDescent="0.2">
      <c r="A333">
        <v>331</v>
      </c>
      <c r="B333" t="s">
        <v>3587</v>
      </c>
      <c r="C333" t="s">
        <v>3588</v>
      </c>
      <c r="F333" t="s">
        <v>3589</v>
      </c>
      <c r="G333" t="s">
        <v>4</v>
      </c>
      <c r="H333" t="s">
        <v>5</v>
      </c>
      <c r="I333" t="s">
        <v>3590</v>
      </c>
      <c r="N333">
        <v>2</v>
      </c>
      <c r="O333" t="s">
        <v>3591</v>
      </c>
      <c r="P333" t="s">
        <v>3592</v>
      </c>
      <c r="Q333" t="s">
        <v>156</v>
      </c>
      <c r="R333" s="1">
        <v>29952</v>
      </c>
      <c r="S333" s="2">
        <f t="shared" si="30"/>
        <v>1982</v>
      </c>
      <c r="T333" s="2">
        <v>1982</v>
      </c>
      <c r="U333" s="2">
        <f t="shared" si="31"/>
        <v>40</v>
      </c>
      <c r="V333" s="1" t="s">
        <v>3593</v>
      </c>
      <c r="W333" t="s">
        <v>2385</v>
      </c>
      <c r="X333" s="3">
        <v>0.371</v>
      </c>
      <c r="Y333" s="4">
        <f>(X333-'[1]1982'!$Z$4)/('[1]1982'!$Z$3-'[1]1982'!$Z$4)</f>
        <v>9.9036331117695747E-3</v>
      </c>
      <c r="AA333">
        <v>486604</v>
      </c>
      <c r="AB333">
        <v>28580</v>
      </c>
      <c r="AC333" t="s">
        <v>2386</v>
      </c>
      <c r="AD333" t="s">
        <v>15</v>
      </c>
      <c r="AE333">
        <v>17</v>
      </c>
      <c r="AF333">
        <v>4</v>
      </c>
      <c r="AH333" t="s">
        <v>3594</v>
      </c>
      <c r="AI333" t="s">
        <v>3595</v>
      </c>
      <c r="AK333" t="s">
        <v>3596</v>
      </c>
      <c r="AL333">
        <v>1</v>
      </c>
      <c r="AM333" s="5">
        <f t="shared" si="32"/>
        <v>2.5000000000000001E-2</v>
      </c>
      <c r="AN333" s="6">
        <f>(AM333-'[1]1982'!$AO$4)/('[1]1982'!$AO$3-'[1]1982'!$AO$4)</f>
        <v>3.7864445285876567E-5</v>
      </c>
      <c r="AO333" s="7"/>
      <c r="AP333">
        <v>0</v>
      </c>
      <c r="AR333" t="s">
        <v>19</v>
      </c>
      <c r="AT333" s="3">
        <v>1.431</v>
      </c>
      <c r="AU333" s="8">
        <f t="shared" si="33"/>
        <v>0.69439025118244646</v>
      </c>
      <c r="AV333" s="8">
        <f t="shared" si="34"/>
        <v>0.49707487785277255</v>
      </c>
      <c r="AW333" s="8">
        <f t="shared" si="35"/>
        <v>0.29975950452309863</v>
      </c>
    </row>
    <row r="334" spans="1:49" x14ac:dyDescent="0.2">
      <c r="A334">
        <v>332</v>
      </c>
      <c r="B334" t="s">
        <v>3597</v>
      </c>
      <c r="C334" t="s">
        <v>3598</v>
      </c>
      <c r="F334" t="s">
        <v>3599</v>
      </c>
      <c r="G334" t="s">
        <v>4</v>
      </c>
      <c r="H334" t="s">
        <v>5</v>
      </c>
      <c r="I334" t="s">
        <v>3600</v>
      </c>
      <c r="J334">
        <v>60019947</v>
      </c>
      <c r="K334" t="s">
        <v>2372</v>
      </c>
      <c r="L334" t="s">
        <v>2373</v>
      </c>
      <c r="M334" t="s">
        <v>9</v>
      </c>
      <c r="N334">
        <v>2</v>
      </c>
      <c r="O334" t="s">
        <v>3601</v>
      </c>
      <c r="P334" t="s">
        <v>3602</v>
      </c>
      <c r="Q334" t="s">
        <v>3603</v>
      </c>
      <c r="R334" s="1">
        <v>29952</v>
      </c>
      <c r="S334" s="2">
        <f t="shared" si="30"/>
        <v>1982</v>
      </c>
      <c r="T334" s="2">
        <v>1982</v>
      </c>
      <c r="U334" s="2">
        <f t="shared" si="31"/>
        <v>40</v>
      </c>
      <c r="V334" s="1">
        <v>30133</v>
      </c>
      <c r="W334" t="s">
        <v>2037</v>
      </c>
      <c r="X334" s="3">
        <v>0.61899999999999999</v>
      </c>
      <c r="Y334" s="4">
        <f>(X334-'[1]1982'!$Z$4)/('[1]1982'!$Z$3-'[1]1982'!$Z$4)</f>
        <v>1.6523851472197752E-2</v>
      </c>
      <c r="AA334">
        <v>14966</v>
      </c>
      <c r="AB334">
        <v>12936</v>
      </c>
      <c r="AC334" t="s">
        <v>2038</v>
      </c>
      <c r="AD334" t="s">
        <v>15</v>
      </c>
      <c r="AE334">
        <v>72</v>
      </c>
      <c r="AF334">
        <v>1</v>
      </c>
      <c r="AH334" t="s">
        <v>3604</v>
      </c>
      <c r="AI334" t="s">
        <v>3605</v>
      </c>
      <c r="AK334" t="s">
        <v>3606</v>
      </c>
      <c r="AL334">
        <v>46</v>
      </c>
      <c r="AM334" s="5">
        <f t="shared" si="32"/>
        <v>1.1499999999999999</v>
      </c>
      <c r="AN334" s="6">
        <f>(AM334-'[1]1982'!$AO$4)/('[1]1982'!$AO$3-'[1]1982'!$AO$4)</f>
        <v>1.7417644831503216E-3</v>
      </c>
      <c r="AO334" s="7"/>
      <c r="AP334">
        <v>0</v>
      </c>
      <c r="AR334" t="s">
        <v>19</v>
      </c>
      <c r="AT334" s="3" t="s">
        <v>20</v>
      </c>
      <c r="AU334" s="8">
        <f t="shared" si="33"/>
        <v>1.2089225375483521</v>
      </c>
      <c r="AV334" s="8">
        <f t="shared" si="34"/>
        <v>0.91328079776740367</v>
      </c>
      <c r="AW334" s="8">
        <f t="shared" si="35"/>
        <v>0.61763905798645513</v>
      </c>
    </row>
    <row r="335" spans="1:49" x14ac:dyDescent="0.2">
      <c r="A335">
        <v>333</v>
      </c>
      <c r="B335" t="s">
        <v>3607</v>
      </c>
      <c r="C335" t="s">
        <v>3608</v>
      </c>
      <c r="F335" t="s">
        <v>3609</v>
      </c>
      <c r="G335" t="s">
        <v>4</v>
      </c>
      <c r="H335" t="s">
        <v>5</v>
      </c>
      <c r="I335" t="s">
        <v>3610</v>
      </c>
      <c r="N335">
        <v>2</v>
      </c>
      <c r="O335" t="s">
        <v>3611</v>
      </c>
      <c r="P335" t="s">
        <v>3612</v>
      </c>
      <c r="Q335" t="s">
        <v>156</v>
      </c>
      <c r="R335" s="1">
        <v>29952</v>
      </c>
      <c r="S335" s="2">
        <f t="shared" si="30"/>
        <v>1982</v>
      </c>
      <c r="T335" s="2">
        <v>1982</v>
      </c>
      <c r="U335" s="2">
        <f t="shared" si="31"/>
        <v>40</v>
      </c>
      <c r="V335" s="1" t="s">
        <v>3593</v>
      </c>
      <c r="W335" t="s">
        <v>2385</v>
      </c>
      <c r="X335" s="3">
        <v>0.371</v>
      </c>
      <c r="Y335" s="4">
        <f>(X335-'[1]1982'!$Z$4)/('[1]1982'!$Z$3-'[1]1982'!$Z$4)</f>
        <v>9.9036331117695747E-3</v>
      </c>
      <c r="AA335">
        <v>486604</v>
      </c>
      <c r="AB335">
        <v>28580</v>
      </c>
      <c r="AC335" t="s">
        <v>2386</v>
      </c>
      <c r="AD335" t="s">
        <v>15</v>
      </c>
      <c r="AE335">
        <v>17</v>
      </c>
      <c r="AF335">
        <v>4</v>
      </c>
      <c r="AH335" t="s">
        <v>3613</v>
      </c>
      <c r="AI335" t="s">
        <v>3614</v>
      </c>
      <c r="AK335" t="s">
        <v>3615</v>
      </c>
      <c r="AL335">
        <v>0</v>
      </c>
      <c r="AM335" s="5">
        <f t="shared" si="32"/>
        <v>0</v>
      </c>
      <c r="AN335" s="6">
        <f>(AM335-'[1]1982'!$AO$4)/('[1]1982'!$AO$3-'[1]1982'!$AO$4)</f>
        <v>0</v>
      </c>
      <c r="AO335" s="7"/>
      <c r="AP335">
        <v>0</v>
      </c>
      <c r="AR335" t="s">
        <v>19</v>
      </c>
      <c r="AT335" s="3">
        <v>1.431</v>
      </c>
      <c r="AU335" s="8">
        <f t="shared" si="33"/>
        <v>0.69325431782387015</v>
      </c>
      <c r="AV335" s="8">
        <f t="shared" si="34"/>
        <v>0.49518165558847871</v>
      </c>
      <c r="AW335" s="8">
        <f t="shared" si="35"/>
        <v>0.29710899335308727</v>
      </c>
    </row>
    <row r="336" spans="1:49" x14ac:dyDescent="0.2">
      <c r="A336">
        <v>334</v>
      </c>
      <c r="B336" t="s">
        <v>3616</v>
      </c>
      <c r="C336" t="s">
        <v>3617</v>
      </c>
      <c r="F336" t="s">
        <v>3618</v>
      </c>
      <c r="G336" t="s">
        <v>4</v>
      </c>
      <c r="H336" t="s">
        <v>5</v>
      </c>
      <c r="I336" t="s">
        <v>3619</v>
      </c>
      <c r="J336">
        <v>60000745</v>
      </c>
      <c r="K336" t="s">
        <v>1500</v>
      </c>
      <c r="L336" t="s">
        <v>1501</v>
      </c>
      <c r="M336" t="s">
        <v>9</v>
      </c>
      <c r="N336">
        <v>1</v>
      </c>
      <c r="O336" t="s">
        <v>3620</v>
      </c>
      <c r="P336">
        <v>7003383426</v>
      </c>
      <c r="Q336">
        <v>60000745</v>
      </c>
      <c r="R336" s="1">
        <v>29952</v>
      </c>
      <c r="S336" s="2">
        <f t="shared" si="30"/>
        <v>1982</v>
      </c>
      <c r="T336" s="2">
        <v>1982</v>
      </c>
      <c r="U336" s="2">
        <f t="shared" si="31"/>
        <v>40</v>
      </c>
      <c r="V336" s="1">
        <v>30133</v>
      </c>
      <c r="W336" t="s">
        <v>2926</v>
      </c>
      <c r="X336" s="3">
        <v>2.141</v>
      </c>
      <c r="Y336" s="4">
        <f>(X336-'[1]1982'!$Z$4)/('[1]1982'!$Z$3-'[1]1982'!$Z$4)</f>
        <v>5.7152772216438434E-2</v>
      </c>
      <c r="AA336">
        <v>1962892</v>
      </c>
      <c r="AB336">
        <v>17360</v>
      </c>
      <c r="AC336">
        <v>15580644</v>
      </c>
      <c r="AD336" t="s">
        <v>15</v>
      </c>
      <c r="AE336" t="s">
        <v>2927</v>
      </c>
      <c r="AF336">
        <v>3</v>
      </c>
      <c r="AH336" t="s">
        <v>3621</v>
      </c>
      <c r="AI336" t="s">
        <v>3622</v>
      </c>
      <c r="AK336" t="s">
        <v>3623</v>
      </c>
      <c r="AL336">
        <v>0</v>
      </c>
      <c r="AM336" s="5">
        <f t="shared" si="32"/>
        <v>0</v>
      </c>
      <c r="AN336" s="6">
        <f>(AM336-'[1]1982'!$AO$4)/('[1]1982'!$AO$3-'[1]1982'!$AO$4)</f>
        <v>0</v>
      </c>
      <c r="AO336" s="7"/>
      <c r="AP336">
        <v>0</v>
      </c>
      <c r="AR336" t="s">
        <v>19</v>
      </c>
      <c r="AT336" s="3" t="s">
        <v>20</v>
      </c>
      <c r="AU336" s="8">
        <f t="shared" si="33"/>
        <v>4.0006940551506904</v>
      </c>
      <c r="AV336" s="8">
        <f t="shared" si="34"/>
        <v>2.8576386108219216</v>
      </c>
      <c r="AW336" s="8">
        <f t="shared" si="35"/>
        <v>1.714583166493153</v>
      </c>
    </row>
    <row r="337" spans="1:49" x14ac:dyDescent="0.2">
      <c r="A337">
        <v>335</v>
      </c>
      <c r="B337" t="s">
        <v>3624</v>
      </c>
      <c r="C337" t="s">
        <v>3625</v>
      </c>
      <c r="F337" t="s">
        <v>3626</v>
      </c>
      <c r="G337" t="s">
        <v>4</v>
      </c>
      <c r="H337" t="s">
        <v>5</v>
      </c>
      <c r="I337" t="s">
        <v>3627</v>
      </c>
      <c r="J337">
        <v>60009037</v>
      </c>
      <c r="K337" t="s">
        <v>2786</v>
      </c>
      <c r="L337" t="s">
        <v>445</v>
      </c>
      <c r="M337" t="s">
        <v>9</v>
      </c>
      <c r="N337">
        <v>1</v>
      </c>
      <c r="O337" t="s">
        <v>3628</v>
      </c>
      <c r="P337">
        <v>7005825046</v>
      </c>
      <c r="Q337">
        <v>60009037</v>
      </c>
      <c r="R337" s="1">
        <v>29952</v>
      </c>
      <c r="S337" s="2">
        <f t="shared" si="30"/>
        <v>1982</v>
      </c>
      <c r="T337" s="2">
        <v>1982</v>
      </c>
      <c r="U337" s="2">
        <f t="shared" si="31"/>
        <v>40</v>
      </c>
      <c r="V337" s="1">
        <v>30133</v>
      </c>
      <c r="W337" t="s">
        <v>2926</v>
      </c>
      <c r="X337" s="3">
        <v>2.141</v>
      </c>
      <c r="Y337" s="4">
        <f>(X337-'[1]1982'!$Z$4)/('[1]1982'!$Z$3-'[1]1982'!$Z$4)</f>
        <v>5.7152772216438434E-2</v>
      </c>
      <c r="AA337">
        <v>1962892</v>
      </c>
      <c r="AB337">
        <v>17360</v>
      </c>
      <c r="AC337">
        <v>15580644</v>
      </c>
      <c r="AD337" t="s">
        <v>15</v>
      </c>
      <c r="AE337" t="s">
        <v>2927</v>
      </c>
      <c r="AF337">
        <v>3</v>
      </c>
      <c r="AH337" t="s">
        <v>3629</v>
      </c>
      <c r="AI337" t="s">
        <v>3630</v>
      </c>
      <c r="AK337" t="s">
        <v>3631</v>
      </c>
      <c r="AL337">
        <v>56</v>
      </c>
      <c r="AM337" s="5">
        <f t="shared" si="32"/>
        <v>1.4</v>
      </c>
      <c r="AN337" s="6">
        <f>(AM337-'[1]1982'!$AO$4)/('[1]1982'!$AO$3-'[1]1982'!$AO$4)</f>
        <v>2.1204089360090874E-3</v>
      </c>
      <c r="AO337" s="7"/>
      <c r="AP337">
        <v>0</v>
      </c>
      <c r="AR337" t="s">
        <v>19</v>
      </c>
      <c r="AT337" s="3" t="s">
        <v>20</v>
      </c>
      <c r="AU337" s="8">
        <f t="shared" si="33"/>
        <v>4.0643063232309631</v>
      </c>
      <c r="AV337" s="8">
        <f t="shared" si="34"/>
        <v>2.963659057622376</v>
      </c>
      <c r="AW337" s="8">
        <f t="shared" si="35"/>
        <v>1.8630117920137892</v>
      </c>
    </row>
    <row r="338" spans="1:49" x14ac:dyDescent="0.2">
      <c r="A338">
        <v>336</v>
      </c>
      <c r="B338" t="s">
        <v>3632</v>
      </c>
      <c r="C338" t="s">
        <v>3633</v>
      </c>
      <c r="F338" t="s">
        <v>3634</v>
      </c>
      <c r="G338" t="s">
        <v>4</v>
      </c>
      <c r="H338" t="s">
        <v>5</v>
      </c>
      <c r="I338" t="s">
        <v>3635</v>
      </c>
      <c r="J338">
        <v>60003500</v>
      </c>
      <c r="K338" t="s">
        <v>2507</v>
      </c>
      <c r="L338" t="s">
        <v>951</v>
      </c>
      <c r="M338" t="s">
        <v>9</v>
      </c>
      <c r="N338">
        <v>1</v>
      </c>
      <c r="O338" t="s">
        <v>3636</v>
      </c>
      <c r="P338">
        <v>35611381200</v>
      </c>
      <c r="Q338">
        <v>60003500</v>
      </c>
      <c r="R338" s="1">
        <v>29952</v>
      </c>
      <c r="S338" s="2">
        <f t="shared" si="30"/>
        <v>1982</v>
      </c>
      <c r="T338" s="2">
        <v>1982</v>
      </c>
      <c r="U338" s="2">
        <f t="shared" si="31"/>
        <v>40</v>
      </c>
      <c r="V338" s="1">
        <v>30133</v>
      </c>
      <c r="W338" t="s">
        <v>2417</v>
      </c>
      <c r="X338" s="3">
        <v>1.137</v>
      </c>
      <c r="Y338" s="4">
        <f>(X338-'[1]1982'!$Z$4)/('[1]1982'!$Z$3-'[1]1982'!$Z$4)</f>
        <v>3.0351565628253384E-2</v>
      </c>
      <c r="AA338">
        <v>189251</v>
      </c>
      <c r="AB338">
        <v>17336</v>
      </c>
      <c r="AD338" t="s">
        <v>15</v>
      </c>
      <c r="AE338" t="s">
        <v>2418</v>
      </c>
      <c r="AF338">
        <v>4</v>
      </c>
      <c r="AH338" t="s">
        <v>3637</v>
      </c>
      <c r="AI338" t="s">
        <v>3638</v>
      </c>
      <c r="AK338" t="s">
        <v>3639</v>
      </c>
      <c r="AL338">
        <v>60</v>
      </c>
      <c r="AM338" s="5">
        <f t="shared" si="32"/>
        <v>1.5</v>
      </c>
      <c r="AN338" s="6">
        <f>(AM338-'[1]1982'!$AO$4)/('[1]1982'!$AO$3-'[1]1982'!$AO$4)</f>
        <v>2.2718667171525938E-3</v>
      </c>
      <c r="AO338" s="7"/>
      <c r="AP338">
        <v>0</v>
      </c>
      <c r="AR338" t="s">
        <v>19</v>
      </c>
      <c r="AT338" s="3" t="s">
        <v>20</v>
      </c>
      <c r="AU338" s="8">
        <f t="shared" si="33"/>
        <v>2.1927655954923146</v>
      </c>
      <c r="AV338" s="8">
        <f t="shared" si="34"/>
        <v>1.6311716172702988</v>
      </c>
      <c r="AW338" s="8">
        <f t="shared" si="35"/>
        <v>1.069577639048283</v>
      </c>
    </row>
    <row r="339" spans="1:49" x14ac:dyDescent="0.2">
      <c r="A339">
        <v>337</v>
      </c>
      <c r="B339" t="s">
        <v>3640</v>
      </c>
      <c r="C339" t="s">
        <v>3641</v>
      </c>
      <c r="D339">
        <v>141542582900103</v>
      </c>
      <c r="E339">
        <v>7120981</v>
      </c>
      <c r="F339" t="s">
        <v>3642</v>
      </c>
      <c r="G339" t="s">
        <v>4</v>
      </c>
      <c r="H339" t="s">
        <v>5</v>
      </c>
      <c r="I339" t="s">
        <v>3643</v>
      </c>
      <c r="J339">
        <v>60030816</v>
      </c>
      <c r="K339" t="s">
        <v>3644</v>
      </c>
      <c r="L339" t="s">
        <v>3645</v>
      </c>
      <c r="M339" t="s">
        <v>94</v>
      </c>
      <c r="N339">
        <v>4</v>
      </c>
      <c r="O339" t="s">
        <v>3646</v>
      </c>
      <c r="P339" t="s">
        <v>3647</v>
      </c>
      <c r="Q339" t="s">
        <v>3648</v>
      </c>
      <c r="R339" s="1">
        <v>29952</v>
      </c>
      <c r="S339" s="2">
        <f t="shared" si="30"/>
        <v>1982</v>
      </c>
      <c r="T339" s="2">
        <v>1982</v>
      </c>
      <c r="U339" s="2">
        <f t="shared" si="31"/>
        <v>40</v>
      </c>
      <c r="V339" s="1">
        <v>30133</v>
      </c>
      <c r="W339" t="s">
        <v>3649</v>
      </c>
      <c r="X339" s="3" t="s">
        <v>20</v>
      </c>
      <c r="Y339" s="4" t="e">
        <f>(X339-'[1]1982'!$Z$4)/('[1]1982'!$Z$3-'[1]1982'!$Z$4)</f>
        <v>#VALUE!</v>
      </c>
      <c r="AA339">
        <v>1415425</v>
      </c>
      <c r="AB339">
        <v>37667</v>
      </c>
      <c r="AD339" t="s">
        <v>15</v>
      </c>
      <c r="AE339">
        <v>4</v>
      </c>
      <c r="AF339">
        <v>3</v>
      </c>
      <c r="AH339" t="s">
        <v>3650</v>
      </c>
      <c r="AI339" t="s">
        <v>3651</v>
      </c>
      <c r="AJ339" t="s">
        <v>3652</v>
      </c>
      <c r="AK339" t="s">
        <v>3653</v>
      </c>
      <c r="AL339">
        <v>7</v>
      </c>
      <c r="AM339" s="5">
        <f t="shared" si="32"/>
        <v>0.17499999999999999</v>
      </c>
      <c r="AN339" s="6">
        <f>(AM339-'[1]1982'!$AO$4)/('[1]1982'!$AO$3-'[1]1982'!$AO$4)</f>
        <v>2.6505111700113592E-4</v>
      </c>
      <c r="AO339" s="7"/>
      <c r="AP339">
        <v>0</v>
      </c>
      <c r="AR339" t="s">
        <v>19</v>
      </c>
      <c r="AT339" s="3" t="s">
        <v>20</v>
      </c>
      <c r="AU339" s="8" t="e">
        <f t="shared" si="33"/>
        <v>#VALUE!</v>
      </c>
      <c r="AV339" s="8" t="e">
        <f t="shared" si="34"/>
        <v>#VALUE!</v>
      </c>
      <c r="AW339" s="8" t="e">
        <f t="shared" si="35"/>
        <v>#VALUE!</v>
      </c>
    </row>
    <row r="340" spans="1:49" x14ac:dyDescent="0.2">
      <c r="A340">
        <v>338</v>
      </c>
      <c r="B340" t="s">
        <v>3654</v>
      </c>
      <c r="C340" t="s">
        <v>3655</v>
      </c>
      <c r="F340" t="s">
        <v>3656</v>
      </c>
      <c r="G340" t="s">
        <v>4</v>
      </c>
      <c r="H340" t="s">
        <v>5</v>
      </c>
      <c r="I340" t="s">
        <v>2425</v>
      </c>
      <c r="J340">
        <v>60010491</v>
      </c>
      <c r="K340" t="s">
        <v>2426</v>
      </c>
      <c r="L340" t="s">
        <v>2427</v>
      </c>
      <c r="M340" t="s">
        <v>9</v>
      </c>
      <c r="N340">
        <v>1</v>
      </c>
      <c r="O340" t="s">
        <v>2428</v>
      </c>
      <c r="P340">
        <v>7201550943</v>
      </c>
      <c r="Q340">
        <v>60010491</v>
      </c>
      <c r="R340" s="1">
        <v>29952</v>
      </c>
      <c r="S340" s="2">
        <f t="shared" si="30"/>
        <v>1982</v>
      </c>
      <c r="T340" s="2">
        <v>1982</v>
      </c>
      <c r="U340" s="2">
        <f t="shared" si="31"/>
        <v>40</v>
      </c>
      <c r="V340" s="1">
        <v>30133</v>
      </c>
      <c r="W340" t="s">
        <v>1117</v>
      </c>
      <c r="X340" s="3">
        <v>1.6519999999999999</v>
      </c>
      <c r="Y340" s="4">
        <f>(X340-'[1]1982'!$Z$4)/('[1]1982'!$Z$3-'[1]1982'!$Z$4)</f>
        <v>4.409919649769093E-2</v>
      </c>
      <c r="AA340" t="s">
        <v>1118</v>
      </c>
      <c r="AB340">
        <v>17337</v>
      </c>
      <c r="AC340">
        <v>15582221</v>
      </c>
      <c r="AD340" t="s">
        <v>15</v>
      </c>
      <c r="AE340">
        <v>30</v>
      </c>
      <c r="AF340">
        <v>4</v>
      </c>
      <c r="AH340" t="s">
        <v>3657</v>
      </c>
      <c r="AI340" t="s">
        <v>3658</v>
      </c>
      <c r="AK340" t="s">
        <v>3659</v>
      </c>
      <c r="AL340">
        <v>88</v>
      </c>
      <c r="AM340" s="5">
        <f t="shared" si="32"/>
        <v>2.2000000000000002</v>
      </c>
      <c r="AN340" s="6">
        <f>(AM340-'[1]1982'!$AO$4)/('[1]1982'!$AO$3-'[1]1982'!$AO$4)</f>
        <v>3.3320711851571377E-3</v>
      </c>
      <c r="AO340" s="7"/>
      <c r="AP340">
        <v>0</v>
      </c>
      <c r="AR340" t="s">
        <v>19</v>
      </c>
      <c r="AT340" s="3" t="s">
        <v>20</v>
      </c>
      <c r="AU340" s="8">
        <f t="shared" si="33"/>
        <v>3.1869058903930791</v>
      </c>
      <c r="AV340" s="8">
        <f t="shared" si="34"/>
        <v>2.3715633841424033</v>
      </c>
      <c r="AW340" s="8">
        <f t="shared" si="35"/>
        <v>1.5562208778917275</v>
      </c>
    </row>
    <row r="341" spans="1:49" x14ac:dyDescent="0.2">
      <c r="A341">
        <v>339</v>
      </c>
      <c r="B341" t="s">
        <v>3660</v>
      </c>
      <c r="C341" t="s">
        <v>3661</v>
      </c>
      <c r="F341" t="s">
        <v>3662</v>
      </c>
      <c r="G341" t="s">
        <v>4</v>
      </c>
      <c r="H341" t="s">
        <v>5</v>
      </c>
      <c r="I341" t="s">
        <v>3663</v>
      </c>
      <c r="J341">
        <v>60022195</v>
      </c>
      <c r="K341" t="s">
        <v>3664</v>
      </c>
      <c r="L341" t="s">
        <v>3002</v>
      </c>
      <c r="M341" t="s">
        <v>9</v>
      </c>
      <c r="N341">
        <v>3</v>
      </c>
      <c r="O341" t="s">
        <v>3665</v>
      </c>
      <c r="P341" t="s">
        <v>3666</v>
      </c>
      <c r="Q341" t="s">
        <v>3667</v>
      </c>
      <c r="R341" s="1">
        <v>29952</v>
      </c>
      <c r="S341" s="2">
        <f t="shared" si="30"/>
        <v>1982</v>
      </c>
      <c r="T341" s="2">
        <v>1982</v>
      </c>
      <c r="U341" s="2">
        <f t="shared" si="31"/>
        <v>40</v>
      </c>
      <c r="V341" s="1">
        <v>30133</v>
      </c>
      <c r="W341" t="s">
        <v>1117</v>
      </c>
      <c r="X341" s="3">
        <v>1.6519999999999999</v>
      </c>
      <c r="Y341" s="4">
        <f>(X341-'[1]1982'!$Z$4)/('[1]1982'!$Z$3-'[1]1982'!$Z$4)</f>
        <v>4.409919649769093E-2</v>
      </c>
      <c r="AA341" t="s">
        <v>1118</v>
      </c>
      <c r="AB341">
        <v>17337</v>
      </c>
      <c r="AC341">
        <v>15582221</v>
      </c>
      <c r="AD341" t="s">
        <v>15</v>
      </c>
      <c r="AE341">
        <v>30</v>
      </c>
      <c r="AF341">
        <v>4</v>
      </c>
      <c r="AH341" t="s">
        <v>3668</v>
      </c>
      <c r="AI341" t="s">
        <v>3669</v>
      </c>
      <c r="AK341" t="s">
        <v>3670</v>
      </c>
      <c r="AL341">
        <v>97</v>
      </c>
      <c r="AM341" s="5">
        <f t="shared" si="32"/>
        <v>2.4249999999999998</v>
      </c>
      <c r="AN341" s="6">
        <f>(AM341-'[1]1982'!$AO$4)/('[1]1982'!$AO$3-'[1]1982'!$AO$4)</f>
        <v>3.6728511927300264E-3</v>
      </c>
      <c r="AO341" s="7"/>
      <c r="AP341">
        <v>0</v>
      </c>
      <c r="AR341" t="s">
        <v>19</v>
      </c>
      <c r="AT341" s="3" t="s">
        <v>20</v>
      </c>
      <c r="AU341" s="8">
        <f t="shared" si="33"/>
        <v>3.197129290620266</v>
      </c>
      <c r="AV341" s="8">
        <f t="shared" si="34"/>
        <v>2.3886023845210476</v>
      </c>
      <c r="AW341" s="8">
        <f t="shared" si="35"/>
        <v>1.5800754784218294</v>
      </c>
    </row>
    <row r="342" spans="1:49" x14ac:dyDescent="0.2">
      <c r="A342">
        <v>340</v>
      </c>
      <c r="B342" t="s">
        <v>3671</v>
      </c>
      <c r="C342" t="s">
        <v>3672</v>
      </c>
      <c r="F342" t="s">
        <v>3673</v>
      </c>
      <c r="G342" t="s">
        <v>4</v>
      </c>
      <c r="H342" t="s">
        <v>5</v>
      </c>
      <c r="I342" t="s">
        <v>3674</v>
      </c>
      <c r="J342">
        <v>60007716</v>
      </c>
      <c r="K342" t="s">
        <v>3675</v>
      </c>
      <c r="L342" t="s">
        <v>3676</v>
      </c>
      <c r="M342" t="s">
        <v>40</v>
      </c>
      <c r="N342">
        <v>2</v>
      </c>
      <c r="O342" t="s">
        <v>3677</v>
      </c>
      <c r="P342" t="s">
        <v>3678</v>
      </c>
      <c r="Q342" t="s">
        <v>3679</v>
      </c>
      <c r="R342" s="1">
        <v>29952</v>
      </c>
      <c r="S342" s="2">
        <f t="shared" si="30"/>
        <v>1982</v>
      </c>
      <c r="T342" s="2">
        <v>1982</v>
      </c>
      <c r="U342" s="2">
        <f t="shared" si="31"/>
        <v>40</v>
      </c>
      <c r="V342" s="1">
        <v>30133</v>
      </c>
      <c r="W342" t="s">
        <v>1117</v>
      </c>
      <c r="X342" s="3">
        <v>1.6519999999999999</v>
      </c>
      <c r="Y342" s="4">
        <f>(X342-'[1]1982'!$Z$4)/('[1]1982'!$Z$3-'[1]1982'!$Z$4)</f>
        <v>4.409919649769093E-2</v>
      </c>
      <c r="AA342" t="s">
        <v>1118</v>
      </c>
      <c r="AB342">
        <v>17337</v>
      </c>
      <c r="AC342">
        <v>15582221</v>
      </c>
      <c r="AD342" t="s">
        <v>15</v>
      </c>
      <c r="AE342">
        <v>30</v>
      </c>
      <c r="AF342">
        <v>4</v>
      </c>
      <c r="AH342" t="s">
        <v>3680</v>
      </c>
      <c r="AI342" t="s">
        <v>3681</v>
      </c>
      <c r="AK342" t="s">
        <v>3682</v>
      </c>
      <c r="AL342">
        <v>0</v>
      </c>
      <c r="AM342" s="5">
        <f t="shared" si="32"/>
        <v>0</v>
      </c>
      <c r="AN342" s="6">
        <f>(AM342-'[1]1982'!$AO$4)/('[1]1982'!$AO$3-'[1]1982'!$AO$4)</f>
        <v>0</v>
      </c>
      <c r="AO342" s="7"/>
      <c r="AP342">
        <v>0</v>
      </c>
      <c r="AR342" t="s">
        <v>19</v>
      </c>
      <c r="AT342" s="3" t="s">
        <v>20</v>
      </c>
      <c r="AU342" s="8">
        <f t="shared" si="33"/>
        <v>3.0869437548383649</v>
      </c>
      <c r="AV342" s="8">
        <f t="shared" si="34"/>
        <v>2.2049598248845466</v>
      </c>
      <c r="AW342" s="8">
        <f t="shared" si="35"/>
        <v>1.3229758949307278</v>
      </c>
    </row>
    <row r="343" spans="1:49" x14ac:dyDescent="0.2">
      <c r="A343">
        <v>341</v>
      </c>
      <c r="B343" t="s">
        <v>3683</v>
      </c>
      <c r="C343" t="s">
        <v>3684</v>
      </c>
      <c r="F343" t="s">
        <v>3685</v>
      </c>
      <c r="G343" t="s">
        <v>4</v>
      </c>
      <c r="H343" t="s">
        <v>5</v>
      </c>
      <c r="I343" t="s">
        <v>3686</v>
      </c>
      <c r="J343" t="s">
        <v>3687</v>
      </c>
      <c r="K343" t="s">
        <v>3688</v>
      </c>
      <c r="L343" t="s">
        <v>3689</v>
      </c>
      <c r="M343" t="s">
        <v>218</v>
      </c>
      <c r="N343">
        <v>2</v>
      </c>
      <c r="O343" t="s">
        <v>3690</v>
      </c>
      <c r="P343" t="s">
        <v>3691</v>
      </c>
      <c r="Q343" t="s">
        <v>3692</v>
      </c>
      <c r="R343" s="1">
        <v>29952</v>
      </c>
      <c r="S343" s="2">
        <f t="shared" si="30"/>
        <v>1982</v>
      </c>
      <c r="T343" s="2">
        <v>1982</v>
      </c>
      <c r="U343" s="2">
        <f t="shared" si="31"/>
        <v>40</v>
      </c>
      <c r="V343" s="1">
        <v>30133</v>
      </c>
      <c r="W343" t="s">
        <v>1117</v>
      </c>
      <c r="X343" s="3">
        <v>1.6519999999999999</v>
      </c>
      <c r="Y343" s="4">
        <f>(X343-'[1]1982'!$Z$4)/('[1]1982'!$Z$3-'[1]1982'!$Z$4)</f>
        <v>4.409919649769093E-2</v>
      </c>
      <c r="AA343" t="s">
        <v>1118</v>
      </c>
      <c r="AB343">
        <v>17337</v>
      </c>
      <c r="AC343">
        <v>15582221</v>
      </c>
      <c r="AD343" t="s">
        <v>15</v>
      </c>
      <c r="AE343">
        <v>30</v>
      </c>
      <c r="AF343">
        <v>4</v>
      </c>
      <c r="AH343" t="s">
        <v>3693</v>
      </c>
      <c r="AI343" t="s">
        <v>3694</v>
      </c>
      <c r="AK343" t="s">
        <v>3695</v>
      </c>
      <c r="AL343">
        <v>93</v>
      </c>
      <c r="AM343" s="5">
        <f t="shared" si="32"/>
        <v>2.3250000000000002</v>
      </c>
      <c r="AN343" s="6">
        <f>(AM343-'[1]1982'!$AO$4)/('[1]1982'!$AO$3-'[1]1982'!$AO$4)</f>
        <v>3.5213934115865203E-3</v>
      </c>
      <c r="AO343" s="7"/>
      <c r="AP343">
        <v>0</v>
      </c>
      <c r="AR343" t="s">
        <v>19</v>
      </c>
      <c r="AT343" s="3" t="s">
        <v>20</v>
      </c>
      <c r="AU343" s="8">
        <f t="shared" si="33"/>
        <v>3.1925855571859603</v>
      </c>
      <c r="AV343" s="8">
        <f t="shared" si="34"/>
        <v>2.3810294954638724</v>
      </c>
      <c r="AW343" s="8">
        <f t="shared" si="35"/>
        <v>1.5694734337417842</v>
      </c>
    </row>
    <row r="344" spans="1:49" x14ac:dyDescent="0.2">
      <c r="A344">
        <v>342</v>
      </c>
      <c r="B344" t="s">
        <v>3696</v>
      </c>
      <c r="C344" t="s">
        <v>3697</v>
      </c>
      <c r="F344" t="s">
        <v>3698</v>
      </c>
      <c r="G344" t="s">
        <v>4</v>
      </c>
      <c r="H344" t="s">
        <v>5</v>
      </c>
      <c r="I344" t="s">
        <v>3699</v>
      </c>
      <c r="J344" t="s">
        <v>3700</v>
      </c>
      <c r="K344" t="s">
        <v>3701</v>
      </c>
      <c r="L344" t="s">
        <v>3702</v>
      </c>
      <c r="M344" t="s">
        <v>3703</v>
      </c>
      <c r="N344">
        <v>2</v>
      </c>
      <c r="O344" t="s">
        <v>3704</v>
      </c>
      <c r="P344" t="s">
        <v>3705</v>
      </c>
      <c r="Q344" t="s">
        <v>3706</v>
      </c>
      <c r="R344" s="1">
        <v>29952</v>
      </c>
      <c r="S344" s="2">
        <f t="shared" si="30"/>
        <v>1982</v>
      </c>
      <c r="T344" s="2">
        <v>1982</v>
      </c>
      <c r="U344" s="2">
        <f t="shared" si="31"/>
        <v>40</v>
      </c>
      <c r="V344" s="1">
        <v>30133</v>
      </c>
      <c r="W344" t="s">
        <v>1117</v>
      </c>
      <c r="X344" s="3">
        <v>1.6519999999999999</v>
      </c>
      <c r="Y344" s="4">
        <f>(X344-'[1]1982'!$Z$4)/('[1]1982'!$Z$3-'[1]1982'!$Z$4)</f>
        <v>4.409919649769093E-2</v>
      </c>
      <c r="AA344" t="s">
        <v>1118</v>
      </c>
      <c r="AB344">
        <v>17337</v>
      </c>
      <c r="AC344">
        <v>15582221</v>
      </c>
      <c r="AD344" t="s">
        <v>15</v>
      </c>
      <c r="AE344">
        <v>30</v>
      </c>
      <c r="AF344">
        <v>4</v>
      </c>
      <c r="AH344" t="s">
        <v>3707</v>
      </c>
      <c r="AI344" t="s">
        <v>3708</v>
      </c>
      <c r="AK344" t="s">
        <v>3709</v>
      </c>
      <c r="AL344">
        <v>43</v>
      </c>
      <c r="AM344" s="5">
        <f t="shared" si="32"/>
        <v>1.075</v>
      </c>
      <c r="AN344" s="6">
        <f>(AM344-'[1]1982'!$AO$4)/('[1]1982'!$AO$3-'[1]1982'!$AO$4)</f>
        <v>1.628171147292692E-3</v>
      </c>
      <c r="AO344" s="7"/>
      <c r="AP344">
        <v>0</v>
      </c>
      <c r="AR344" t="s">
        <v>19</v>
      </c>
      <c r="AT344" s="3" t="s">
        <v>20</v>
      </c>
      <c r="AU344" s="8">
        <f t="shared" si="33"/>
        <v>3.1357888892571459</v>
      </c>
      <c r="AV344" s="8">
        <f t="shared" si="34"/>
        <v>2.2863683822491812</v>
      </c>
      <c r="AW344" s="8">
        <f t="shared" si="35"/>
        <v>1.4369478752412161</v>
      </c>
    </row>
    <row r="345" spans="1:49" x14ac:dyDescent="0.2">
      <c r="A345">
        <v>343</v>
      </c>
      <c r="B345" t="s">
        <v>3710</v>
      </c>
      <c r="C345" t="s">
        <v>3711</v>
      </c>
      <c r="F345" t="s">
        <v>3712</v>
      </c>
      <c r="G345" t="s">
        <v>4</v>
      </c>
      <c r="H345" t="s">
        <v>5</v>
      </c>
      <c r="I345" t="s">
        <v>3713</v>
      </c>
      <c r="J345">
        <v>60027090</v>
      </c>
      <c r="K345" t="s">
        <v>3714</v>
      </c>
      <c r="L345" t="s">
        <v>3715</v>
      </c>
      <c r="M345" t="s">
        <v>9</v>
      </c>
      <c r="N345">
        <v>1</v>
      </c>
      <c r="O345" t="s">
        <v>3716</v>
      </c>
      <c r="P345">
        <v>56760475400</v>
      </c>
      <c r="Q345">
        <v>60027090</v>
      </c>
      <c r="R345" s="1">
        <v>29952</v>
      </c>
      <c r="S345" s="2">
        <f t="shared" si="30"/>
        <v>1982</v>
      </c>
      <c r="T345" s="2">
        <v>1982</v>
      </c>
      <c r="U345" s="2">
        <f t="shared" si="31"/>
        <v>40</v>
      </c>
      <c r="V345" s="1">
        <v>30133</v>
      </c>
      <c r="W345" t="s">
        <v>1117</v>
      </c>
      <c r="X345" s="3">
        <v>1.6519999999999999</v>
      </c>
      <c r="Y345" s="4">
        <f>(X345-'[1]1982'!$Z$4)/('[1]1982'!$Z$3-'[1]1982'!$Z$4)</f>
        <v>4.409919649769093E-2</v>
      </c>
      <c r="AA345" t="s">
        <v>1118</v>
      </c>
      <c r="AB345">
        <v>17337</v>
      </c>
      <c r="AC345">
        <v>15582221</v>
      </c>
      <c r="AD345" t="s">
        <v>15</v>
      </c>
      <c r="AE345">
        <v>30</v>
      </c>
      <c r="AF345">
        <v>4</v>
      </c>
      <c r="AH345" t="s">
        <v>3717</v>
      </c>
      <c r="AI345" t="s">
        <v>3718</v>
      </c>
      <c r="AK345" t="s">
        <v>3719</v>
      </c>
      <c r="AL345">
        <v>1</v>
      </c>
      <c r="AM345" s="5">
        <f t="shared" si="32"/>
        <v>2.5000000000000001E-2</v>
      </c>
      <c r="AN345" s="6">
        <f>(AM345-'[1]1982'!$AO$4)/('[1]1982'!$AO$3-'[1]1982'!$AO$4)</f>
        <v>3.7864445285876567E-5</v>
      </c>
      <c r="AO345" s="7"/>
      <c r="AP345">
        <v>0</v>
      </c>
      <c r="AR345" t="s">
        <v>19</v>
      </c>
      <c r="AT345" s="3" t="s">
        <v>20</v>
      </c>
      <c r="AU345" s="8">
        <f t="shared" si="33"/>
        <v>3.0880796881969412</v>
      </c>
      <c r="AV345" s="8">
        <f t="shared" si="34"/>
        <v>2.2068530471488401</v>
      </c>
      <c r="AW345" s="8">
        <f t="shared" si="35"/>
        <v>1.3256264061007392</v>
      </c>
    </row>
    <row r="346" spans="1:49" x14ac:dyDescent="0.2">
      <c r="A346">
        <v>344</v>
      </c>
      <c r="B346" t="s">
        <v>3720</v>
      </c>
      <c r="C346" t="s">
        <v>3721</v>
      </c>
      <c r="F346" t="s">
        <v>3722</v>
      </c>
      <c r="G346" t="s">
        <v>4</v>
      </c>
      <c r="H346" t="s">
        <v>5</v>
      </c>
      <c r="I346" t="s">
        <v>3723</v>
      </c>
      <c r="J346">
        <v>60003500</v>
      </c>
      <c r="K346" t="s">
        <v>2507</v>
      </c>
      <c r="L346" t="s">
        <v>951</v>
      </c>
      <c r="M346" t="s">
        <v>9</v>
      </c>
      <c r="N346">
        <v>2</v>
      </c>
      <c r="O346" t="s">
        <v>3724</v>
      </c>
      <c r="P346" t="s">
        <v>3725</v>
      </c>
      <c r="Q346" t="s">
        <v>2676</v>
      </c>
      <c r="R346" s="1">
        <v>29952</v>
      </c>
      <c r="S346" s="2">
        <f t="shared" si="30"/>
        <v>1982</v>
      </c>
      <c r="T346" s="2">
        <v>1982</v>
      </c>
      <c r="U346" s="2">
        <f t="shared" si="31"/>
        <v>40</v>
      </c>
      <c r="V346" s="1">
        <v>30133</v>
      </c>
      <c r="W346" t="s">
        <v>1117</v>
      </c>
      <c r="X346" s="3">
        <v>1.6519999999999999</v>
      </c>
      <c r="Y346" s="4">
        <f>(X346-'[1]1982'!$Z$4)/('[1]1982'!$Z$3-'[1]1982'!$Z$4)</f>
        <v>4.409919649769093E-2</v>
      </c>
      <c r="AA346" t="s">
        <v>1118</v>
      </c>
      <c r="AB346">
        <v>17337</v>
      </c>
      <c r="AC346">
        <v>15582221</v>
      </c>
      <c r="AD346" t="s">
        <v>15</v>
      </c>
      <c r="AE346">
        <v>30</v>
      </c>
      <c r="AF346">
        <v>4</v>
      </c>
      <c r="AH346" t="s">
        <v>3726</v>
      </c>
      <c r="AI346" t="s">
        <v>3727</v>
      </c>
      <c r="AK346" t="s">
        <v>3728</v>
      </c>
      <c r="AL346">
        <v>34</v>
      </c>
      <c r="AM346" s="5">
        <f t="shared" si="32"/>
        <v>0.85</v>
      </c>
      <c r="AN346" s="6">
        <f>(AM346-'[1]1982'!$AO$4)/('[1]1982'!$AO$3-'[1]1982'!$AO$4)</f>
        <v>1.2873911397198031E-3</v>
      </c>
      <c r="AO346" s="7"/>
      <c r="AP346">
        <v>0</v>
      </c>
      <c r="AR346" t="s">
        <v>19</v>
      </c>
      <c r="AT346" s="3" t="s">
        <v>20</v>
      </c>
      <c r="AU346" s="8">
        <f t="shared" si="33"/>
        <v>3.1255654890299591</v>
      </c>
      <c r="AV346" s="8">
        <f t="shared" si="34"/>
        <v>2.2693293818705369</v>
      </c>
      <c r="AW346" s="8">
        <f t="shared" si="35"/>
        <v>1.413093274711114</v>
      </c>
    </row>
    <row r="347" spans="1:49" x14ac:dyDescent="0.2">
      <c r="A347">
        <v>345</v>
      </c>
      <c r="B347" t="s">
        <v>3729</v>
      </c>
      <c r="C347" t="s">
        <v>3730</v>
      </c>
      <c r="F347" t="s">
        <v>3731</v>
      </c>
      <c r="G347" t="s">
        <v>4</v>
      </c>
      <c r="H347" t="s">
        <v>5</v>
      </c>
      <c r="I347" t="s">
        <v>3033</v>
      </c>
      <c r="J347">
        <v>60002798</v>
      </c>
      <c r="K347" t="s">
        <v>3034</v>
      </c>
      <c r="L347" t="s">
        <v>3035</v>
      </c>
      <c r="M347" t="s">
        <v>3035</v>
      </c>
      <c r="N347">
        <v>2</v>
      </c>
      <c r="O347" t="s">
        <v>3732</v>
      </c>
      <c r="P347" t="s">
        <v>3733</v>
      </c>
      <c r="Q347" t="s">
        <v>3734</v>
      </c>
      <c r="R347" s="1">
        <v>29952</v>
      </c>
      <c r="S347" s="2">
        <f t="shared" si="30"/>
        <v>1982</v>
      </c>
      <c r="T347" s="2">
        <v>1982</v>
      </c>
      <c r="U347" s="2">
        <f t="shared" si="31"/>
        <v>40</v>
      </c>
      <c r="V347" s="1">
        <v>30133</v>
      </c>
      <c r="W347" t="s">
        <v>1117</v>
      </c>
      <c r="X347" s="3">
        <v>1.6519999999999999</v>
      </c>
      <c r="Y347" s="4">
        <f>(X347-'[1]1982'!$Z$4)/('[1]1982'!$Z$3-'[1]1982'!$Z$4)</f>
        <v>4.409919649769093E-2</v>
      </c>
      <c r="AA347" t="s">
        <v>1118</v>
      </c>
      <c r="AB347">
        <v>17337</v>
      </c>
      <c r="AC347">
        <v>15582221</v>
      </c>
      <c r="AD347" t="s">
        <v>15</v>
      </c>
      <c r="AE347">
        <v>30</v>
      </c>
      <c r="AF347">
        <v>4</v>
      </c>
      <c r="AH347" t="s">
        <v>3735</v>
      </c>
      <c r="AI347" t="s">
        <v>3736</v>
      </c>
      <c r="AK347" t="s">
        <v>3737</v>
      </c>
      <c r="AL347">
        <v>0</v>
      </c>
      <c r="AM347" s="5">
        <f t="shared" si="32"/>
        <v>0</v>
      </c>
      <c r="AN347" s="6">
        <f>(AM347-'[1]1982'!$AO$4)/('[1]1982'!$AO$3-'[1]1982'!$AO$4)</f>
        <v>0</v>
      </c>
      <c r="AO347" s="7"/>
      <c r="AP347">
        <v>0</v>
      </c>
      <c r="AR347" t="s">
        <v>19</v>
      </c>
      <c r="AT347" s="3" t="s">
        <v>20</v>
      </c>
      <c r="AU347" s="8">
        <f t="shared" si="33"/>
        <v>3.0869437548383649</v>
      </c>
      <c r="AV347" s="8">
        <f t="shared" si="34"/>
        <v>2.2049598248845466</v>
      </c>
      <c r="AW347" s="8">
        <f t="shared" si="35"/>
        <v>1.3229758949307278</v>
      </c>
    </row>
    <row r="348" spans="1:49" x14ac:dyDescent="0.2">
      <c r="A348">
        <v>346</v>
      </c>
      <c r="B348" t="s">
        <v>3738</v>
      </c>
      <c r="F348" t="s">
        <v>3739</v>
      </c>
      <c r="G348" t="s">
        <v>4</v>
      </c>
      <c r="H348" t="s">
        <v>5</v>
      </c>
      <c r="I348" t="s">
        <v>3740</v>
      </c>
      <c r="N348">
        <v>9</v>
      </c>
      <c r="O348" t="s">
        <v>3741</v>
      </c>
      <c r="P348" t="s">
        <v>3742</v>
      </c>
      <c r="Q348" t="s">
        <v>3743</v>
      </c>
      <c r="R348" s="1">
        <v>29952</v>
      </c>
      <c r="S348" s="2">
        <f t="shared" si="30"/>
        <v>1982</v>
      </c>
      <c r="T348" s="2">
        <v>1982</v>
      </c>
      <c r="U348" s="2">
        <f t="shared" si="31"/>
        <v>40</v>
      </c>
      <c r="V348" s="1" t="s">
        <v>3744</v>
      </c>
      <c r="W348" t="s">
        <v>1643</v>
      </c>
      <c r="X348" s="3" t="s">
        <v>20</v>
      </c>
      <c r="Y348" s="4" t="e">
        <f>(X348-'[1]1982'!$Z$4)/('[1]1982'!$Z$3-'[1]1982'!$Z$4)</f>
        <v>#VALUE!</v>
      </c>
      <c r="AA348">
        <v>337889</v>
      </c>
      <c r="AB348">
        <v>40920</v>
      </c>
      <c r="AD348" t="s">
        <v>15</v>
      </c>
      <c r="AE348">
        <v>27</v>
      </c>
      <c r="AF348">
        <v>7</v>
      </c>
      <c r="AH348" t="s">
        <v>3745</v>
      </c>
      <c r="AI348" t="s">
        <v>3746</v>
      </c>
      <c r="AK348" t="s">
        <v>3747</v>
      </c>
      <c r="AL348">
        <v>0</v>
      </c>
      <c r="AM348" s="5">
        <f t="shared" si="32"/>
        <v>0</v>
      </c>
      <c r="AN348" s="6">
        <f>(AM348-'[1]1982'!$AO$4)/('[1]1982'!$AO$3-'[1]1982'!$AO$4)</f>
        <v>0</v>
      </c>
      <c r="AO348" s="7"/>
      <c r="AP348">
        <v>0</v>
      </c>
      <c r="AR348" t="s">
        <v>19</v>
      </c>
      <c r="AT348" s="3" t="s">
        <v>20</v>
      </c>
      <c r="AU348" s="8" t="e">
        <f t="shared" si="33"/>
        <v>#VALUE!</v>
      </c>
      <c r="AV348" s="8" t="e">
        <f t="shared" si="34"/>
        <v>#VALUE!</v>
      </c>
      <c r="AW348" s="8" t="e">
        <f t="shared" si="35"/>
        <v>#VALUE!</v>
      </c>
    </row>
    <row r="349" spans="1:49" x14ac:dyDescent="0.2">
      <c r="A349">
        <v>347</v>
      </c>
      <c r="B349" t="s">
        <v>3748</v>
      </c>
      <c r="C349" t="s">
        <v>3749</v>
      </c>
      <c r="F349" t="s">
        <v>3750</v>
      </c>
      <c r="G349" t="s">
        <v>4</v>
      </c>
      <c r="H349" t="s">
        <v>5</v>
      </c>
      <c r="I349" t="s">
        <v>3751</v>
      </c>
      <c r="J349">
        <v>60021378</v>
      </c>
      <c r="K349" t="s">
        <v>1539</v>
      </c>
      <c r="L349" t="s">
        <v>1540</v>
      </c>
      <c r="M349" t="s">
        <v>9</v>
      </c>
      <c r="N349">
        <v>2</v>
      </c>
      <c r="O349" t="s">
        <v>3752</v>
      </c>
      <c r="P349" t="s">
        <v>3753</v>
      </c>
      <c r="Q349" t="s">
        <v>3754</v>
      </c>
      <c r="R349" s="1">
        <v>29952</v>
      </c>
      <c r="S349" s="2">
        <f t="shared" si="30"/>
        <v>1982</v>
      </c>
      <c r="T349" s="2">
        <v>1982</v>
      </c>
      <c r="U349" s="2">
        <f t="shared" si="31"/>
        <v>40</v>
      </c>
      <c r="V349" s="1">
        <v>30133</v>
      </c>
      <c r="W349" t="s">
        <v>1117</v>
      </c>
      <c r="X349" s="3">
        <v>1.6519999999999999</v>
      </c>
      <c r="Y349" s="4">
        <f>(X349-'[1]1982'!$Z$4)/('[1]1982'!$Z$3-'[1]1982'!$Z$4)</f>
        <v>4.409919649769093E-2</v>
      </c>
      <c r="AA349" t="s">
        <v>1118</v>
      </c>
      <c r="AB349">
        <v>17337</v>
      </c>
      <c r="AC349">
        <v>15582221</v>
      </c>
      <c r="AD349" t="s">
        <v>15</v>
      </c>
      <c r="AE349">
        <v>30</v>
      </c>
      <c r="AF349">
        <v>4</v>
      </c>
      <c r="AH349" t="s">
        <v>3755</v>
      </c>
      <c r="AI349" t="s">
        <v>3756</v>
      </c>
      <c r="AK349" t="s">
        <v>3757</v>
      </c>
      <c r="AL349">
        <v>12</v>
      </c>
      <c r="AM349" s="5">
        <f t="shared" si="32"/>
        <v>0.3</v>
      </c>
      <c r="AN349" s="6">
        <f>(AM349-'[1]1982'!$AO$4)/('[1]1982'!$AO$3-'[1]1982'!$AO$4)</f>
        <v>4.5437334343051872E-4</v>
      </c>
      <c r="AO349" s="7"/>
      <c r="AP349">
        <v>0</v>
      </c>
      <c r="AR349" t="s">
        <v>19</v>
      </c>
      <c r="AT349" s="3" t="s">
        <v>20</v>
      </c>
      <c r="AU349" s="8">
        <f t="shared" si="33"/>
        <v>3.1005749551412807</v>
      </c>
      <c r="AV349" s="8">
        <f t="shared" si="34"/>
        <v>2.2276784920560724</v>
      </c>
      <c r="AW349" s="8">
        <f t="shared" si="35"/>
        <v>1.3547820289708641</v>
      </c>
    </row>
    <row r="350" spans="1:49" x14ac:dyDescent="0.2">
      <c r="A350">
        <v>348</v>
      </c>
      <c r="B350" t="s">
        <v>3758</v>
      </c>
      <c r="C350" t="s">
        <v>3759</v>
      </c>
      <c r="F350" t="s">
        <v>3760</v>
      </c>
      <c r="G350" t="s">
        <v>4</v>
      </c>
      <c r="H350" t="s">
        <v>5</v>
      </c>
      <c r="I350" t="s">
        <v>3761</v>
      </c>
      <c r="J350">
        <v>60003500</v>
      </c>
      <c r="K350" t="s">
        <v>2507</v>
      </c>
      <c r="L350" t="s">
        <v>951</v>
      </c>
      <c r="M350" t="s">
        <v>9</v>
      </c>
      <c r="N350">
        <v>2</v>
      </c>
      <c r="O350" t="s">
        <v>3762</v>
      </c>
      <c r="P350" t="s">
        <v>3763</v>
      </c>
      <c r="Q350" t="s">
        <v>2676</v>
      </c>
      <c r="R350" s="1">
        <v>29952</v>
      </c>
      <c r="S350" s="2">
        <f t="shared" si="30"/>
        <v>1982</v>
      </c>
      <c r="T350" s="2">
        <v>1982</v>
      </c>
      <c r="U350" s="2">
        <f t="shared" si="31"/>
        <v>40</v>
      </c>
      <c r="V350" s="1">
        <v>30133</v>
      </c>
      <c r="W350" t="s">
        <v>1117</v>
      </c>
      <c r="X350" s="3">
        <v>1.6519999999999999</v>
      </c>
      <c r="Y350" s="4">
        <f>(X350-'[1]1982'!$Z$4)/('[1]1982'!$Z$3-'[1]1982'!$Z$4)</f>
        <v>4.409919649769093E-2</v>
      </c>
      <c r="AA350" t="s">
        <v>1118</v>
      </c>
      <c r="AB350">
        <v>17337</v>
      </c>
      <c r="AC350">
        <v>15582221</v>
      </c>
      <c r="AD350" t="s">
        <v>15</v>
      </c>
      <c r="AE350">
        <v>30</v>
      </c>
      <c r="AF350">
        <v>4</v>
      </c>
      <c r="AH350" t="s">
        <v>3764</v>
      </c>
      <c r="AI350" t="s">
        <v>3765</v>
      </c>
      <c r="AK350" t="s">
        <v>3766</v>
      </c>
      <c r="AL350">
        <v>47</v>
      </c>
      <c r="AM350" s="5">
        <f t="shared" si="32"/>
        <v>1.175</v>
      </c>
      <c r="AN350" s="6">
        <f>(AM350-'[1]1982'!$AO$4)/('[1]1982'!$AO$3-'[1]1982'!$AO$4)</f>
        <v>1.7796289284361985E-3</v>
      </c>
      <c r="AO350" s="7"/>
      <c r="AP350">
        <v>0</v>
      </c>
      <c r="AR350" t="s">
        <v>19</v>
      </c>
      <c r="AT350" s="3" t="s">
        <v>20</v>
      </c>
      <c r="AU350" s="8">
        <f t="shared" si="33"/>
        <v>3.1403326226914512</v>
      </c>
      <c r="AV350" s="8">
        <f t="shared" si="34"/>
        <v>2.2939412713063567</v>
      </c>
      <c r="AW350" s="8">
        <f t="shared" si="35"/>
        <v>1.4475499199212616</v>
      </c>
    </row>
    <row r="351" spans="1:49" x14ac:dyDescent="0.2">
      <c r="A351">
        <v>349</v>
      </c>
      <c r="B351" t="s">
        <v>3767</v>
      </c>
      <c r="C351" t="s">
        <v>3768</v>
      </c>
      <c r="D351">
        <v>141635982900939</v>
      </c>
      <c r="F351" t="s">
        <v>3769</v>
      </c>
      <c r="G351" t="s">
        <v>4</v>
      </c>
      <c r="H351" t="s">
        <v>5</v>
      </c>
      <c r="I351" t="s">
        <v>3770</v>
      </c>
      <c r="J351">
        <v>60020595</v>
      </c>
      <c r="K351" t="s">
        <v>3771</v>
      </c>
      <c r="L351" t="s">
        <v>3772</v>
      </c>
      <c r="M351" t="s">
        <v>94</v>
      </c>
      <c r="N351">
        <v>2</v>
      </c>
      <c r="O351" t="s">
        <v>3773</v>
      </c>
      <c r="P351" t="s">
        <v>3774</v>
      </c>
      <c r="Q351" t="s">
        <v>3775</v>
      </c>
      <c r="R351" s="1">
        <v>29952</v>
      </c>
      <c r="S351" s="2">
        <f t="shared" si="30"/>
        <v>1982</v>
      </c>
      <c r="T351" s="2">
        <v>1982</v>
      </c>
      <c r="U351" s="2">
        <f t="shared" si="31"/>
        <v>40</v>
      </c>
      <c r="V351" s="1">
        <v>30133</v>
      </c>
      <c r="W351" t="s">
        <v>3776</v>
      </c>
      <c r="X351" s="3">
        <v>1.1040000000000001</v>
      </c>
      <c r="Y351" s="4">
        <f>(X351-'[1]1982'!$Z$4)/('[1]1982'!$Z$3-'[1]1982'!$Z$4)</f>
        <v>2.9470649475454476E-2</v>
      </c>
      <c r="AA351">
        <v>1416359</v>
      </c>
      <c r="AB351">
        <v>13790</v>
      </c>
      <c r="AD351" t="s">
        <v>15</v>
      </c>
      <c r="AE351">
        <v>4</v>
      </c>
      <c r="AF351">
        <v>3</v>
      </c>
      <c r="AH351" t="s">
        <v>3777</v>
      </c>
      <c r="AI351" t="s">
        <v>3778</v>
      </c>
      <c r="AJ351" t="s">
        <v>3779</v>
      </c>
      <c r="AK351" t="s">
        <v>3780</v>
      </c>
      <c r="AL351">
        <v>1</v>
      </c>
      <c r="AM351" s="5">
        <f t="shared" si="32"/>
        <v>2.5000000000000001E-2</v>
      </c>
      <c r="AN351" s="6">
        <f>(AM351-'[1]1982'!$AO$4)/('[1]1982'!$AO$3-'[1]1982'!$AO$4)</f>
        <v>3.7864445285876567E-5</v>
      </c>
      <c r="AO351" s="7"/>
      <c r="AP351">
        <v>0</v>
      </c>
      <c r="AR351" t="s">
        <v>19</v>
      </c>
      <c r="AT351" s="3" t="s">
        <v>20</v>
      </c>
      <c r="AU351" s="8">
        <f t="shared" si="33"/>
        <v>2.0640813966403897</v>
      </c>
      <c r="AV351" s="8">
        <f t="shared" si="34"/>
        <v>1.4754256960370176</v>
      </c>
      <c r="AW351" s="8">
        <f t="shared" si="35"/>
        <v>0.88676999543364565</v>
      </c>
    </row>
    <row r="352" spans="1:49" x14ac:dyDescent="0.2">
      <c r="A352">
        <v>350</v>
      </c>
      <c r="B352" t="s">
        <v>3781</v>
      </c>
      <c r="F352" t="s">
        <v>3782</v>
      </c>
      <c r="G352" t="s">
        <v>4</v>
      </c>
      <c r="H352" t="s">
        <v>5</v>
      </c>
      <c r="I352" t="s">
        <v>3783</v>
      </c>
      <c r="N352">
        <v>3</v>
      </c>
      <c r="O352" t="s">
        <v>3784</v>
      </c>
      <c r="P352" t="s">
        <v>3785</v>
      </c>
      <c r="Q352" t="s">
        <v>145</v>
      </c>
      <c r="R352" s="1">
        <v>29952</v>
      </c>
      <c r="S352" s="2">
        <f t="shared" si="30"/>
        <v>1982</v>
      </c>
      <c r="T352" s="2">
        <v>1982</v>
      </c>
      <c r="U352" s="2">
        <f t="shared" si="31"/>
        <v>40</v>
      </c>
      <c r="V352" s="1" t="s">
        <v>3744</v>
      </c>
      <c r="W352" t="s">
        <v>2185</v>
      </c>
      <c r="X352" s="3">
        <v>0.14099999999999999</v>
      </c>
      <c r="Y352" s="4">
        <f>(X352-'[1]1982'!$Z$4)/('[1]1982'!$Z$3-'[1]1982'!$Z$4)</f>
        <v>3.7639144710498915E-3</v>
      </c>
      <c r="AA352">
        <v>402508</v>
      </c>
      <c r="AB352">
        <v>20868</v>
      </c>
      <c r="AD352" t="s">
        <v>15</v>
      </c>
      <c r="AE352" t="s">
        <v>2186</v>
      </c>
      <c r="AF352">
        <v>7</v>
      </c>
      <c r="AH352" t="s">
        <v>3786</v>
      </c>
      <c r="AI352" t="s">
        <v>3787</v>
      </c>
      <c r="AK352" t="s">
        <v>3788</v>
      </c>
      <c r="AL352">
        <v>0</v>
      </c>
      <c r="AM352" s="5">
        <f t="shared" si="32"/>
        <v>0</v>
      </c>
      <c r="AN352" s="6">
        <f>(AM352-'[1]1982'!$AO$4)/('[1]1982'!$AO$3-'[1]1982'!$AO$4)</f>
        <v>0</v>
      </c>
      <c r="AO352" s="7"/>
      <c r="AP352">
        <v>0</v>
      </c>
      <c r="AR352" t="s">
        <v>19</v>
      </c>
      <c r="AT352" s="3" t="s">
        <v>20</v>
      </c>
      <c r="AU352" s="8">
        <f t="shared" si="33"/>
        <v>0.26347401297349238</v>
      </c>
      <c r="AV352" s="8">
        <f t="shared" si="34"/>
        <v>0.18819572355249459</v>
      </c>
      <c r="AW352" s="8">
        <f t="shared" si="35"/>
        <v>0.11291743413149673</v>
      </c>
    </row>
    <row r="353" spans="1:49" x14ac:dyDescent="0.2">
      <c r="A353">
        <v>351</v>
      </c>
      <c r="B353" t="s">
        <v>3789</v>
      </c>
      <c r="C353" t="s">
        <v>3790</v>
      </c>
      <c r="F353" t="s">
        <v>3791</v>
      </c>
      <c r="G353" t="s">
        <v>4</v>
      </c>
      <c r="H353" t="s">
        <v>5</v>
      </c>
      <c r="I353" t="s">
        <v>3792</v>
      </c>
      <c r="J353">
        <v>60031293</v>
      </c>
      <c r="K353" t="s">
        <v>3793</v>
      </c>
      <c r="L353" t="s">
        <v>583</v>
      </c>
      <c r="M353" t="s">
        <v>485</v>
      </c>
      <c r="N353">
        <v>1</v>
      </c>
      <c r="O353" t="s">
        <v>3794</v>
      </c>
      <c r="P353">
        <v>7005598740</v>
      </c>
      <c r="Q353">
        <v>60031293</v>
      </c>
      <c r="R353" s="1">
        <v>29952</v>
      </c>
      <c r="S353" s="2">
        <f t="shared" si="30"/>
        <v>1982</v>
      </c>
      <c r="T353" s="2">
        <v>1982</v>
      </c>
      <c r="U353" s="2">
        <f t="shared" si="31"/>
        <v>40</v>
      </c>
      <c r="V353" s="1">
        <v>30133</v>
      </c>
      <c r="W353" t="s">
        <v>1795</v>
      </c>
      <c r="X353" s="3">
        <v>1.3720000000000001</v>
      </c>
      <c r="Y353" s="4">
        <f>(X353-'[1]1982'!$Z$4)/('[1]1982'!$Z$3-'[1]1982'!$Z$4)</f>
        <v>3.662475641333654E-2</v>
      </c>
      <c r="AA353">
        <v>189480</v>
      </c>
      <c r="AB353">
        <v>17366</v>
      </c>
      <c r="AC353">
        <v>15579670</v>
      </c>
      <c r="AD353" t="s">
        <v>15</v>
      </c>
      <c r="AE353">
        <v>30</v>
      </c>
      <c r="AF353">
        <v>7</v>
      </c>
      <c r="AH353" t="s">
        <v>3795</v>
      </c>
      <c r="AI353" t="s">
        <v>3796</v>
      </c>
      <c r="AK353" t="s">
        <v>3797</v>
      </c>
      <c r="AL353">
        <v>0</v>
      </c>
      <c r="AM353" s="5">
        <f t="shared" si="32"/>
        <v>0</v>
      </c>
      <c r="AN353" s="6">
        <f>(AM353-'[1]1982'!$AO$4)/('[1]1982'!$AO$3-'[1]1982'!$AO$4)</f>
        <v>0</v>
      </c>
      <c r="AO353" s="7"/>
      <c r="AP353">
        <v>0</v>
      </c>
      <c r="AR353" t="s">
        <v>19</v>
      </c>
      <c r="AT353" s="3" t="s">
        <v>20</v>
      </c>
      <c r="AU353" s="8">
        <f t="shared" si="33"/>
        <v>2.5637329489335574</v>
      </c>
      <c r="AV353" s="8">
        <f t="shared" si="34"/>
        <v>1.8312378206668269</v>
      </c>
      <c r="AW353" s="8">
        <f t="shared" si="35"/>
        <v>1.0987426924000963</v>
      </c>
    </row>
    <row r="354" spans="1:49" x14ac:dyDescent="0.2">
      <c r="A354">
        <v>352</v>
      </c>
      <c r="B354" t="s">
        <v>3798</v>
      </c>
      <c r="C354" t="s">
        <v>3799</v>
      </c>
      <c r="F354" t="s">
        <v>3800</v>
      </c>
      <c r="G354" t="s">
        <v>4</v>
      </c>
      <c r="H354" t="s">
        <v>5</v>
      </c>
      <c r="I354" t="s">
        <v>3801</v>
      </c>
      <c r="J354" t="s">
        <v>3802</v>
      </c>
      <c r="K354" t="s">
        <v>3803</v>
      </c>
      <c r="L354" t="s">
        <v>3804</v>
      </c>
      <c r="M354" t="s">
        <v>3805</v>
      </c>
      <c r="N354">
        <v>2</v>
      </c>
      <c r="O354" t="s">
        <v>3806</v>
      </c>
      <c r="P354" t="s">
        <v>3807</v>
      </c>
      <c r="Q354" t="s">
        <v>3802</v>
      </c>
      <c r="R354" s="1">
        <v>29952</v>
      </c>
      <c r="S354" s="2">
        <f t="shared" si="30"/>
        <v>1982</v>
      </c>
      <c r="T354" s="2">
        <v>1982</v>
      </c>
      <c r="U354" s="2">
        <f t="shared" si="31"/>
        <v>40</v>
      </c>
      <c r="V354" s="1">
        <v>30133</v>
      </c>
      <c r="W354" t="s">
        <v>1117</v>
      </c>
      <c r="X354" s="3">
        <v>1.6519999999999999</v>
      </c>
      <c r="Y354" s="4">
        <f>(X354-'[1]1982'!$Z$4)/('[1]1982'!$Z$3-'[1]1982'!$Z$4)</f>
        <v>4.409919649769093E-2</v>
      </c>
      <c r="AA354" t="s">
        <v>1118</v>
      </c>
      <c r="AB354">
        <v>17337</v>
      </c>
      <c r="AC354">
        <v>15582221</v>
      </c>
      <c r="AD354" t="s">
        <v>15</v>
      </c>
      <c r="AE354">
        <v>30</v>
      </c>
      <c r="AF354">
        <v>4</v>
      </c>
      <c r="AH354" t="s">
        <v>3808</v>
      </c>
      <c r="AI354" t="s">
        <v>3809</v>
      </c>
      <c r="AK354" t="s">
        <v>3810</v>
      </c>
      <c r="AL354">
        <v>32</v>
      </c>
      <c r="AM354" s="5">
        <f t="shared" si="32"/>
        <v>0.8</v>
      </c>
      <c r="AN354" s="6">
        <f>(AM354-'[1]1982'!$AO$4)/('[1]1982'!$AO$3-'[1]1982'!$AO$4)</f>
        <v>1.2116622491480501E-3</v>
      </c>
      <c r="AO354" s="7"/>
      <c r="AP354">
        <v>0</v>
      </c>
      <c r="AR354" t="s">
        <v>19</v>
      </c>
      <c r="AT354" s="3" t="s">
        <v>20</v>
      </c>
      <c r="AU354" s="8">
        <f t="shared" si="33"/>
        <v>3.1232936223128065</v>
      </c>
      <c r="AV354" s="8">
        <f t="shared" si="34"/>
        <v>2.2655429373419489</v>
      </c>
      <c r="AW354" s="8">
        <f t="shared" si="35"/>
        <v>1.4077922523710913</v>
      </c>
    </row>
    <row r="355" spans="1:49" x14ac:dyDescent="0.2">
      <c r="A355">
        <v>353</v>
      </c>
      <c r="B355" t="s">
        <v>3811</v>
      </c>
      <c r="C355" t="s">
        <v>3812</v>
      </c>
      <c r="F355" t="s">
        <v>3813</v>
      </c>
      <c r="G355" t="s">
        <v>4</v>
      </c>
      <c r="H355" t="s">
        <v>5</v>
      </c>
      <c r="I355" t="s">
        <v>3814</v>
      </c>
      <c r="J355">
        <v>60031581</v>
      </c>
      <c r="K355" t="s">
        <v>444</v>
      </c>
      <c r="L355" t="s">
        <v>445</v>
      </c>
      <c r="M355" t="s">
        <v>9</v>
      </c>
      <c r="N355">
        <v>2</v>
      </c>
      <c r="O355" t="s">
        <v>3815</v>
      </c>
      <c r="P355" t="s">
        <v>3816</v>
      </c>
      <c r="Q355" t="s">
        <v>3817</v>
      </c>
      <c r="R355" s="1">
        <v>29952</v>
      </c>
      <c r="S355" s="2">
        <f t="shared" si="30"/>
        <v>1982</v>
      </c>
      <c r="T355" s="2">
        <v>1982</v>
      </c>
      <c r="U355" s="2">
        <f t="shared" si="31"/>
        <v>40</v>
      </c>
      <c r="V355" s="1">
        <v>30133</v>
      </c>
      <c r="W355" t="s">
        <v>1117</v>
      </c>
      <c r="X355" s="3">
        <v>1.6519999999999999</v>
      </c>
      <c r="Y355" s="4">
        <f>(X355-'[1]1982'!$Z$4)/('[1]1982'!$Z$3-'[1]1982'!$Z$4)</f>
        <v>4.409919649769093E-2</v>
      </c>
      <c r="AA355" t="s">
        <v>1118</v>
      </c>
      <c r="AB355">
        <v>17337</v>
      </c>
      <c r="AC355">
        <v>15582221</v>
      </c>
      <c r="AD355" t="s">
        <v>15</v>
      </c>
      <c r="AE355">
        <v>30</v>
      </c>
      <c r="AF355">
        <v>4</v>
      </c>
      <c r="AH355" t="s">
        <v>3818</v>
      </c>
      <c r="AI355" t="s">
        <v>3819</v>
      </c>
      <c r="AK355" t="s">
        <v>3820</v>
      </c>
      <c r="AL355">
        <v>225</v>
      </c>
      <c r="AM355" s="5">
        <f t="shared" si="32"/>
        <v>5.625</v>
      </c>
      <c r="AN355" s="6">
        <f>(AM355-'[1]1982'!$AO$4)/('[1]1982'!$AO$3-'[1]1982'!$AO$4)</f>
        <v>8.5195001893222256E-3</v>
      </c>
      <c r="AO355" s="7"/>
      <c r="AP355">
        <v>0</v>
      </c>
      <c r="AR355" t="s">
        <v>19</v>
      </c>
      <c r="AT355" s="3" t="s">
        <v>20</v>
      </c>
      <c r="AU355" s="8">
        <f t="shared" si="33"/>
        <v>3.3425287605180323</v>
      </c>
      <c r="AV355" s="8">
        <f t="shared" si="34"/>
        <v>2.6309348343506578</v>
      </c>
      <c r="AW355" s="8">
        <f t="shared" si="35"/>
        <v>1.9193409081832833</v>
      </c>
    </row>
    <row r="356" spans="1:49" x14ac:dyDescent="0.2">
      <c r="A356">
        <v>354</v>
      </c>
      <c r="B356" t="s">
        <v>3821</v>
      </c>
      <c r="C356" t="s">
        <v>3822</v>
      </c>
      <c r="F356" t="s">
        <v>3823</v>
      </c>
      <c r="G356" t="s">
        <v>4</v>
      </c>
      <c r="H356" t="s">
        <v>5</v>
      </c>
      <c r="I356" t="s">
        <v>3824</v>
      </c>
      <c r="J356" t="s">
        <v>3825</v>
      </c>
      <c r="K356" t="s">
        <v>3826</v>
      </c>
      <c r="L356" t="s">
        <v>3827</v>
      </c>
      <c r="M356" t="s">
        <v>3828</v>
      </c>
      <c r="N356">
        <v>2</v>
      </c>
      <c r="O356" t="s">
        <v>3829</v>
      </c>
      <c r="P356" t="s">
        <v>3830</v>
      </c>
      <c r="Q356" t="s">
        <v>3831</v>
      </c>
      <c r="R356" s="1">
        <v>29952</v>
      </c>
      <c r="S356" s="2">
        <f t="shared" si="30"/>
        <v>1982</v>
      </c>
      <c r="T356" s="2">
        <v>1982</v>
      </c>
      <c r="U356" s="2">
        <f t="shared" si="31"/>
        <v>40</v>
      </c>
      <c r="V356" s="1">
        <v>30133</v>
      </c>
      <c r="W356" t="s">
        <v>1117</v>
      </c>
      <c r="X356" s="3">
        <v>1.6519999999999999</v>
      </c>
      <c r="Y356" s="4">
        <f>(X356-'[1]1982'!$Z$4)/('[1]1982'!$Z$3-'[1]1982'!$Z$4)</f>
        <v>4.409919649769093E-2</v>
      </c>
      <c r="AA356" t="s">
        <v>1118</v>
      </c>
      <c r="AB356">
        <v>17337</v>
      </c>
      <c r="AC356">
        <v>15582221</v>
      </c>
      <c r="AD356" t="s">
        <v>15</v>
      </c>
      <c r="AE356">
        <v>30</v>
      </c>
      <c r="AF356">
        <v>4</v>
      </c>
      <c r="AH356" t="s">
        <v>3832</v>
      </c>
      <c r="AI356" t="s">
        <v>3833</v>
      </c>
      <c r="AK356" t="s">
        <v>3834</v>
      </c>
      <c r="AL356">
        <v>34</v>
      </c>
      <c r="AM356" s="5">
        <f t="shared" si="32"/>
        <v>0.85</v>
      </c>
      <c r="AN356" s="6">
        <f>(AM356-'[1]1982'!$AO$4)/('[1]1982'!$AO$3-'[1]1982'!$AO$4)</f>
        <v>1.2873911397198031E-3</v>
      </c>
      <c r="AO356" s="7"/>
      <c r="AP356">
        <v>0</v>
      </c>
      <c r="AR356" t="s">
        <v>19</v>
      </c>
      <c r="AT356" s="3" t="s">
        <v>20</v>
      </c>
      <c r="AU356" s="8">
        <f t="shared" si="33"/>
        <v>3.1255654890299591</v>
      </c>
      <c r="AV356" s="8">
        <f t="shared" si="34"/>
        <v>2.2693293818705369</v>
      </c>
      <c r="AW356" s="8">
        <f t="shared" si="35"/>
        <v>1.413093274711114</v>
      </c>
    </row>
    <row r="357" spans="1:49" x14ac:dyDescent="0.2">
      <c r="A357">
        <v>355</v>
      </c>
      <c r="B357" t="s">
        <v>3835</v>
      </c>
      <c r="C357" t="s">
        <v>3836</v>
      </c>
      <c r="F357" t="s">
        <v>3837</v>
      </c>
      <c r="G357" t="s">
        <v>4</v>
      </c>
      <c r="H357" t="s">
        <v>5</v>
      </c>
      <c r="I357" t="s">
        <v>3838</v>
      </c>
      <c r="J357" t="s">
        <v>3687</v>
      </c>
      <c r="K357" t="s">
        <v>3688</v>
      </c>
      <c r="L357" t="s">
        <v>3689</v>
      </c>
      <c r="M357" t="s">
        <v>218</v>
      </c>
      <c r="N357">
        <v>2</v>
      </c>
      <c r="O357" t="s">
        <v>3839</v>
      </c>
      <c r="P357" t="s">
        <v>3840</v>
      </c>
      <c r="Q357" t="s">
        <v>3687</v>
      </c>
      <c r="R357" s="1">
        <v>29952</v>
      </c>
      <c r="S357" s="2">
        <f t="shared" si="30"/>
        <v>1982</v>
      </c>
      <c r="T357" s="2">
        <v>1982</v>
      </c>
      <c r="U357" s="2">
        <f t="shared" si="31"/>
        <v>40</v>
      </c>
      <c r="V357" s="1">
        <v>30133</v>
      </c>
      <c r="W357" t="s">
        <v>1117</v>
      </c>
      <c r="X357" s="3">
        <v>1.6519999999999999</v>
      </c>
      <c r="Y357" s="4">
        <f>(X357-'[1]1982'!$Z$4)/('[1]1982'!$Z$3-'[1]1982'!$Z$4)</f>
        <v>4.409919649769093E-2</v>
      </c>
      <c r="AA357" t="s">
        <v>1118</v>
      </c>
      <c r="AB357">
        <v>17337</v>
      </c>
      <c r="AC357">
        <v>15582221</v>
      </c>
      <c r="AD357" t="s">
        <v>15</v>
      </c>
      <c r="AE357">
        <v>30</v>
      </c>
      <c r="AF357">
        <v>4</v>
      </c>
      <c r="AH357" t="s">
        <v>3841</v>
      </c>
      <c r="AI357" t="s">
        <v>3842</v>
      </c>
      <c r="AK357" t="s">
        <v>3843</v>
      </c>
      <c r="AL357">
        <v>93</v>
      </c>
      <c r="AM357" s="5">
        <f t="shared" si="32"/>
        <v>2.3250000000000002</v>
      </c>
      <c r="AN357" s="6">
        <f>(AM357-'[1]1982'!$AO$4)/('[1]1982'!$AO$3-'[1]1982'!$AO$4)</f>
        <v>3.5213934115865203E-3</v>
      </c>
      <c r="AO357" s="7"/>
      <c r="AP357">
        <v>0</v>
      </c>
      <c r="AR357" t="s">
        <v>19</v>
      </c>
      <c r="AT357" s="3" t="s">
        <v>20</v>
      </c>
      <c r="AU357" s="8">
        <f t="shared" si="33"/>
        <v>3.1925855571859603</v>
      </c>
      <c r="AV357" s="8">
        <f t="shared" si="34"/>
        <v>2.3810294954638724</v>
      </c>
      <c r="AW357" s="8">
        <f t="shared" si="35"/>
        <v>1.5694734337417842</v>
      </c>
    </row>
    <row r="358" spans="1:49" x14ac:dyDescent="0.2">
      <c r="A358">
        <v>356</v>
      </c>
      <c r="B358" t="s">
        <v>3844</v>
      </c>
      <c r="C358" t="s">
        <v>3845</v>
      </c>
      <c r="F358" t="s">
        <v>3846</v>
      </c>
      <c r="G358" t="s">
        <v>4</v>
      </c>
      <c r="H358" t="s">
        <v>5</v>
      </c>
      <c r="I358" t="s">
        <v>3847</v>
      </c>
      <c r="J358">
        <v>60002561</v>
      </c>
      <c r="K358" t="s">
        <v>3848</v>
      </c>
      <c r="L358" t="s">
        <v>583</v>
      </c>
      <c r="M358" t="s">
        <v>485</v>
      </c>
      <c r="N358">
        <v>2</v>
      </c>
      <c r="O358" t="s">
        <v>3849</v>
      </c>
      <c r="P358" t="s">
        <v>3850</v>
      </c>
      <c r="Q358" t="s">
        <v>3851</v>
      </c>
      <c r="R358" s="1">
        <v>29952</v>
      </c>
      <c r="S358" s="2">
        <f t="shared" si="30"/>
        <v>1982</v>
      </c>
      <c r="T358" s="2">
        <v>1982</v>
      </c>
      <c r="U358" s="2">
        <f t="shared" si="31"/>
        <v>40</v>
      </c>
      <c r="V358" s="1">
        <v>30133</v>
      </c>
      <c r="W358" t="s">
        <v>1117</v>
      </c>
      <c r="X358" s="3">
        <v>1.6519999999999999</v>
      </c>
      <c r="Y358" s="4">
        <f>(X358-'[1]1982'!$Z$4)/('[1]1982'!$Z$3-'[1]1982'!$Z$4)</f>
        <v>4.409919649769093E-2</v>
      </c>
      <c r="AA358" t="s">
        <v>1118</v>
      </c>
      <c r="AB358">
        <v>17337</v>
      </c>
      <c r="AC358">
        <v>15582221</v>
      </c>
      <c r="AD358" t="s">
        <v>15</v>
      </c>
      <c r="AE358">
        <v>30</v>
      </c>
      <c r="AF358">
        <v>4</v>
      </c>
      <c r="AH358" t="s">
        <v>3852</v>
      </c>
      <c r="AI358" t="s">
        <v>3853</v>
      </c>
      <c r="AK358" t="s">
        <v>3854</v>
      </c>
      <c r="AL358">
        <v>2</v>
      </c>
      <c r="AM358" s="5">
        <f t="shared" si="32"/>
        <v>0.05</v>
      </c>
      <c r="AN358" s="6">
        <f>(AM358-'[1]1982'!$AO$4)/('[1]1982'!$AO$3-'[1]1982'!$AO$4)</f>
        <v>7.5728890571753133E-5</v>
      </c>
      <c r="AO358" s="7"/>
      <c r="AP358">
        <v>0</v>
      </c>
      <c r="AR358" t="s">
        <v>19</v>
      </c>
      <c r="AT358" s="3" t="s">
        <v>20</v>
      </c>
      <c r="AU358" s="8">
        <f t="shared" si="33"/>
        <v>3.0892156215555175</v>
      </c>
      <c r="AV358" s="8">
        <f t="shared" si="34"/>
        <v>2.2087462694131341</v>
      </c>
      <c r="AW358" s="8">
        <f t="shared" si="35"/>
        <v>1.3282769172707507</v>
      </c>
    </row>
    <row r="359" spans="1:49" x14ac:dyDescent="0.2">
      <c r="A359">
        <v>357</v>
      </c>
      <c r="B359" t="s">
        <v>3855</v>
      </c>
      <c r="C359" t="s">
        <v>3856</v>
      </c>
      <c r="F359" t="s">
        <v>3857</v>
      </c>
      <c r="G359" t="s">
        <v>4</v>
      </c>
      <c r="H359" t="s">
        <v>5</v>
      </c>
      <c r="I359" t="s">
        <v>3858</v>
      </c>
      <c r="J359" t="s">
        <v>3859</v>
      </c>
      <c r="K359" t="s">
        <v>3860</v>
      </c>
      <c r="L359" t="s">
        <v>3861</v>
      </c>
      <c r="M359" t="s">
        <v>3862</v>
      </c>
      <c r="N359">
        <v>2</v>
      </c>
      <c r="O359" t="s">
        <v>3863</v>
      </c>
      <c r="P359" t="s">
        <v>3864</v>
      </c>
      <c r="Q359" t="s">
        <v>3859</v>
      </c>
      <c r="R359" s="1">
        <v>29952</v>
      </c>
      <c r="S359" s="2">
        <f t="shared" si="30"/>
        <v>1982</v>
      </c>
      <c r="T359" s="2">
        <v>1982</v>
      </c>
      <c r="U359" s="2">
        <f t="shared" si="31"/>
        <v>40</v>
      </c>
      <c r="V359" s="1">
        <v>30133</v>
      </c>
      <c r="W359" t="s">
        <v>1117</v>
      </c>
      <c r="X359" s="3">
        <v>1.6519999999999999</v>
      </c>
      <c r="Y359" s="4">
        <f>(X359-'[1]1982'!$Z$4)/('[1]1982'!$Z$3-'[1]1982'!$Z$4)</f>
        <v>4.409919649769093E-2</v>
      </c>
      <c r="AA359" t="s">
        <v>1118</v>
      </c>
      <c r="AB359">
        <v>17337</v>
      </c>
      <c r="AC359">
        <v>15582221</v>
      </c>
      <c r="AD359" t="s">
        <v>15</v>
      </c>
      <c r="AE359">
        <v>30</v>
      </c>
      <c r="AF359">
        <v>4</v>
      </c>
      <c r="AH359" t="s">
        <v>3865</v>
      </c>
      <c r="AI359" t="s">
        <v>3866</v>
      </c>
      <c r="AK359" t="s">
        <v>3867</v>
      </c>
      <c r="AL359">
        <v>13</v>
      </c>
      <c r="AM359" s="5">
        <f t="shared" si="32"/>
        <v>0.32500000000000001</v>
      </c>
      <c r="AN359" s="6">
        <f>(AM359-'[1]1982'!$AO$4)/('[1]1982'!$AO$3-'[1]1982'!$AO$4)</f>
        <v>4.9223778871639533E-4</v>
      </c>
      <c r="AO359" s="7"/>
      <c r="AP359">
        <v>0</v>
      </c>
      <c r="AR359" t="s">
        <v>19</v>
      </c>
      <c r="AT359" s="3" t="s">
        <v>20</v>
      </c>
      <c r="AU359" s="8">
        <f t="shared" si="33"/>
        <v>3.101710888499857</v>
      </c>
      <c r="AV359" s="8">
        <f t="shared" si="34"/>
        <v>2.2295717143203664</v>
      </c>
      <c r="AW359" s="8">
        <f t="shared" si="35"/>
        <v>1.3574325401408756</v>
      </c>
    </row>
    <row r="360" spans="1:49" x14ac:dyDescent="0.2">
      <c r="A360">
        <v>358</v>
      </c>
      <c r="B360" t="s">
        <v>3868</v>
      </c>
      <c r="C360" t="s">
        <v>3869</v>
      </c>
      <c r="F360" t="s">
        <v>3870</v>
      </c>
      <c r="G360" t="s">
        <v>4</v>
      </c>
      <c r="H360" t="s">
        <v>5</v>
      </c>
      <c r="I360" t="s">
        <v>3871</v>
      </c>
      <c r="J360">
        <v>60003500</v>
      </c>
      <c r="K360" t="s">
        <v>2507</v>
      </c>
      <c r="L360" t="s">
        <v>951</v>
      </c>
      <c r="M360" t="s">
        <v>9</v>
      </c>
      <c r="N360">
        <v>3</v>
      </c>
      <c r="O360" t="s">
        <v>3872</v>
      </c>
      <c r="P360" t="s">
        <v>3873</v>
      </c>
      <c r="Q360" t="s">
        <v>3874</v>
      </c>
      <c r="R360" s="1">
        <v>29952</v>
      </c>
      <c r="S360" s="2">
        <f t="shared" si="30"/>
        <v>1982</v>
      </c>
      <c r="T360" s="2">
        <v>1982</v>
      </c>
      <c r="U360" s="2">
        <f t="shared" si="31"/>
        <v>40</v>
      </c>
      <c r="V360" s="1">
        <v>30133</v>
      </c>
      <c r="W360" t="s">
        <v>1117</v>
      </c>
      <c r="X360" s="3">
        <v>1.6519999999999999</v>
      </c>
      <c r="Y360" s="4">
        <f>(X360-'[1]1982'!$Z$4)/('[1]1982'!$Z$3-'[1]1982'!$Z$4)</f>
        <v>4.409919649769093E-2</v>
      </c>
      <c r="AA360" t="s">
        <v>1118</v>
      </c>
      <c r="AB360">
        <v>17337</v>
      </c>
      <c r="AC360">
        <v>15582221</v>
      </c>
      <c r="AD360" t="s">
        <v>15</v>
      </c>
      <c r="AE360">
        <v>30</v>
      </c>
      <c r="AF360">
        <v>4</v>
      </c>
      <c r="AH360" t="s">
        <v>3875</v>
      </c>
      <c r="AI360" t="s">
        <v>3876</v>
      </c>
      <c r="AK360" t="s">
        <v>3877</v>
      </c>
      <c r="AL360">
        <v>28</v>
      </c>
      <c r="AM360" s="5">
        <f t="shared" si="32"/>
        <v>0.7</v>
      </c>
      <c r="AN360" s="6">
        <f>(AM360-'[1]1982'!$AO$4)/('[1]1982'!$AO$3-'[1]1982'!$AO$4)</f>
        <v>1.0602044680045437E-3</v>
      </c>
      <c r="AO360" s="7"/>
      <c r="AP360">
        <v>0</v>
      </c>
      <c r="AR360" t="s">
        <v>19</v>
      </c>
      <c r="AT360" s="3" t="s">
        <v>20</v>
      </c>
      <c r="AU360" s="8">
        <f t="shared" si="33"/>
        <v>3.1187498888785017</v>
      </c>
      <c r="AV360" s="8">
        <f t="shared" si="34"/>
        <v>2.2579700482847738</v>
      </c>
      <c r="AW360" s="8">
        <f t="shared" si="35"/>
        <v>1.3971902076910458</v>
      </c>
    </row>
    <row r="361" spans="1:49" x14ac:dyDescent="0.2">
      <c r="A361">
        <v>359</v>
      </c>
      <c r="B361" t="s">
        <v>3878</v>
      </c>
      <c r="C361" t="s">
        <v>3879</v>
      </c>
      <c r="F361" t="s">
        <v>3880</v>
      </c>
      <c r="G361" t="s">
        <v>4</v>
      </c>
      <c r="H361" t="s">
        <v>5</v>
      </c>
      <c r="I361" t="s">
        <v>3881</v>
      </c>
      <c r="J361" t="s">
        <v>3882</v>
      </c>
      <c r="K361" t="s">
        <v>3883</v>
      </c>
      <c r="L361" t="s">
        <v>3884</v>
      </c>
      <c r="M361" t="s">
        <v>3885</v>
      </c>
      <c r="N361">
        <v>2</v>
      </c>
      <c r="O361" t="s">
        <v>3886</v>
      </c>
      <c r="P361" t="s">
        <v>3887</v>
      </c>
      <c r="Q361" t="s">
        <v>3882</v>
      </c>
      <c r="R361" s="1">
        <v>29952</v>
      </c>
      <c r="S361" s="2">
        <f t="shared" si="30"/>
        <v>1982</v>
      </c>
      <c r="T361" s="2">
        <v>1982</v>
      </c>
      <c r="U361" s="2">
        <f t="shared" si="31"/>
        <v>40</v>
      </c>
      <c r="V361" s="1">
        <v>30133</v>
      </c>
      <c r="W361" t="s">
        <v>1117</v>
      </c>
      <c r="X361" s="3">
        <v>1.6519999999999999</v>
      </c>
      <c r="Y361" s="4">
        <f>(X361-'[1]1982'!$Z$4)/('[1]1982'!$Z$3-'[1]1982'!$Z$4)</f>
        <v>4.409919649769093E-2</v>
      </c>
      <c r="AA361" t="s">
        <v>1118</v>
      </c>
      <c r="AB361">
        <v>17337</v>
      </c>
      <c r="AC361">
        <v>15582221</v>
      </c>
      <c r="AD361" t="s">
        <v>15</v>
      </c>
      <c r="AE361">
        <v>30</v>
      </c>
      <c r="AF361">
        <v>4</v>
      </c>
      <c r="AH361" t="s">
        <v>3888</v>
      </c>
      <c r="AI361" t="s">
        <v>3889</v>
      </c>
      <c r="AK361" t="s">
        <v>3890</v>
      </c>
      <c r="AL361">
        <v>5</v>
      </c>
      <c r="AM361" s="5">
        <f t="shared" si="32"/>
        <v>0.125</v>
      </c>
      <c r="AN361" s="6">
        <f>(AM361-'[1]1982'!$AO$4)/('[1]1982'!$AO$3-'[1]1982'!$AO$4)</f>
        <v>1.893222264293828E-4</v>
      </c>
      <c r="AO361" s="7"/>
      <c r="AP361">
        <v>0</v>
      </c>
      <c r="AR361" t="s">
        <v>19</v>
      </c>
      <c r="AT361" s="3" t="s">
        <v>20</v>
      </c>
      <c r="AU361" s="8">
        <f t="shared" si="33"/>
        <v>3.0926234216312465</v>
      </c>
      <c r="AV361" s="8">
        <f t="shared" si="34"/>
        <v>2.2144259362060157</v>
      </c>
      <c r="AW361" s="8">
        <f t="shared" si="35"/>
        <v>1.3362284507807847</v>
      </c>
    </row>
    <row r="362" spans="1:49" x14ac:dyDescent="0.2">
      <c r="A362">
        <v>360</v>
      </c>
      <c r="B362" t="s">
        <v>3891</v>
      </c>
      <c r="C362" t="s">
        <v>3892</v>
      </c>
      <c r="F362" t="s">
        <v>3893</v>
      </c>
      <c r="G362" t="s">
        <v>4</v>
      </c>
      <c r="H362" t="s">
        <v>5</v>
      </c>
      <c r="I362" t="s">
        <v>3894</v>
      </c>
      <c r="J362">
        <v>60019647</v>
      </c>
      <c r="K362" t="s">
        <v>3895</v>
      </c>
      <c r="L362" t="s">
        <v>1721</v>
      </c>
      <c r="M362" t="s">
        <v>9</v>
      </c>
      <c r="N362">
        <v>2</v>
      </c>
      <c r="O362" t="s">
        <v>3896</v>
      </c>
      <c r="P362" t="s">
        <v>3897</v>
      </c>
      <c r="Q362" t="s">
        <v>3898</v>
      </c>
      <c r="R362" s="1">
        <v>29952</v>
      </c>
      <c r="S362" s="2">
        <f t="shared" si="30"/>
        <v>1982</v>
      </c>
      <c r="T362" s="2">
        <v>1982</v>
      </c>
      <c r="U362" s="2">
        <f t="shared" si="31"/>
        <v>40</v>
      </c>
      <c r="V362" s="1">
        <v>30133</v>
      </c>
      <c r="W362" t="s">
        <v>1117</v>
      </c>
      <c r="X362" s="3">
        <v>1.6519999999999999</v>
      </c>
      <c r="Y362" s="4">
        <f>(X362-'[1]1982'!$Z$4)/('[1]1982'!$Z$3-'[1]1982'!$Z$4)</f>
        <v>4.409919649769093E-2</v>
      </c>
      <c r="AA362" t="s">
        <v>1118</v>
      </c>
      <c r="AB362">
        <v>17337</v>
      </c>
      <c r="AC362">
        <v>15582221</v>
      </c>
      <c r="AD362" t="s">
        <v>15</v>
      </c>
      <c r="AE362">
        <v>30</v>
      </c>
      <c r="AF362">
        <v>4</v>
      </c>
      <c r="AH362" t="s">
        <v>3899</v>
      </c>
      <c r="AI362" t="s">
        <v>3900</v>
      </c>
      <c r="AK362" t="s">
        <v>3901</v>
      </c>
      <c r="AL362">
        <v>2</v>
      </c>
      <c r="AM362" s="5">
        <f t="shared" si="32"/>
        <v>0.05</v>
      </c>
      <c r="AN362" s="6">
        <f>(AM362-'[1]1982'!$AO$4)/('[1]1982'!$AO$3-'[1]1982'!$AO$4)</f>
        <v>7.5728890571753133E-5</v>
      </c>
      <c r="AO362" s="7"/>
      <c r="AP362">
        <v>0</v>
      </c>
      <c r="AR362" t="s">
        <v>19</v>
      </c>
      <c r="AT362" s="3" t="s">
        <v>20</v>
      </c>
      <c r="AU362" s="8">
        <f t="shared" si="33"/>
        <v>3.0892156215555175</v>
      </c>
      <c r="AV362" s="8">
        <f t="shared" si="34"/>
        <v>2.2087462694131341</v>
      </c>
      <c r="AW362" s="8">
        <f t="shared" si="35"/>
        <v>1.3282769172707507</v>
      </c>
    </row>
    <row r="363" spans="1:49" x14ac:dyDescent="0.2">
      <c r="A363">
        <v>361</v>
      </c>
      <c r="B363" t="s">
        <v>3902</v>
      </c>
      <c r="C363" t="s">
        <v>3903</v>
      </c>
      <c r="F363" t="s">
        <v>3904</v>
      </c>
      <c r="G363" t="s">
        <v>4</v>
      </c>
      <c r="H363" t="s">
        <v>5</v>
      </c>
      <c r="I363" t="s">
        <v>3905</v>
      </c>
      <c r="J363">
        <v>60003500</v>
      </c>
      <c r="K363" t="s">
        <v>2507</v>
      </c>
      <c r="L363" t="s">
        <v>951</v>
      </c>
      <c r="M363" t="s">
        <v>9</v>
      </c>
      <c r="N363">
        <v>2</v>
      </c>
      <c r="O363" t="s">
        <v>3906</v>
      </c>
      <c r="P363" t="s">
        <v>3907</v>
      </c>
      <c r="Q363" t="s">
        <v>2676</v>
      </c>
      <c r="R363" s="1">
        <v>29952</v>
      </c>
      <c r="S363" s="2">
        <f t="shared" si="30"/>
        <v>1982</v>
      </c>
      <c r="T363" s="2">
        <v>1982</v>
      </c>
      <c r="U363" s="2">
        <f t="shared" si="31"/>
        <v>40</v>
      </c>
      <c r="V363" s="1">
        <v>30133</v>
      </c>
      <c r="W363" t="s">
        <v>1117</v>
      </c>
      <c r="X363" s="3">
        <v>1.6519999999999999</v>
      </c>
      <c r="Y363" s="4">
        <f>(X363-'[1]1982'!$Z$4)/('[1]1982'!$Z$3-'[1]1982'!$Z$4)</f>
        <v>4.409919649769093E-2</v>
      </c>
      <c r="AA363" t="s">
        <v>1118</v>
      </c>
      <c r="AB363">
        <v>17337</v>
      </c>
      <c r="AC363">
        <v>15582221</v>
      </c>
      <c r="AD363" t="s">
        <v>15</v>
      </c>
      <c r="AE363">
        <v>30</v>
      </c>
      <c r="AF363">
        <v>4</v>
      </c>
      <c r="AH363" t="s">
        <v>3908</v>
      </c>
      <c r="AI363" t="s">
        <v>3909</v>
      </c>
      <c r="AK363" t="s">
        <v>3910</v>
      </c>
      <c r="AL363">
        <v>25</v>
      </c>
      <c r="AM363" s="5">
        <f t="shared" si="32"/>
        <v>0.625</v>
      </c>
      <c r="AN363" s="6">
        <f>(AM363-'[1]1982'!$AO$4)/('[1]1982'!$AO$3-'[1]1982'!$AO$4)</f>
        <v>9.4661113214691405E-4</v>
      </c>
      <c r="AO363" s="7"/>
      <c r="AP363">
        <v>0</v>
      </c>
      <c r="AR363" t="s">
        <v>19</v>
      </c>
      <c r="AT363" s="3" t="s">
        <v>20</v>
      </c>
      <c r="AU363" s="8">
        <f t="shared" si="33"/>
        <v>3.1153420888027727</v>
      </c>
      <c r="AV363" s="8">
        <f t="shared" si="34"/>
        <v>2.2522903814918922</v>
      </c>
      <c r="AW363" s="8">
        <f t="shared" si="35"/>
        <v>1.3892386741810119</v>
      </c>
    </row>
    <row r="364" spans="1:49" x14ac:dyDescent="0.2">
      <c r="A364">
        <v>362</v>
      </c>
      <c r="B364" t="s">
        <v>3911</v>
      </c>
      <c r="C364" t="s">
        <v>3912</v>
      </c>
      <c r="F364" t="s">
        <v>3913</v>
      </c>
      <c r="G364" t="s">
        <v>4</v>
      </c>
      <c r="H364" t="s">
        <v>5</v>
      </c>
      <c r="I364" t="s">
        <v>3914</v>
      </c>
      <c r="J364">
        <v>60010884</v>
      </c>
      <c r="K364" t="s">
        <v>3915</v>
      </c>
      <c r="L364" t="s">
        <v>3165</v>
      </c>
      <c r="M364" t="s">
        <v>962</v>
      </c>
      <c r="N364">
        <v>1</v>
      </c>
      <c r="O364" t="s">
        <v>3916</v>
      </c>
      <c r="P364">
        <v>7202946915</v>
      </c>
      <c r="Q364">
        <v>60010884</v>
      </c>
      <c r="R364" s="1">
        <v>29952</v>
      </c>
      <c r="S364" s="2">
        <f t="shared" si="30"/>
        <v>1982</v>
      </c>
      <c r="T364" s="2">
        <v>1982</v>
      </c>
      <c r="U364" s="2">
        <f t="shared" si="31"/>
        <v>40</v>
      </c>
      <c r="V364" s="1">
        <v>30133</v>
      </c>
      <c r="W364" t="s">
        <v>1117</v>
      </c>
      <c r="X364" s="3">
        <v>1.6519999999999999</v>
      </c>
      <c r="Y364" s="4">
        <f>(X364-'[1]1982'!$Z$4)/('[1]1982'!$Z$3-'[1]1982'!$Z$4)</f>
        <v>4.409919649769093E-2</v>
      </c>
      <c r="AA364" t="s">
        <v>1118</v>
      </c>
      <c r="AB364">
        <v>17337</v>
      </c>
      <c r="AC364">
        <v>15582221</v>
      </c>
      <c r="AD364" t="s">
        <v>15</v>
      </c>
      <c r="AE364">
        <v>30</v>
      </c>
      <c r="AF364">
        <v>4</v>
      </c>
      <c r="AH364" t="s">
        <v>3917</v>
      </c>
      <c r="AI364" t="s">
        <v>3918</v>
      </c>
      <c r="AK364" t="s">
        <v>3919</v>
      </c>
      <c r="AL364">
        <v>5</v>
      </c>
      <c r="AM364" s="5">
        <f t="shared" si="32"/>
        <v>0.125</v>
      </c>
      <c r="AN364" s="6">
        <f>(AM364-'[1]1982'!$AO$4)/('[1]1982'!$AO$3-'[1]1982'!$AO$4)</f>
        <v>1.893222264293828E-4</v>
      </c>
      <c r="AO364" s="7"/>
      <c r="AP364">
        <v>0</v>
      </c>
      <c r="AR364" t="s">
        <v>19</v>
      </c>
      <c r="AT364" s="3" t="s">
        <v>20</v>
      </c>
      <c r="AU364" s="8">
        <f t="shared" si="33"/>
        <v>3.0926234216312465</v>
      </c>
      <c r="AV364" s="8">
        <f t="shared" si="34"/>
        <v>2.2144259362060157</v>
      </c>
      <c r="AW364" s="8">
        <f t="shared" si="35"/>
        <v>1.3362284507807847</v>
      </c>
    </row>
    <row r="365" spans="1:49" x14ac:dyDescent="0.2">
      <c r="A365">
        <v>363</v>
      </c>
      <c r="B365" t="s">
        <v>3920</v>
      </c>
      <c r="C365" t="s">
        <v>3921</v>
      </c>
      <c r="F365" t="s">
        <v>3922</v>
      </c>
      <c r="G365" t="s">
        <v>4</v>
      </c>
      <c r="H365" t="s">
        <v>5</v>
      </c>
      <c r="I365" t="s">
        <v>3923</v>
      </c>
      <c r="J365">
        <v>60076690</v>
      </c>
      <c r="K365" t="s">
        <v>2349</v>
      </c>
      <c r="L365" t="s">
        <v>2350</v>
      </c>
      <c r="M365" t="s">
        <v>9</v>
      </c>
      <c r="N365">
        <v>2</v>
      </c>
      <c r="O365" t="s">
        <v>3924</v>
      </c>
      <c r="P365" t="s">
        <v>3925</v>
      </c>
      <c r="Q365" t="s">
        <v>3926</v>
      </c>
      <c r="R365" s="1">
        <v>29952</v>
      </c>
      <c r="S365" s="2">
        <f t="shared" si="30"/>
        <v>1982</v>
      </c>
      <c r="T365" s="2">
        <v>1982</v>
      </c>
      <c r="U365" s="2">
        <f t="shared" si="31"/>
        <v>40</v>
      </c>
      <c r="V365" s="1">
        <v>30133</v>
      </c>
      <c r="W365" t="s">
        <v>1117</v>
      </c>
      <c r="X365" s="3">
        <v>1.6519999999999999</v>
      </c>
      <c r="Y365" s="4">
        <f>(X365-'[1]1982'!$Z$4)/('[1]1982'!$Z$3-'[1]1982'!$Z$4)</f>
        <v>4.409919649769093E-2</v>
      </c>
      <c r="AA365" t="s">
        <v>1118</v>
      </c>
      <c r="AB365">
        <v>17337</v>
      </c>
      <c r="AC365">
        <v>15582221</v>
      </c>
      <c r="AD365" t="s">
        <v>15</v>
      </c>
      <c r="AE365">
        <v>30</v>
      </c>
      <c r="AF365">
        <v>4</v>
      </c>
      <c r="AH365" t="s">
        <v>3927</v>
      </c>
      <c r="AI365" t="s">
        <v>3928</v>
      </c>
      <c r="AK365" t="s">
        <v>3929</v>
      </c>
      <c r="AL365">
        <v>3</v>
      </c>
      <c r="AM365" s="5">
        <f t="shared" si="32"/>
        <v>7.4999999999999997E-2</v>
      </c>
      <c r="AN365" s="6">
        <f>(AM365-'[1]1982'!$AO$4)/('[1]1982'!$AO$3-'[1]1982'!$AO$4)</f>
        <v>1.1359333585762968E-4</v>
      </c>
      <c r="AO365" s="7"/>
      <c r="AP365">
        <v>0</v>
      </c>
      <c r="AR365" t="s">
        <v>19</v>
      </c>
      <c r="AT365" s="3" t="s">
        <v>20</v>
      </c>
      <c r="AU365" s="8">
        <f t="shared" si="33"/>
        <v>3.0903515549140939</v>
      </c>
      <c r="AV365" s="8">
        <f t="shared" si="34"/>
        <v>2.2106394916774281</v>
      </c>
      <c r="AW365" s="8">
        <f t="shared" si="35"/>
        <v>1.330927428440762</v>
      </c>
    </row>
    <row r="366" spans="1:49" x14ac:dyDescent="0.2">
      <c r="A366">
        <v>364</v>
      </c>
      <c r="B366" t="s">
        <v>3930</v>
      </c>
      <c r="C366" t="s">
        <v>3931</v>
      </c>
      <c r="F366" t="s">
        <v>3932</v>
      </c>
      <c r="G366" t="s">
        <v>4</v>
      </c>
      <c r="H366" t="s">
        <v>5</v>
      </c>
      <c r="I366" t="s">
        <v>3933</v>
      </c>
      <c r="J366" t="s">
        <v>3934</v>
      </c>
      <c r="K366" t="s">
        <v>3935</v>
      </c>
      <c r="L366" t="s">
        <v>3176</v>
      </c>
      <c r="M366" t="s">
        <v>218</v>
      </c>
      <c r="N366">
        <v>3</v>
      </c>
      <c r="O366" t="s">
        <v>3936</v>
      </c>
      <c r="P366" t="s">
        <v>3937</v>
      </c>
      <c r="Q366" t="s">
        <v>3938</v>
      </c>
      <c r="R366" s="1">
        <v>29952</v>
      </c>
      <c r="S366" s="2">
        <f t="shared" si="30"/>
        <v>1982</v>
      </c>
      <c r="T366" s="2">
        <v>1982</v>
      </c>
      <c r="U366" s="2">
        <f t="shared" si="31"/>
        <v>40</v>
      </c>
      <c r="V366" s="1">
        <v>30133</v>
      </c>
      <c r="W366" t="s">
        <v>1117</v>
      </c>
      <c r="X366" s="3">
        <v>1.6519999999999999</v>
      </c>
      <c r="Y366" s="4">
        <f>(X366-'[1]1982'!$Z$4)/('[1]1982'!$Z$3-'[1]1982'!$Z$4)</f>
        <v>4.409919649769093E-2</v>
      </c>
      <c r="AA366" t="s">
        <v>1118</v>
      </c>
      <c r="AB366">
        <v>17337</v>
      </c>
      <c r="AC366">
        <v>15582221</v>
      </c>
      <c r="AD366" t="s">
        <v>15</v>
      </c>
      <c r="AE366">
        <v>30</v>
      </c>
      <c r="AF366">
        <v>4</v>
      </c>
      <c r="AH366" t="s">
        <v>3939</v>
      </c>
      <c r="AI366" t="s">
        <v>3940</v>
      </c>
      <c r="AK366" t="s">
        <v>3941</v>
      </c>
      <c r="AL366">
        <v>6</v>
      </c>
      <c r="AM366" s="5">
        <f t="shared" si="32"/>
        <v>0.15</v>
      </c>
      <c r="AN366" s="6">
        <f>(AM366-'[1]1982'!$AO$4)/('[1]1982'!$AO$3-'[1]1982'!$AO$4)</f>
        <v>2.2718667171525936E-4</v>
      </c>
      <c r="AO366" s="7"/>
      <c r="AP366">
        <v>0</v>
      </c>
      <c r="AR366" t="s">
        <v>19</v>
      </c>
      <c r="AT366" s="3" t="s">
        <v>20</v>
      </c>
      <c r="AU366" s="8">
        <f t="shared" si="33"/>
        <v>3.0937593549898228</v>
      </c>
      <c r="AV366" s="8">
        <f t="shared" si="34"/>
        <v>2.2163191584703092</v>
      </c>
      <c r="AW366" s="8">
        <f t="shared" si="35"/>
        <v>1.3388789619507961</v>
      </c>
    </row>
    <row r="367" spans="1:49" x14ac:dyDescent="0.2">
      <c r="A367">
        <v>365</v>
      </c>
      <c r="B367" t="s">
        <v>3942</v>
      </c>
      <c r="C367" t="s">
        <v>3943</v>
      </c>
      <c r="F367" t="s">
        <v>3944</v>
      </c>
      <c r="G367" t="s">
        <v>4</v>
      </c>
      <c r="H367" t="s">
        <v>5</v>
      </c>
      <c r="I367" t="s">
        <v>3858</v>
      </c>
      <c r="J367" t="s">
        <v>3945</v>
      </c>
      <c r="K367" t="s">
        <v>3946</v>
      </c>
      <c r="L367" t="s">
        <v>3947</v>
      </c>
      <c r="M367" t="s">
        <v>3948</v>
      </c>
      <c r="N367">
        <v>3</v>
      </c>
      <c r="O367" t="s">
        <v>3949</v>
      </c>
      <c r="P367" t="s">
        <v>3950</v>
      </c>
      <c r="Q367" t="s">
        <v>3951</v>
      </c>
      <c r="R367" s="1">
        <v>29952</v>
      </c>
      <c r="S367" s="2">
        <f t="shared" si="30"/>
        <v>1982</v>
      </c>
      <c r="T367" s="2">
        <v>1982</v>
      </c>
      <c r="U367" s="2">
        <f t="shared" si="31"/>
        <v>40</v>
      </c>
      <c r="V367" s="1">
        <v>30133</v>
      </c>
      <c r="W367" t="s">
        <v>1117</v>
      </c>
      <c r="X367" s="3">
        <v>1.6519999999999999</v>
      </c>
      <c r="Y367" s="4">
        <f>(X367-'[1]1982'!$Z$4)/('[1]1982'!$Z$3-'[1]1982'!$Z$4)</f>
        <v>4.409919649769093E-2</v>
      </c>
      <c r="AA367" t="s">
        <v>1118</v>
      </c>
      <c r="AB367">
        <v>17337</v>
      </c>
      <c r="AC367">
        <v>15582221</v>
      </c>
      <c r="AD367" t="s">
        <v>15</v>
      </c>
      <c r="AE367">
        <v>30</v>
      </c>
      <c r="AF367">
        <v>4</v>
      </c>
      <c r="AH367" t="s">
        <v>3952</v>
      </c>
      <c r="AI367" t="s">
        <v>3953</v>
      </c>
      <c r="AK367" t="s">
        <v>3954</v>
      </c>
      <c r="AL367">
        <v>26</v>
      </c>
      <c r="AM367" s="5">
        <f t="shared" si="32"/>
        <v>0.65</v>
      </c>
      <c r="AN367" s="6">
        <f>(AM367-'[1]1982'!$AO$4)/('[1]1982'!$AO$3-'[1]1982'!$AO$4)</f>
        <v>9.8447557743279067E-4</v>
      </c>
      <c r="AO367" s="7"/>
      <c r="AP367">
        <v>0</v>
      </c>
      <c r="AR367" t="s">
        <v>19</v>
      </c>
      <c r="AT367" s="3" t="s">
        <v>20</v>
      </c>
      <c r="AU367" s="8">
        <f t="shared" si="33"/>
        <v>3.1164780221613486</v>
      </c>
      <c r="AV367" s="8">
        <f t="shared" si="34"/>
        <v>2.2541836037561858</v>
      </c>
      <c r="AW367" s="8">
        <f t="shared" si="35"/>
        <v>1.3918891853510231</v>
      </c>
    </row>
    <row r="368" spans="1:49" x14ac:dyDescent="0.2">
      <c r="A368">
        <v>366</v>
      </c>
      <c r="B368" t="s">
        <v>3955</v>
      </c>
      <c r="F368" t="s">
        <v>3956</v>
      </c>
      <c r="G368" t="s">
        <v>4</v>
      </c>
      <c r="H368" t="s">
        <v>5</v>
      </c>
      <c r="I368" t="s">
        <v>3957</v>
      </c>
      <c r="N368">
        <v>3</v>
      </c>
      <c r="O368" t="s">
        <v>3958</v>
      </c>
      <c r="P368" t="s">
        <v>3959</v>
      </c>
      <c r="Q368" t="s">
        <v>145</v>
      </c>
      <c r="R368" s="1">
        <v>29952</v>
      </c>
      <c r="S368" s="2">
        <f t="shared" si="30"/>
        <v>1982</v>
      </c>
      <c r="T368" s="2">
        <v>1982</v>
      </c>
      <c r="U368" s="2">
        <f t="shared" si="31"/>
        <v>40</v>
      </c>
      <c r="V368" s="1" t="s">
        <v>3744</v>
      </c>
      <c r="W368" t="s">
        <v>2185</v>
      </c>
      <c r="X368" s="3">
        <v>0.14099999999999999</v>
      </c>
      <c r="Y368" s="4">
        <f>(X368-'[1]1982'!$Z$4)/('[1]1982'!$Z$3-'[1]1982'!$Z$4)</f>
        <v>3.7639144710498915E-3</v>
      </c>
      <c r="AA368">
        <v>402508</v>
      </c>
      <c r="AB368">
        <v>20868</v>
      </c>
      <c r="AD368" t="s">
        <v>15</v>
      </c>
      <c r="AE368" t="s">
        <v>2186</v>
      </c>
      <c r="AF368">
        <v>7</v>
      </c>
      <c r="AH368" t="s">
        <v>3960</v>
      </c>
      <c r="AI368" t="s">
        <v>3961</v>
      </c>
      <c r="AK368" t="s">
        <v>3962</v>
      </c>
      <c r="AL368">
        <v>0</v>
      </c>
      <c r="AM368" s="5">
        <f t="shared" si="32"/>
        <v>0</v>
      </c>
      <c r="AN368" s="6">
        <f>(AM368-'[1]1982'!$AO$4)/('[1]1982'!$AO$3-'[1]1982'!$AO$4)</f>
        <v>0</v>
      </c>
      <c r="AO368" s="7"/>
      <c r="AP368">
        <v>0</v>
      </c>
      <c r="AR368" t="s">
        <v>19</v>
      </c>
      <c r="AT368" s="3" t="s">
        <v>20</v>
      </c>
      <c r="AU368" s="8">
        <f t="shared" si="33"/>
        <v>0.26347401297349238</v>
      </c>
      <c r="AV368" s="8">
        <f t="shared" si="34"/>
        <v>0.18819572355249459</v>
      </c>
      <c r="AW368" s="8">
        <f t="shared" si="35"/>
        <v>0.11291743413149673</v>
      </c>
    </row>
    <row r="369" spans="1:49" x14ac:dyDescent="0.2">
      <c r="A369">
        <v>367</v>
      </c>
      <c r="B369" t="s">
        <v>3963</v>
      </c>
      <c r="F369" t="s">
        <v>3964</v>
      </c>
      <c r="G369" t="s">
        <v>4</v>
      </c>
      <c r="H369" t="s">
        <v>5</v>
      </c>
      <c r="I369" t="s">
        <v>3965</v>
      </c>
      <c r="N369">
        <v>1</v>
      </c>
      <c r="O369" t="s">
        <v>3966</v>
      </c>
      <c r="P369">
        <v>7003684032</v>
      </c>
      <c r="R369" s="1">
        <v>29952</v>
      </c>
      <c r="S369" s="2">
        <f t="shared" si="30"/>
        <v>1982</v>
      </c>
      <c r="T369" s="2">
        <v>1982</v>
      </c>
      <c r="U369" s="2">
        <f t="shared" si="31"/>
        <v>40</v>
      </c>
      <c r="V369" s="1" t="s">
        <v>3744</v>
      </c>
      <c r="W369" t="s">
        <v>1643</v>
      </c>
      <c r="X369" s="3" t="s">
        <v>20</v>
      </c>
      <c r="Y369" s="4" t="e">
        <f>(X369-'[1]1982'!$Z$4)/('[1]1982'!$Z$3-'[1]1982'!$Z$4)</f>
        <v>#VALUE!</v>
      </c>
      <c r="AA369">
        <v>337889</v>
      </c>
      <c r="AB369">
        <v>40920</v>
      </c>
      <c r="AD369" t="s">
        <v>15</v>
      </c>
      <c r="AE369">
        <v>27</v>
      </c>
      <c r="AF369">
        <v>7</v>
      </c>
      <c r="AH369" t="s">
        <v>3967</v>
      </c>
      <c r="AI369" t="s">
        <v>3968</v>
      </c>
      <c r="AK369" t="s">
        <v>3969</v>
      </c>
      <c r="AL369">
        <v>4</v>
      </c>
      <c r="AM369" s="5">
        <f t="shared" si="32"/>
        <v>0.1</v>
      </c>
      <c r="AN369" s="6">
        <f>(AM369-'[1]1982'!$AO$4)/('[1]1982'!$AO$3-'[1]1982'!$AO$4)</f>
        <v>1.5145778114350627E-4</v>
      </c>
      <c r="AO369" s="7"/>
      <c r="AP369">
        <v>0</v>
      </c>
      <c r="AR369" t="s">
        <v>19</v>
      </c>
      <c r="AT369" s="3" t="s">
        <v>20</v>
      </c>
      <c r="AU369" s="8" t="e">
        <f t="shared" si="33"/>
        <v>#VALUE!</v>
      </c>
      <c r="AV369" s="8" t="e">
        <f t="shared" si="34"/>
        <v>#VALUE!</v>
      </c>
      <c r="AW369" s="8" t="e">
        <f t="shared" si="35"/>
        <v>#VALUE!</v>
      </c>
    </row>
    <row r="370" spans="1:49" x14ac:dyDescent="0.2">
      <c r="A370">
        <v>368</v>
      </c>
      <c r="B370" t="s">
        <v>3970</v>
      </c>
      <c r="F370" t="s">
        <v>3971</v>
      </c>
      <c r="G370" t="s">
        <v>4</v>
      </c>
      <c r="H370" t="s">
        <v>5</v>
      </c>
      <c r="I370" t="s">
        <v>3972</v>
      </c>
      <c r="N370">
        <v>1</v>
      </c>
      <c r="O370" t="s">
        <v>3973</v>
      </c>
      <c r="P370">
        <v>57218938126</v>
      </c>
      <c r="R370" s="1">
        <v>29952</v>
      </c>
      <c r="S370" s="2">
        <f t="shared" si="30"/>
        <v>1982</v>
      </c>
      <c r="T370" s="2">
        <v>1982</v>
      </c>
      <c r="U370" s="2">
        <f t="shared" si="31"/>
        <v>40</v>
      </c>
      <c r="V370" s="1" t="s">
        <v>3744</v>
      </c>
      <c r="W370" t="s">
        <v>2185</v>
      </c>
      <c r="X370" s="3">
        <v>0.14099999999999999</v>
      </c>
      <c r="Y370" s="4">
        <f>(X370-'[1]1982'!$Z$4)/('[1]1982'!$Z$3-'[1]1982'!$Z$4)</f>
        <v>3.7639144710498915E-3</v>
      </c>
      <c r="AA370">
        <v>402508</v>
      </c>
      <c r="AB370">
        <v>20868</v>
      </c>
      <c r="AD370" t="s">
        <v>15</v>
      </c>
      <c r="AE370" t="s">
        <v>2186</v>
      </c>
      <c r="AF370">
        <v>7</v>
      </c>
      <c r="AH370" t="s">
        <v>3974</v>
      </c>
      <c r="AI370" t="s">
        <v>3975</v>
      </c>
      <c r="AK370" t="s">
        <v>3976</v>
      </c>
      <c r="AL370">
        <v>0</v>
      </c>
      <c r="AM370" s="5">
        <f t="shared" si="32"/>
        <v>0</v>
      </c>
      <c r="AN370" s="6">
        <f>(AM370-'[1]1982'!$AO$4)/('[1]1982'!$AO$3-'[1]1982'!$AO$4)</f>
        <v>0</v>
      </c>
      <c r="AO370" s="7"/>
      <c r="AP370">
        <v>0</v>
      </c>
      <c r="AR370" t="s">
        <v>19</v>
      </c>
      <c r="AT370" s="3" t="s">
        <v>20</v>
      </c>
      <c r="AU370" s="8">
        <f t="shared" si="33"/>
        <v>0.26347401297349238</v>
      </c>
      <c r="AV370" s="8">
        <f t="shared" si="34"/>
        <v>0.18819572355249459</v>
      </c>
      <c r="AW370" s="8">
        <f t="shared" si="35"/>
        <v>0.11291743413149673</v>
      </c>
    </row>
    <row r="371" spans="1:49" x14ac:dyDescent="0.2">
      <c r="A371">
        <v>369</v>
      </c>
      <c r="B371" t="s">
        <v>3977</v>
      </c>
      <c r="C371" t="s">
        <v>3978</v>
      </c>
      <c r="F371" t="s">
        <v>3979</v>
      </c>
      <c r="G371" t="s">
        <v>4</v>
      </c>
      <c r="H371" t="s">
        <v>5</v>
      </c>
      <c r="I371" t="s">
        <v>3980</v>
      </c>
      <c r="N371">
        <v>1</v>
      </c>
      <c r="O371" t="s">
        <v>3981</v>
      </c>
      <c r="P371">
        <v>7402592343</v>
      </c>
      <c r="R371" s="1">
        <v>29952</v>
      </c>
      <c r="S371" s="2">
        <f t="shared" si="30"/>
        <v>1982</v>
      </c>
      <c r="T371" s="2">
        <v>1982</v>
      </c>
      <c r="U371" s="2">
        <f t="shared" si="31"/>
        <v>40</v>
      </c>
      <c r="V371" s="1" t="s">
        <v>3744</v>
      </c>
      <c r="W371" t="s">
        <v>2437</v>
      </c>
      <c r="X371" s="3">
        <v>0.218</v>
      </c>
      <c r="Y371" s="4">
        <f>(X371-'[1]1982'!$Z$4)/('[1]1982'!$Z$3-'[1]1982'!$Z$4)</f>
        <v>5.8193854942473512E-3</v>
      </c>
      <c r="AA371">
        <v>3772063</v>
      </c>
      <c r="AB371">
        <v>130012</v>
      </c>
      <c r="AD371" t="s">
        <v>15</v>
      </c>
      <c r="AE371">
        <v>28</v>
      </c>
      <c r="AF371">
        <v>7</v>
      </c>
      <c r="AH371" t="s">
        <v>3982</v>
      </c>
      <c r="AI371" t="s">
        <v>3983</v>
      </c>
      <c r="AK371" t="s">
        <v>3984</v>
      </c>
      <c r="AL371">
        <v>7</v>
      </c>
      <c r="AM371" s="5">
        <f t="shared" si="32"/>
        <v>0.17499999999999999</v>
      </c>
      <c r="AN371" s="6">
        <f>(AM371-'[1]1982'!$AO$4)/('[1]1982'!$AO$3-'[1]1982'!$AO$4)</f>
        <v>2.6505111700113592E-4</v>
      </c>
      <c r="AO371" s="7"/>
      <c r="AP371">
        <v>0</v>
      </c>
      <c r="AR371" t="s">
        <v>19</v>
      </c>
      <c r="AT371" s="3">
        <v>2.3330000000000002</v>
      </c>
      <c r="AU371" s="8">
        <f t="shared" si="33"/>
        <v>0.4153085181073487</v>
      </c>
      <c r="AV371" s="8">
        <f t="shared" si="34"/>
        <v>0.30422183056242436</v>
      </c>
      <c r="AW371" s="8">
        <f t="shared" si="35"/>
        <v>0.19313514301750004</v>
      </c>
    </row>
    <row r="372" spans="1:49" x14ac:dyDescent="0.2">
      <c r="A372">
        <v>370</v>
      </c>
      <c r="B372" t="s">
        <v>3985</v>
      </c>
      <c r="F372" t="s">
        <v>3986</v>
      </c>
      <c r="G372" t="s">
        <v>4</v>
      </c>
      <c r="H372" t="s">
        <v>5</v>
      </c>
      <c r="I372" t="s">
        <v>3987</v>
      </c>
      <c r="N372">
        <v>8</v>
      </c>
      <c r="O372" t="s">
        <v>3988</v>
      </c>
      <c r="P372" t="s">
        <v>3989</v>
      </c>
      <c r="Q372" t="s">
        <v>3990</v>
      </c>
      <c r="R372" s="1">
        <v>29952</v>
      </c>
      <c r="S372" s="2">
        <f t="shared" si="30"/>
        <v>1982</v>
      </c>
      <c r="T372" s="2">
        <v>1982</v>
      </c>
      <c r="U372" s="2">
        <f t="shared" si="31"/>
        <v>40</v>
      </c>
      <c r="V372" s="1" t="s">
        <v>3744</v>
      </c>
      <c r="W372" t="s">
        <v>2517</v>
      </c>
      <c r="X372" s="3" t="s">
        <v>20</v>
      </c>
      <c r="Y372" s="4" t="e">
        <f>(X372-'[1]1982'!$Z$4)/('[1]1982'!$Z$3-'[1]1982'!$Z$4)</f>
        <v>#VALUE!</v>
      </c>
      <c r="AA372">
        <v>338001</v>
      </c>
      <c r="AB372">
        <v>32587</v>
      </c>
      <c r="AD372" t="s">
        <v>15</v>
      </c>
      <c r="AE372">
        <v>29</v>
      </c>
      <c r="AF372">
        <v>127</v>
      </c>
      <c r="AH372" t="s">
        <v>3991</v>
      </c>
      <c r="AI372" t="s">
        <v>3992</v>
      </c>
      <c r="AK372" t="s">
        <v>3993</v>
      </c>
      <c r="AL372">
        <v>3</v>
      </c>
      <c r="AM372" s="5">
        <f t="shared" si="32"/>
        <v>7.4999999999999997E-2</v>
      </c>
      <c r="AN372" s="6">
        <f>(AM372-'[1]1982'!$AO$4)/('[1]1982'!$AO$3-'[1]1982'!$AO$4)</f>
        <v>1.1359333585762968E-4</v>
      </c>
      <c r="AO372" s="7"/>
      <c r="AP372">
        <v>0</v>
      </c>
      <c r="AR372" t="s">
        <v>19</v>
      </c>
      <c r="AT372" s="3" t="s">
        <v>20</v>
      </c>
      <c r="AU372" s="8" t="e">
        <f t="shared" si="33"/>
        <v>#VALUE!</v>
      </c>
      <c r="AV372" s="8" t="e">
        <f t="shared" si="34"/>
        <v>#VALUE!</v>
      </c>
      <c r="AW372" s="8" t="e">
        <f t="shared" si="35"/>
        <v>#VALUE!</v>
      </c>
    </row>
    <row r="373" spans="1:49" x14ac:dyDescent="0.2">
      <c r="A373">
        <v>371</v>
      </c>
      <c r="B373" t="s">
        <v>3994</v>
      </c>
      <c r="C373" t="s">
        <v>3995</v>
      </c>
      <c r="F373" t="s">
        <v>3996</v>
      </c>
      <c r="G373" t="s">
        <v>4</v>
      </c>
      <c r="H373" t="s">
        <v>5</v>
      </c>
      <c r="I373" t="s">
        <v>3997</v>
      </c>
      <c r="J373" t="s">
        <v>3998</v>
      </c>
      <c r="K373" t="s">
        <v>3999</v>
      </c>
      <c r="L373" t="s">
        <v>4000</v>
      </c>
      <c r="M373" t="s">
        <v>218</v>
      </c>
      <c r="N373">
        <v>2</v>
      </c>
      <c r="O373" t="s">
        <v>4001</v>
      </c>
      <c r="P373" t="s">
        <v>4002</v>
      </c>
      <c r="Q373" t="s">
        <v>3998</v>
      </c>
      <c r="R373" s="1">
        <v>29952</v>
      </c>
      <c r="S373" s="2">
        <f t="shared" si="30"/>
        <v>1982</v>
      </c>
      <c r="T373" s="2">
        <v>1982</v>
      </c>
      <c r="U373" s="2">
        <f t="shared" si="31"/>
        <v>40</v>
      </c>
      <c r="V373" s="1">
        <v>30133</v>
      </c>
      <c r="W373" t="s">
        <v>1117</v>
      </c>
      <c r="X373" s="3">
        <v>1.6519999999999999</v>
      </c>
      <c r="Y373" s="4">
        <f>(X373-'[1]1982'!$Z$4)/('[1]1982'!$Z$3-'[1]1982'!$Z$4)</f>
        <v>4.409919649769093E-2</v>
      </c>
      <c r="AA373" t="s">
        <v>1118</v>
      </c>
      <c r="AB373">
        <v>17337</v>
      </c>
      <c r="AC373">
        <v>15582221</v>
      </c>
      <c r="AD373" t="s">
        <v>15</v>
      </c>
      <c r="AE373">
        <v>30</v>
      </c>
      <c r="AF373">
        <v>4</v>
      </c>
      <c r="AH373" t="s">
        <v>4003</v>
      </c>
      <c r="AI373" t="s">
        <v>4004</v>
      </c>
      <c r="AK373" t="s">
        <v>4005</v>
      </c>
      <c r="AL373">
        <v>13</v>
      </c>
      <c r="AM373" s="5">
        <f t="shared" si="32"/>
        <v>0.32500000000000001</v>
      </c>
      <c r="AN373" s="6">
        <f>(AM373-'[1]1982'!$AO$4)/('[1]1982'!$AO$3-'[1]1982'!$AO$4)</f>
        <v>4.9223778871639533E-4</v>
      </c>
      <c r="AO373" s="7"/>
      <c r="AP373">
        <v>0</v>
      </c>
      <c r="AR373" t="s">
        <v>19</v>
      </c>
      <c r="AT373" s="3" t="s">
        <v>20</v>
      </c>
      <c r="AU373" s="8">
        <f t="shared" si="33"/>
        <v>3.101710888499857</v>
      </c>
      <c r="AV373" s="8">
        <f t="shared" si="34"/>
        <v>2.2295717143203664</v>
      </c>
      <c r="AW373" s="8">
        <f t="shared" si="35"/>
        <v>1.3574325401408756</v>
      </c>
    </row>
    <row r="374" spans="1:49" x14ac:dyDescent="0.2">
      <c r="A374">
        <v>372</v>
      </c>
      <c r="B374" t="s">
        <v>4006</v>
      </c>
      <c r="C374" t="s">
        <v>4007</v>
      </c>
      <c r="F374" t="s">
        <v>4008</v>
      </c>
      <c r="G374" t="s">
        <v>4</v>
      </c>
      <c r="H374" t="s">
        <v>5</v>
      </c>
      <c r="I374" t="s">
        <v>4009</v>
      </c>
      <c r="J374">
        <v>60014264</v>
      </c>
      <c r="K374" t="s">
        <v>4010</v>
      </c>
      <c r="L374" t="s">
        <v>4011</v>
      </c>
      <c r="M374" t="s">
        <v>65</v>
      </c>
      <c r="N374">
        <v>1</v>
      </c>
      <c r="O374" t="s">
        <v>4012</v>
      </c>
      <c r="P374">
        <v>7003495221</v>
      </c>
      <c r="Q374">
        <v>60014264</v>
      </c>
      <c r="R374" s="1">
        <v>29952</v>
      </c>
      <c r="S374" s="2">
        <f t="shared" si="30"/>
        <v>1982</v>
      </c>
      <c r="T374" s="2">
        <v>1982</v>
      </c>
      <c r="U374" s="2">
        <f t="shared" si="31"/>
        <v>40</v>
      </c>
      <c r="V374" s="1">
        <v>30133</v>
      </c>
      <c r="W374" t="s">
        <v>1117</v>
      </c>
      <c r="X374" s="3">
        <v>1.6519999999999999</v>
      </c>
      <c r="Y374" s="4">
        <f>(X374-'[1]1982'!$Z$4)/('[1]1982'!$Z$3-'[1]1982'!$Z$4)</f>
        <v>4.409919649769093E-2</v>
      </c>
      <c r="AA374" t="s">
        <v>1118</v>
      </c>
      <c r="AB374">
        <v>17337</v>
      </c>
      <c r="AC374">
        <v>15582221</v>
      </c>
      <c r="AD374" t="s">
        <v>15</v>
      </c>
      <c r="AE374">
        <v>30</v>
      </c>
      <c r="AF374">
        <v>4</v>
      </c>
      <c r="AH374" t="s">
        <v>4013</v>
      </c>
      <c r="AI374" t="s">
        <v>4014</v>
      </c>
      <c r="AK374" t="s">
        <v>4015</v>
      </c>
      <c r="AL374">
        <v>38</v>
      </c>
      <c r="AM374" s="5">
        <f t="shared" si="32"/>
        <v>0.95</v>
      </c>
      <c r="AN374" s="6">
        <f>(AM374-'[1]1982'!$AO$4)/('[1]1982'!$AO$3-'[1]1982'!$AO$4)</f>
        <v>1.4388489208633094E-3</v>
      </c>
      <c r="AO374" s="7"/>
      <c r="AP374">
        <v>0</v>
      </c>
      <c r="AR374" t="s">
        <v>19</v>
      </c>
      <c r="AT374" s="3" t="s">
        <v>20</v>
      </c>
      <c r="AU374" s="8">
        <f t="shared" si="33"/>
        <v>3.1301092224642639</v>
      </c>
      <c r="AV374" s="8">
        <f t="shared" si="34"/>
        <v>2.276902270927712</v>
      </c>
      <c r="AW374" s="8">
        <f t="shared" si="35"/>
        <v>1.4236953193911595</v>
      </c>
    </row>
    <row r="375" spans="1:49" x14ac:dyDescent="0.2">
      <c r="A375">
        <v>373</v>
      </c>
      <c r="B375" t="s">
        <v>4016</v>
      </c>
      <c r="C375" t="s">
        <v>4017</v>
      </c>
      <c r="F375" t="s">
        <v>4018</v>
      </c>
      <c r="G375" t="s">
        <v>4</v>
      </c>
      <c r="H375" t="s">
        <v>5</v>
      </c>
      <c r="I375" t="s">
        <v>4019</v>
      </c>
      <c r="J375">
        <v>60000745</v>
      </c>
      <c r="K375" t="s">
        <v>1500</v>
      </c>
      <c r="L375" t="s">
        <v>1501</v>
      </c>
      <c r="M375" t="s">
        <v>9</v>
      </c>
      <c r="N375">
        <v>2</v>
      </c>
      <c r="O375" t="s">
        <v>4020</v>
      </c>
      <c r="P375" t="s">
        <v>4021</v>
      </c>
      <c r="Q375" t="s">
        <v>1504</v>
      </c>
      <c r="R375" s="1">
        <v>29952</v>
      </c>
      <c r="S375" s="2">
        <f t="shared" si="30"/>
        <v>1982</v>
      </c>
      <c r="T375" s="2">
        <v>1982</v>
      </c>
      <c r="U375" s="2">
        <f t="shared" si="31"/>
        <v>40</v>
      </c>
      <c r="V375" s="1">
        <v>30133</v>
      </c>
      <c r="W375" t="s">
        <v>1117</v>
      </c>
      <c r="X375" s="3">
        <v>1.6519999999999999</v>
      </c>
      <c r="Y375" s="4">
        <f>(X375-'[1]1982'!$Z$4)/('[1]1982'!$Z$3-'[1]1982'!$Z$4)</f>
        <v>4.409919649769093E-2</v>
      </c>
      <c r="AA375" t="s">
        <v>1118</v>
      </c>
      <c r="AB375">
        <v>17337</v>
      </c>
      <c r="AC375">
        <v>15582221</v>
      </c>
      <c r="AD375" t="s">
        <v>15</v>
      </c>
      <c r="AE375">
        <v>30</v>
      </c>
      <c r="AF375">
        <v>4</v>
      </c>
      <c r="AH375" t="s">
        <v>4022</v>
      </c>
      <c r="AI375" t="s">
        <v>4023</v>
      </c>
      <c r="AK375" t="s">
        <v>4024</v>
      </c>
      <c r="AL375">
        <v>28</v>
      </c>
      <c r="AM375" s="5">
        <f t="shared" si="32"/>
        <v>0.7</v>
      </c>
      <c r="AN375" s="6">
        <f>(AM375-'[1]1982'!$AO$4)/('[1]1982'!$AO$3-'[1]1982'!$AO$4)</f>
        <v>1.0602044680045437E-3</v>
      </c>
      <c r="AO375" s="7"/>
      <c r="AP375">
        <v>0</v>
      </c>
      <c r="AR375" t="s">
        <v>19</v>
      </c>
      <c r="AT375" s="3" t="s">
        <v>20</v>
      </c>
      <c r="AU375" s="8">
        <f t="shared" si="33"/>
        <v>3.1187498888785017</v>
      </c>
      <c r="AV375" s="8">
        <f t="shared" si="34"/>
        <v>2.2579700482847738</v>
      </c>
      <c r="AW375" s="8">
        <f t="shared" si="35"/>
        <v>1.3971902076910458</v>
      </c>
    </row>
    <row r="376" spans="1:49" x14ac:dyDescent="0.2">
      <c r="A376">
        <v>374</v>
      </c>
      <c r="B376" t="s">
        <v>4025</v>
      </c>
      <c r="C376" t="s">
        <v>4026</v>
      </c>
      <c r="F376" t="s">
        <v>4027</v>
      </c>
      <c r="G376" t="s">
        <v>4</v>
      </c>
      <c r="H376" t="s">
        <v>5</v>
      </c>
      <c r="I376" t="s">
        <v>4028</v>
      </c>
      <c r="J376" t="s">
        <v>4029</v>
      </c>
      <c r="K376" t="s">
        <v>4030</v>
      </c>
      <c r="L376" t="s">
        <v>4031</v>
      </c>
      <c r="M376" t="s">
        <v>218</v>
      </c>
      <c r="N376">
        <v>2</v>
      </c>
      <c r="O376" t="s">
        <v>4032</v>
      </c>
      <c r="P376" t="s">
        <v>4033</v>
      </c>
      <c r="Q376" t="s">
        <v>4029</v>
      </c>
      <c r="R376" s="1">
        <v>29952</v>
      </c>
      <c r="S376" s="2">
        <f t="shared" si="30"/>
        <v>1982</v>
      </c>
      <c r="T376" s="2">
        <v>1982</v>
      </c>
      <c r="U376" s="2">
        <f t="shared" si="31"/>
        <v>40</v>
      </c>
      <c r="V376" s="1">
        <v>30133</v>
      </c>
      <c r="W376" t="s">
        <v>1117</v>
      </c>
      <c r="X376" s="3">
        <v>1.6519999999999999</v>
      </c>
      <c r="Y376" s="4">
        <f>(X376-'[1]1982'!$Z$4)/('[1]1982'!$Z$3-'[1]1982'!$Z$4)</f>
        <v>4.409919649769093E-2</v>
      </c>
      <c r="AA376" t="s">
        <v>1118</v>
      </c>
      <c r="AB376">
        <v>17337</v>
      </c>
      <c r="AC376">
        <v>15582221</v>
      </c>
      <c r="AD376" t="s">
        <v>15</v>
      </c>
      <c r="AE376">
        <v>30</v>
      </c>
      <c r="AF376">
        <v>4</v>
      </c>
      <c r="AH376" t="s">
        <v>4034</v>
      </c>
      <c r="AI376" t="s">
        <v>4035</v>
      </c>
      <c r="AK376" t="s">
        <v>4036</v>
      </c>
      <c r="AL376">
        <v>24</v>
      </c>
      <c r="AM376" s="5">
        <f t="shared" si="32"/>
        <v>0.6</v>
      </c>
      <c r="AN376" s="6">
        <f>(AM376-'[1]1982'!$AO$4)/('[1]1982'!$AO$3-'[1]1982'!$AO$4)</f>
        <v>9.0874668686103744E-4</v>
      </c>
      <c r="AO376" s="7"/>
      <c r="AP376">
        <v>0</v>
      </c>
      <c r="AR376" t="s">
        <v>19</v>
      </c>
      <c r="AT376" s="3" t="s">
        <v>20</v>
      </c>
      <c r="AU376" s="8">
        <f t="shared" si="33"/>
        <v>3.1142061554441964</v>
      </c>
      <c r="AV376" s="8">
        <f t="shared" si="34"/>
        <v>2.2503971592275982</v>
      </c>
      <c r="AW376" s="8">
        <f t="shared" si="35"/>
        <v>1.3865881630110004</v>
      </c>
    </row>
    <row r="377" spans="1:49" x14ac:dyDescent="0.2">
      <c r="A377">
        <v>375</v>
      </c>
      <c r="B377" t="s">
        <v>4037</v>
      </c>
      <c r="C377" t="s">
        <v>4038</v>
      </c>
      <c r="F377" t="s">
        <v>4039</v>
      </c>
      <c r="G377" t="s">
        <v>4</v>
      </c>
      <c r="H377" t="s">
        <v>5</v>
      </c>
      <c r="I377" t="s">
        <v>4040</v>
      </c>
      <c r="J377">
        <v>60018714</v>
      </c>
      <c r="K377" t="s">
        <v>4041</v>
      </c>
      <c r="L377" t="s">
        <v>1851</v>
      </c>
      <c r="M377" t="s">
        <v>962</v>
      </c>
      <c r="N377">
        <v>1</v>
      </c>
      <c r="O377" t="s">
        <v>4042</v>
      </c>
      <c r="P377">
        <v>7202122469</v>
      </c>
      <c r="Q377">
        <v>60018714</v>
      </c>
      <c r="R377" s="1">
        <v>29952</v>
      </c>
      <c r="S377" s="2">
        <f t="shared" si="30"/>
        <v>1982</v>
      </c>
      <c r="T377" s="2">
        <v>1982</v>
      </c>
      <c r="U377" s="2">
        <f t="shared" si="31"/>
        <v>40</v>
      </c>
      <c r="V377" s="1">
        <v>30133</v>
      </c>
      <c r="W377" t="s">
        <v>1117</v>
      </c>
      <c r="X377" s="3">
        <v>1.6519999999999999</v>
      </c>
      <c r="Y377" s="4">
        <f>(X377-'[1]1982'!$Z$4)/('[1]1982'!$Z$3-'[1]1982'!$Z$4)</f>
        <v>4.409919649769093E-2</v>
      </c>
      <c r="AA377" t="s">
        <v>1118</v>
      </c>
      <c r="AB377">
        <v>17337</v>
      </c>
      <c r="AC377">
        <v>15582221</v>
      </c>
      <c r="AD377" t="s">
        <v>15</v>
      </c>
      <c r="AE377">
        <v>30</v>
      </c>
      <c r="AF377">
        <v>4</v>
      </c>
      <c r="AH377" t="s">
        <v>4043</v>
      </c>
      <c r="AI377" t="s">
        <v>4044</v>
      </c>
      <c r="AK377" t="s">
        <v>4045</v>
      </c>
      <c r="AL377">
        <v>30</v>
      </c>
      <c r="AM377" s="5">
        <f t="shared" si="32"/>
        <v>0.75</v>
      </c>
      <c r="AN377" s="6">
        <f>(AM377-'[1]1982'!$AO$4)/('[1]1982'!$AO$3-'[1]1982'!$AO$4)</f>
        <v>1.1359333585762969E-3</v>
      </c>
      <c r="AO377" s="7"/>
      <c r="AP377">
        <v>0</v>
      </c>
      <c r="AR377" t="s">
        <v>19</v>
      </c>
      <c r="AT377" s="3" t="s">
        <v>20</v>
      </c>
      <c r="AU377" s="8">
        <f t="shared" si="33"/>
        <v>3.1210217555956539</v>
      </c>
      <c r="AV377" s="8">
        <f t="shared" si="34"/>
        <v>2.2617564928133613</v>
      </c>
      <c r="AW377" s="8">
        <f t="shared" si="35"/>
        <v>1.4024912300310686</v>
      </c>
    </row>
    <row r="378" spans="1:49" x14ac:dyDescent="0.2">
      <c r="A378">
        <v>376</v>
      </c>
      <c r="B378" t="s">
        <v>4046</v>
      </c>
      <c r="C378" t="s">
        <v>4047</v>
      </c>
      <c r="F378" t="s">
        <v>4048</v>
      </c>
      <c r="G378" t="s">
        <v>4</v>
      </c>
      <c r="H378" t="s">
        <v>5</v>
      </c>
      <c r="I378" t="s">
        <v>4049</v>
      </c>
      <c r="J378">
        <v>60013372</v>
      </c>
      <c r="K378" t="s">
        <v>4050</v>
      </c>
      <c r="L378" t="s">
        <v>4051</v>
      </c>
      <c r="M378" t="s">
        <v>9</v>
      </c>
      <c r="N378">
        <v>2</v>
      </c>
      <c r="O378" t="s">
        <v>4052</v>
      </c>
      <c r="P378" t="s">
        <v>4053</v>
      </c>
      <c r="Q378" t="s">
        <v>4054</v>
      </c>
      <c r="R378" s="1">
        <v>29952</v>
      </c>
      <c r="S378" s="2">
        <f t="shared" si="30"/>
        <v>1982</v>
      </c>
      <c r="T378" s="2">
        <v>1982</v>
      </c>
      <c r="U378" s="2">
        <f t="shared" si="31"/>
        <v>40</v>
      </c>
      <c r="V378" s="1">
        <v>30133</v>
      </c>
      <c r="W378" t="s">
        <v>1117</v>
      </c>
      <c r="X378" s="3">
        <v>1.6519999999999999</v>
      </c>
      <c r="Y378" s="4">
        <f>(X378-'[1]1982'!$Z$4)/('[1]1982'!$Z$3-'[1]1982'!$Z$4)</f>
        <v>4.409919649769093E-2</v>
      </c>
      <c r="AA378" t="s">
        <v>1118</v>
      </c>
      <c r="AB378">
        <v>17337</v>
      </c>
      <c r="AC378">
        <v>15582221</v>
      </c>
      <c r="AD378" t="s">
        <v>15</v>
      </c>
      <c r="AE378">
        <v>30</v>
      </c>
      <c r="AF378">
        <v>4</v>
      </c>
      <c r="AH378" t="s">
        <v>4055</v>
      </c>
      <c r="AI378" t="s">
        <v>4056</v>
      </c>
      <c r="AK378" t="s">
        <v>4057</v>
      </c>
      <c r="AL378">
        <v>1</v>
      </c>
      <c r="AM378" s="5">
        <f t="shared" si="32"/>
        <v>2.5000000000000001E-2</v>
      </c>
      <c r="AN378" s="6">
        <f>(AM378-'[1]1982'!$AO$4)/('[1]1982'!$AO$3-'[1]1982'!$AO$4)</f>
        <v>3.7864445285876567E-5</v>
      </c>
      <c r="AO378" s="7"/>
      <c r="AP378">
        <v>0</v>
      </c>
      <c r="AR378" t="s">
        <v>19</v>
      </c>
      <c r="AT378" s="3" t="s">
        <v>20</v>
      </c>
      <c r="AU378" s="8">
        <f t="shared" si="33"/>
        <v>3.0880796881969412</v>
      </c>
      <c r="AV378" s="8">
        <f t="shared" si="34"/>
        <v>2.2068530471488401</v>
      </c>
      <c r="AW378" s="8">
        <f t="shared" si="35"/>
        <v>1.3256264061007392</v>
      </c>
    </row>
    <row r="379" spans="1:49" x14ac:dyDescent="0.2">
      <c r="A379">
        <v>377</v>
      </c>
      <c r="B379" t="s">
        <v>4058</v>
      </c>
      <c r="C379" t="s">
        <v>4059</v>
      </c>
      <c r="F379" t="s">
        <v>4060</v>
      </c>
      <c r="G379" t="s">
        <v>4</v>
      </c>
      <c r="H379" t="s">
        <v>5</v>
      </c>
      <c r="I379" t="s">
        <v>4061</v>
      </c>
      <c r="J379">
        <v>60021378</v>
      </c>
      <c r="K379" t="s">
        <v>1539</v>
      </c>
      <c r="L379" t="s">
        <v>1540</v>
      </c>
      <c r="M379" t="s">
        <v>9</v>
      </c>
      <c r="N379">
        <v>1</v>
      </c>
      <c r="O379" t="s">
        <v>4062</v>
      </c>
      <c r="P379">
        <v>6701625421</v>
      </c>
      <c r="Q379">
        <v>60021378</v>
      </c>
      <c r="R379" s="1">
        <v>29952</v>
      </c>
      <c r="S379" s="2">
        <f t="shared" si="30"/>
        <v>1982</v>
      </c>
      <c r="T379" s="2">
        <v>1982</v>
      </c>
      <c r="U379" s="2">
        <f t="shared" si="31"/>
        <v>40</v>
      </c>
      <c r="V379" s="1">
        <v>30133</v>
      </c>
      <c r="W379" t="s">
        <v>1117</v>
      </c>
      <c r="X379" s="3">
        <v>1.6519999999999999</v>
      </c>
      <c r="Y379" s="4">
        <f>(X379-'[1]1982'!$Z$4)/('[1]1982'!$Z$3-'[1]1982'!$Z$4)</f>
        <v>4.409919649769093E-2</v>
      </c>
      <c r="AA379" t="s">
        <v>1118</v>
      </c>
      <c r="AB379">
        <v>17337</v>
      </c>
      <c r="AC379">
        <v>15582221</v>
      </c>
      <c r="AD379" t="s">
        <v>15</v>
      </c>
      <c r="AE379">
        <v>30</v>
      </c>
      <c r="AF379">
        <v>4</v>
      </c>
      <c r="AH379" t="s">
        <v>4063</v>
      </c>
      <c r="AI379" t="s">
        <v>4064</v>
      </c>
      <c r="AK379" t="s">
        <v>4065</v>
      </c>
      <c r="AL379">
        <v>6</v>
      </c>
      <c r="AM379" s="5">
        <f t="shared" si="32"/>
        <v>0.15</v>
      </c>
      <c r="AN379" s="6">
        <f>(AM379-'[1]1982'!$AO$4)/('[1]1982'!$AO$3-'[1]1982'!$AO$4)</f>
        <v>2.2718667171525936E-4</v>
      </c>
      <c r="AO379" s="7"/>
      <c r="AP379">
        <v>0</v>
      </c>
      <c r="AR379" t="s">
        <v>19</v>
      </c>
      <c r="AT379" s="3" t="s">
        <v>20</v>
      </c>
      <c r="AU379" s="8">
        <f t="shared" si="33"/>
        <v>3.0937593549898228</v>
      </c>
      <c r="AV379" s="8">
        <f t="shared" si="34"/>
        <v>2.2163191584703092</v>
      </c>
      <c r="AW379" s="8">
        <f t="shared" si="35"/>
        <v>1.3388789619507961</v>
      </c>
    </row>
    <row r="380" spans="1:49" x14ac:dyDescent="0.2">
      <c r="A380">
        <v>378</v>
      </c>
      <c r="B380" t="s">
        <v>4066</v>
      </c>
      <c r="C380" t="s">
        <v>4067</v>
      </c>
      <c r="F380" t="s">
        <v>4068</v>
      </c>
      <c r="G380" t="s">
        <v>4</v>
      </c>
      <c r="H380" t="s">
        <v>5</v>
      </c>
      <c r="I380" t="s">
        <v>2673</v>
      </c>
      <c r="J380">
        <v>60003500</v>
      </c>
      <c r="K380" t="s">
        <v>2507</v>
      </c>
      <c r="L380" t="s">
        <v>951</v>
      </c>
      <c r="M380" t="s">
        <v>9</v>
      </c>
      <c r="N380">
        <v>2</v>
      </c>
      <c r="O380" t="s">
        <v>4069</v>
      </c>
      <c r="P380" t="s">
        <v>4070</v>
      </c>
      <c r="Q380" t="s">
        <v>2676</v>
      </c>
      <c r="R380" s="1">
        <v>29952</v>
      </c>
      <c r="S380" s="2">
        <f t="shared" si="30"/>
        <v>1982</v>
      </c>
      <c r="T380" s="2">
        <v>1982</v>
      </c>
      <c r="U380" s="2">
        <f t="shared" si="31"/>
        <v>40</v>
      </c>
      <c r="V380" s="1">
        <v>30133</v>
      </c>
      <c r="W380" t="s">
        <v>1117</v>
      </c>
      <c r="X380" s="3">
        <v>1.6519999999999999</v>
      </c>
      <c r="Y380" s="4">
        <f>(X380-'[1]1982'!$Z$4)/('[1]1982'!$Z$3-'[1]1982'!$Z$4)</f>
        <v>4.409919649769093E-2</v>
      </c>
      <c r="AA380" t="s">
        <v>1118</v>
      </c>
      <c r="AB380">
        <v>17337</v>
      </c>
      <c r="AC380">
        <v>15582221</v>
      </c>
      <c r="AD380" t="s">
        <v>15</v>
      </c>
      <c r="AE380">
        <v>30</v>
      </c>
      <c r="AF380">
        <v>4</v>
      </c>
      <c r="AH380" t="s">
        <v>4071</v>
      </c>
      <c r="AI380" t="s">
        <v>4072</v>
      </c>
      <c r="AK380" t="s">
        <v>4073</v>
      </c>
      <c r="AL380">
        <v>27</v>
      </c>
      <c r="AM380" s="5">
        <f t="shared" si="32"/>
        <v>0.67500000000000004</v>
      </c>
      <c r="AN380" s="6">
        <f>(AM380-'[1]1982'!$AO$4)/('[1]1982'!$AO$3-'[1]1982'!$AO$4)</f>
        <v>1.0223400227186673E-3</v>
      </c>
      <c r="AO380" s="7"/>
      <c r="AP380">
        <v>0</v>
      </c>
      <c r="AR380" t="s">
        <v>19</v>
      </c>
      <c r="AT380" s="3" t="s">
        <v>20</v>
      </c>
      <c r="AU380" s="8">
        <f t="shared" si="33"/>
        <v>3.1176139555199249</v>
      </c>
      <c r="AV380" s="8">
        <f t="shared" si="34"/>
        <v>2.2560768260204798</v>
      </c>
      <c r="AW380" s="8">
        <f t="shared" si="35"/>
        <v>1.3945396965210344</v>
      </c>
    </row>
    <row r="381" spans="1:49" x14ac:dyDescent="0.2">
      <c r="A381">
        <v>379</v>
      </c>
      <c r="B381" t="s">
        <v>4074</v>
      </c>
      <c r="C381" t="s">
        <v>4075</v>
      </c>
      <c r="F381" t="s">
        <v>4076</v>
      </c>
      <c r="G381" t="s">
        <v>4</v>
      </c>
      <c r="H381" t="s">
        <v>5</v>
      </c>
      <c r="I381" t="s">
        <v>4077</v>
      </c>
      <c r="J381">
        <v>60009037</v>
      </c>
      <c r="K381" t="s">
        <v>2786</v>
      </c>
      <c r="L381" t="s">
        <v>445</v>
      </c>
      <c r="M381" t="s">
        <v>9</v>
      </c>
      <c r="N381">
        <v>2</v>
      </c>
      <c r="O381" t="s">
        <v>4078</v>
      </c>
      <c r="P381" t="s">
        <v>4079</v>
      </c>
      <c r="Q381" t="s">
        <v>2789</v>
      </c>
      <c r="R381" s="1">
        <v>29952</v>
      </c>
      <c r="S381" s="2">
        <f t="shared" si="30"/>
        <v>1982</v>
      </c>
      <c r="T381" s="2">
        <v>1982</v>
      </c>
      <c r="U381" s="2">
        <f t="shared" si="31"/>
        <v>40</v>
      </c>
      <c r="V381" s="1">
        <v>30133</v>
      </c>
      <c r="W381" t="s">
        <v>1117</v>
      </c>
      <c r="X381" s="3">
        <v>1.6519999999999999</v>
      </c>
      <c r="Y381" s="4">
        <f>(X381-'[1]1982'!$Z$4)/('[1]1982'!$Z$3-'[1]1982'!$Z$4)</f>
        <v>4.409919649769093E-2</v>
      </c>
      <c r="AA381" t="s">
        <v>1118</v>
      </c>
      <c r="AB381">
        <v>17337</v>
      </c>
      <c r="AC381">
        <v>15582221</v>
      </c>
      <c r="AD381" t="s">
        <v>15</v>
      </c>
      <c r="AE381">
        <v>30</v>
      </c>
      <c r="AF381">
        <v>4</v>
      </c>
      <c r="AH381" t="s">
        <v>4080</v>
      </c>
      <c r="AI381" t="s">
        <v>4081</v>
      </c>
      <c r="AK381" t="s">
        <v>4082</v>
      </c>
      <c r="AL381">
        <v>0</v>
      </c>
      <c r="AM381" s="5">
        <f t="shared" si="32"/>
        <v>0</v>
      </c>
      <c r="AN381" s="6">
        <f>(AM381-'[1]1982'!$AO$4)/('[1]1982'!$AO$3-'[1]1982'!$AO$4)</f>
        <v>0</v>
      </c>
      <c r="AO381" s="7"/>
      <c r="AP381">
        <v>0</v>
      </c>
      <c r="AR381" t="s">
        <v>19</v>
      </c>
      <c r="AT381" s="3" t="s">
        <v>20</v>
      </c>
      <c r="AU381" s="8">
        <f t="shared" si="33"/>
        <v>3.0869437548383649</v>
      </c>
      <c r="AV381" s="8">
        <f t="shared" si="34"/>
        <v>2.2049598248845466</v>
      </c>
      <c r="AW381" s="8">
        <f t="shared" si="35"/>
        <v>1.3229758949307278</v>
      </c>
    </row>
    <row r="382" spans="1:49" x14ac:dyDescent="0.2">
      <c r="A382">
        <v>380</v>
      </c>
      <c r="B382" t="s">
        <v>4083</v>
      </c>
      <c r="C382" t="s">
        <v>4084</v>
      </c>
      <c r="F382" t="s">
        <v>4085</v>
      </c>
      <c r="G382" t="s">
        <v>4</v>
      </c>
      <c r="H382" t="s">
        <v>5</v>
      </c>
      <c r="I382" t="s">
        <v>4086</v>
      </c>
      <c r="J382" t="s">
        <v>4087</v>
      </c>
      <c r="K382" t="s">
        <v>4088</v>
      </c>
      <c r="L382" t="s">
        <v>4089</v>
      </c>
      <c r="M382" t="s">
        <v>500</v>
      </c>
      <c r="N382">
        <v>2</v>
      </c>
      <c r="O382" t="s">
        <v>4090</v>
      </c>
      <c r="P382" t="s">
        <v>4091</v>
      </c>
      <c r="Q382" t="s">
        <v>4087</v>
      </c>
      <c r="R382" s="1">
        <v>29952</v>
      </c>
      <c r="S382" s="2">
        <f t="shared" si="30"/>
        <v>1982</v>
      </c>
      <c r="T382" s="2">
        <v>1982</v>
      </c>
      <c r="U382" s="2">
        <f t="shared" si="31"/>
        <v>40</v>
      </c>
      <c r="V382" s="1">
        <v>30133</v>
      </c>
      <c r="W382" t="s">
        <v>1117</v>
      </c>
      <c r="X382" s="3">
        <v>1.6519999999999999</v>
      </c>
      <c r="Y382" s="4">
        <f>(X382-'[1]1982'!$Z$4)/('[1]1982'!$Z$3-'[1]1982'!$Z$4)</f>
        <v>4.409919649769093E-2</v>
      </c>
      <c r="AA382" t="s">
        <v>1118</v>
      </c>
      <c r="AB382">
        <v>17337</v>
      </c>
      <c r="AC382">
        <v>15582221</v>
      </c>
      <c r="AD382" t="s">
        <v>15</v>
      </c>
      <c r="AE382">
        <v>30</v>
      </c>
      <c r="AF382">
        <v>4</v>
      </c>
      <c r="AH382" t="s">
        <v>4092</v>
      </c>
      <c r="AI382" t="s">
        <v>4093</v>
      </c>
      <c r="AK382" t="s">
        <v>4094</v>
      </c>
      <c r="AL382">
        <v>20</v>
      </c>
      <c r="AM382" s="5">
        <f t="shared" si="32"/>
        <v>0.5</v>
      </c>
      <c r="AN382" s="6">
        <f>(AM382-'[1]1982'!$AO$4)/('[1]1982'!$AO$3-'[1]1982'!$AO$4)</f>
        <v>7.572889057175312E-4</v>
      </c>
      <c r="AO382" s="7"/>
      <c r="AP382">
        <v>0</v>
      </c>
      <c r="AR382" t="s">
        <v>19</v>
      </c>
      <c r="AT382" s="3" t="s">
        <v>20</v>
      </c>
      <c r="AU382" s="8">
        <f t="shared" si="33"/>
        <v>3.1096624220098912</v>
      </c>
      <c r="AV382" s="8">
        <f t="shared" si="34"/>
        <v>2.2428242701704231</v>
      </c>
      <c r="AW382" s="8">
        <f t="shared" si="35"/>
        <v>1.375986118330955</v>
      </c>
    </row>
    <row r="383" spans="1:49" x14ac:dyDescent="0.2">
      <c r="A383">
        <v>381</v>
      </c>
      <c r="B383" t="s">
        <v>4095</v>
      </c>
      <c r="F383" t="s">
        <v>4096</v>
      </c>
      <c r="G383" t="s">
        <v>4</v>
      </c>
      <c r="H383" t="s">
        <v>5</v>
      </c>
      <c r="I383" t="s">
        <v>4097</v>
      </c>
      <c r="N383">
        <v>2</v>
      </c>
      <c r="O383" t="s">
        <v>4098</v>
      </c>
      <c r="P383" t="s">
        <v>4099</v>
      </c>
      <c r="Q383" t="s">
        <v>156</v>
      </c>
      <c r="R383" s="1">
        <v>29952</v>
      </c>
      <c r="S383" s="2">
        <f t="shared" si="30"/>
        <v>1982</v>
      </c>
      <c r="T383" s="2">
        <v>1982</v>
      </c>
      <c r="U383" s="2">
        <f t="shared" si="31"/>
        <v>40</v>
      </c>
      <c r="V383" s="1" t="s">
        <v>3744</v>
      </c>
      <c r="W383" t="s">
        <v>4100</v>
      </c>
      <c r="X383" s="3" t="s">
        <v>20</v>
      </c>
      <c r="Y383" s="4" t="e">
        <f>(X383-'[1]1982'!$Z$4)/('[1]1982'!$Z$3-'[1]1982'!$Z$4)</f>
        <v>#VALUE!</v>
      </c>
      <c r="AA383" t="s">
        <v>4101</v>
      </c>
      <c r="AB383">
        <v>77883</v>
      </c>
      <c r="AD383" t="s">
        <v>15</v>
      </c>
      <c r="AE383">
        <v>1</v>
      </c>
      <c r="AF383" t="s">
        <v>1986</v>
      </c>
      <c r="AH383" t="s">
        <v>4102</v>
      </c>
      <c r="AI383" t="s">
        <v>4103</v>
      </c>
      <c r="AK383" t="s">
        <v>4104</v>
      </c>
      <c r="AL383">
        <v>0</v>
      </c>
      <c r="AM383" s="5">
        <f t="shared" si="32"/>
        <v>0</v>
      </c>
      <c r="AN383" s="6">
        <f>(AM383-'[1]1982'!$AO$4)/('[1]1982'!$AO$3-'[1]1982'!$AO$4)</f>
        <v>0</v>
      </c>
      <c r="AO383" s="7"/>
      <c r="AP383">
        <v>0</v>
      </c>
      <c r="AR383" t="s">
        <v>19</v>
      </c>
      <c r="AT383" s="3" t="s">
        <v>20</v>
      </c>
      <c r="AU383" s="8" t="e">
        <f t="shared" si="33"/>
        <v>#VALUE!</v>
      </c>
      <c r="AV383" s="8" t="e">
        <f t="shared" si="34"/>
        <v>#VALUE!</v>
      </c>
      <c r="AW383" s="8" t="e">
        <f t="shared" si="35"/>
        <v>#VALUE!</v>
      </c>
    </row>
    <row r="384" spans="1:49" x14ac:dyDescent="0.2">
      <c r="A384">
        <v>382</v>
      </c>
      <c r="B384" t="s">
        <v>4105</v>
      </c>
      <c r="F384" t="s">
        <v>4106</v>
      </c>
      <c r="G384" t="s">
        <v>4</v>
      </c>
      <c r="H384" t="s">
        <v>5</v>
      </c>
      <c r="I384" t="s">
        <v>4107</v>
      </c>
      <c r="N384">
        <v>1</v>
      </c>
      <c r="O384" t="s">
        <v>4108</v>
      </c>
      <c r="P384">
        <v>35560533200</v>
      </c>
      <c r="R384" s="1">
        <v>29952</v>
      </c>
      <c r="S384" s="2">
        <f t="shared" si="30"/>
        <v>1982</v>
      </c>
      <c r="T384" s="2">
        <v>1982</v>
      </c>
      <c r="U384" s="2">
        <f t="shared" si="31"/>
        <v>40</v>
      </c>
      <c r="V384" s="1" t="s">
        <v>3744</v>
      </c>
      <c r="W384" t="s">
        <v>2517</v>
      </c>
      <c r="X384" s="3" t="s">
        <v>20</v>
      </c>
      <c r="Y384" s="4" t="e">
        <f>(X384-'[1]1982'!$Z$4)/('[1]1982'!$Z$3-'[1]1982'!$Z$4)</f>
        <v>#VALUE!</v>
      </c>
      <c r="AA384">
        <v>338001</v>
      </c>
      <c r="AB384">
        <v>32587</v>
      </c>
      <c r="AD384" t="s">
        <v>15</v>
      </c>
      <c r="AE384">
        <v>29</v>
      </c>
      <c r="AF384">
        <v>127</v>
      </c>
      <c r="AH384" t="s">
        <v>4109</v>
      </c>
      <c r="AI384" t="s">
        <v>4110</v>
      </c>
      <c r="AK384" t="s">
        <v>4111</v>
      </c>
      <c r="AL384">
        <v>0</v>
      </c>
      <c r="AM384" s="5">
        <f t="shared" si="32"/>
        <v>0</v>
      </c>
      <c r="AN384" s="6">
        <f>(AM384-'[1]1982'!$AO$4)/('[1]1982'!$AO$3-'[1]1982'!$AO$4)</f>
        <v>0</v>
      </c>
      <c r="AO384" s="7"/>
      <c r="AP384">
        <v>0</v>
      </c>
      <c r="AR384" t="s">
        <v>19</v>
      </c>
      <c r="AT384" s="3" t="s">
        <v>20</v>
      </c>
      <c r="AU384" s="8" t="e">
        <f t="shared" si="33"/>
        <v>#VALUE!</v>
      </c>
      <c r="AV384" s="8" t="e">
        <f t="shared" si="34"/>
        <v>#VALUE!</v>
      </c>
      <c r="AW384" s="8" t="e">
        <f t="shared" si="35"/>
        <v>#VALUE!</v>
      </c>
    </row>
    <row r="385" spans="1:49" x14ac:dyDescent="0.2">
      <c r="A385">
        <v>383</v>
      </c>
      <c r="B385" t="s">
        <v>4112</v>
      </c>
      <c r="F385" t="s">
        <v>4113</v>
      </c>
      <c r="G385" t="s">
        <v>4</v>
      </c>
      <c r="H385" t="s">
        <v>5</v>
      </c>
      <c r="I385" t="s">
        <v>3987</v>
      </c>
      <c r="N385">
        <v>2</v>
      </c>
      <c r="O385" t="s">
        <v>4114</v>
      </c>
      <c r="P385" t="s">
        <v>4115</v>
      </c>
      <c r="Q385" t="s">
        <v>156</v>
      </c>
      <c r="R385" s="1">
        <v>29952</v>
      </c>
      <c r="S385" s="2">
        <f t="shared" si="30"/>
        <v>1982</v>
      </c>
      <c r="T385" s="2">
        <v>1982</v>
      </c>
      <c r="U385" s="2">
        <f t="shared" si="31"/>
        <v>40</v>
      </c>
      <c r="V385" s="1" t="s">
        <v>3744</v>
      </c>
      <c r="W385" t="s">
        <v>2517</v>
      </c>
      <c r="X385" s="3" t="s">
        <v>20</v>
      </c>
      <c r="Y385" s="4" t="e">
        <f>(X385-'[1]1982'!$Z$4)/('[1]1982'!$Z$3-'[1]1982'!$Z$4)</f>
        <v>#VALUE!</v>
      </c>
      <c r="AA385">
        <v>338001</v>
      </c>
      <c r="AB385">
        <v>32587</v>
      </c>
      <c r="AD385" t="s">
        <v>15</v>
      </c>
      <c r="AE385">
        <v>29</v>
      </c>
      <c r="AF385">
        <v>127</v>
      </c>
      <c r="AH385" t="s">
        <v>4116</v>
      </c>
      <c r="AI385" t="s">
        <v>4117</v>
      </c>
      <c r="AK385" t="s">
        <v>4118</v>
      </c>
      <c r="AL385">
        <v>3</v>
      </c>
      <c r="AM385" s="5">
        <f t="shared" si="32"/>
        <v>7.4999999999999997E-2</v>
      </c>
      <c r="AN385" s="6">
        <f>(AM385-'[1]1982'!$AO$4)/('[1]1982'!$AO$3-'[1]1982'!$AO$4)</f>
        <v>1.1359333585762968E-4</v>
      </c>
      <c r="AO385" s="7"/>
      <c r="AP385">
        <v>0</v>
      </c>
      <c r="AR385" t="s">
        <v>19</v>
      </c>
      <c r="AT385" s="3" t="s">
        <v>20</v>
      </c>
      <c r="AU385" s="8" t="e">
        <f t="shared" si="33"/>
        <v>#VALUE!</v>
      </c>
      <c r="AV385" s="8" t="e">
        <f t="shared" si="34"/>
        <v>#VALUE!</v>
      </c>
      <c r="AW385" s="8" t="e">
        <f t="shared" si="35"/>
        <v>#VALUE!</v>
      </c>
    </row>
    <row r="386" spans="1:49" x14ac:dyDescent="0.2">
      <c r="A386">
        <v>384</v>
      </c>
      <c r="B386" t="s">
        <v>4119</v>
      </c>
      <c r="F386" t="s">
        <v>4120</v>
      </c>
      <c r="G386" t="s">
        <v>4</v>
      </c>
      <c r="H386" t="s">
        <v>5</v>
      </c>
      <c r="I386" t="s">
        <v>4121</v>
      </c>
      <c r="N386">
        <v>2</v>
      </c>
      <c r="O386" t="s">
        <v>4122</v>
      </c>
      <c r="P386" t="s">
        <v>4123</v>
      </c>
      <c r="Q386" t="s">
        <v>156</v>
      </c>
      <c r="R386" s="1">
        <v>29952</v>
      </c>
      <c r="S386" s="2">
        <f t="shared" ref="S386:S449" si="36">YEAR(R386)</f>
        <v>1982</v>
      </c>
      <c r="T386" s="2">
        <v>1982</v>
      </c>
      <c r="U386" s="2">
        <f t="shared" ref="U386:U449" si="37">2022-T386</f>
        <v>40</v>
      </c>
      <c r="V386" s="1" t="s">
        <v>3744</v>
      </c>
      <c r="W386" t="s">
        <v>2883</v>
      </c>
      <c r="X386" s="3" t="s">
        <v>20</v>
      </c>
      <c r="Y386" s="4" t="e">
        <f>(X386-'[1]1982'!$Z$4)/('[1]1982'!$Z$3-'[1]1982'!$Z$4)</f>
        <v>#VALUE!</v>
      </c>
      <c r="AA386">
        <v>214744</v>
      </c>
      <c r="AB386">
        <v>32584</v>
      </c>
      <c r="AD386" t="s">
        <v>15</v>
      </c>
      <c r="AE386">
        <v>24</v>
      </c>
      <c r="AF386">
        <v>3</v>
      </c>
      <c r="AH386" t="s">
        <v>4124</v>
      </c>
      <c r="AI386" t="s">
        <v>4125</v>
      </c>
      <c r="AK386" t="s">
        <v>4126</v>
      </c>
      <c r="AL386">
        <v>0</v>
      </c>
      <c r="AM386" s="5">
        <f t="shared" ref="AM386:AM449" si="38">AL386/U386</f>
        <v>0</v>
      </c>
      <c r="AN386" s="6">
        <f>(AM386-'[1]1982'!$AO$4)/('[1]1982'!$AO$3-'[1]1982'!$AO$4)</f>
        <v>0</v>
      </c>
      <c r="AO386" s="7"/>
      <c r="AP386">
        <v>0</v>
      </c>
      <c r="AR386" t="s">
        <v>19</v>
      </c>
      <c r="AT386" s="3" t="s">
        <v>20</v>
      </c>
      <c r="AU386" s="8" t="e">
        <f t="shared" ref="AU386:AU449" si="39">(Y386*0.7+AN386*0.3)*100</f>
        <v>#VALUE!</v>
      </c>
      <c r="AV386" s="8" t="e">
        <f t="shared" ref="AV386:AV449" si="40">(Y386*0.5+AN386*0.5)*100</f>
        <v>#VALUE!</v>
      </c>
      <c r="AW386" s="8" t="e">
        <f t="shared" ref="AW386:AW449" si="41">(Y386*0.3+AN386*0.7)*100</f>
        <v>#VALUE!</v>
      </c>
    </row>
    <row r="387" spans="1:49" x14ac:dyDescent="0.2">
      <c r="A387">
        <v>385</v>
      </c>
      <c r="B387" t="s">
        <v>4127</v>
      </c>
      <c r="F387" t="s">
        <v>4128</v>
      </c>
      <c r="G387" t="s">
        <v>4</v>
      </c>
      <c r="H387" t="s">
        <v>5</v>
      </c>
      <c r="I387" t="s">
        <v>4129</v>
      </c>
      <c r="N387">
        <v>2</v>
      </c>
      <c r="O387" t="s">
        <v>4130</v>
      </c>
      <c r="P387" t="s">
        <v>4131</v>
      </c>
      <c r="Q387" t="s">
        <v>156</v>
      </c>
      <c r="R387" s="1">
        <v>29952</v>
      </c>
      <c r="S387" s="2">
        <f t="shared" si="36"/>
        <v>1982</v>
      </c>
      <c r="T387" s="2">
        <v>1982</v>
      </c>
      <c r="U387" s="2">
        <f t="shared" si="37"/>
        <v>40</v>
      </c>
      <c r="V387" s="1" t="s">
        <v>4132</v>
      </c>
      <c r="W387" t="s">
        <v>4133</v>
      </c>
      <c r="X387" s="3" t="s">
        <v>20</v>
      </c>
      <c r="Y387" s="4" t="e">
        <f>(X387-'[1]1982'!$Z$4)/('[1]1982'!$Z$3-'[1]1982'!$Z$4)</f>
        <v>#VALUE!</v>
      </c>
      <c r="AA387" t="s">
        <v>4134</v>
      </c>
      <c r="AB387">
        <v>34140</v>
      </c>
      <c r="AD387" t="s">
        <v>15</v>
      </c>
      <c r="AE387">
        <v>20</v>
      </c>
      <c r="AF387">
        <v>4</v>
      </c>
      <c r="AH387" t="s">
        <v>4135</v>
      </c>
      <c r="AI387" t="s">
        <v>4136</v>
      </c>
      <c r="AK387" t="s">
        <v>4137</v>
      </c>
      <c r="AL387">
        <v>0</v>
      </c>
      <c r="AM387" s="5">
        <f t="shared" si="38"/>
        <v>0</v>
      </c>
      <c r="AN387" s="6">
        <f>(AM387-'[1]1982'!$AO$4)/('[1]1982'!$AO$3-'[1]1982'!$AO$4)</f>
        <v>0</v>
      </c>
      <c r="AO387" s="7"/>
      <c r="AP387">
        <v>0</v>
      </c>
      <c r="AR387" t="s">
        <v>19</v>
      </c>
      <c r="AT387" s="3" t="s">
        <v>20</v>
      </c>
      <c r="AU387" s="8" t="e">
        <f t="shared" si="39"/>
        <v>#VALUE!</v>
      </c>
      <c r="AV387" s="8" t="e">
        <f t="shared" si="40"/>
        <v>#VALUE!</v>
      </c>
      <c r="AW387" s="8" t="e">
        <f t="shared" si="41"/>
        <v>#VALUE!</v>
      </c>
    </row>
    <row r="388" spans="1:49" x14ac:dyDescent="0.2">
      <c r="A388">
        <v>386</v>
      </c>
      <c r="B388" t="s">
        <v>4138</v>
      </c>
      <c r="C388" t="s">
        <v>4139</v>
      </c>
      <c r="F388" t="s">
        <v>4140</v>
      </c>
      <c r="G388" t="s">
        <v>4</v>
      </c>
      <c r="H388" t="s">
        <v>5</v>
      </c>
      <c r="I388" t="s">
        <v>4141</v>
      </c>
      <c r="J388">
        <v>60006288</v>
      </c>
      <c r="K388" t="s">
        <v>4142</v>
      </c>
      <c r="L388" t="s">
        <v>4143</v>
      </c>
      <c r="M388" t="s">
        <v>424</v>
      </c>
      <c r="N388">
        <v>2</v>
      </c>
      <c r="O388" t="s">
        <v>4144</v>
      </c>
      <c r="P388" t="s">
        <v>4145</v>
      </c>
      <c r="Q388" t="s">
        <v>4146</v>
      </c>
      <c r="R388" s="1">
        <v>29952</v>
      </c>
      <c r="S388" s="2">
        <f t="shared" si="36"/>
        <v>1982</v>
      </c>
      <c r="T388" s="2">
        <v>1982</v>
      </c>
      <c r="U388" s="2">
        <f t="shared" si="37"/>
        <v>40</v>
      </c>
      <c r="V388" s="1">
        <v>30103</v>
      </c>
      <c r="W388" t="s">
        <v>4147</v>
      </c>
      <c r="X388" s="3">
        <v>2.5710000000000002</v>
      </c>
      <c r="Y388" s="4">
        <f>(X388-'[1]1982'!$Z$4)/('[1]1982'!$Z$3-'[1]1982'!$Z$4)</f>
        <v>6.8631376631696966E-2</v>
      </c>
      <c r="AA388">
        <v>189200</v>
      </c>
      <c r="AB388">
        <v>17278</v>
      </c>
      <c r="AC388" t="s">
        <v>4148</v>
      </c>
      <c r="AD388" t="s">
        <v>15</v>
      </c>
      <c r="AE388">
        <v>17</v>
      </c>
      <c r="AF388">
        <v>3</v>
      </c>
      <c r="AH388" t="s">
        <v>4149</v>
      </c>
      <c r="AI388" t="s">
        <v>4150</v>
      </c>
      <c r="AK388" t="s">
        <v>4151</v>
      </c>
      <c r="AL388">
        <v>0</v>
      </c>
      <c r="AM388" s="5">
        <f t="shared" si="38"/>
        <v>0</v>
      </c>
      <c r="AN388" s="6">
        <f>(AM388-'[1]1982'!$AO$4)/('[1]1982'!$AO$3-'[1]1982'!$AO$4)</f>
        <v>0</v>
      </c>
      <c r="AO388" s="7"/>
      <c r="AP388">
        <v>0</v>
      </c>
      <c r="AR388" t="s">
        <v>19</v>
      </c>
      <c r="AT388" s="3">
        <v>5.0129999999999999</v>
      </c>
      <c r="AU388" s="8">
        <f t="shared" si="39"/>
        <v>4.8041963642187868</v>
      </c>
      <c r="AV388" s="8">
        <f t="shared" si="40"/>
        <v>3.4315688315848485</v>
      </c>
      <c r="AW388" s="8">
        <f t="shared" si="41"/>
        <v>2.0589412989509093</v>
      </c>
    </row>
    <row r="389" spans="1:49" x14ac:dyDescent="0.2">
      <c r="A389">
        <v>387</v>
      </c>
      <c r="B389" t="s">
        <v>4152</v>
      </c>
      <c r="C389" t="s">
        <v>4153</v>
      </c>
      <c r="F389" t="s">
        <v>4154</v>
      </c>
      <c r="G389" t="s">
        <v>4</v>
      </c>
      <c r="H389" t="s">
        <v>5</v>
      </c>
      <c r="I389" t="s">
        <v>4155</v>
      </c>
      <c r="J389">
        <v>60022195</v>
      </c>
      <c r="K389" t="s">
        <v>3664</v>
      </c>
      <c r="L389" t="s">
        <v>3002</v>
      </c>
      <c r="M389" t="s">
        <v>9</v>
      </c>
      <c r="N389">
        <v>2</v>
      </c>
      <c r="O389" t="s">
        <v>4156</v>
      </c>
      <c r="P389" t="s">
        <v>4157</v>
      </c>
      <c r="Q389" t="s">
        <v>4158</v>
      </c>
      <c r="R389" s="1">
        <v>29952</v>
      </c>
      <c r="S389" s="2">
        <f t="shared" si="36"/>
        <v>1982</v>
      </c>
      <c r="T389" s="2">
        <v>1982</v>
      </c>
      <c r="U389" s="2">
        <f t="shared" si="37"/>
        <v>40</v>
      </c>
      <c r="V389" s="1">
        <v>30103</v>
      </c>
      <c r="W389" t="s">
        <v>4159</v>
      </c>
      <c r="X389" s="3">
        <v>3.4359999999999999</v>
      </c>
      <c r="Y389" s="4">
        <f>(X389-'[1]1982'!$Z$4)/('[1]1982'!$Z$3-'[1]1982'!$Z$4)</f>
        <v>9.1722057606577506E-2</v>
      </c>
      <c r="AA389">
        <v>189286</v>
      </c>
      <c r="AB389">
        <v>17339</v>
      </c>
      <c r="AC389">
        <v>15582523</v>
      </c>
      <c r="AD389" t="s">
        <v>15</v>
      </c>
      <c r="AE389">
        <v>27</v>
      </c>
      <c r="AF389">
        <v>3</v>
      </c>
      <c r="AH389" t="s">
        <v>4160</v>
      </c>
      <c r="AI389" t="s">
        <v>4161</v>
      </c>
      <c r="AK389" t="s">
        <v>4162</v>
      </c>
      <c r="AL389">
        <v>21</v>
      </c>
      <c r="AM389" s="5">
        <f t="shared" si="38"/>
        <v>0.52500000000000002</v>
      </c>
      <c r="AN389" s="6">
        <f>(AM389-'[1]1982'!$AO$4)/('[1]1982'!$AO$3-'[1]1982'!$AO$4)</f>
        <v>7.9515335100340781E-4</v>
      </c>
      <c r="AO389" s="7"/>
      <c r="AP389">
        <v>0</v>
      </c>
      <c r="AR389" t="s">
        <v>19</v>
      </c>
      <c r="AT389" s="3" t="s">
        <v>20</v>
      </c>
      <c r="AU389" s="8">
        <f t="shared" si="39"/>
        <v>6.4443986329905263</v>
      </c>
      <c r="AV389" s="8">
        <f t="shared" si="40"/>
        <v>4.6258605478790464</v>
      </c>
      <c r="AW389" s="8">
        <f t="shared" si="41"/>
        <v>2.8073224627675635</v>
      </c>
    </row>
    <row r="390" spans="1:49" x14ac:dyDescent="0.2">
      <c r="A390">
        <v>388</v>
      </c>
      <c r="B390" t="s">
        <v>4163</v>
      </c>
      <c r="F390" t="s">
        <v>4164</v>
      </c>
      <c r="G390" t="s">
        <v>4</v>
      </c>
      <c r="H390" t="s">
        <v>5</v>
      </c>
      <c r="I390" t="s">
        <v>4165</v>
      </c>
      <c r="N390">
        <v>3</v>
      </c>
      <c r="O390" t="s">
        <v>4166</v>
      </c>
      <c r="P390" t="s">
        <v>4167</v>
      </c>
      <c r="Q390" t="s">
        <v>145</v>
      </c>
      <c r="R390" s="1">
        <v>29952</v>
      </c>
      <c r="S390" s="2">
        <f t="shared" si="36"/>
        <v>1982</v>
      </c>
      <c r="T390" s="2">
        <v>1982</v>
      </c>
      <c r="U390" s="2">
        <f t="shared" si="37"/>
        <v>40</v>
      </c>
      <c r="V390" s="1" t="s">
        <v>4168</v>
      </c>
      <c r="W390" t="s">
        <v>1643</v>
      </c>
      <c r="X390" s="3" t="s">
        <v>20</v>
      </c>
      <c r="Y390" s="4" t="e">
        <f>(X390-'[1]1982'!$Z$4)/('[1]1982'!$Z$3-'[1]1982'!$Z$4)</f>
        <v>#VALUE!</v>
      </c>
      <c r="AA390">
        <v>337889</v>
      </c>
      <c r="AB390">
        <v>40920</v>
      </c>
      <c r="AD390" t="s">
        <v>15</v>
      </c>
      <c r="AE390">
        <v>27</v>
      </c>
      <c r="AF390">
        <v>6</v>
      </c>
      <c r="AH390" t="s">
        <v>4169</v>
      </c>
      <c r="AI390" t="s">
        <v>4170</v>
      </c>
      <c r="AK390" t="s">
        <v>4171</v>
      </c>
      <c r="AL390">
        <v>0</v>
      </c>
      <c r="AM390" s="5">
        <f t="shared" si="38"/>
        <v>0</v>
      </c>
      <c r="AN390" s="6">
        <f>(AM390-'[1]1982'!$AO$4)/('[1]1982'!$AO$3-'[1]1982'!$AO$4)</f>
        <v>0</v>
      </c>
      <c r="AO390" s="7"/>
      <c r="AP390">
        <v>0</v>
      </c>
      <c r="AR390" t="s">
        <v>19</v>
      </c>
      <c r="AT390" s="3" t="s">
        <v>20</v>
      </c>
      <c r="AU390" s="8" t="e">
        <f t="shared" si="39"/>
        <v>#VALUE!</v>
      </c>
      <c r="AV390" s="8" t="e">
        <f t="shared" si="40"/>
        <v>#VALUE!</v>
      </c>
      <c r="AW390" s="8" t="e">
        <f t="shared" si="41"/>
        <v>#VALUE!</v>
      </c>
    </row>
    <row r="391" spans="1:49" x14ac:dyDescent="0.2">
      <c r="A391">
        <v>389</v>
      </c>
      <c r="B391" t="s">
        <v>4172</v>
      </c>
      <c r="C391" t="s">
        <v>4173</v>
      </c>
      <c r="F391" t="s">
        <v>4174</v>
      </c>
      <c r="G391" t="s">
        <v>4</v>
      </c>
      <c r="H391" t="s">
        <v>5</v>
      </c>
      <c r="I391" t="s">
        <v>4175</v>
      </c>
      <c r="J391">
        <v>60027272</v>
      </c>
      <c r="K391" t="s">
        <v>4176</v>
      </c>
      <c r="L391" t="s">
        <v>4177</v>
      </c>
      <c r="M391" t="s">
        <v>94</v>
      </c>
      <c r="N391">
        <v>2</v>
      </c>
      <c r="O391" t="s">
        <v>4178</v>
      </c>
      <c r="P391" t="s">
        <v>4179</v>
      </c>
      <c r="Q391" t="s">
        <v>4180</v>
      </c>
      <c r="R391" s="1">
        <v>29952</v>
      </c>
      <c r="S391" s="2">
        <f t="shared" si="36"/>
        <v>1982</v>
      </c>
      <c r="T391" s="2">
        <v>1982</v>
      </c>
      <c r="U391" s="2">
        <f t="shared" si="37"/>
        <v>40</v>
      </c>
      <c r="V391" s="1">
        <v>30103</v>
      </c>
      <c r="W391" s="11" t="s">
        <v>822</v>
      </c>
      <c r="X391" s="3">
        <v>2.383</v>
      </c>
      <c r="Y391" s="4">
        <f>(X391-'[1]1982'!$Z$4)/('[1]1982'!$Z$3-'[1]1982'!$Z$4)</f>
        <v>6.3612824003630442E-2</v>
      </c>
      <c r="AA391">
        <v>1437070</v>
      </c>
      <c r="AB391">
        <v>39742</v>
      </c>
      <c r="AD391" t="s">
        <v>15</v>
      </c>
      <c r="AE391">
        <v>129</v>
      </c>
      <c r="AF391">
        <v>3</v>
      </c>
      <c r="AH391" t="s">
        <v>4181</v>
      </c>
      <c r="AI391" t="s">
        <v>4182</v>
      </c>
      <c r="AJ391" t="s">
        <v>4183</v>
      </c>
      <c r="AK391" t="s">
        <v>4184</v>
      </c>
      <c r="AL391">
        <v>27</v>
      </c>
      <c r="AM391" s="5">
        <f t="shared" si="38"/>
        <v>0.67500000000000004</v>
      </c>
      <c r="AN391" s="6">
        <f>(AM391-'[1]1982'!$AO$4)/('[1]1982'!$AO$3-'[1]1982'!$AO$4)</f>
        <v>1.0223400227186673E-3</v>
      </c>
      <c r="AO391" s="7"/>
      <c r="AP391">
        <v>0</v>
      </c>
      <c r="AR391" t="s">
        <v>19</v>
      </c>
      <c r="AT391" s="3" t="s">
        <v>20</v>
      </c>
      <c r="AU391" s="8">
        <f t="shared" si="39"/>
        <v>4.4835678809356914</v>
      </c>
      <c r="AV391" s="8">
        <f t="shared" si="40"/>
        <v>3.2317582013174557</v>
      </c>
      <c r="AW391" s="8">
        <f t="shared" si="41"/>
        <v>1.9799485216992201</v>
      </c>
    </row>
    <row r="392" spans="1:49" x14ac:dyDescent="0.2">
      <c r="A392">
        <v>390</v>
      </c>
      <c r="B392" t="s">
        <v>4185</v>
      </c>
      <c r="F392" t="s">
        <v>4186</v>
      </c>
      <c r="G392" t="s">
        <v>4</v>
      </c>
      <c r="H392" t="s">
        <v>5</v>
      </c>
      <c r="I392" t="s">
        <v>4187</v>
      </c>
      <c r="N392">
        <v>1</v>
      </c>
      <c r="O392" t="s">
        <v>4188</v>
      </c>
      <c r="P392">
        <v>6602194490</v>
      </c>
      <c r="R392" s="1">
        <v>29952</v>
      </c>
      <c r="S392" s="2">
        <f t="shared" si="36"/>
        <v>1982</v>
      </c>
      <c r="T392" s="2">
        <v>1982</v>
      </c>
      <c r="U392" s="2">
        <f t="shared" si="37"/>
        <v>40</v>
      </c>
      <c r="V392" s="1" t="s">
        <v>4168</v>
      </c>
      <c r="W392" t="s">
        <v>2185</v>
      </c>
      <c r="X392" s="3">
        <v>0.14099999999999999</v>
      </c>
      <c r="Y392" s="4">
        <f>(X392-'[1]1982'!$Z$4)/('[1]1982'!$Z$3-'[1]1982'!$Z$4)</f>
        <v>3.7639144710498915E-3</v>
      </c>
      <c r="AA392">
        <v>402508</v>
      </c>
      <c r="AB392">
        <v>20868</v>
      </c>
      <c r="AD392" t="s">
        <v>15</v>
      </c>
      <c r="AE392" t="s">
        <v>2186</v>
      </c>
      <c r="AF392">
        <v>6</v>
      </c>
      <c r="AH392" t="s">
        <v>4189</v>
      </c>
      <c r="AI392" t="s">
        <v>4190</v>
      </c>
      <c r="AK392" t="s">
        <v>4191</v>
      </c>
      <c r="AL392">
        <v>0</v>
      </c>
      <c r="AM392" s="5">
        <f t="shared" si="38"/>
        <v>0</v>
      </c>
      <c r="AN392" s="6">
        <f>(AM392-'[1]1982'!$AO$4)/('[1]1982'!$AO$3-'[1]1982'!$AO$4)</f>
        <v>0</v>
      </c>
      <c r="AO392" s="7"/>
      <c r="AP392">
        <v>0</v>
      </c>
      <c r="AR392" t="s">
        <v>19</v>
      </c>
      <c r="AT392" s="3" t="s">
        <v>20</v>
      </c>
      <c r="AU392" s="8">
        <f t="shared" si="39"/>
        <v>0.26347401297349238</v>
      </c>
      <c r="AV392" s="8">
        <f t="shared" si="40"/>
        <v>0.18819572355249459</v>
      </c>
      <c r="AW392" s="8">
        <f t="shared" si="41"/>
        <v>0.11291743413149673</v>
      </c>
    </row>
    <row r="393" spans="1:49" x14ac:dyDescent="0.2">
      <c r="A393">
        <v>391</v>
      </c>
      <c r="B393" t="s">
        <v>4192</v>
      </c>
      <c r="F393" t="s">
        <v>4193</v>
      </c>
      <c r="G393" t="s">
        <v>4</v>
      </c>
      <c r="H393" t="s">
        <v>5</v>
      </c>
      <c r="I393" t="s">
        <v>4194</v>
      </c>
      <c r="N393">
        <v>2</v>
      </c>
      <c r="O393" t="s">
        <v>4195</v>
      </c>
      <c r="P393" t="s">
        <v>4196</v>
      </c>
      <c r="Q393" t="s">
        <v>156</v>
      </c>
      <c r="R393" s="1">
        <v>29952</v>
      </c>
      <c r="S393" s="2">
        <f t="shared" si="36"/>
        <v>1982</v>
      </c>
      <c r="T393" s="2">
        <v>1982</v>
      </c>
      <c r="U393" s="2">
        <f t="shared" si="37"/>
        <v>40</v>
      </c>
      <c r="V393" s="1" t="s">
        <v>4168</v>
      </c>
      <c r="W393" t="s">
        <v>2185</v>
      </c>
      <c r="X393" s="3">
        <v>0.14099999999999999</v>
      </c>
      <c r="Y393" s="4">
        <f>(X393-'[1]1982'!$Z$4)/('[1]1982'!$Z$3-'[1]1982'!$Z$4)</f>
        <v>3.7639144710498915E-3</v>
      </c>
      <c r="AA393">
        <v>402508</v>
      </c>
      <c r="AB393">
        <v>20868</v>
      </c>
      <c r="AD393" t="s">
        <v>15</v>
      </c>
      <c r="AE393" t="s">
        <v>2186</v>
      </c>
      <c r="AF393">
        <v>6</v>
      </c>
      <c r="AH393" t="s">
        <v>4197</v>
      </c>
      <c r="AI393" t="s">
        <v>4198</v>
      </c>
      <c r="AK393" t="s">
        <v>4199</v>
      </c>
      <c r="AL393">
        <v>0</v>
      </c>
      <c r="AM393" s="5">
        <f t="shared" si="38"/>
        <v>0</v>
      </c>
      <c r="AN393" s="6">
        <f>(AM393-'[1]1982'!$AO$4)/('[1]1982'!$AO$3-'[1]1982'!$AO$4)</f>
        <v>0</v>
      </c>
      <c r="AO393" s="7"/>
      <c r="AP393">
        <v>0</v>
      </c>
      <c r="AR393" t="s">
        <v>19</v>
      </c>
      <c r="AT393" s="3" t="s">
        <v>20</v>
      </c>
      <c r="AU393" s="8">
        <f t="shared" si="39"/>
        <v>0.26347401297349238</v>
      </c>
      <c r="AV393" s="8">
        <f t="shared" si="40"/>
        <v>0.18819572355249459</v>
      </c>
      <c r="AW393" s="8">
        <f t="shared" si="41"/>
        <v>0.11291743413149673</v>
      </c>
    </row>
    <row r="394" spans="1:49" x14ac:dyDescent="0.2">
      <c r="A394">
        <v>392</v>
      </c>
      <c r="B394" t="s">
        <v>4200</v>
      </c>
      <c r="F394" t="s">
        <v>4201</v>
      </c>
      <c r="G394" t="s">
        <v>4</v>
      </c>
      <c r="H394" t="s">
        <v>5</v>
      </c>
      <c r="I394" t="s">
        <v>4202</v>
      </c>
      <c r="N394">
        <v>2</v>
      </c>
      <c r="O394" t="s">
        <v>4203</v>
      </c>
      <c r="P394" t="s">
        <v>4204</v>
      </c>
      <c r="Q394" t="s">
        <v>156</v>
      </c>
      <c r="R394" s="1">
        <v>29952</v>
      </c>
      <c r="S394" s="2">
        <f t="shared" si="36"/>
        <v>1982</v>
      </c>
      <c r="T394" s="2">
        <v>1982</v>
      </c>
      <c r="U394" s="2">
        <f t="shared" si="37"/>
        <v>40</v>
      </c>
      <c r="V394" s="1" t="s">
        <v>4168</v>
      </c>
      <c r="W394" t="s">
        <v>2185</v>
      </c>
      <c r="X394" s="3">
        <v>0.14099999999999999</v>
      </c>
      <c r="Y394" s="4">
        <f>(X394-'[1]1982'!$Z$4)/('[1]1982'!$Z$3-'[1]1982'!$Z$4)</f>
        <v>3.7639144710498915E-3</v>
      </c>
      <c r="AA394">
        <v>402508</v>
      </c>
      <c r="AB394">
        <v>20868</v>
      </c>
      <c r="AD394" t="s">
        <v>15</v>
      </c>
      <c r="AE394" t="s">
        <v>2186</v>
      </c>
      <c r="AF394">
        <v>6</v>
      </c>
      <c r="AH394" t="s">
        <v>4205</v>
      </c>
      <c r="AI394" t="s">
        <v>4206</v>
      </c>
      <c r="AK394" t="s">
        <v>4207</v>
      </c>
      <c r="AL394">
        <v>0</v>
      </c>
      <c r="AM394" s="5">
        <f t="shared" si="38"/>
        <v>0</v>
      </c>
      <c r="AN394" s="6">
        <f>(AM394-'[1]1982'!$AO$4)/('[1]1982'!$AO$3-'[1]1982'!$AO$4)</f>
        <v>0</v>
      </c>
      <c r="AO394" s="7"/>
      <c r="AP394">
        <v>0</v>
      </c>
      <c r="AR394" t="s">
        <v>19</v>
      </c>
      <c r="AT394" s="3" t="s">
        <v>20</v>
      </c>
      <c r="AU394" s="8">
        <f t="shared" si="39"/>
        <v>0.26347401297349238</v>
      </c>
      <c r="AV394" s="8">
        <f t="shared" si="40"/>
        <v>0.18819572355249459</v>
      </c>
      <c r="AW394" s="8">
        <f t="shared" si="41"/>
        <v>0.11291743413149673</v>
      </c>
    </row>
    <row r="395" spans="1:49" x14ac:dyDescent="0.2">
      <c r="A395">
        <v>393</v>
      </c>
      <c r="B395" t="s">
        <v>4208</v>
      </c>
      <c r="C395" t="s">
        <v>4209</v>
      </c>
      <c r="F395" t="s">
        <v>4210</v>
      </c>
      <c r="G395" t="s">
        <v>4</v>
      </c>
      <c r="H395" t="s">
        <v>5</v>
      </c>
      <c r="I395" t="s">
        <v>4211</v>
      </c>
      <c r="J395" t="s">
        <v>4212</v>
      </c>
      <c r="K395" t="s">
        <v>4213</v>
      </c>
      <c r="L395" t="s">
        <v>4214</v>
      </c>
      <c r="M395" t="s">
        <v>1162</v>
      </c>
      <c r="N395">
        <v>2</v>
      </c>
      <c r="O395" t="s">
        <v>4215</v>
      </c>
      <c r="P395" t="s">
        <v>4216</v>
      </c>
      <c r="Q395" t="s">
        <v>4217</v>
      </c>
      <c r="R395" s="1">
        <v>29952</v>
      </c>
      <c r="S395" s="2">
        <f t="shared" si="36"/>
        <v>1982</v>
      </c>
      <c r="T395" s="2">
        <v>1982</v>
      </c>
      <c r="U395" s="2">
        <f t="shared" si="37"/>
        <v>40</v>
      </c>
      <c r="V395" s="1">
        <v>30103</v>
      </c>
      <c r="W395" t="s">
        <v>2069</v>
      </c>
      <c r="X395" s="3">
        <v>0.78200000000000003</v>
      </c>
      <c r="Y395" s="4">
        <f>(X395-'[1]1982'!$Z$4)/('[1]1982'!$Z$3-'[1]1982'!$Z$4)</f>
        <v>2.0875043378446919E-2</v>
      </c>
      <c r="AA395">
        <v>189316</v>
      </c>
      <c r="AB395">
        <v>19901</v>
      </c>
      <c r="AC395">
        <v>15579611</v>
      </c>
      <c r="AD395" t="s">
        <v>15</v>
      </c>
      <c r="AE395" t="s">
        <v>2070</v>
      </c>
      <c r="AF395">
        <v>2</v>
      </c>
      <c r="AH395" t="s">
        <v>4218</v>
      </c>
      <c r="AI395" t="s">
        <v>4219</v>
      </c>
      <c r="AK395" t="s">
        <v>4220</v>
      </c>
      <c r="AL395">
        <v>0</v>
      </c>
      <c r="AM395" s="5">
        <f t="shared" si="38"/>
        <v>0</v>
      </c>
      <c r="AN395" s="6">
        <f>(AM395-'[1]1982'!$AO$4)/('[1]1982'!$AO$3-'[1]1982'!$AO$4)</f>
        <v>0</v>
      </c>
      <c r="AO395" s="7"/>
      <c r="AP395">
        <v>0</v>
      </c>
      <c r="AR395" t="s">
        <v>19</v>
      </c>
      <c r="AT395" s="3">
        <v>3.863</v>
      </c>
      <c r="AU395" s="8">
        <f t="shared" si="39"/>
        <v>1.4612530364912841</v>
      </c>
      <c r="AV395" s="8">
        <f t="shared" si="40"/>
        <v>1.0437521689223459</v>
      </c>
      <c r="AW395" s="8">
        <f t="shared" si="41"/>
        <v>0.62625130135340756</v>
      </c>
    </row>
    <row r="396" spans="1:49" x14ac:dyDescent="0.2">
      <c r="A396">
        <v>394</v>
      </c>
      <c r="B396" t="s">
        <v>4221</v>
      </c>
      <c r="F396" t="s">
        <v>4222</v>
      </c>
      <c r="G396" t="s">
        <v>4</v>
      </c>
      <c r="H396" t="s">
        <v>5</v>
      </c>
      <c r="I396" t="s">
        <v>4223</v>
      </c>
      <c r="N396">
        <v>2</v>
      </c>
      <c r="O396" t="s">
        <v>4224</v>
      </c>
      <c r="P396" t="s">
        <v>4225</v>
      </c>
      <c r="Q396" t="s">
        <v>156</v>
      </c>
      <c r="R396" s="1">
        <v>29952</v>
      </c>
      <c r="S396" s="2">
        <f t="shared" si="36"/>
        <v>1982</v>
      </c>
      <c r="T396" s="2">
        <v>1982</v>
      </c>
      <c r="U396" s="2">
        <f t="shared" si="37"/>
        <v>40</v>
      </c>
      <c r="V396" s="1" t="s">
        <v>4168</v>
      </c>
      <c r="W396" t="s">
        <v>2185</v>
      </c>
      <c r="X396" s="3">
        <v>0.14099999999999999</v>
      </c>
      <c r="Y396" s="4">
        <f>(X396-'[1]1982'!$Z$4)/('[1]1982'!$Z$3-'[1]1982'!$Z$4)</f>
        <v>3.7639144710498915E-3</v>
      </c>
      <c r="AA396">
        <v>402508</v>
      </c>
      <c r="AB396">
        <v>20868</v>
      </c>
      <c r="AD396" t="s">
        <v>15</v>
      </c>
      <c r="AE396" t="s">
        <v>2186</v>
      </c>
      <c r="AF396">
        <v>6</v>
      </c>
      <c r="AH396" t="s">
        <v>4226</v>
      </c>
      <c r="AI396" t="s">
        <v>4227</v>
      </c>
      <c r="AK396" t="s">
        <v>4228</v>
      </c>
      <c r="AL396">
        <v>0</v>
      </c>
      <c r="AM396" s="5">
        <f t="shared" si="38"/>
        <v>0</v>
      </c>
      <c r="AN396" s="6">
        <f>(AM396-'[1]1982'!$AO$4)/('[1]1982'!$AO$3-'[1]1982'!$AO$4)</f>
        <v>0</v>
      </c>
      <c r="AO396" s="7"/>
      <c r="AP396">
        <v>0</v>
      </c>
      <c r="AR396" t="s">
        <v>19</v>
      </c>
      <c r="AT396" s="3" t="s">
        <v>20</v>
      </c>
      <c r="AU396" s="8">
        <f t="shared" si="39"/>
        <v>0.26347401297349238</v>
      </c>
      <c r="AV396" s="8">
        <f t="shared" si="40"/>
        <v>0.18819572355249459</v>
      </c>
      <c r="AW396" s="8">
        <f t="shared" si="41"/>
        <v>0.11291743413149673</v>
      </c>
    </row>
    <row r="397" spans="1:49" x14ac:dyDescent="0.2">
      <c r="A397">
        <v>395</v>
      </c>
      <c r="B397" t="s">
        <v>4229</v>
      </c>
      <c r="F397" t="s">
        <v>4230</v>
      </c>
      <c r="G397" t="s">
        <v>4</v>
      </c>
      <c r="H397" t="s">
        <v>5</v>
      </c>
      <c r="I397" t="s">
        <v>4231</v>
      </c>
      <c r="N397">
        <v>2</v>
      </c>
      <c r="O397" t="s">
        <v>4232</v>
      </c>
      <c r="P397" t="s">
        <v>4233</v>
      </c>
      <c r="Q397" t="s">
        <v>156</v>
      </c>
      <c r="R397" s="1">
        <v>29952</v>
      </c>
      <c r="S397" s="2">
        <f t="shared" si="36"/>
        <v>1982</v>
      </c>
      <c r="T397" s="2">
        <v>1982</v>
      </c>
      <c r="U397" s="2">
        <f t="shared" si="37"/>
        <v>40</v>
      </c>
      <c r="V397" s="1" t="s">
        <v>4168</v>
      </c>
      <c r="W397" t="s">
        <v>1643</v>
      </c>
      <c r="X397" s="3" t="s">
        <v>20</v>
      </c>
      <c r="Y397" s="4" t="e">
        <f>(X397-'[1]1982'!$Z$4)/('[1]1982'!$Z$3-'[1]1982'!$Z$4)</f>
        <v>#VALUE!</v>
      </c>
      <c r="AA397">
        <v>337889</v>
      </c>
      <c r="AB397">
        <v>40920</v>
      </c>
      <c r="AD397" t="s">
        <v>15</v>
      </c>
      <c r="AE397">
        <v>27</v>
      </c>
      <c r="AF397">
        <v>6</v>
      </c>
      <c r="AH397" t="s">
        <v>4234</v>
      </c>
      <c r="AI397" t="s">
        <v>4235</v>
      </c>
      <c r="AK397" t="s">
        <v>4236</v>
      </c>
      <c r="AL397">
        <v>0</v>
      </c>
      <c r="AM397" s="5">
        <f t="shared" si="38"/>
        <v>0</v>
      </c>
      <c r="AN397" s="6">
        <f>(AM397-'[1]1982'!$AO$4)/('[1]1982'!$AO$3-'[1]1982'!$AO$4)</f>
        <v>0</v>
      </c>
      <c r="AO397" s="7"/>
      <c r="AP397">
        <v>0</v>
      </c>
      <c r="AR397" t="s">
        <v>19</v>
      </c>
      <c r="AT397" s="3" t="s">
        <v>20</v>
      </c>
      <c r="AU397" s="8" t="e">
        <f t="shared" si="39"/>
        <v>#VALUE!</v>
      </c>
      <c r="AV397" s="8" t="e">
        <f t="shared" si="40"/>
        <v>#VALUE!</v>
      </c>
      <c r="AW397" s="8" t="e">
        <f t="shared" si="41"/>
        <v>#VALUE!</v>
      </c>
    </row>
    <row r="398" spans="1:49" x14ac:dyDescent="0.2">
      <c r="A398">
        <v>396</v>
      </c>
      <c r="B398" t="s">
        <v>4237</v>
      </c>
      <c r="C398" t="s">
        <v>4238</v>
      </c>
      <c r="F398" t="s">
        <v>4239</v>
      </c>
      <c r="G398" t="s">
        <v>4</v>
      </c>
      <c r="H398" t="s">
        <v>5</v>
      </c>
      <c r="I398" t="s">
        <v>4240</v>
      </c>
      <c r="J398">
        <v>60028673</v>
      </c>
      <c r="K398" t="s">
        <v>4241</v>
      </c>
      <c r="L398" t="s">
        <v>4242</v>
      </c>
      <c r="M398" t="s">
        <v>65</v>
      </c>
      <c r="N398">
        <v>2</v>
      </c>
      <c r="O398" t="s">
        <v>4243</v>
      </c>
      <c r="P398" t="s">
        <v>4244</v>
      </c>
      <c r="Q398" t="s">
        <v>4245</v>
      </c>
      <c r="R398" s="1">
        <v>29952</v>
      </c>
      <c r="S398" s="2">
        <f t="shared" si="36"/>
        <v>1982</v>
      </c>
      <c r="T398" s="2">
        <v>1982</v>
      </c>
      <c r="U398" s="2">
        <f t="shared" si="37"/>
        <v>40</v>
      </c>
      <c r="V398" s="1">
        <v>30103</v>
      </c>
      <c r="W398" s="11" t="s">
        <v>822</v>
      </c>
      <c r="X398" s="3">
        <v>2.383</v>
      </c>
      <c r="Y398" s="4">
        <f>(X398-'[1]1982'!$Z$4)/('[1]1982'!$Z$3-'[1]1982'!$Z$4)</f>
        <v>6.3612824003630442E-2</v>
      </c>
      <c r="AA398">
        <v>1437070</v>
      </c>
      <c r="AB398">
        <v>39742</v>
      </c>
      <c r="AD398" t="s">
        <v>15</v>
      </c>
      <c r="AE398">
        <v>129</v>
      </c>
      <c r="AF398">
        <v>3</v>
      </c>
      <c r="AH398" t="s">
        <v>4246</v>
      </c>
      <c r="AI398" t="s">
        <v>4247</v>
      </c>
      <c r="AJ398" t="s">
        <v>4248</v>
      </c>
      <c r="AK398" t="s">
        <v>4249</v>
      </c>
      <c r="AL398">
        <v>4</v>
      </c>
      <c r="AM398" s="5">
        <f t="shared" si="38"/>
        <v>0.1</v>
      </c>
      <c r="AN398" s="6">
        <f>(AM398-'[1]1982'!$AO$4)/('[1]1982'!$AO$3-'[1]1982'!$AO$4)</f>
        <v>1.5145778114350627E-4</v>
      </c>
      <c r="AO398" s="7"/>
      <c r="AP398">
        <v>0</v>
      </c>
      <c r="AR398" t="s">
        <v>19</v>
      </c>
      <c r="AT398" s="3" t="s">
        <v>20</v>
      </c>
      <c r="AU398" s="8">
        <f t="shared" si="39"/>
        <v>4.4574414136884357</v>
      </c>
      <c r="AV398" s="8">
        <f t="shared" si="40"/>
        <v>3.1882140892386972</v>
      </c>
      <c r="AW398" s="8">
        <f t="shared" si="41"/>
        <v>1.9189867647889589</v>
      </c>
    </row>
    <row r="399" spans="1:49" x14ac:dyDescent="0.2">
      <c r="A399">
        <v>397</v>
      </c>
      <c r="B399" t="s">
        <v>4250</v>
      </c>
      <c r="C399" t="s">
        <v>4251</v>
      </c>
      <c r="F399" t="s">
        <v>4252</v>
      </c>
      <c r="G399" t="s">
        <v>4</v>
      </c>
      <c r="H399" t="s">
        <v>5</v>
      </c>
      <c r="I399" t="s">
        <v>4253</v>
      </c>
      <c r="J399">
        <v>60005304</v>
      </c>
      <c r="K399" t="s">
        <v>1138</v>
      </c>
      <c r="L399" t="s">
        <v>1139</v>
      </c>
      <c r="M399" t="s">
        <v>9</v>
      </c>
      <c r="N399">
        <v>3</v>
      </c>
      <c r="O399" t="s">
        <v>4254</v>
      </c>
      <c r="P399" t="s">
        <v>4255</v>
      </c>
      <c r="Q399" t="s">
        <v>4256</v>
      </c>
      <c r="R399" s="1">
        <v>29952</v>
      </c>
      <c r="S399" s="2">
        <f t="shared" si="36"/>
        <v>1982</v>
      </c>
      <c r="T399" s="2">
        <v>1982</v>
      </c>
      <c r="U399" s="2">
        <f t="shared" si="37"/>
        <v>40</v>
      </c>
      <c r="V399" s="1">
        <v>30072</v>
      </c>
      <c r="W399" t="s">
        <v>1117</v>
      </c>
      <c r="X399" s="3">
        <v>1.6519999999999999</v>
      </c>
      <c r="Y399" s="4">
        <f>(X399-'[1]1982'!$Z$4)/('[1]1982'!$Z$3-'[1]1982'!$Z$4)</f>
        <v>4.409919649769093E-2</v>
      </c>
      <c r="AA399" t="s">
        <v>1118</v>
      </c>
      <c r="AB399">
        <v>17337</v>
      </c>
      <c r="AC399">
        <v>15582221</v>
      </c>
      <c r="AD399" t="s">
        <v>15</v>
      </c>
      <c r="AE399">
        <v>30</v>
      </c>
      <c r="AF399">
        <v>3</v>
      </c>
      <c r="AH399" t="s">
        <v>4257</v>
      </c>
      <c r="AI399" t="s">
        <v>4258</v>
      </c>
      <c r="AK399" t="s">
        <v>4259</v>
      </c>
      <c r="AL399">
        <v>2</v>
      </c>
      <c r="AM399" s="5">
        <f t="shared" si="38"/>
        <v>0.05</v>
      </c>
      <c r="AN399" s="6">
        <f>(AM399-'[1]1982'!$AO$4)/('[1]1982'!$AO$3-'[1]1982'!$AO$4)</f>
        <v>7.5728890571753133E-5</v>
      </c>
      <c r="AO399" s="7"/>
      <c r="AP399">
        <v>0</v>
      </c>
      <c r="AR399" t="s">
        <v>19</v>
      </c>
      <c r="AT399" s="3" t="s">
        <v>20</v>
      </c>
      <c r="AU399" s="8">
        <f t="shared" si="39"/>
        <v>3.0892156215555175</v>
      </c>
      <c r="AV399" s="8">
        <f t="shared" si="40"/>
        <v>2.2087462694131341</v>
      </c>
      <c r="AW399" s="8">
        <f t="shared" si="41"/>
        <v>1.3282769172707507</v>
      </c>
    </row>
    <row r="400" spans="1:49" x14ac:dyDescent="0.2">
      <c r="A400">
        <v>398</v>
      </c>
      <c r="B400" t="s">
        <v>4260</v>
      </c>
      <c r="C400" t="s">
        <v>4261</v>
      </c>
      <c r="F400" t="s">
        <v>4262</v>
      </c>
      <c r="G400" t="s">
        <v>4</v>
      </c>
      <c r="H400" t="s">
        <v>5</v>
      </c>
      <c r="I400" t="s">
        <v>4263</v>
      </c>
      <c r="J400" t="s">
        <v>4264</v>
      </c>
      <c r="K400" t="s">
        <v>4265</v>
      </c>
      <c r="L400" t="s">
        <v>4266</v>
      </c>
      <c r="M400" t="s">
        <v>4267</v>
      </c>
      <c r="N400">
        <v>4</v>
      </c>
      <c r="O400" t="s">
        <v>4268</v>
      </c>
      <c r="P400" t="s">
        <v>4269</v>
      </c>
      <c r="Q400" t="s">
        <v>4270</v>
      </c>
      <c r="R400" s="1">
        <v>29952</v>
      </c>
      <c r="S400" s="2">
        <f t="shared" si="36"/>
        <v>1982</v>
      </c>
      <c r="T400" s="2">
        <v>1982</v>
      </c>
      <c r="U400" s="2">
        <f t="shared" si="37"/>
        <v>40</v>
      </c>
      <c r="V400" s="1">
        <v>30072</v>
      </c>
      <c r="W400" t="s">
        <v>1117</v>
      </c>
      <c r="X400" s="3">
        <v>1.6519999999999999</v>
      </c>
      <c r="Y400" s="4">
        <f>(X400-'[1]1982'!$Z$4)/('[1]1982'!$Z$3-'[1]1982'!$Z$4)</f>
        <v>4.409919649769093E-2</v>
      </c>
      <c r="AA400" t="s">
        <v>1118</v>
      </c>
      <c r="AB400">
        <v>17337</v>
      </c>
      <c r="AC400">
        <v>15582221</v>
      </c>
      <c r="AD400" t="s">
        <v>15</v>
      </c>
      <c r="AE400">
        <v>30</v>
      </c>
      <c r="AF400">
        <v>3</v>
      </c>
      <c r="AH400" t="s">
        <v>4271</v>
      </c>
      <c r="AI400" t="s">
        <v>4272</v>
      </c>
      <c r="AK400" t="s">
        <v>4273</v>
      </c>
      <c r="AL400">
        <v>35</v>
      </c>
      <c r="AM400" s="5">
        <f t="shared" si="38"/>
        <v>0.875</v>
      </c>
      <c r="AN400" s="6">
        <f>(AM400-'[1]1982'!$AO$4)/('[1]1982'!$AO$3-'[1]1982'!$AO$4)</f>
        <v>1.3252555850056798E-3</v>
      </c>
      <c r="AO400" s="7"/>
      <c r="AP400">
        <v>0</v>
      </c>
      <c r="AR400" t="s">
        <v>19</v>
      </c>
      <c r="AT400" s="3" t="s">
        <v>20</v>
      </c>
      <c r="AU400" s="8">
        <f t="shared" si="39"/>
        <v>3.1267014223885359</v>
      </c>
      <c r="AV400" s="8">
        <f t="shared" si="40"/>
        <v>2.2712226041348305</v>
      </c>
      <c r="AW400" s="8">
        <f t="shared" si="41"/>
        <v>1.4157437858811253</v>
      </c>
    </row>
    <row r="401" spans="1:49" x14ac:dyDescent="0.2">
      <c r="A401">
        <v>399</v>
      </c>
      <c r="B401" t="s">
        <v>4274</v>
      </c>
      <c r="C401" t="s">
        <v>4275</v>
      </c>
      <c r="F401" t="s">
        <v>4276</v>
      </c>
      <c r="G401" t="s">
        <v>4</v>
      </c>
      <c r="H401" t="s">
        <v>5</v>
      </c>
      <c r="I401" t="s">
        <v>3635</v>
      </c>
      <c r="J401">
        <v>60003500</v>
      </c>
      <c r="K401" t="s">
        <v>2507</v>
      </c>
      <c r="L401" t="s">
        <v>951</v>
      </c>
      <c r="M401" t="s">
        <v>9</v>
      </c>
      <c r="N401">
        <v>1</v>
      </c>
      <c r="O401" t="s">
        <v>3636</v>
      </c>
      <c r="P401">
        <v>35611381200</v>
      </c>
      <c r="Q401">
        <v>60003500</v>
      </c>
      <c r="R401" s="1">
        <v>29952</v>
      </c>
      <c r="S401" s="2">
        <f t="shared" si="36"/>
        <v>1982</v>
      </c>
      <c r="T401" s="2">
        <v>1982</v>
      </c>
      <c r="U401" s="2">
        <f t="shared" si="37"/>
        <v>40</v>
      </c>
      <c r="V401" s="1">
        <v>30072</v>
      </c>
      <c r="W401" t="s">
        <v>2417</v>
      </c>
      <c r="X401" s="3">
        <v>1.137</v>
      </c>
      <c r="Y401" s="4">
        <f>(X401-'[1]1982'!$Z$4)/('[1]1982'!$Z$3-'[1]1982'!$Z$4)</f>
        <v>3.0351565628253384E-2</v>
      </c>
      <c r="AA401">
        <v>189251</v>
      </c>
      <c r="AB401">
        <v>17336</v>
      </c>
      <c r="AD401" t="s">
        <v>15</v>
      </c>
      <c r="AE401" t="s">
        <v>2418</v>
      </c>
      <c r="AF401">
        <v>3</v>
      </c>
      <c r="AH401" t="s">
        <v>4277</v>
      </c>
      <c r="AI401" t="s">
        <v>4278</v>
      </c>
      <c r="AK401" t="s">
        <v>4279</v>
      </c>
      <c r="AL401">
        <v>11</v>
      </c>
      <c r="AM401" s="5">
        <f t="shared" si="38"/>
        <v>0.27500000000000002</v>
      </c>
      <c r="AN401" s="6">
        <f>(AM401-'[1]1982'!$AO$4)/('[1]1982'!$AO$3-'[1]1982'!$AO$4)</f>
        <v>4.1650889814464221E-4</v>
      </c>
      <c r="AO401" s="7"/>
      <c r="AP401">
        <v>0</v>
      </c>
      <c r="AR401" t="s">
        <v>19</v>
      </c>
      <c r="AT401" s="3" t="s">
        <v>20</v>
      </c>
      <c r="AU401" s="8">
        <f t="shared" si="39"/>
        <v>2.1371048609220762</v>
      </c>
      <c r="AV401" s="8">
        <f t="shared" si="40"/>
        <v>1.5384037263199013</v>
      </c>
      <c r="AW401" s="8">
        <f t="shared" si="41"/>
        <v>0.93970259171772641</v>
      </c>
    </row>
    <row r="402" spans="1:49" x14ac:dyDescent="0.2">
      <c r="A402">
        <v>400</v>
      </c>
      <c r="B402" t="s">
        <v>4280</v>
      </c>
      <c r="C402" t="s">
        <v>4281</v>
      </c>
      <c r="F402" t="s">
        <v>4282</v>
      </c>
      <c r="G402" t="s">
        <v>4</v>
      </c>
      <c r="H402" t="s">
        <v>5</v>
      </c>
      <c r="I402" t="s">
        <v>4283</v>
      </c>
      <c r="J402">
        <v>60021378</v>
      </c>
      <c r="K402" t="s">
        <v>1539</v>
      </c>
      <c r="L402" t="s">
        <v>1540</v>
      </c>
      <c r="M402" t="s">
        <v>9</v>
      </c>
      <c r="N402">
        <v>3</v>
      </c>
      <c r="O402" t="s">
        <v>4284</v>
      </c>
      <c r="P402" t="s">
        <v>4285</v>
      </c>
      <c r="Q402" t="s">
        <v>1543</v>
      </c>
      <c r="R402" s="1">
        <v>29952</v>
      </c>
      <c r="S402" s="2">
        <f t="shared" si="36"/>
        <v>1982</v>
      </c>
      <c r="T402" s="2">
        <v>1982</v>
      </c>
      <c r="U402" s="2">
        <f t="shared" si="37"/>
        <v>40</v>
      </c>
      <c r="V402" s="1">
        <v>30072</v>
      </c>
      <c r="W402" t="s">
        <v>1117</v>
      </c>
      <c r="X402" s="3">
        <v>1.6519999999999999</v>
      </c>
      <c r="Y402" s="4">
        <f>(X402-'[1]1982'!$Z$4)/('[1]1982'!$Z$3-'[1]1982'!$Z$4)</f>
        <v>4.409919649769093E-2</v>
      </c>
      <c r="AA402" t="s">
        <v>1118</v>
      </c>
      <c r="AB402">
        <v>17337</v>
      </c>
      <c r="AC402">
        <v>15582221</v>
      </c>
      <c r="AD402" t="s">
        <v>15</v>
      </c>
      <c r="AE402">
        <v>30</v>
      </c>
      <c r="AF402">
        <v>3</v>
      </c>
      <c r="AH402" t="s">
        <v>4286</v>
      </c>
      <c r="AI402" t="s">
        <v>4287</v>
      </c>
      <c r="AK402" t="s">
        <v>4288</v>
      </c>
      <c r="AL402">
        <v>5</v>
      </c>
      <c r="AM402" s="5">
        <f t="shared" si="38"/>
        <v>0.125</v>
      </c>
      <c r="AN402" s="6">
        <f>(AM402-'[1]1982'!$AO$4)/('[1]1982'!$AO$3-'[1]1982'!$AO$4)</f>
        <v>1.893222264293828E-4</v>
      </c>
      <c r="AO402" s="7"/>
      <c r="AP402">
        <v>0</v>
      </c>
      <c r="AR402" t="s">
        <v>19</v>
      </c>
      <c r="AT402" s="3" t="s">
        <v>20</v>
      </c>
      <c r="AU402" s="8">
        <f t="shared" si="39"/>
        <v>3.0926234216312465</v>
      </c>
      <c r="AV402" s="8">
        <f t="shared" si="40"/>
        <v>2.2144259362060157</v>
      </c>
      <c r="AW402" s="8">
        <f t="shared" si="41"/>
        <v>1.3362284507807847</v>
      </c>
    </row>
    <row r="403" spans="1:49" x14ac:dyDescent="0.2">
      <c r="A403">
        <v>401</v>
      </c>
      <c r="B403" t="s">
        <v>4289</v>
      </c>
      <c r="C403" t="s">
        <v>4290</v>
      </c>
      <c r="F403" t="s">
        <v>4291</v>
      </c>
      <c r="G403" t="s">
        <v>4</v>
      </c>
      <c r="H403" t="s">
        <v>5</v>
      </c>
      <c r="I403" t="s">
        <v>4292</v>
      </c>
      <c r="J403">
        <v>60023053</v>
      </c>
      <c r="K403" t="s">
        <v>3468</v>
      </c>
      <c r="L403" t="s">
        <v>3469</v>
      </c>
      <c r="M403" t="s">
        <v>9</v>
      </c>
      <c r="N403">
        <v>1</v>
      </c>
      <c r="O403" t="s">
        <v>4293</v>
      </c>
      <c r="P403">
        <v>35578175900</v>
      </c>
      <c r="Q403">
        <v>60023053</v>
      </c>
      <c r="R403" s="1">
        <v>29952</v>
      </c>
      <c r="S403" s="2">
        <f t="shared" si="36"/>
        <v>1982</v>
      </c>
      <c r="T403" s="2">
        <v>1982</v>
      </c>
      <c r="U403" s="2">
        <f t="shared" si="37"/>
        <v>40</v>
      </c>
      <c r="V403" s="1">
        <v>30072</v>
      </c>
      <c r="W403" t="s">
        <v>2551</v>
      </c>
      <c r="X403" s="3">
        <v>0.65500000000000003</v>
      </c>
      <c r="Y403" s="4">
        <f>(X403-'[1]1982'!$Z$4)/('[1]1982'!$Z$3-'[1]1982'!$Z$4)</f>
        <v>1.7484850911614749E-2</v>
      </c>
      <c r="AA403">
        <v>189375</v>
      </c>
      <c r="AB403">
        <v>26051</v>
      </c>
      <c r="AC403" t="s">
        <v>2552</v>
      </c>
      <c r="AD403" t="s">
        <v>15</v>
      </c>
      <c r="AE403" t="s">
        <v>2553</v>
      </c>
      <c r="AF403">
        <v>2</v>
      </c>
      <c r="AH403" t="s">
        <v>4294</v>
      </c>
      <c r="AI403" t="s">
        <v>4295</v>
      </c>
      <c r="AJ403" t="s">
        <v>4296</v>
      </c>
      <c r="AK403" t="s">
        <v>4297</v>
      </c>
      <c r="AL403">
        <v>49</v>
      </c>
      <c r="AM403" s="5">
        <f t="shared" si="38"/>
        <v>1.2250000000000001</v>
      </c>
      <c r="AN403" s="6">
        <f>(AM403-'[1]1982'!$AO$4)/('[1]1982'!$AO$3-'[1]1982'!$AO$4)</f>
        <v>1.8553578190079517E-3</v>
      </c>
      <c r="AO403" s="7"/>
      <c r="AP403">
        <v>0</v>
      </c>
      <c r="AR403" t="s">
        <v>19</v>
      </c>
      <c r="AT403" s="3" t="s">
        <v>20</v>
      </c>
      <c r="AU403" s="8">
        <f t="shared" si="39"/>
        <v>1.2796002983832708</v>
      </c>
      <c r="AV403" s="8">
        <f t="shared" si="40"/>
        <v>0.96701043653113494</v>
      </c>
      <c r="AW403" s="8">
        <f t="shared" si="41"/>
        <v>0.65442057467899906</v>
      </c>
    </row>
    <row r="404" spans="1:49" x14ac:dyDescent="0.2">
      <c r="A404">
        <v>402</v>
      </c>
      <c r="B404" t="s">
        <v>4298</v>
      </c>
      <c r="F404" t="s">
        <v>4299</v>
      </c>
      <c r="G404" t="s">
        <v>4</v>
      </c>
      <c r="H404" t="s">
        <v>5</v>
      </c>
      <c r="I404" t="s">
        <v>4300</v>
      </c>
      <c r="N404">
        <v>1</v>
      </c>
      <c r="O404" t="s">
        <v>4301</v>
      </c>
      <c r="P404">
        <v>6602483073</v>
      </c>
      <c r="R404" s="1">
        <v>29952</v>
      </c>
      <c r="S404" s="2">
        <f t="shared" si="36"/>
        <v>1982</v>
      </c>
      <c r="T404" s="2">
        <v>1982</v>
      </c>
      <c r="U404" s="2">
        <f t="shared" si="37"/>
        <v>40</v>
      </c>
      <c r="V404" s="1" t="s">
        <v>4302</v>
      </c>
      <c r="W404" t="s">
        <v>2185</v>
      </c>
      <c r="X404" s="3">
        <v>0.14099999999999999</v>
      </c>
      <c r="Y404" s="4">
        <f>(X404-'[1]1982'!$Z$4)/('[1]1982'!$Z$3-'[1]1982'!$Z$4)</f>
        <v>3.7639144710498915E-3</v>
      </c>
      <c r="AA404">
        <v>402508</v>
      </c>
      <c r="AB404">
        <v>20868</v>
      </c>
      <c r="AD404" t="s">
        <v>15</v>
      </c>
      <c r="AE404" t="s">
        <v>2186</v>
      </c>
      <c r="AF404">
        <v>5</v>
      </c>
      <c r="AH404" t="s">
        <v>4303</v>
      </c>
      <c r="AI404" t="s">
        <v>4304</v>
      </c>
      <c r="AK404" t="s">
        <v>4305</v>
      </c>
      <c r="AL404">
        <v>0</v>
      </c>
      <c r="AM404" s="5">
        <f t="shared" si="38"/>
        <v>0</v>
      </c>
      <c r="AN404" s="6">
        <f>(AM404-'[1]1982'!$AO$4)/('[1]1982'!$AO$3-'[1]1982'!$AO$4)</f>
        <v>0</v>
      </c>
      <c r="AO404" s="7"/>
      <c r="AP404">
        <v>0</v>
      </c>
      <c r="AR404" t="s">
        <v>19</v>
      </c>
      <c r="AT404" s="3" t="s">
        <v>20</v>
      </c>
      <c r="AU404" s="8">
        <f t="shared" si="39"/>
        <v>0.26347401297349238</v>
      </c>
      <c r="AV404" s="8">
        <f t="shared" si="40"/>
        <v>0.18819572355249459</v>
      </c>
      <c r="AW404" s="8">
        <f t="shared" si="41"/>
        <v>0.11291743413149673</v>
      </c>
    </row>
    <row r="405" spans="1:49" x14ac:dyDescent="0.2">
      <c r="A405">
        <v>403</v>
      </c>
      <c r="B405" t="s">
        <v>4306</v>
      </c>
      <c r="C405" t="s">
        <v>4307</v>
      </c>
      <c r="F405" t="s">
        <v>4308</v>
      </c>
      <c r="G405" t="s">
        <v>4</v>
      </c>
      <c r="H405" t="s">
        <v>5</v>
      </c>
      <c r="I405" t="s">
        <v>4309</v>
      </c>
      <c r="J405">
        <v>60020825</v>
      </c>
      <c r="K405" t="s">
        <v>4310</v>
      </c>
      <c r="L405" t="s">
        <v>4311</v>
      </c>
      <c r="M405" t="s">
        <v>640</v>
      </c>
      <c r="N405">
        <v>2</v>
      </c>
      <c r="O405" t="s">
        <v>4312</v>
      </c>
      <c r="P405" t="s">
        <v>4313</v>
      </c>
      <c r="Q405" t="s">
        <v>4314</v>
      </c>
      <c r="R405" s="1">
        <v>29952</v>
      </c>
      <c r="S405" s="2">
        <f t="shared" si="36"/>
        <v>1982</v>
      </c>
      <c r="T405" s="2">
        <v>1982</v>
      </c>
      <c r="U405" s="2">
        <f t="shared" si="37"/>
        <v>40</v>
      </c>
      <c r="V405" s="1">
        <v>30072</v>
      </c>
      <c r="W405" t="s">
        <v>1117</v>
      </c>
      <c r="X405" s="3">
        <v>1.6519999999999999</v>
      </c>
      <c r="Y405" s="4">
        <f>(X405-'[1]1982'!$Z$4)/('[1]1982'!$Z$3-'[1]1982'!$Z$4)</f>
        <v>4.409919649769093E-2</v>
      </c>
      <c r="AA405" t="s">
        <v>1118</v>
      </c>
      <c r="AB405">
        <v>17337</v>
      </c>
      <c r="AC405">
        <v>15582221</v>
      </c>
      <c r="AD405" t="s">
        <v>15</v>
      </c>
      <c r="AE405">
        <v>30</v>
      </c>
      <c r="AF405">
        <v>3</v>
      </c>
      <c r="AH405" t="s">
        <v>4315</v>
      </c>
      <c r="AI405" t="s">
        <v>4316</v>
      </c>
      <c r="AK405" t="s">
        <v>4317</v>
      </c>
      <c r="AL405">
        <v>26</v>
      </c>
      <c r="AM405" s="5">
        <f t="shared" si="38"/>
        <v>0.65</v>
      </c>
      <c r="AN405" s="6">
        <f>(AM405-'[1]1982'!$AO$4)/('[1]1982'!$AO$3-'[1]1982'!$AO$4)</f>
        <v>9.8447557743279067E-4</v>
      </c>
      <c r="AO405" s="7"/>
      <c r="AP405">
        <v>0</v>
      </c>
      <c r="AR405" t="s">
        <v>19</v>
      </c>
      <c r="AT405" s="3" t="s">
        <v>20</v>
      </c>
      <c r="AU405" s="8">
        <f t="shared" si="39"/>
        <v>3.1164780221613486</v>
      </c>
      <c r="AV405" s="8">
        <f t="shared" si="40"/>
        <v>2.2541836037561858</v>
      </c>
      <c r="AW405" s="8">
        <f t="shared" si="41"/>
        <v>1.3918891853510231</v>
      </c>
    </row>
    <row r="406" spans="1:49" x14ac:dyDescent="0.2">
      <c r="A406">
        <v>404</v>
      </c>
      <c r="B406" t="s">
        <v>4318</v>
      </c>
      <c r="C406" t="s">
        <v>4319</v>
      </c>
      <c r="F406" t="s">
        <v>4320</v>
      </c>
      <c r="G406" t="s">
        <v>4</v>
      </c>
      <c r="H406" t="s">
        <v>5</v>
      </c>
      <c r="I406" t="s">
        <v>4321</v>
      </c>
      <c r="J406">
        <v>60003500</v>
      </c>
      <c r="K406" t="s">
        <v>2507</v>
      </c>
      <c r="L406" t="s">
        <v>951</v>
      </c>
      <c r="M406" t="s">
        <v>9</v>
      </c>
      <c r="N406">
        <v>1</v>
      </c>
      <c r="O406" t="s">
        <v>4322</v>
      </c>
      <c r="P406">
        <v>7102662778</v>
      </c>
      <c r="Q406">
        <v>60003500</v>
      </c>
      <c r="R406" s="1">
        <v>29952</v>
      </c>
      <c r="S406" s="2">
        <f t="shared" si="36"/>
        <v>1982</v>
      </c>
      <c r="T406" s="2">
        <v>1982</v>
      </c>
      <c r="U406" s="2">
        <f t="shared" si="37"/>
        <v>40</v>
      </c>
      <c r="V406" s="1">
        <v>30072</v>
      </c>
      <c r="W406" t="s">
        <v>2778</v>
      </c>
      <c r="X406" s="3">
        <v>1.468</v>
      </c>
      <c r="Y406" s="4">
        <f>(X406-'[1]1982'!$Z$4)/('[1]1982'!$Z$3-'[1]1982'!$Z$4)</f>
        <v>3.9187421585115186E-2</v>
      </c>
      <c r="AA406">
        <v>906778</v>
      </c>
      <c r="AB406">
        <v>18931</v>
      </c>
      <c r="AD406" t="s">
        <v>15</v>
      </c>
      <c r="AE406">
        <v>30</v>
      </c>
      <c r="AF406">
        <v>5</v>
      </c>
      <c r="AH406" t="s">
        <v>4323</v>
      </c>
      <c r="AI406" t="s">
        <v>4324</v>
      </c>
      <c r="AK406" t="s">
        <v>4325</v>
      </c>
      <c r="AL406">
        <v>23</v>
      </c>
      <c r="AM406" s="5">
        <f t="shared" si="38"/>
        <v>0.57499999999999996</v>
      </c>
      <c r="AN406" s="6">
        <f>(AM406-'[1]1982'!$AO$4)/('[1]1982'!$AO$3-'[1]1982'!$AO$4)</f>
        <v>8.7088224157516082E-4</v>
      </c>
      <c r="AO406" s="7"/>
      <c r="AP406">
        <v>0</v>
      </c>
      <c r="AR406" t="s">
        <v>19</v>
      </c>
      <c r="AT406" s="3">
        <v>5.0830000000000002</v>
      </c>
      <c r="AU406" s="8">
        <f t="shared" si="39"/>
        <v>2.7692459782053174</v>
      </c>
      <c r="AV406" s="8">
        <f t="shared" si="40"/>
        <v>2.0029151913345173</v>
      </c>
      <c r="AW406" s="8">
        <f t="shared" si="41"/>
        <v>1.2365844044637169</v>
      </c>
    </row>
    <row r="407" spans="1:49" x14ac:dyDescent="0.2">
      <c r="A407">
        <v>405</v>
      </c>
      <c r="B407" t="s">
        <v>4326</v>
      </c>
      <c r="C407" t="s">
        <v>4327</v>
      </c>
      <c r="F407" t="s">
        <v>4328</v>
      </c>
      <c r="G407" t="s">
        <v>4</v>
      </c>
      <c r="H407" t="s">
        <v>5</v>
      </c>
      <c r="I407" t="s">
        <v>4329</v>
      </c>
      <c r="J407">
        <v>101246499</v>
      </c>
      <c r="K407" t="s">
        <v>4330</v>
      </c>
      <c r="L407" t="s">
        <v>2350</v>
      </c>
      <c r="M407" t="s">
        <v>9</v>
      </c>
      <c r="N407">
        <v>1</v>
      </c>
      <c r="O407" t="s">
        <v>4331</v>
      </c>
      <c r="P407">
        <v>7003905490</v>
      </c>
      <c r="Q407">
        <v>101246499</v>
      </c>
      <c r="R407" s="1">
        <v>29952</v>
      </c>
      <c r="S407" s="2">
        <f t="shared" si="36"/>
        <v>1982</v>
      </c>
      <c r="T407" s="2">
        <v>1982</v>
      </c>
      <c r="U407" s="2">
        <f t="shared" si="37"/>
        <v>40</v>
      </c>
      <c r="V407" s="1">
        <v>30072</v>
      </c>
      <c r="W407" t="s">
        <v>4332</v>
      </c>
      <c r="X407" s="3">
        <v>0.82799999999999996</v>
      </c>
      <c r="Y407" s="4">
        <f>(X407-'[1]1982'!$Z$4)/('[1]1982'!$Z$3-'[1]1982'!$Z$4)</f>
        <v>2.2102987106590855E-2</v>
      </c>
      <c r="AA407">
        <v>11452</v>
      </c>
      <c r="AB407">
        <v>29964</v>
      </c>
      <c r="AD407" t="s">
        <v>15</v>
      </c>
      <c r="AE407">
        <v>20</v>
      </c>
      <c r="AF407">
        <v>5</v>
      </c>
      <c r="AH407" t="s">
        <v>4333</v>
      </c>
      <c r="AI407" t="s">
        <v>4334</v>
      </c>
      <c r="AK407" t="s">
        <v>4335</v>
      </c>
      <c r="AL407">
        <v>61</v>
      </c>
      <c r="AM407" s="5">
        <f t="shared" si="38"/>
        <v>1.5249999999999999</v>
      </c>
      <c r="AN407" s="6">
        <f>(AM407-'[1]1982'!$AO$4)/('[1]1982'!$AO$3-'[1]1982'!$AO$4)</f>
        <v>2.30973116243847E-3</v>
      </c>
      <c r="AO407" s="7"/>
      <c r="AP407">
        <v>0</v>
      </c>
      <c r="AR407" t="s">
        <v>19</v>
      </c>
      <c r="AS407" t="s">
        <v>4336</v>
      </c>
      <c r="AT407" s="3">
        <v>2.1269999999999998</v>
      </c>
      <c r="AU407" s="8">
        <f t="shared" si="39"/>
        <v>1.6165010323345139</v>
      </c>
      <c r="AV407" s="8">
        <f t="shared" si="40"/>
        <v>1.2206359134514664</v>
      </c>
      <c r="AW407" s="8">
        <f t="shared" si="41"/>
        <v>0.82477079456841851</v>
      </c>
    </row>
    <row r="408" spans="1:49" x14ac:dyDescent="0.2">
      <c r="A408">
        <v>406</v>
      </c>
      <c r="B408" t="s">
        <v>4337</v>
      </c>
      <c r="C408" t="s">
        <v>4338</v>
      </c>
      <c r="F408" t="s">
        <v>4339</v>
      </c>
      <c r="G408" t="s">
        <v>4</v>
      </c>
      <c r="H408" t="s">
        <v>5</v>
      </c>
      <c r="I408" t="s">
        <v>4340</v>
      </c>
      <c r="N408">
        <v>2</v>
      </c>
      <c r="O408" t="s">
        <v>4341</v>
      </c>
      <c r="P408" t="s">
        <v>4342</v>
      </c>
      <c r="Q408" t="s">
        <v>156</v>
      </c>
      <c r="R408" s="1">
        <v>29952</v>
      </c>
      <c r="S408" s="2">
        <f t="shared" si="36"/>
        <v>1982</v>
      </c>
      <c r="T408" s="2">
        <v>1982</v>
      </c>
      <c r="U408" s="2">
        <f t="shared" si="37"/>
        <v>40</v>
      </c>
      <c r="V408" s="1" t="s">
        <v>1362</v>
      </c>
      <c r="W408" t="s">
        <v>2385</v>
      </c>
      <c r="X408" s="3">
        <v>0.371</v>
      </c>
      <c r="Y408" s="4">
        <f>(X408-'[1]1982'!$Z$4)/('[1]1982'!$Z$3-'[1]1982'!$Z$4)</f>
        <v>9.9036331117695747E-3</v>
      </c>
      <c r="AA408">
        <v>486604</v>
      </c>
      <c r="AB408">
        <v>28580</v>
      </c>
      <c r="AC408" t="s">
        <v>2386</v>
      </c>
      <c r="AD408" t="s">
        <v>15</v>
      </c>
      <c r="AE408">
        <v>17</v>
      </c>
      <c r="AF408">
        <v>3</v>
      </c>
      <c r="AH408" t="s">
        <v>4343</v>
      </c>
      <c r="AI408" t="s">
        <v>4344</v>
      </c>
      <c r="AK408" t="s">
        <v>4345</v>
      </c>
      <c r="AL408">
        <v>1</v>
      </c>
      <c r="AM408" s="5">
        <f t="shared" si="38"/>
        <v>2.5000000000000001E-2</v>
      </c>
      <c r="AN408" s="6">
        <f>(AM408-'[1]1982'!$AO$4)/('[1]1982'!$AO$3-'[1]1982'!$AO$4)</f>
        <v>3.7864445285876567E-5</v>
      </c>
      <c r="AO408" s="7"/>
      <c r="AP408">
        <v>0</v>
      </c>
      <c r="AR408" t="s">
        <v>19</v>
      </c>
      <c r="AT408" s="3">
        <v>1.431</v>
      </c>
      <c r="AU408" s="8">
        <f t="shared" si="39"/>
        <v>0.69439025118244646</v>
      </c>
      <c r="AV408" s="8">
        <f t="shared" si="40"/>
        <v>0.49707487785277255</v>
      </c>
      <c r="AW408" s="8">
        <f t="shared" si="41"/>
        <v>0.29975950452309863</v>
      </c>
    </row>
    <row r="409" spans="1:49" x14ac:dyDescent="0.2">
      <c r="A409">
        <v>407</v>
      </c>
      <c r="B409" t="s">
        <v>4346</v>
      </c>
      <c r="C409" t="s">
        <v>4347</v>
      </c>
      <c r="F409" t="s">
        <v>4348</v>
      </c>
      <c r="G409" t="s">
        <v>4</v>
      </c>
      <c r="H409" t="s">
        <v>5</v>
      </c>
      <c r="I409" t="s">
        <v>4349</v>
      </c>
      <c r="J409" t="s">
        <v>4350</v>
      </c>
      <c r="K409" t="s">
        <v>4351</v>
      </c>
      <c r="L409" t="s">
        <v>4352</v>
      </c>
      <c r="M409" t="s">
        <v>3862</v>
      </c>
      <c r="N409">
        <v>2</v>
      </c>
      <c r="O409" t="s">
        <v>4353</v>
      </c>
      <c r="P409" t="s">
        <v>4354</v>
      </c>
      <c r="Q409" t="s">
        <v>4350</v>
      </c>
      <c r="R409" s="1">
        <v>29952</v>
      </c>
      <c r="S409" s="2">
        <f t="shared" si="36"/>
        <v>1982</v>
      </c>
      <c r="T409" s="2">
        <v>1982</v>
      </c>
      <c r="U409" s="2">
        <f t="shared" si="37"/>
        <v>40</v>
      </c>
      <c r="V409" s="1">
        <v>30072</v>
      </c>
      <c r="W409" t="s">
        <v>1117</v>
      </c>
      <c r="X409" s="3">
        <v>1.6519999999999999</v>
      </c>
      <c r="Y409" s="4">
        <f>(X409-'[1]1982'!$Z$4)/('[1]1982'!$Z$3-'[1]1982'!$Z$4)</f>
        <v>4.409919649769093E-2</v>
      </c>
      <c r="AA409" t="s">
        <v>1118</v>
      </c>
      <c r="AB409">
        <v>17337</v>
      </c>
      <c r="AC409">
        <v>15582221</v>
      </c>
      <c r="AD409" t="s">
        <v>15</v>
      </c>
      <c r="AE409">
        <v>30</v>
      </c>
      <c r="AF409">
        <v>3</v>
      </c>
      <c r="AH409" t="s">
        <v>4355</v>
      </c>
      <c r="AI409" t="s">
        <v>4356</v>
      </c>
      <c r="AK409" t="s">
        <v>4357</v>
      </c>
      <c r="AL409">
        <v>9</v>
      </c>
      <c r="AM409" s="5">
        <f t="shared" si="38"/>
        <v>0.22500000000000001</v>
      </c>
      <c r="AN409" s="6">
        <f>(AM409-'[1]1982'!$AO$4)/('[1]1982'!$AO$3-'[1]1982'!$AO$4)</f>
        <v>3.4078000757288904E-4</v>
      </c>
      <c r="AO409" s="7"/>
      <c r="AP409">
        <v>0</v>
      </c>
      <c r="AR409" t="s">
        <v>19</v>
      </c>
      <c r="AT409" s="3" t="s">
        <v>20</v>
      </c>
      <c r="AU409" s="8">
        <f t="shared" si="39"/>
        <v>3.0971671550655517</v>
      </c>
      <c r="AV409" s="8">
        <f t="shared" si="40"/>
        <v>2.2219988252631908</v>
      </c>
      <c r="AW409" s="8">
        <f t="shared" si="41"/>
        <v>1.3468304954608301</v>
      </c>
    </row>
    <row r="410" spans="1:49" x14ac:dyDescent="0.2">
      <c r="A410">
        <v>408</v>
      </c>
      <c r="B410" t="s">
        <v>4358</v>
      </c>
      <c r="C410" t="s">
        <v>4359</v>
      </c>
      <c r="F410" t="s">
        <v>4360</v>
      </c>
      <c r="G410" t="s">
        <v>4</v>
      </c>
      <c r="H410" t="s">
        <v>5</v>
      </c>
      <c r="I410" t="s">
        <v>3801</v>
      </c>
      <c r="J410">
        <v>60013141</v>
      </c>
      <c r="K410" t="s">
        <v>4361</v>
      </c>
      <c r="L410" t="s">
        <v>4362</v>
      </c>
      <c r="M410" t="s">
        <v>1408</v>
      </c>
      <c r="N410">
        <v>1</v>
      </c>
      <c r="O410" t="s">
        <v>4363</v>
      </c>
      <c r="P410">
        <v>7101988263</v>
      </c>
      <c r="Q410">
        <v>60013141</v>
      </c>
      <c r="R410" s="1">
        <v>29952</v>
      </c>
      <c r="S410" s="2">
        <f t="shared" si="36"/>
        <v>1982</v>
      </c>
      <c r="T410" s="2">
        <v>1982</v>
      </c>
      <c r="U410" s="2">
        <f t="shared" si="37"/>
        <v>40</v>
      </c>
      <c r="V410" s="1">
        <v>30072</v>
      </c>
      <c r="W410" t="s">
        <v>1117</v>
      </c>
      <c r="X410" s="3">
        <v>1.6519999999999999</v>
      </c>
      <c r="Y410" s="4">
        <f>(X410-'[1]1982'!$Z$4)/('[1]1982'!$Z$3-'[1]1982'!$Z$4)</f>
        <v>4.409919649769093E-2</v>
      </c>
      <c r="AA410" t="s">
        <v>1118</v>
      </c>
      <c r="AB410">
        <v>17337</v>
      </c>
      <c r="AC410">
        <v>15582221</v>
      </c>
      <c r="AD410" t="s">
        <v>15</v>
      </c>
      <c r="AE410">
        <v>30</v>
      </c>
      <c r="AF410">
        <v>3</v>
      </c>
      <c r="AH410" t="s">
        <v>4364</v>
      </c>
      <c r="AI410" t="s">
        <v>4365</v>
      </c>
      <c r="AK410" t="s">
        <v>4366</v>
      </c>
      <c r="AL410">
        <v>1</v>
      </c>
      <c r="AM410" s="5">
        <f t="shared" si="38"/>
        <v>2.5000000000000001E-2</v>
      </c>
      <c r="AN410" s="6">
        <f>(AM410-'[1]1982'!$AO$4)/('[1]1982'!$AO$3-'[1]1982'!$AO$4)</f>
        <v>3.7864445285876567E-5</v>
      </c>
      <c r="AO410" s="7"/>
      <c r="AP410">
        <v>0</v>
      </c>
      <c r="AR410" t="s">
        <v>19</v>
      </c>
      <c r="AT410" s="3" t="s">
        <v>20</v>
      </c>
      <c r="AU410" s="8">
        <f t="shared" si="39"/>
        <v>3.0880796881969412</v>
      </c>
      <c r="AV410" s="8">
        <f t="shared" si="40"/>
        <v>2.2068530471488401</v>
      </c>
      <c r="AW410" s="8">
        <f t="shared" si="41"/>
        <v>1.3256264061007392</v>
      </c>
    </row>
    <row r="411" spans="1:49" x14ac:dyDescent="0.2">
      <c r="A411">
        <v>409</v>
      </c>
      <c r="B411" t="s">
        <v>4367</v>
      </c>
      <c r="C411" t="s">
        <v>4368</v>
      </c>
      <c r="F411" t="s">
        <v>4369</v>
      </c>
      <c r="G411" t="s">
        <v>4</v>
      </c>
      <c r="H411" t="s">
        <v>5</v>
      </c>
      <c r="I411" t="s">
        <v>4370</v>
      </c>
      <c r="J411">
        <v>60021907</v>
      </c>
      <c r="K411" t="s">
        <v>4371</v>
      </c>
      <c r="L411" t="s">
        <v>4372</v>
      </c>
      <c r="M411" t="s">
        <v>9</v>
      </c>
      <c r="N411">
        <v>1</v>
      </c>
      <c r="O411" t="s">
        <v>4373</v>
      </c>
      <c r="P411">
        <v>56318546300</v>
      </c>
      <c r="Q411">
        <v>60021907</v>
      </c>
      <c r="R411" s="1">
        <v>29952</v>
      </c>
      <c r="S411" s="2">
        <f t="shared" si="36"/>
        <v>1982</v>
      </c>
      <c r="T411" s="2">
        <v>1982</v>
      </c>
      <c r="U411" s="2">
        <f t="shared" si="37"/>
        <v>40</v>
      </c>
      <c r="V411" s="1">
        <v>30072</v>
      </c>
      <c r="W411" t="s">
        <v>1117</v>
      </c>
      <c r="X411" s="3">
        <v>1.6519999999999999</v>
      </c>
      <c r="Y411" s="4">
        <f>(X411-'[1]1982'!$Z$4)/('[1]1982'!$Z$3-'[1]1982'!$Z$4)</f>
        <v>4.409919649769093E-2</v>
      </c>
      <c r="AA411" t="s">
        <v>1118</v>
      </c>
      <c r="AB411">
        <v>17337</v>
      </c>
      <c r="AC411">
        <v>15582221</v>
      </c>
      <c r="AD411" t="s">
        <v>15</v>
      </c>
      <c r="AE411">
        <v>30</v>
      </c>
      <c r="AF411">
        <v>3</v>
      </c>
      <c r="AH411" t="s">
        <v>4374</v>
      </c>
      <c r="AL411">
        <v>21</v>
      </c>
      <c r="AM411" s="5">
        <f t="shared" si="38"/>
        <v>0.52500000000000002</v>
      </c>
      <c r="AN411" s="6">
        <f>(AM411-'[1]1982'!$AO$4)/('[1]1982'!$AO$3-'[1]1982'!$AO$4)</f>
        <v>7.9515335100340781E-4</v>
      </c>
      <c r="AO411" s="7"/>
      <c r="AP411">
        <v>0</v>
      </c>
      <c r="AR411" t="s">
        <v>19</v>
      </c>
      <c r="AT411" s="3" t="s">
        <v>20</v>
      </c>
      <c r="AU411" s="8">
        <f t="shared" si="39"/>
        <v>3.1107983553684675</v>
      </c>
      <c r="AV411" s="8">
        <f t="shared" si="40"/>
        <v>2.2447174924347166</v>
      </c>
      <c r="AW411" s="8">
        <f t="shared" si="41"/>
        <v>1.3786366295009664</v>
      </c>
    </row>
    <row r="412" spans="1:49" x14ac:dyDescent="0.2">
      <c r="A412">
        <v>410</v>
      </c>
      <c r="B412" t="s">
        <v>4375</v>
      </c>
      <c r="C412" t="s">
        <v>4376</v>
      </c>
      <c r="F412" t="s">
        <v>4377</v>
      </c>
      <c r="G412" t="s">
        <v>4</v>
      </c>
      <c r="H412" t="s">
        <v>5</v>
      </c>
      <c r="I412" t="s">
        <v>4378</v>
      </c>
      <c r="J412">
        <v>106793450</v>
      </c>
      <c r="K412" t="s">
        <v>4379</v>
      </c>
      <c r="L412" t="s">
        <v>1804</v>
      </c>
      <c r="M412" t="s">
        <v>9</v>
      </c>
      <c r="N412">
        <v>2</v>
      </c>
      <c r="O412" t="s">
        <v>4380</v>
      </c>
      <c r="P412" t="s">
        <v>4381</v>
      </c>
      <c r="Q412" t="s">
        <v>4382</v>
      </c>
      <c r="R412" s="1">
        <v>29952</v>
      </c>
      <c r="S412" s="2">
        <f t="shared" si="36"/>
        <v>1982</v>
      </c>
      <c r="T412" s="2">
        <v>1982</v>
      </c>
      <c r="U412" s="2">
        <f t="shared" si="37"/>
        <v>40</v>
      </c>
      <c r="V412" s="1">
        <v>30072</v>
      </c>
      <c r="W412" t="s">
        <v>1117</v>
      </c>
      <c r="X412" s="3">
        <v>1.6519999999999999</v>
      </c>
      <c r="Y412" s="4">
        <f>(X412-'[1]1982'!$Z$4)/('[1]1982'!$Z$3-'[1]1982'!$Z$4)</f>
        <v>4.409919649769093E-2</v>
      </c>
      <c r="AA412" t="s">
        <v>1118</v>
      </c>
      <c r="AB412">
        <v>17337</v>
      </c>
      <c r="AC412">
        <v>15582221</v>
      </c>
      <c r="AD412" t="s">
        <v>15</v>
      </c>
      <c r="AE412">
        <v>30</v>
      </c>
      <c r="AF412">
        <v>3</v>
      </c>
      <c r="AH412" t="s">
        <v>4383</v>
      </c>
      <c r="AI412" t="s">
        <v>4384</v>
      </c>
      <c r="AK412" t="s">
        <v>4385</v>
      </c>
      <c r="AL412">
        <v>16</v>
      </c>
      <c r="AM412" s="5">
        <f t="shared" si="38"/>
        <v>0.4</v>
      </c>
      <c r="AN412" s="6">
        <f>(AM412-'[1]1982'!$AO$4)/('[1]1982'!$AO$3-'[1]1982'!$AO$4)</f>
        <v>6.0583112457402507E-4</v>
      </c>
      <c r="AO412" s="7"/>
      <c r="AP412">
        <v>0</v>
      </c>
      <c r="AR412" t="s">
        <v>19</v>
      </c>
      <c r="AT412" s="3" t="s">
        <v>20</v>
      </c>
      <c r="AU412" s="8">
        <f t="shared" si="39"/>
        <v>3.1051186885755859</v>
      </c>
      <c r="AV412" s="8">
        <f t="shared" si="40"/>
        <v>2.2352513811132479</v>
      </c>
      <c r="AW412" s="8">
        <f t="shared" si="41"/>
        <v>1.3653840736509095</v>
      </c>
    </row>
    <row r="413" spans="1:49" x14ac:dyDescent="0.2">
      <c r="A413">
        <v>411</v>
      </c>
      <c r="B413" t="s">
        <v>4386</v>
      </c>
      <c r="C413" t="s">
        <v>4387</v>
      </c>
      <c r="F413" t="s">
        <v>4388</v>
      </c>
      <c r="G413" t="s">
        <v>4</v>
      </c>
      <c r="H413" t="s">
        <v>5</v>
      </c>
      <c r="I413" t="s">
        <v>4389</v>
      </c>
      <c r="J413">
        <v>60009037</v>
      </c>
      <c r="K413" t="s">
        <v>2786</v>
      </c>
      <c r="L413" t="s">
        <v>445</v>
      </c>
      <c r="M413" t="s">
        <v>9</v>
      </c>
      <c r="N413">
        <v>1</v>
      </c>
      <c r="O413" t="s">
        <v>4390</v>
      </c>
      <c r="P413">
        <v>7003537615</v>
      </c>
      <c r="Q413">
        <v>60009037</v>
      </c>
      <c r="R413" s="1">
        <v>29952</v>
      </c>
      <c r="S413" s="2">
        <f t="shared" si="36"/>
        <v>1982</v>
      </c>
      <c r="T413" s="2">
        <v>1982</v>
      </c>
      <c r="U413" s="2">
        <f t="shared" si="37"/>
        <v>40</v>
      </c>
      <c r="V413" s="1">
        <v>30072</v>
      </c>
      <c r="W413" t="s">
        <v>2778</v>
      </c>
      <c r="X413" s="3">
        <v>1.468</v>
      </c>
      <c r="Y413" s="4">
        <f>(X413-'[1]1982'!$Z$4)/('[1]1982'!$Z$3-'[1]1982'!$Z$4)</f>
        <v>3.9187421585115186E-2</v>
      </c>
      <c r="AA413">
        <v>906778</v>
      </c>
      <c r="AB413">
        <v>18931</v>
      </c>
      <c r="AD413" t="s">
        <v>15</v>
      </c>
      <c r="AE413">
        <v>30</v>
      </c>
      <c r="AF413">
        <v>5</v>
      </c>
      <c r="AH413" t="s">
        <v>4391</v>
      </c>
      <c r="AI413" t="s">
        <v>4392</v>
      </c>
      <c r="AK413" t="s">
        <v>4393</v>
      </c>
      <c r="AL413">
        <v>1</v>
      </c>
      <c r="AM413" s="5">
        <f t="shared" si="38"/>
        <v>2.5000000000000001E-2</v>
      </c>
      <c r="AN413" s="6">
        <f>(AM413-'[1]1982'!$AO$4)/('[1]1982'!$AO$3-'[1]1982'!$AO$4)</f>
        <v>3.7864445285876567E-5</v>
      </c>
      <c r="AO413" s="7"/>
      <c r="AP413">
        <v>0</v>
      </c>
      <c r="AR413" t="s">
        <v>19</v>
      </c>
      <c r="AT413" s="3">
        <v>5.0830000000000002</v>
      </c>
      <c r="AU413" s="8">
        <f t="shared" si="39"/>
        <v>2.7442554443166389</v>
      </c>
      <c r="AV413" s="8">
        <f t="shared" si="40"/>
        <v>1.961264301520053</v>
      </c>
      <c r="AW413" s="8">
        <f t="shared" si="41"/>
        <v>1.1782731587234669</v>
      </c>
    </row>
    <row r="414" spans="1:49" x14ac:dyDescent="0.2">
      <c r="A414">
        <v>412</v>
      </c>
      <c r="B414" t="s">
        <v>4394</v>
      </c>
      <c r="F414" t="s">
        <v>4395</v>
      </c>
      <c r="G414" t="s">
        <v>4</v>
      </c>
      <c r="H414" t="s">
        <v>5</v>
      </c>
      <c r="I414" t="s">
        <v>4396</v>
      </c>
      <c r="N414">
        <v>1</v>
      </c>
      <c r="O414" t="s">
        <v>4397</v>
      </c>
      <c r="P414">
        <v>7005591769</v>
      </c>
      <c r="R414" s="1">
        <v>29952</v>
      </c>
      <c r="S414" s="2">
        <f t="shared" si="36"/>
        <v>1982</v>
      </c>
      <c r="T414" s="2">
        <v>1982</v>
      </c>
      <c r="U414" s="2">
        <f t="shared" si="37"/>
        <v>40</v>
      </c>
      <c r="V414" s="1" t="s">
        <v>4302</v>
      </c>
      <c r="W414" t="s">
        <v>2185</v>
      </c>
      <c r="X414" s="3">
        <v>0.14099999999999999</v>
      </c>
      <c r="Y414" s="4">
        <f>(X414-'[1]1982'!$Z$4)/('[1]1982'!$Z$3-'[1]1982'!$Z$4)</f>
        <v>3.7639144710498915E-3</v>
      </c>
      <c r="AA414">
        <v>402508</v>
      </c>
      <c r="AB414">
        <v>20868</v>
      </c>
      <c r="AD414" t="s">
        <v>15</v>
      </c>
      <c r="AE414" t="s">
        <v>2186</v>
      </c>
      <c r="AF414">
        <v>5</v>
      </c>
      <c r="AH414" t="s">
        <v>4398</v>
      </c>
      <c r="AI414" t="s">
        <v>4399</v>
      </c>
      <c r="AK414" t="s">
        <v>4400</v>
      </c>
      <c r="AL414">
        <v>0</v>
      </c>
      <c r="AM414" s="5">
        <f t="shared" si="38"/>
        <v>0</v>
      </c>
      <c r="AN414" s="6">
        <f>(AM414-'[1]1982'!$AO$4)/('[1]1982'!$AO$3-'[1]1982'!$AO$4)</f>
        <v>0</v>
      </c>
      <c r="AO414" s="7"/>
      <c r="AP414">
        <v>0</v>
      </c>
      <c r="AR414" t="s">
        <v>19</v>
      </c>
      <c r="AT414" s="3" t="s">
        <v>20</v>
      </c>
      <c r="AU414" s="8">
        <f t="shared" si="39"/>
        <v>0.26347401297349238</v>
      </c>
      <c r="AV414" s="8">
        <f t="shared" si="40"/>
        <v>0.18819572355249459</v>
      </c>
      <c r="AW414" s="8">
        <f t="shared" si="41"/>
        <v>0.11291743413149673</v>
      </c>
    </row>
    <row r="415" spans="1:49" x14ac:dyDescent="0.2">
      <c r="A415">
        <v>413</v>
      </c>
      <c r="B415" t="s">
        <v>4401</v>
      </c>
      <c r="C415" t="s">
        <v>4402</v>
      </c>
      <c r="F415" t="s">
        <v>4403</v>
      </c>
      <c r="G415" t="s">
        <v>4</v>
      </c>
      <c r="H415" t="s">
        <v>5</v>
      </c>
      <c r="I415" t="s">
        <v>4404</v>
      </c>
      <c r="J415">
        <v>60101699</v>
      </c>
      <c r="K415" t="s">
        <v>3253</v>
      </c>
      <c r="L415" t="s">
        <v>583</v>
      </c>
      <c r="M415" t="s">
        <v>485</v>
      </c>
      <c r="N415">
        <v>2</v>
      </c>
      <c r="O415" t="s">
        <v>4405</v>
      </c>
      <c r="P415" t="s">
        <v>4406</v>
      </c>
      <c r="Q415" t="s">
        <v>3256</v>
      </c>
      <c r="R415" s="1">
        <v>29952</v>
      </c>
      <c r="S415" s="2">
        <f t="shared" si="36"/>
        <v>1982</v>
      </c>
      <c r="T415" s="2">
        <v>1982</v>
      </c>
      <c r="U415" s="2">
        <f t="shared" si="37"/>
        <v>40</v>
      </c>
      <c r="V415" s="1">
        <v>1982</v>
      </c>
      <c r="W415" t="s">
        <v>1005</v>
      </c>
      <c r="X415" s="3">
        <v>0.111</v>
      </c>
      <c r="Y415" s="4">
        <f>(X415-'[1]1982'!$Z$4)/('[1]1982'!$Z$3-'[1]1982'!$Z$4)</f>
        <v>2.9630816048690639E-3</v>
      </c>
      <c r="AA415">
        <v>87566621</v>
      </c>
      <c r="AB415">
        <v>24890</v>
      </c>
      <c r="AC415">
        <v>15206424</v>
      </c>
      <c r="AD415" t="s">
        <v>15</v>
      </c>
      <c r="AE415">
        <v>65</v>
      </c>
      <c r="AF415">
        <v>5</v>
      </c>
      <c r="AH415" t="s">
        <v>4407</v>
      </c>
      <c r="AI415" t="s">
        <v>4408</v>
      </c>
      <c r="AK415" t="s">
        <v>4409</v>
      </c>
      <c r="AL415">
        <v>48</v>
      </c>
      <c r="AM415" s="5">
        <f t="shared" si="38"/>
        <v>1.2</v>
      </c>
      <c r="AN415" s="6">
        <f>(AM415-'[1]1982'!$AO$4)/('[1]1982'!$AO$3-'[1]1982'!$AO$4)</f>
        <v>1.8174933737220749E-3</v>
      </c>
      <c r="AO415" s="7"/>
      <c r="AP415">
        <v>0</v>
      </c>
      <c r="AR415" t="s">
        <v>19</v>
      </c>
      <c r="AT415" s="3" t="s">
        <v>20</v>
      </c>
      <c r="AU415" s="8">
        <f t="shared" si="39"/>
        <v>0.26194051355249665</v>
      </c>
      <c r="AV415" s="8">
        <f t="shared" si="40"/>
        <v>0.23902874892955694</v>
      </c>
      <c r="AW415" s="8">
        <f t="shared" si="41"/>
        <v>0.21611698430661716</v>
      </c>
    </row>
    <row r="416" spans="1:49" x14ac:dyDescent="0.2">
      <c r="A416">
        <v>414</v>
      </c>
      <c r="B416" t="s">
        <v>4410</v>
      </c>
      <c r="F416" t="s">
        <v>4411</v>
      </c>
      <c r="G416" t="s">
        <v>4</v>
      </c>
      <c r="H416" t="s">
        <v>5</v>
      </c>
      <c r="I416" t="s">
        <v>4412</v>
      </c>
      <c r="N416">
        <v>2</v>
      </c>
      <c r="O416" t="s">
        <v>4413</v>
      </c>
      <c r="P416" t="s">
        <v>4414</v>
      </c>
      <c r="Q416" t="s">
        <v>156</v>
      </c>
      <c r="R416" s="1">
        <v>29952</v>
      </c>
      <c r="S416" s="2">
        <f t="shared" si="36"/>
        <v>1982</v>
      </c>
      <c r="T416" s="2">
        <v>1982</v>
      </c>
      <c r="U416" s="2">
        <f t="shared" si="37"/>
        <v>40</v>
      </c>
      <c r="V416" s="1" t="s">
        <v>4302</v>
      </c>
      <c r="W416" t="s">
        <v>1643</v>
      </c>
      <c r="X416" s="3" t="s">
        <v>20</v>
      </c>
      <c r="Y416" s="4" t="e">
        <f>(X416-'[1]1982'!$Z$4)/('[1]1982'!$Z$3-'[1]1982'!$Z$4)</f>
        <v>#VALUE!</v>
      </c>
      <c r="AA416">
        <v>337889</v>
      </c>
      <c r="AB416">
        <v>40920</v>
      </c>
      <c r="AD416" t="s">
        <v>15</v>
      </c>
      <c r="AE416">
        <v>27</v>
      </c>
      <c r="AF416">
        <v>5</v>
      </c>
      <c r="AH416" t="s">
        <v>4415</v>
      </c>
      <c r="AI416" t="s">
        <v>4416</v>
      </c>
      <c r="AK416" t="s">
        <v>4417</v>
      </c>
      <c r="AL416">
        <v>0</v>
      </c>
      <c r="AM416" s="5">
        <f t="shared" si="38"/>
        <v>0</v>
      </c>
      <c r="AN416" s="6">
        <f>(AM416-'[1]1982'!$AO$4)/('[1]1982'!$AO$3-'[1]1982'!$AO$4)</f>
        <v>0</v>
      </c>
      <c r="AO416" s="7"/>
      <c r="AP416">
        <v>0</v>
      </c>
      <c r="AR416" t="s">
        <v>19</v>
      </c>
      <c r="AT416" s="3" t="s">
        <v>20</v>
      </c>
      <c r="AU416" s="8" t="e">
        <f t="shared" si="39"/>
        <v>#VALUE!</v>
      </c>
      <c r="AV416" s="8" t="e">
        <f t="shared" si="40"/>
        <v>#VALUE!</v>
      </c>
      <c r="AW416" s="8" t="e">
        <f t="shared" si="41"/>
        <v>#VALUE!</v>
      </c>
    </row>
    <row r="417" spans="1:49" x14ac:dyDescent="0.2">
      <c r="A417">
        <v>415</v>
      </c>
      <c r="B417" t="s">
        <v>4418</v>
      </c>
      <c r="F417" t="s">
        <v>4419</v>
      </c>
      <c r="G417" t="s">
        <v>4</v>
      </c>
      <c r="H417" t="s">
        <v>5</v>
      </c>
      <c r="I417" t="s">
        <v>4420</v>
      </c>
      <c r="N417">
        <v>6</v>
      </c>
      <c r="O417" t="s">
        <v>4421</v>
      </c>
      <c r="P417" t="s">
        <v>4422</v>
      </c>
      <c r="Q417" t="s">
        <v>4423</v>
      </c>
      <c r="R417" s="1">
        <v>29952</v>
      </c>
      <c r="S417" s="2">
        <f t="shared" si="36"/>
        <v>1982</v>
      </c>
      <c r="T417" s="2">
        <v>1982</v>
      </c>
      <c r="U417" s="2">
        <f t="shared" si="37"/>
        <v>40</v>
      </c>
      <c r="V417" s="1" t="s">
        <v>4302</v>
      </c>
      <c r="W417" t="s">
        <v>2185</v>
      </c>
      <c r="X417" s="3">
        <v>0.14099999999999999</v>
      </c>
      <c r="Y417" s="4">
        <f>(X417-'[1]1982'!$Z$4)/('[1]1982'!$Z$3-'[1]1982'!$Z$4)</f>
        <v>3.7639144710498915E-3</v>
      </c>
      <c r="AA417">
        <v>402508</v>
      </c>
      <c r="AB417">
        <v>20868</v>
      </c>
      <c r="AD417" t="s">
        <v>15</v>
      </c>
      <c r="AE417" t="s">
        <v>2186</v>
      </c>
      <c r="AF417">
        <v>5</v>
      </c>
      <c r="AH417" t="s">
        <v>4424</v>
      </c>
      <c r="AI417" t="s">
        <v>4425</v>
      </c>
      <c r="AK417" t="s">
        <v>4426</v>
      </c>
      <c r="AL417">
        <v>0</v>
      </c>
      <c r="AM417" s="5">
        <f t="shared" si="38"/>
        <v>0</v>
      </c>
      <c r="AN417" s="6">
        <f>(AM417-'[1]1982'!$AO$4)/('[1]1982'!$AO$3-'[1]1982'!$AO$4)</f>
        <v>0</v>
      </c>
      <c r="AO417" s="7"/>
      <c r="AP417">
        <v>0</v>
      </c>
      <c r="AR417" t="s">
        <v>19</v>
      </c>
      <c r="AT417" s="3" t="s">
        <v>20</v>
      </c>
      <c r="AU417" s="8">
        <f t="shared" si="39"/>
        <v>0.26347401297349238</v>
      </c>
      <c r="AV417" s="8">
        <f t="shared" si="40"/>
        <v>0.18819572355249459</v>
      </c>
      <c r="AW417" s="8">
        <f t="shared" si="41"/>
        <v>0.11291743413149673</v>
      </c>
    </row>
    <row r="418" spans="1:49" x14ac:dyDescent="0.2">
      <c r="A418">
        <v>416</v>
      </c>
      <c r="B418" t="s">
        <v>4427</v>
      </c>
      <c r="F418" t="s">
        <v>4428</v>
      </c>
      <c r="G418" t="s">
        <v>4</v>
      </c>
      <c r="H418" t="s">
        <v>5</v>
      </c>
      <c r="I418" t="s">
        <v>4429</v>
      </c>
      <c r="N418">
        <v>2</v>
      </c>
      <c r="O418" t="s">
        <v>4430</v>
      </c>
      <c r="P418" t="s">
        <v>4431</v>
      </c>
      <c r="Q418" t="s">
        <v>156</v>
      </c>
      <c r="R418" s="1">
        <v>29952</v>
      </c>
      <c r="S418" s="2">
        <f t="shared" si="36"/>
        <v>1982</v>
      </c>
      <c r="T418" s="2">
        <v>1982</v>
      </c>
      <c r="U418" s="2">
        <f t="shared" si="37"/>
        <v>40</v>
      </c>
      <c r="V418" s="1" t="s">
        <v>4302</v>
      </c>
      <c r="W418" t="s">
        <v>2185</v>
      </c>
      <c r="X418" s="3">
        <v>0.14099999999999999</v>
      </c>
      <c r="Y418" s="4">
        <f>(X418-'[1]1982'!$Z$4)/('[1]1982'!$Z$3-'[1]1982'!$Z$4)</f>
        <v>3.7639144710498915E-3</v>
      </c>
      <c r="AA418">
        <v>402508</v>
      </c>
      <c r="AB418">
        <v>20868</v>
      </c>
      <c r="AD418" t="s">
        <v>15</v>
      </c>
      <c r="AE418" t="s">
        <v>2186</v>
      </c>
      <c r="AF418">
        <v>5</v>
      </c>
      <c r="AH418" t="s">
        <v>4432</v>
      </c>
      <c r="AI418" t="s">
        <v>4433</v>
      </c>
      <c r="AK418" t="s">
        <v>4434</v>
      </c>
      <c r="AL418">
        <v>0</v>
      </c>
      <c r="AM418" s="5">
        <f t="shared" si="38"/>
        <v>0</v>
      </c>
      <c r="AN418" s="6">
        <f>(AM418-'[1]1982'!$AO$4)/('[1]1982'!$AO$3-'[1]1982'!$AO$4)</f>
        <v>0</v>
      </c>
      <c r="AO418" s="7"/>
      <c r="AP418">
        <v>0</v>
      </c>
      <c r="AR418" t="s">
        <v>19</v>
      </c>
      <c r="AT418" s="3" t="s">
        <v>20</v>
      </c>
      <c r="AU418" s="8">
        <f t="shared" si="39"/>
        <v>0.26347401297349238</v>
      </c>
      <c r="AV418" s="8">
        <f t="shared" si="40"/>
        <v>0.18819572355249459</v>
      </c>
      <c r="AW418" s="8">
        <f t="shared" si="41"/>
        <v>0.11291743413149673</v>
      </c>
    </row>
    <row r="419" spans="1:49" x14ac:dyDescent="0.2">
      <c r="A419">
        <v>417</v>
      </c>
      <c r="B419" t="s">
        <v>4435</v>
      </c>
      <c r="C419" t="s">
        <v>4436</v>
      </c>
      <c r="F419" t="s">
        <v>4437</v>
      </c>
      <c r="G419" t="s">
        <v>4</v>
      </c>
      <c r="H419" t="s">
        <v>5</v>
      </c>
      <c r="I419" t="s">
        <v>4438</v>
      </c>
      <c r="N419">
        <v>2</v>
      </c>
      <c r="O419" t="s">
        <v>4439</v>
      </c>
      <c r="P419" t="s">
        <v>4440</v>
      </c>
      <c r="Q419" t="s">
        <v>156</v>
      </c>
      <c r="R419" s="1">
        <v>29952</v>
      </c>
      <c r="S419" s="2">
        <f t="shared" si="36"/>
        <v>1982</v>
      </c>
      <c r="T419" s="2">
        <v>1982</v>
      </c>
      <c r="U419" s="2">
        <f t="shared" si="37"/>
        <v>40</v>
      </c>
      <c r="V419" s="1" t="s">
        <v>1362</v>
      </c>
      <c r="W419" t="s">
        <v>2385</v>
      </c>
      <c r="X419" s="3">
        <v>0.371</v>
      </c>
      <c r="Y419" s="4">
        <f>(X419-'[1]1982'!$Z$4)/('[1]1982'!$Z$3-'[1]1982'!$Z$4)</f>
        <v>9.9036331117695747E-3</v>
      </c>
      <c r="AA419">
        <v>486604</v>
      </c>
      <c r="AB419">
        <v>28580</v>
      </c>
      <c r="AC419" t="s">
        <v>2386</v>
      </c>
      <c r="AD419" t="s">
        <v>15</v>
      </c>
      <c r="AE419">
        <v>17</v>
      </c>
      <c r="AF419">
        <v>3</v>
      </c>
      <c r="AH419" t="s">
        <v>4441</v>
      </c>
      <c r="AI419" t="s">
        <v>4442</v>
      </c>
      <c r="AK419" t="s">
        <v>4443</v>
      </c>
      <c r="AL419">
        <v>13</v>
      </c>
      <c r="AM419" s="5">
        <f t="shared" si="38"/>
        <v>0.32500000000000001</v>
      </c>
      <c r="AN419" s="6">
        <f>(AM419-'[1]1982'!$AO$4)/('[1]1982'!$AO$3-'[1]1982'!$AO$4)</f>
        <v>4.9223778871639533E-4</v>
      </c>
      <c r="AO419" s="7"/>
      <c r="AP419">
        <v>0</v>
      </c>
      <c r="AR419" t="s">
        <v>19</v>
      </c>
      <c r="AT419" s="3">
        <v>1.431</v>
      </c>
      <c r="AU419" s="8">
        <f t="shared" si="39"/>
        <v>0.708021451485362</v>
      </c>
      <c r="AV419" s="8">
        <f t="shared" si="40"/>
        <v>0.51979354502429853</v>
      </c>
      <c r="AW419" s="8">
        <f t="shared" si="41"/>
        <v>0.3315656385632349</v>
      </c>
    </row>
    <row r="420" spans="1:49" x14ac:dyDescent="0.2">
      <c r="A420">
        <v>418</v>
      </c>
      <c r="B420" t="s">
        <v>4444</v>
      </c>
      <c r="C420" t="s">
        <v>4445</v>
      </c>
      <c r="F420" t="s">
        <v>4446</v>
      </c>
      <c r="G420" t="s">
        <v>4</v>
      </c>
      <c r="H420" t="s">
        <v>5</v>
      </c>
      <c r="I420" t="s">
        <v>4447</v>
      </c>
      <c r="J420">
        <v>60000745</v>
      </c>
      <c r="K420" t="s">
        <v>1500</v>
      </c>
      <c r="L420" t="s">
        <v>1501</v>
      </c>
      <c r="M420" t="s">
        <v>9</v>
      </c>
      <c r="N420">
        <v>3</v>
      </c>
      <c r="O420" t="s">
        <v>4448</v>
      </c>
      <c r="P420" t="s">
        <v>4449</v>
      </c>
      <c r="Q420" t="s">
        <v>4450</v>
      </c>
      <c r="R420" s="1">
        <v>29952</v>
      </c>
      <c r="S420" s="2">
        <f t="shared" si="36"/>
        <v>1982</v>
      </c>
      <c r="T420" s="2">
        <v>1982</v>
      </c>
      <c r="U420" s="2">
        <f t="shared" si="37"/>
        <v>40</v>
      </c>
      <c r="V420" s="1">
        <v>30072</v>
      </c>
      <c r="W420" t="s">
        <v>1117</v>
      </c>
      <c r="X420" s="3">
        <v>1.6519999999999999</v>
      </c>
      <c r="Y420" s="4">
        <f>(X420-'[1]1982'!$Z$4)/('[1]1982'!$Z$3-'[1]1982'!$Z$4)</f>
        <v>4.409919649769093E-2</v>
      </c>
      <c r="AA420" t="s">
        <v>1118</v>
      </c>
      <c r="AB420">
        <v>17337</v>
      </c>
      <c r="AC420">
        <v>15582221</v>
      </c>
      <c r="AD420" t="s">
        <v>15</v>
      </c>
      <c r="AE420">
        <v>30</v>
      </c>
      <c r="AF420">
        <v>3</v>
      </c>
      <c r="AH420" t="s">
        <v>4451</v>
      </c>
      <c r="AI420" t="s">
        <v>4452</v>
      </c>
      <c r="AK420" t="s">
        <v>4453</v>
      </c>
      <c r="AL420">
        <v>8</v>
      </c>
      <c r="AM420" s="5">
        <f t="shared" si="38"/>
        <v>0.2</v>
      </c>
      <c r="AN420" s="6">
        <f>(AM420-'[1]1982'!$AO$4)/('[1]1982'!$AO$3-'[1]1982'!$AO$4)</f>
        <v>3.0291556228701253E-4</v>
      </c>
      <c r="AO420" s="7"/>
      <c r="AP420">
        <v>0</v>
      </c>
      <c r="AR420" t="s">
        <v>19</v>
      </c>
      <c r="AT420" s="3" t="s">
        <v>20</v>
      </c>
      <c r="AU420" s="8">
        <f t="shared" si="39"/>
        <v>3.0960312217069754</v>
      </c>
      <c r="AV420" s="8">
        <f t="shared" si="40"/>
        <v>2.2201056029988968</v>
      </c>
      <c r="AW420" s="8">
        <f t="shared" si="41"/>
        <v>1.3441799842908186</v>
      </c>
    </row>
    <row r="421" spans="1:49" x14ac:dyDescent="0.2">
      <c r="A421">
        <v>419</v>
      </c>
      <c r="B421" t="s">
        <v>4454</v>
      </c>
      <c r="C421" t="s">
        <v>4455</v>
      </c>
      <c r="F421" t="s">
        <v>4456</v>
      </c>
      <c r="G421" t="s">
        <v>4</v>
      </c>
      <c r="H421" t="s">
        <v>5</v>
      </c>
      <c r="I421" t="s">
        <v>4457</v>
      </c>
      <c r="J421">
        <v>60021378</v>
      </c>
      <c r="K421" t="s">
        <v>1539</v>
      </c>
      <c r="L421" t="s">
        <v>1540</v>
      </c>
      <c r="M421" t="s">
        <v>9</v>
      </c>
      <c r="N421">
        <v>3</v>
      </c>
      <c r="O421" t="s">
        <v>4458</v>
      </c>
      <c r="P421" t="s">
        <v>4459</v>
      </c>
      <c r="Q421" t="s">
        <v>1543</v>
      </c>
      <c r="R421" s="1">
        <v>29952</v>
      </c>
      <c r="S421" s="2">
        <f t="shared" si="36"/>
        <v>1982</v>
      </c>
      <c r="T421" s="2">
        <v>1982</v>
      </c>
      <c r="U421" s="2">
        <f t="shared" si="37"/>
        <v>40</v>
      </c>
      <c r="V421" s="1">
        <v>30072</v>
      </c>
      <c r="W421" t="s">
        <v>2778</v>
      </c>
      <c r="X421" s="3">
        <v>1.468</v>
      </c>
      <c r="Y421" s="4">
        <f>(X421-'[1]1982'!$Z$4)/('[1]1982'!$Z$3-'[1]1982'!$Z$4)</f>
        <v>3.9187421585115186E-2</v>
      </c>
      <c r="AA421">
        <v>906778</v>
      </c>
      <c r="AB421">
        <v>18931</v>
      </c>
      <c r="AD421" t="s">
        <v>15</v>
      </c>
      <c r="AE421">
        <v>30</v>
      </c>
      <c r="AF421">
        <v>5</v>
      </c>
      <c r="AH421" t="s">
        <v>4460</v>
      </c>
      <c r="AI421" t="s">
        <v>4461</v>
      </c>
      <c r="AK421" t="s">
        <v>4462</v>
      </c>
      <c r="AL421">
        <v>1</v>
      </c>
      <c r="AM421" s="5">
        <f t="shared" si="38"/>
        <v>2.5000000000000001E-2</v>
      </c>
      <c r="AN421" s="6">
        <f>(AM421-'[1]1982'!$AO$4)/('[1]1982'!$AO$3-'[1]1982'!$AO$4)</f>
        <v>3.7864445285876567E-5</v>
      </c>
      <c r="AO421" s="7"/>
      <c r="AP421">
        <v>0</v>
      </c>
      <c r="AR421" t="s">
        <v>19</v>
      </c>
      <c r="AT421" s="3">
        <v>5.0830000000000002</v>
      </c>
      <c r="AU421" s="8">
        <f t="shared" si="39"/>
        <v>2.7442554443166389</v>
      </c>
      <c r="AV421" s="8">
        <f t="shared" si="40"/>
        <v>1.961264301520053</v>
      </c>
      <c r="AW421" s="8">
        <f t="shared" si="41"/>
        <v>1.1782731587234669</v>
      </c>
    </row>
    <row r="422" spans="1:49" x14ac:dyDescent="0.2">
      <c r="A422">
        <v>420</v>
      </c>
      <c r="B422" t="s">
        <v>4463</v>
      </c>
      <c r="C422" t="s">
        <v>4464</v>
      </c>
      <c r="F422" t="s">
        <v>4465</v>
      </c>
      <c r="G422" t="s">
        <v>4</v>
      </c>
      <c r="H422" t="s">
        <v>5</v>
      </c>
      <c r="I422" t="s">
        <v>4466</v>
      </c>
      <c r="J422">
        <v>60012708</v>
      </c>
      <c r="K422" t="s">
        <v>4467</v>
      </c>
      <c r="L422" t="s">
        <v>2645</v>
      </c>
      <c r="M422" t="s">
        <v>9</v>
      </c>
      <c r="N422">
        <v>4</v>
      </c>
      <c r="O422" t="s">
        <v>4468</v>
      </c>
      <c r="P422" t="s">
        <v>4469</v>
      </c>
      <c r="Q422" t="s">
        <v>4470</v>
      </c>
      <c r="R422" s="1">
        <v>29952</v>
      </c>
      <c r="S422" s="2">
        <f t="shared" si="36"/>
        <v>1982</v>
      </c>
      <c r="T422" s="2">
        <v>1982</v>
      </c>
      <c r="U422" s="2">
        <f t="shared" si="37"/>
        <v>40</v>
      </c>
      <c r="V422" s="1">
        <v>30072</v>
      </c>
      <c r="W422" t="s">
        <v>1117</v>
      </c>
      <c r="X422" s="3">
        <v>1.6519999999999999</v>
      </c>
      <c r="Y422" s="4">
        <f>(X422-'[1]1982'!$Z$4)/('[1]1982'!$Z$3-'[1]1982'!$Z$4)</f>
        <v>4.409919649769093E-2</v>
      </c>
      <c r="AA422" t="s">
        <v>1118</v>
      </c>
      <c r="AB422">
        <v>17337</v>
      </c>
      <c r="AC422">
        <v>15582221</v>
      </c>
      <c r="AD422" t="s">
        <v>15</v>
      </c>
      <c r="AE422">
        <v>30</v>
      </c>
      <c r="AF422">
        <v>3</v>
      </c>
      <c r="AH422" t="s">
        <v>4471</v>
      </c>
      <c r="AI422" t="s">
        <v>4472</v>
      </c>
      <c r="AK422" t="s">
        <v>4473</v>
      </c>
      <c r="AL422">
        <v>245</v>
      </c>
      <c r="AM422" s="5">
        <f t="shared" si="38"/>
        <v>6.125</v>
      </c>
      <c r="AN422" s="6">
        <f>(AM422-'[1]1982'!$AO$4)/('[1]1982'!$AO$3-'[1]1982'!$AO$4)</f>
        <v>9.2767890950397579E-3</v>
      </c>
      <c r="AO422" s="7"/>
      <c r="AP422">
        <v>0</v>
      </c>
      <c r="AR422" t="s">
        <v>19</v>
      </c>
      <c r="AT422" s="3" t="s">
        <v>20</v>
      </c>
      <c r="AU422" s="8">
        <f t="shared" si="39"/>
        <v>3.3652474276895576</v>
      </c>
      <c r="AV422" s="8">
        <f t="shared" si="40"/>
        <v>2.6687992796365343</v>
      </c>
      <c r="AW422" s="8">
        <f t="shared" si="41"/>
        <v>1.9723511315835107</v>
      </c>
    </row>
    <row r="423" spans="1:49" x14ac:dyDescent="0.2">
      <c r="A423">
        <v>421</v>
      </c>
      <c r="B423" t="s">
        <v>4474</v>
      </c>
      <c r="C423" t="s">
        <v>4475</v>
      </c>
      <c r="F423" t="s">
        <v>4476</v>
      </c>
      <c r="G423" t="s">
        <v>4</v>
      </c>
      <c r="H423" t="s">
        <v>5</v>
      </c>
      <c r="I423" t="s">
        <v>4477</v>
      </c>
      <c r="J423">
        <v>60014097</v>
      </c>
      <c r="K423" t="s">
        <v>4478</v>
      </c>
      <c r="L423" t="s">
        <v>4479</v>
      </c>
      <c r="M423" t="s">
        <v>640</v>
      </c>
      <c r="N423">
        <v>2</v>
      </c>
      <c r="O423" t="s">
        <v>4480</v>
      </c>
      <c r="P423" t="s">
        <v>4481</v>
      </c>
      <c r="Q423" t="s">
        <v>4482</v>
      </c>
      <c r="R423" s="1">
        <v>29952</v>
      </c>
      <c r="S423" s="2">
        <f t="shared" si="36"/>
        <v>1982</v>
      </c>
      <c r="T423" s="2">
        <v>1982</v>
      </c>
      <c r="U423" s="2">
        <f t="shared" si="37"/>
        <v>40</v>
      </c>
      <c r="V423" s="1">
        <v>30072</v>
      </c>
      <c r="W423" t="s">
        <v>1117</v>
      </c>
      <c r="X423" s="3">
        <v>1.6519999999999999</v>
      </c>
      <c r="Y423" s="4">
        <f>(X423-'[1]1982'!$Z$4)/('[1]1982'!$Z$3-'[1]1982'!$Z$4)</f>
        <v>4.409919649769093E-2</v>
      </c>
      <c r="AA423" t="s">
        <v>1118</v>
      </c>
      <c r="AB423">
        <v>17337</v>
      </c>
      <c r="AC423">
        <v>15582221</v>
      </c>
      <c r="AD423" t="s">
        <v>15</v>
      </c>
      <c r="AE423">
        <v>30</v>
      </c>
      <c r="AF423">
        <v>3</v>
      </c>
      <c r="AH423" t="s">
        <v>4483</v>
      </c>
      <c r="AI423" t="s">
        <v>4484</v>
      </c>
      <c r="AK423" t="s">
        <v>4485</v>
      </c>
      <c r="AL423">
        <v>4</v>
      </c>
      <c r="AM423" s="5">
        <f t="shared" si="38"/>
        <v>0.1</v>
      </c>
      <c r="AN423" s="6">
        <f>(AM423-'[1]1982'!$AO$4)/('[1]1982'!$AO$3-'[1]1982'!$AO$4)</f>
        <v>1.5145778114350627E-4</v>
      </c>
      <c r="AO423" s="7"/>
      <c r="AP423">
        <v>0</v>
      </c>
      <c r="AR423" t="s">
        <v>19</v>
      </c>
      <c r="AT423" s="3" t="s">
        <v>20</v>
      </c>
      <c r="AU423" s="8">
        <f t="shared" si="39"/>
        <v>3.0914874882726702</v>
      </c>
      <c r="AV423" s="8">
        <f t="shared" si="40"/>
        <v>2.2125327139417217</v>
      </c>
      <c r="AW423" s="8">
        <f t="shared" si="41"/>
        <v>1.3335779396107732</v>
      </c>
    </row>
    <row r="424" spans="1:49" x14ac:dyDescent="0.2">
      <c r="A424">
        <v>422</v>
      </c>
      <c r="B424" t="s">
        <v>4486</v>
      </c>
      <c r="C424" t="s">
        <v>4487</v>
      </c>
      <c r="F424" t="s">
        <v>4488</v>
      </c>
      <c r="G424" t="s">
        <v>4</v>
      </c>
      <c r="H424" t="s">
        <v>5</v>
      </c>
      <c r="I424" t="s">
        <v>4489</v>
      </c>
      <c r="N424">
        <v>2</v>
      </c>
      <c r="O424" t="s">
        <v>4490</v>
      </c>
      <c r="P424" t="s">
        <v>4491</v>
      </c>
      <c r="Q424" t="s">
        <v>156</v>
      </c>
      <c r="R424" s="1">
        <v>29952</v>
      </c>
      <c r="S424" s="2">
        <f t="shared" si="36"/>
        <v>1982</v>
      </c>
      <c r="T424" s="2">
        <v>1982</v>
      </c>
      <c r="U424" s="2">
        <f t="shared" si="37"/>
        <v>40</v>
      </c>
      <c r="V424" s="1" t="s">
        <v>1362</v>
      </c>
      <c r="W424" t="s">
        <v>2385</v>
      </c>
      <c r="X424" s="3">
        <v>0.371</v>
      </c>
      <c r="Y424" s="4">
        <f>(X424-'[1]1982'!$Z$4)/('[1]1982'!$Z$3-'[1]1982'!$Z$4)</f>
        <v>9.9036331117695747E-3</v>
      </c>
      <c r="AA424">
        <v>486604</v>
      </c>
      <c r="AB424">
        <v>28580</v>
      </c>
      <c r="AC424" t="s">
        <v>2386</v>
      </c>
      <c r="AD424" t="s">
        <v>15</v>
      </c>
      <c r="AE424">
        <v>17</v>
      </c>
      <c r="AF424">
        <v>3</v>
      </c>
      <c r="AH424" t="s">
        <v>4492</v>
      </c>
      <c r="AI424" t="s">
        <v>4493</v>
      </c>
      <c r="AK424" t="s">
        <v>4494</v>
      </c>
      <c r="AL424">
        <v>24</v>
      </c>
      <c r="AM424" s="5">
        <f t="shared" si="38"/>
        <v>0.6</v>
      </c>
      <c r="AN424" s="6">
        <f>(AM424-'[1]1982'!$AO$4)/('[1]1982'!$AO$3-'[1]1982'!$AO$4)</f>
        <v>9.0874668686103744E-4</v>
      </c>
      <c r="AO424" s="7"/>
      <c r="AP424">
        <v>0</v>
      </c>
      <c r="AR424" t="s">
        <v>19</v>
      </c>
      <c r="AT424" s="3">
        <v>1.431</v>
      </c>
      <c r="AU424" s="8">
        <f t="shared" si="39"/>
        <v>0.72051671842970122</v>
      </c>
      <c r="AV424" s="8">
        <f t="shared" si="40"/>
        <v>0.54061898993153057</v>
      </c>
      <c r="AW424" s="8">
        <f t="shared" si="41"/>
        <v>0.36072126143335986</v>
      </c>
    </row>
    <row r="425" spans="1:49" x14ac:dyDescent="0.2">
      <c r="A425">
        <v>423</v>
      </c>
      <c r="B425" t="s">
        <v>4495</v>
      </c>
      <c r="C425" t="s">
        <v>4496</v>
      </c>
      <c r="F425" t="s">
        <v>4497</v>
      </c>
      <c r="G425" t="s">
        <v>4</v>
      </c>
      <c r="H425" t="s">
        <v>5</v>
      </c>
      <c r="I425" t="s">
        <v>4498</v>
      </c>
      <c r="J425">
        <v>60000461</v>
      </c>
      <c r="K425" t="s">
        <v>3011</v>
      </c>
      <c r="L425" t="s">
        <v>3012</v>
      </c>
      <c r="M425" t="s">
        <v>9</v>
      </c>
      <c r="N425">
        <v>1</v>
      </c>
      <c r="O425" t="s">
        <v>4499</v>
      </c>
      <c r="P425">
        <v>6602095518</v>
      </c>
      <c r="Q425">
        <v>60000461</v>
      </c>
      <c r="R425" s="1">
        <v>29952</v>
      </c>
      <c r="S425" s="2">
        <f t="shared" si="36"/>
        <v>1982</v>
      </c>
      <c r="T425" s="2">
        <v>1982</v>
      </c>
      <c r="U425" s="2">
        <f t="shared" si="37"/>
        <v>40</v>
      </c>
      <c r="V425" s="1">
        <v>30072</v>
      </c>
      <c r="W425" t="s">
        <v>2551</v>
      </c>
      <c r="X425" s="3">
        <v>0.65500000000000003</v>
      </c>
      <c r="Y425" s="4">
        <f>(X425-'[1]1982'!$Z$4)/('[1]1982'!$Z$3-'[1]1982'!$Z$4)</f>
        <v>1.7484850911614749E-2</v>
      </c>
      <c r="AA425">
        <v>189375</v>
      </c>
      <c r="AB425">
        <v>26051</v>
      </c>
      <c r="AC425" t="s">
        <v>2552</v>
      </c>
      <c r="AD425" t="s">
        <v>15</v>
      </c>
      <c r="AE425" t="s">
        <v>2553</v>
      </c>
      <c r="AF425">
        <v>2</v>
      </c>
      <c r="AH425" t="s">
        <v>1821</v>
      </c>
      <c r="AI425" t="s">
        <v>4500</v>
      </c>
      <c r="AJ425" t="s">
        <v>4501</v>
      </c>
      <c r="AK425" t="s">
        <v>4502</v>
      </c>
      <c r="AL425">
        <v>14</v>
      </c>
      <c r="AM425" s="5">
        <f t="shared" si="38"/>
        <v>0.35</v>
      </c>
      <c r="AN425" s="6">
        <f>(AM425-'[1]1982'!$AO$4)/('[1]1982'!$AO$3-'[1]1982'!$AO$4)</f>
        <v>5.3010223400227184E-4</v>
      </c>
      <c r="AO425" s="7"/>
      <c r="AP425">
        <v>0</v>
      </c>
      <c r="AR425" t="s">
        <v>19</v>
      </c>
      <c r="AT425" s="3" t="s">
        <v>20</v>
      </c>
      <c r="AU425" s="8">
        <f t="shared" si="39"/>
        <v>1.2398426308331005</v>
      </c>
      <c r="AV425" s="8">
        <f t="shared" si="40"/>
        <v>0.90074765728085116</v>
      </c>
      <c r="AW425" s="8">
        <f t="shared" si="41"/>
        <v>0.56165268372860155</v>
      </c>
    </row>
    <row r="426" spans="1:49" x14ac:dyDescent="0.2">
      <c r="A426">
        <v>424</v>
      </c>
      <c r="B426" t="s">
        <v>4503</v>
      </c>
      <c r="C426" t="s">
        <v>4504</v>
      </c>
      <c r="F426" t="s">
        <v>4505</v>
      </c>
      <c r="G426" t="s">
        <v>4</v>
      </c>
      <c r="H426" t="s">
        <v>5</v>
      </c>
      <c r="I426" t="s">
        <v>4506</v>
      </c>
      <c r="J426" t="s">
        <v>4507</v>
      </c>
      <c r="K426" t="s">
        <v>4508</v>
      </c>
      <c r="L426" t="s">
        <v>4509</v>
      </c>
      <c r="M426" t="s">
        <v>218</v>
      </c>
      <c r="N426">
        <v>2</v>
      </c>
      <c r="O426" t="s">
        <v>4510</v>
      </c>
      <c r="P426" t="s">
        <v>4511</v>
      </c>
      <c r="Q426" t="s">
        <v>4507</v>
      </c>
      <c r="R426" s="1">
        <v>29952</v>
      </c>
      <c r="S426" s="2">
        <f t="shared" si="36"/>
        <v>1982</v>
      </c>
      <c r="T426" s="2">
        <v>1982</v>
      </c>
      <c r="U426" s="2">
        <f t="shared" si="37"/>
        <v>40</v>
      </c>
      <c r="V426" s="1">
        <v>30072</v>
      </c>
      <c r="W426" t="s">
        <v>1117</v>
      </c>
      <c r="X426" s="3">
        <v>1.6519999999999999</v>
      </c>
      <c r="Y426" s="4">
        <f>(X426-'[1]1982'!$Z$4)/('[1]1982'!$Z$3-'[1]1982'!$Z$4)</f>
        <v>4.409919649769093E-2</v>
      </c>
      <c r="AA426" t="s">
        <v>1118</v>
      </c>
      <c r="AB426">
        <v>17337</v>
      </c>
      <c r="AC426">
        <v>15582221</v>
      </c>
      <c r="AD426" t="s">
        <v>15</v>
      </c>
      <c r="AE426">
        <v>30</v>
      </c>
      <c r="AF426">
        <v>3</v>
      </c>
      <c r="AH426" t="s">
        <v>4512</v>
      </c>
      <c r="AI426" t="s">
        <v>4513</v>
      </c>
      <c r="AK426" t="s">
        <v>4514</v>
      </c>
      <c r="AL426">
        <v>34</v>
      </c>
      <c r="AM426" s="5">
        <f t="shared" si="38"/>
        <v>0.85</v>
      </c>
      <c r="AN426" s="6">
        <f>(AM426-'[1]1982'!$AO$4)/('[1]1982'!$AO$3-'[1]1982'!$AO$4)</f>
        <v>1.2873911397198031E-3</v>
      </c>
      <c r="AO426" s="7"/>
      <c r="AP426">
        <v>0</v>
      </c>
      <c r="AR426" t="s">
        <v>19</v>
      </c>
      <c r="AT426" s="3" t="s">
        <v>20</v>
      </c>
      <c r="AU426" s="8">
        <f t="shared" si="39"/>
        <v>3.1255654890299591</v>
      </c>
      <c r="AV426" s="8">
        <f t="shared" si="40"/>
        <v>2.2693293818705369</v>
      </c>
      <c r="AW426" s="8">
        <f t="shared" si="41"/>
        <v>1.413093274711114</v>
      </c>
    </row>
    <row r="427" spans="1:49" x14ac:dyDescent="0.2">
      <c r="A427">
        <v>425</v>
      </c>
      <c r="B427" t="s">
        <v>4515</v>
      </c>
      <c r="C427" t="s">
        <v>4516</v>
      </c>
      <c r="F427" t="s">
        <v>4517</v>
      </c>
      <c r="G427" t="s">
        <v>4</v>
      </c>
      <c r="H427" t="s">
        <v>5</v>
      </c>
      <c r="I427" t="s">
        <v>4518</v>
      </c>
      <c r="J427" t="s">
        <v>4519</v>
      </c>
      <c r="K427" t="s">
        <v>4520</v>
      </c>
      <c r="L427" t="s">
        <v>4521</v>
      </c>
      <c r="M427" t="s">
        <v>218</v>
      </c>
      <c r="N427">
        <v>2</v>
      </c>
      <c r="O427" t="s">
        <v>4522</v>
      </c>
      <c r="P427" t="s">
        <v>4523</v>
      </c>
      <c r="Q427" t="s">
        <v>4524</v>
      </c>
      <c r="R427" s="1">
        <v>29952</v>
      </c>
      <c r="S427" s="2">
        <f t="shared" si="36"/>
        <v>1982</v>
      </c>
      <c r="T427" s="2">
        <v>1982</v>
      </c>
      <c r="U427" s="2">
        <f t="shared" si="37"/>
        <v>40</v>
      </c>
      <c r="V427" s="1">
        <v>30072</v>
      </c>
      <c r="W427" t="s">
        <v>1117</v>
      </c>
      <c r="X427" s="3">
        <v>1.6519999999999999</v>
      </c>
      <c r="Y427" s="4">
        <f>(X427-'[1]1982'!$Z$4)/('[1]1982'!$Z$3-'[1]1982'!$Z$4)</f>
        <v>4.409919649769093E-2</v>
      </c>
      <c r="AA427" t="s">
        <v>1118</v>
      </c>
      <c r="AB427">
        <v>17337</v>
      </c>
      <c r="AC427">
        <v>15582221</v>
      </c>
      <c r="AD427" t="s">
        <v>15</v>
      </c>
      <c r="AE427">
        <v>30</v>
      </c>
      <c r="AF427">
        <v>3</v>
      </c>
      <c r="AH427" t="s">
        <v>4525</v>
      </c>
      <c r="AI427" t="s">
        <v>4526</v>
      </c>
      <c r="AK427" t="s">
        <v>4527</v>
      </c>
      <c r="AL427">
        <v>13</v>
      </c>
      <c r="AM427" s="5">
        <f t="shared" si="38"/>
        <v>0.32500000000000001</v>
      </c>
      <c r="AN427" s="6">
        <f>(AM427-'[1]1982'!$AO$4)/('[1]1982'!$AO$3-'[1]1982'!$AO$4)</f>
        <v>4.9223778871639533E-4</v>
      </c>
      <c r="AO427" s="7"/>
      <c r="AP427">
        <v>0</v>
      </c>
      <c r="AR427" t="s">
        <v>19</v>
      </c>
      <c r="AT427" s="3" t="s">
        <v>20</v>
      </c>
      <c r="AU427" s="8">
        <f t="shared" si="39"/>
        <v>3.101710888499857</v>
      </c>
      <c r="AV427" s="8">
        <f t="shared" si="40"/>
        <v>2.2295717143203664</v>
      </c>
      <c r="AW427" s="8">
        <f t="shared" si="41"/>
        <v>1.3574325401408756</v>
      </c>
    </row>
    <row r="428" spans="1:49" x14ac:dyDescent="0.2">
      <c r="A428">
        <v>426</v>
      </c>
      <c r="B428" t="s">
        <v>4528</v>
      </c>
      <c r="C428" t="s">
        <v>4529</v>
      </c>
      <c r="F428" t="s">
        <v>4530</v>
      </c>
      <c r="G428" t="s">
        <v>4</v>
      </c>
      <c r="H428" t="s">
        <v>5</v>
      </c>
      <c r="I428" t="s">
        <v>4531</v>
      </c>
      <c r="J428">
        <v>60033252</v>
      </c>
      <c r="K428" t="s">
        <v>4532</v>
      </c>
      <c r="L428" t="s">
        <v>4533</v>
      </c>
      <c r="M428" t="s">
        <v>9</v>
      </c>
      <c r="N428">
        <v>4</v>
      </c>
      <c r="O428" t="s">
        <v>4534</v>
      </c>
      <c r="P428" t="s">
        <v>4535</v>
      </c>
      <c r="Q428" t="s">
        <v>4536</v>
      </c>
      <c r="R428" s="1">
        <v>29952</v>
      </c>
      <c r="S428" s="2">
        <f t="shared" si="36"/>
        <v>1982</v>
      </c>
      <c r="T428" s="2">
        <v>1982</v>
      </c>
      <c r="U428" s="2">
        <f t="shared" si="37"/>
        <v>40</v>
      </c>
      <c r="V428" s="1">
        <v>30072</v>
      </c>
      <c r="W428" t="s">
        <v>1795</v>
      </c>
      <c r="X428" s="3">
        <v>1.3720000000000001</v>
      </c>
      <c r="Y428" s="4">
        <f>(X428-'[1]1982'!$Z$4)/('[1]1982'!$Z$3-'[1]1982'!$Z$4)</f>
        <v>3.662475641333654E-2</v>
      </c>
      <c r="AA428">
        <v>189480</v>
      </c>
      <c r="AB428">
        <v>17366</v>
      </c>
      <c r="AC428">
        <v>15579670</v>
      </c>
      <c r="AD428" t="s">
        <v>15</v>
      </c>
      <c r="AE428">
        <v>30</v>
      </c>
      <c r="AF428">
        <v>5</v>
      </c>
      <c r="AH428" t="s">
        <v>4537</v>
      </c>
      <c r="AI428" t="s">
        <v>4538</v>
      </c>
      <c r="AK428" t="s">
        <v>4539</v>
      </c>
      <c r="AL428">
        <v>14</v>
      </c>
      <c r="AM428" s="5">
        <f t="shared" si="38"/>
        <v>0.35</v>
      </c>
      <c r="AN428" s="6">
        <f>(AM428-'[1]1982'!$AO$4)/('[1]1982'!$AO$3-'[1]1982'!$AO$4)</f>
        <v>5.3010223400227184E-4</v>
      </c>
      <c r="AO428" s="7"/>
      <c r="AP428">
        <v>0</v>
      </c>
      <c r="AR428" t="s">
        <v>19</v>
      </c>
      <c r="AT428" s="3" t="s">
        <v>20</v>
      </c>
      <c r="AU428" s="8">
        <f t="shared" si="39"/>
        <v>2.5796360159536258</v>
      </c>
      <c r="AV428" s="8">
        <f t="shared" si="40"/>
        <v>1.8577429323669408</v>
      </c>
      <c r="AW428" s="8">
        <f t="shared" si="41"/>
        <v>1.1358498487802553</v>
      </c>
    </row>
    <row r="429" spans="1:49" x14ac:dyDescent="0.2">
      <c r="A429">
        <v>427</v>
      </c>
      <c r="B429" t="s">
        <v>4540</v>
      </c>
      <c r="C429" t="s">
        <v>4541</v>
      </c>
      <c r="F429" t="s">
        <v>4542</v>
      </c>
      <c r="G429" t="s">
        <v>4</v>
      </c>
      <c r="H429" t="s">
        <v>5</v>
      </c>
      <c r="I429" t="s">
        <v>4543</v>
      </c>
      <c r="J429">
        <v>60027950</v>
      </c>
      <c r="K429" t="s">
        <v>4544</v>
      </c>
      <c r="L429" t="s">
        <v>4545</v>
      </c>
      <c r="M429" t="s">
        <v>9</v>
      </c>
      <c r="N429">
        <v>1</v>
      </c>
      <c r="O429" t="s">
        <v>4546</v>
      </c>
      <c r="P429">
        <v>35779178500</v>
      </c>
      <c r="Q429">
        <v>60027950</v>
      </c>
      <c r="R429" s="1">
        <v>29952</v>
      </c>
      <c r="S429" s="2">
        <f t="shared" si="36"/>
        <v>1982</v>
      </c>
      <c r="T429" s="2">
        <v>1982</v>
      </c>
      <c r="U429" s="2">
        <f t="shared" si="37"/>
        <v>40</v>
      </c>
      <c r="V429" s="1">
        <v>30072</v>
      </c>
      <c r="W429" t="s">
        <v>1117</v>
      </c>
      <c r="X429" s="3">
        <v>1.6519999999999999</v>
      </c>
      <c r="Y429" s="4">
        <f>(X429-'[1]1982'!$Z$4)/('[1]1982'!$Z$3-'[1]1982'!$Z$4)</f>
        <v>4.409919649769093E-2</v>
      </c>
      <c r="AA429" t="s">
        <v>1118</v>
      </c>
      <c r="AB429">
        <v>17337</v>
      </c>
      <c r="AC429">
        <v>15582221</v>
      </c>
      <c r="AD429" t="s">
        <v>15</v>
      </c>
      <c r="AE429">
        <v>30</v>
      </c>
      <c r="AF429">
        <v>3</v>
      </c>
      <c r="AH429" t="s">
        <v>4547</v>
      </c>
      <c r="AI429" t="s">
        <v>4548</v>
      </c>
      <c r="AK429" t="s">
        <v>4549</v>
      </c>
      <c r="AL429">
        <v>3</v>
      </c>
      <c r="AM429" s="5">
        <f t="shared" si="38"/>
        <v>7.4999999999999997E-2</v>
      </c>
      <c r="AN429" s="6">
        <f>(AM429-'[1]1982'!$AO$4)/('[1]1982'!$AO$3-'[1]1982'!$AO$4)</f>
        <v>1.1359333585762968E-4</v>
      </c>
      <c r="AO429" s="7"/>
      <c r="AP429">
        <v>0</v>
      </c>
      <c r="AR429" t="s">
        <v>19</v>
      </c>
      <c r="AT429" s="3" t="s">
        <v>20</v>
      </c>
      <c r="AU429" s="8">
        <f t="shared" si="39"/>
        <v>3.0903515549140939</v>
      </c>
      <c r="AV429" s="8">
        <f t="shared" si="40"/>
        <v>2.2106394916774281</v>
      </c>
      <c r="AW429" s="8">
        <f t="shared" si="41"/>
        <v>1.330927428440762</v>
      </c>
    </row>
    <row r="430" spans="1:49" x14ac:dyDescent="0.2">
      <c r="A430">
        <v>428</v>
      </c>
      <c r="B430" t="s">
        <v>4550</v>
      </c>
      <c r="F430" t="s">
        <v>4551</v>
      </c>
      <c r="G430" t="s">
        <v>4</v>
      </c>
      <c r="H430" t="s">
        <v>5</v>
      </c>
      <c r="I430" t="s">
        <v>2182</v>
      </c>
      <c r="N430">
        <v>2</v>
      </c>
      <c r="O430" t="s">
        <v>2183</v>
      </c>
      <c r="P430" t="s">
        <v>2184</v>
      </c>
      <c r="Q430" t="s">
        <v>156</v>
      </c>
      <c r="R430" s="1">
        <v>29952</v>
      </c>
      <c r="S430" s="2">
        <f t="shared" si="36"/>
        <v>1982</v>
      </c>
      <c r="T430" s="2">
        <v>1982</v>
      </c>
      <c r="U430" s="2">
        <f t="shared" si="37"/>
        <v>40</v>
      </c>
      <c r="V430" s="1" t="s">
        <v>4302</v>
      </c>
      <c r="W430" t="s">
        <v>2185</v>
      </c>
      <c r="X430" s="3">
        <v>0.14099999999999999</v>
      </c>
      <c r="Y430" s="4">
        <f>(X430-'[1]1982'!$Z$4)/('[1]1982'!$Z$3-'[1]1982'!$Z$4)</f>
        <v>3.7639144710498915E-3</v>
      </c>
      <c r="AA430">
        <v>402508</v>
      </c>
      <c r="AB430">
        <v>20868</v>
      </c>
      <c r="AD430" t="s">
        <v>15</v>
      </c>
      <c r="AE430" t="s">
        <v>2186</v>
      </c>
      <c r="AF430">
        <v>5</v>
      </c>
      <c r="AH430" t="s">
        <v>4552</v>
      </c>
      <c r="AI430" t="s">
        <v>4553</v>
      </c>
      <c r="AK430" t="s">
        <v>4554</v>
      </c>
      <c r="AL430">
        <v>0</v>
      </c>
      <c r="AM430" s="5">
        <f t="shared" si="38"/>
        <v>0</v>
      </c>
      <c r="AN430" s="6">
        <f>(AM430-'[1]1982'!$AO$4)/('[1]1982'!$AO$3-'[1]1982'!$AO$4)</f>
        <v>0</v>
      </c>
      <c r="AO430" s="7"/>
      <c r="AP430">
        <v>0</v>
      </c>
      <c r="AR430" t="s">
        <v>19</v>
      </c>
      <c r="AT430" s="3" t="s">
        <v>20</v>
      </c>
      <c r="AU430" s="8">
        <f t="shared" si="39"/>
        <v>0.26347401297349238</v>
      </c>
      <c r="AV430" s="8">
        <f t="shared" si="40"/>
        <v>0.18819572355249459</v>
      </c>
      <c r="AW430" s="8">
        <f t="shared" si="41"/>
        <v>0.11291743413149673</v>
      </c>
    </row>
    <row r="431" spans="1:49" x14ac:dyDescent="0.2">
      <c r="A431">
        <v>429</v>
      </c>
      <c r="B431" t="s">
        <v>4555</v>
      </c>
      <c r="F431" t="s">
        <v>4556</v>
      </c>
      <c r="G431" t="s">
        <v>4</v>
      </c>
      <c r="H431" t="s">
        <v>5</v>
      </c>
      <c r="I431" t="s">
        <v>1691</v>
      </c>
      <c r="N431">
        <v>1</v>
      </c>
      <c r="O431" t="s">
        <v>1692</v>
      </c>
      <c r="P431">
        <v>7006461984</v>
      </c>
      <c r="R431" s="1">
        <v>29952</v>
      </c>
      <c r="S431" s="2">
        <f t="shared" si="36"/>
        <v>1982</v>
      </c>
      <c r="T431" s="2">
        <v>1982</v>
      </c>
      <c r="U431" s="2">
        <f t="shared" si="37"/>
        <v>40</v>
      </c>
      <c r="V431" s="1" t="s">
        <v>4302</v>
      </c>
      <c r="W431" t="s">
        <v>1643</v>
      </c>
      <c r="X431" s="3" t="s">
        <v>20</v>
      </c>
      <c r="Y431" s="4" t="e">
        <f>(X431-'[1]1982'!$Z$4)/('[1]1982'!$Z$3-'[1]1982'!$Z$4)</f>
        <v>#VALUE!</v>
      </c>
      <c r="AA431">
        <v>337889</v>
      </c>
      <c r="AB431">
        <v>40920</v>
      </c>
      <c r="AD431" t="s">
        <v>15</v>
      </c>
      <c r="AE431">
        <v>27</v>
      </c>
      <c r="AF431">
        <v>5</v>
      </c>
      <c r="AH431" t="s">
        <v>4557</v>
      </c>
      <c r="AI431" t="s">
        <v>4558</v>
      </c>
      <c r="AK431" t="s">
        <v>4559</v>
      </c>
      <c r="AL431">
        <v>0</v>
      </c>
      <c r="AM431" s="5">
        <f t="shared" si="38"/>
        <v>0</v>
      </c>
      <c r="AN431" s="6">
        <f>(AM431-'[1]1982'!$AO$4)/('[1]1982'!$AO$3-'[1]1982'!$AO$4)</f>
        <v>0</v>
      </c>
      <c r="AO431" s="7"/>
      <c r="AP431">
        <v>0</v>
      </c>
      <c r="AR431" t="s">
        <v>19</v>
      </c>
      <c r="AT431" s="3" t="s">
        <v>20</v>
      </c>
      <c r="AU431" s="8" t="e">
        <f t="shared" si="39"/>
        <v>#VALUE!</v>
      </c>
      <c r="AV431" s="8" t="e">
        <f t="shared" si="40"/>
        <v>#VALUE!</v>
      </c>
      <c r="AW431" s="8" t="e">
        <f t="shared" si="41"/>
        <v>#VALUE!</v>
      </c>
    </row>
    <row r="432" spans="1:49" x14ac:dyDescent="0.2">
      <c r="A432">
        <v>430</v>
      </c>
      <c r="B432" t="s">
        <v>4560</v>
      </c>
      <c r="C432" t="s">
        <v>4561</v>
      </c>
      <c r="F432" t="s">
        <v>4562</v>
      </c>
      <c r="G432" t="s">
        <v>4</v>
      </c>
      <c r="H432" t="s">
        <v>5</v>
      </c>
      <c r="I432" t="s">
        <v>4563</v>
      </c>
      <c r="N432">
        <v>3</v>
      </c>
      <c r="O432" t="s">
        <v>4564</v>
      </c>
      <c r="P432" t="s">
        <v>4565</v>
      </c>
      <c r="Q432" t="s">
        <v>145</v>
      </c>
      <c r="R432" s="1">
        <v>29952</v>
      </c>
      <c r="S432" s="2">
        <f t="shared" si="36"/>
        <v>1982</v>
      </c>
      <c r="T432" s="2">
        <v>1982</v>
      </c>
      <c r="U432" s="2">
        <f t="shared" si="37"/>
        <v>40</v>
      </c>
      <c r="V432" s="1" t="s">
        <v>4302</v>
      </c>
      <c r="W432" t="s">
        <v>2437</v>
      </c>
      <c r="X432" s="3">
        <v>0.218</v>
      </c>
      <c r="Y432" s="4">
        <f>(X432-'[1]1982'!$Z$4)/('[1]1982'!$Z$3-'[1]1982'!$Z$4)</f>
        <v>5.8193854942473512E-3</v>
      </c>
      <c r="AA432">
        <v>3772063</v>
      </c>
      <c r="AB432">
        <v>130012</v>
      </c>
      <c r="AD432" t="s">
        <v>15</v>
      </c>
      <c r="AE432">
        <v>28</v>
      </c>
      <c r="AF432">
        <v>5</v>
      </c>
      <c r="AH432" t="s">
        <v>4566</v>
      </c>
      <c r="AI432" t="s">
        <v>4567</v>
      </c>
      <c r="AK432" t="s">
        <v>4568</v>
      </c>
      <c r="AL432">
        <v>1</v>
      </c>
      <c r="AM432" s="5">
        <f t="shared" si="38"/>
        <v>2.5000000000000001E-2</v>
      </c>
      <c r="AN432" s="6">
        <f>(AM432-'[1]1982'!$AO$4)/('[1]1982'!$AO$3-'[1]1982'!$AO$4)</f>
        <v>3.7864445285876567E-5</v>
      </c>
      <c r="AO432" s="7"/>
      <c r="AP432">
        <v>0</v>
      </c>
      <c r="AR432" t="s">
        <v>19</v>
      </c>
      <c r="AT432" s="3">
        <v>2.3330000000000002</v>
      </c>
      <c r="AU432" s="8">
        <f t="shared" si="39"/>
        <v>0.40849291795589088</v>
      </c>
      <c r="AV432" s="8">
        <f t="shared" si="40"/>
        <v>0.29286249697666139</v>
      </c>
      <c r="AW432" s="8">
        <f t="shared" si="41"/>
        <v>0.1772320759974319</v>
      </c>
    </row>
    <row r="433" spans="1:49" x14ac:dyDescent="0.2">
      <c r="A433">
        <v>431</v>
      </c>
      <c r="B433" t="s">
        <v>4569</v>
      </c>
      <c r="F433" t="s">
        <v>4570</v>
      </c>
      <c r="G433" t="s">
        <v>4</v>
      </c>
      <c r="H433" t="s">
        <v>5</v>
      </c>
      <c r="I433" t="s">
        <v>4571</v>
      </c>
      <c r="N433">
        <v>1</v>
      </c>
      <c r="O433" t="s">
        <v>4572</v>
      </c>
      <c r="P433">
        <v>7003289576</v>
      </c>
      <c r="R433" s="1">
        <v>29952</v>
      </c>
      <c r="S433" s="2">
        <f t="shared" si="36"/>
        <v>1982</v>
      </c>
      <c r="T433" s="2">
        <v>1982</v>
      </c>
      <c r="U433" s="2">
        <f t="shared" si="37"/>
        <v>40</v>
      </c>
      <c r="V433" s="1" t="s">
        <v>4302</v>
      </c>
      <c r="W433" t="s">
        <v>1643</v>
      </c>
      <c r="X433" s="3" t="s">
        <v>20</v>
      </c>
      <c r="Y433" s="4" t="e">
        <f>(X433-'[1]1982'!$Z$4)/('[1]1982'!$Z$3-'[1]1982'!$Z$4)</f>
        <v>#VALUE!</v>
      </c>
      <c r="AA433">
        <v>337889</v>
      </c>
      <c r="AB433">
        <v>40920</v>
      </c>
      <c r="AD433" t="s">
        <v>15</v>
      </c>
      <c r="AE433">
        <v>27</v>
      </c>
      <c r="AF433">
        <v>5</v>
      </c>
      <c r="AH433" s="9">
        <v>44378</v>
      </c>
      <c r="AI433" t="s">
        <v>4573</v>
      </c>
      <c r="AK433" t="s">
        <v>4574</v>
      </c>
      <c r="AL433">
        <v>0</v>
      </c>
      <c r="AM433" s="5">
        <f t="shared" si="38"/>
        <v>0</v>
      </c>
      <c r="AN433" s="6">
        <f>(AM433-'[1]1982'!$AO$4)/('[1]1982'!$AO$3-'[1]1982'!$AO$4)</f>
        <v>0</v>
      </c>
      <c r="AO433" s="7"/>
      <c r="AP433">
        <v>0</v>
      </c>
      <c r="AR433" t="s">
        <v>19</v>
      </c>
      <c r="AT433" s="3" t="s">
        <v>20</v>
      </c>
      <c r="AU433" s="8" t="e">
        <f t="shared" si="39"/>
        <v>#VALUE!</v>
      </c>
      <c r="AV433" s="8" t="e">
        <f t="shared" si="40"/>
        <v>#VALUE!</v>
      </c>
      <c r="AW433" s="8" t="e">
        <f t="shared" si="41"/>
        <v>#VALUE!</v>
      </c>
    </row>
    <row r="434" spans="1:49" x14ac:dyDescent="0.2">
      <c r="A434">
        <v>432</v>
      </c>
      <c r="B434" t="s">
        <v>4575</v>
      </c>
      <c r="C434" t="s">
        <v>4576</v>
      </c>
      <c r="F434" t="s">
        <v>4577</v>
      </c>
      <c r="G434" t="s">
        <v>4</v>
      </c>
      <c r="H434" t="s">
        <v>5</v>
      </c>
      <c r="I434" t="s">
        <v>4329</v>
      </c>
      <c r="J434">
        <v>101246499</v>
      </c>
      <c r="K434" t="s">
        <v>4330</v>
      </c>
      <c r="L434" t="s">
        <v>2350</v>
      </c>
      <c r="M434" t="s">
        <v>9</v>
      </c>
      <c r="N434">
        <v>1</v>
      </c>
      <c r="O434" t="s">
        <v>4331</v>
      </c>
      <c r="P434">
        <v>7003905490</v>
      </c>
      <c r="Q434">
        <v>101246499</v>
      </c>
      <c r="R434" s="1">
        <v>29952</v>
      </c>
      <c r="S434" s="2">
        <f t="shared" si="36"/>
        <v>1982</v>
      </c>
      <c r="T434" s="2">
        <v>1982</v>
      </c>
      <c r="U434" s="2">
        <f t="shared" si="37"/>
        <v>40</v>
      </c>
      <c r="V434" s="1" t="s">
        <v>1362</v>
      </c>
      <c r="W434" t="s">
        <v>4578</v>
      </c>
      <c r="X434" s="3">
        <v>0.75800000000000001</v>
      </c>
      <c r="Y434" s="4">
        <f>(X434-'[1]1982'!$Z$4)/('[1]1982'!$Z$3-'[1]1982'!$Z$4)</f>
        <v>2.0234377085502256E-2</v>
      </c>
      <c r="AA434">
        <v>224650</v>
      </c>
      <c r="AB434">
        <v>29589</v>
      </c>
      <c r="AD434" t="s">
        <v>15</v>
      </c>
      <c r="AE434">
        <v>19</v>
      </c>
      <c r="AF434">
        <v>3</v>
      </c>
      <c r="AH434" t="s">
        <v>4579</v>
      </c>
      <c r="AI434" t="s">
        <v>4580</v>
      </c>
      <c r="AK434" t="s">
        <v>4581</v>
      </c>
      <c r="AL434">
        <v>77</v>
      </c>
      <c r="AM434" s="5">
        <f t="shared" si="38"/>
        <v>1.925</v>
      </c>
      <c r="AN434" s="6">
        <f>(AM434-'[1]1982'!$AO$4)/('[1]1982'!$AO$3-'[1]1982'!$AO$4)</f>
        <v>2.9155622870124954E-3</v>
      </c>
      <c r="AO434" s="7"/>
      <c r="AP434">
        <v>0</v>
      </c>
      <c r="AQ434" t="s">
        <v>4582</v>
      </c>
      <c r="AR434" t="s">
        <v>19</v>
      </c>
      <c r="AS434" t="s">
        <v>4336</v>
      </c>
      <c r="AT434" s="3">
        <v>1.282</v>
      </c>
      <c r="AU434" s="8">
        <f t="shared" si="39"/>
        <v>1.5038732645955326</v>
      </c>
      <c r="AV434" s="8">
        <f t="shared" si="40"/>
        <v>1.1574969686257375</v>
      </c>
      <c r="AW434" s="8">
        <f t="shared" si="41"/>
        <v>0.81112067265594234</v>
      </c>
    </row>
    <row r="435" spans="1:49" x14ac:dyDescent="0.2">
      <c r="A435">
        <v>433</v>
      </c>
      <c r="B435" t="s">
        <v>4583</v>
      </c>
      <c r="C435" t="s">
        <v>4584</v>
      </c>
      <c r="F435" t="s">
        <v>4585</v>
      </c>
      <c r="G435" t="s">
        <v>4</v>
      </c>
      <c r="H435" t="s">
        <v>5</v>
      </c>
      <c r="I435" t="s">
        <v>1827</v>
      </c>
      <c r="N435">
        <v>2</v>
      </c>
      <c r="O435" t="s">
        <v>4586</v>
      </c>
      <c r="P435" t="s">
        <v>4587</v>
      </c>
      <c r="Q435" t="s">
        <v>156</v>
      </c>
      <c r="R435" s="1">
        <v>29952</v>
      </c>
      <c r="S435" s="2">
        <f t="shared" si="36"/>
        <v>1982</v>
      </c>
      <c r="T435" s="2">
        <v>1982</v>
      </c>
      <c r="U435" s="2">
        <f t="shared" si="37"/>
        <v>40</v>
      </c>
      <c r="V435" s="1" t="s">
        <v>1362</v>
      </c>
      <c r="W435" t="s">
        <v>2385</v>
      </c>
      <c r="X435" s="3">
        <v>0.371</v>
      </c>
      <c r="Y435" s="4">
        <f>(X435-'[1]1982'!$Z$4)/('[1]1982'!$Z$3-'[1]1982'!$Z$4)</f>
        <v>9.9036331117695747E-3</v>
      </c>
      <c r="AA435">
        <v>486604</v>
      </c>
      <c r="AB435">
        <v>28580</v>
      </c>
      <c r="AC435" t="s">
        <v>2386</v>
      </c>
      <c r="AD435" t="s">
        <v>15</v>
      </c>
      <c r="AE435">
        <v>17</v>
      </c>
      <c r="AF435">
        <v>3</v>
      </c>
      <c r="AH435" t="s">
        <v>4588</v>
      </c>
      <c r="AI435" t="s">
        <v>4589</v>
      </c>
      <c r="AK435" t="s">
        <v>4590</v>
      </c>
      <c r="AL435">
        <v>21</v>
      </c>
      <c r="AM435" s="5">
        <f t="shared" si="38"/>
        <v>0.52500000000000002</v>
      </c>
      <c r="AN435" s="6">
        <f>(AM435-'[1]1982'!$AO$4)/('[1]1982'!$AO$3-'[1]1982'!$AO$4)</f>
        <v>7.9515335100340781E-4</v>
      </c>
      <c r="AO435" s="7"/>
      <c r="AP435">
        <v>0</v>
      </c>
      <c r="AR435" t="s">
        <v>19</v>
      </c>
      <c r="AT435" s="3">
        <v>1.431</v>
      </c>
      <c r="AU435" s="8">
        <f t="shared" si="39"/>
        <v>0.7171089183539725</v>
      </c>
      <c r="AV435" s="8">
        <f t="shared" si="40"/>
        <v>0.53493932313864911</v>
      </c>
      <c r="AW435" s="8">
        <f t="shared" si="41"/>
        <v>0.35276972792332578</v>
      </c>
    </row>
    <row r="436" spans="1:49" x14ac:dyDescent="0.2">
      <c r="A436">
        <v>434</v>
      </c>
      <c r="B436" t="s">
        <v>4591</v>
      </c>
      <c r="C436" t="s">
        <v>4592</v>
      </c>
      <c r="F436" t="s">
        <v>4593</v>
      </c>
      <c r="G436" t="s">
        <v>4</v>
      </c>
      <c r="H436" t="s">
        <v>5</v>
      </c>
      <c r="I436" t="s">
        <v>4594</v>
      </c>
      <c r="J436" t="s">
        <v>4595</v>
      </c>
      <c r="K436" t="s">
        <v>4596</v>
      </c>
      <c r="L436" t="s">
        <v>4597</v>
      </c>
      <c r="M436" t="s">
        <v>218</v>
      </c>
      <c r="N436">
        <v>3</v>
      </c>
      <c r="O436" t="s">
        <v>4598</v>
      </c>
      <c r="P436" t="s">
        <v>4599</v>
      </c>
      <c r="Q436" t="s">
        <v>4600</v>
      </c>
      <c r="R436" s="1">
        <v>29952</v>
      </c>
      <c r="S436" s="2">
        <f t="shared" si="36"/>
        <v>1982</v>
      </c>
      <c r="T436" s="2">
        <v>1982</v>
      </c>
      <c r="U436" s="2">
        <f t="shared" si="37"/>
        <v>40</v>
      </c>
      <c r="V436" s="1">
        <v>30072</v>
      </c>
      <c r="W436" t="s">
        <v>1117</v>
      </c>
      <c r="X436" s="3">
        <v>1.6519999999999999</v>
      </c>
      <c r="Y436" s="4">
        <f>(X436-'[1]1982'!$Z$4)/('[1]1982'!$Z$3-'[1]1982'!$Z$4)</f>
        <v>4.409919649769093E-2</v>
      </c>
      <c r="AA436" t="s">
        <v>1118</v>
      </c>
      <c r="AB436">
        <v>17337</v>
      </c>
      <c r="AC436">
        <v>15582221</v>
      </c>
      <c r="AD436" t="s">
        <v>15</v>
      </c>
      <c r="AE436">
        <v>30</v>
      </c>
      <c r="AF436">
        <v>3</v>
      </c>
      <c r="AH436" t="s">
        <v>4601</v>
      </c>
      <c r="AI436" t="s">
        <v>4602</v>
      </c>
      <c r="AK436" t="s">
        <v>4603</v>
      </c>
      <c r="AL436">
        <v>4</v>
      </c>
      <c r="AM436" s="5">
        <f t="shared" si="38"/>
        <v>0.1</v>
      </c>
      <c r="AN436" s="6">
        <f>(AM436-'[1]1982'!$AO$4)/('[1]1982'!$AO$3-'[1]1982'!$AO$4)</f>
        <v>1.5145778114350627E-4</v>
      </c>
      <c r="AO436" s="7"/>
      <c r="AP436">
        <v>0</v>
      </c>
      <c r="AR436" t="s">
        <v>19</v>
      </c>
      <c r="AT436" s="3" t="s">
        <v>20</v>
      </c>
      <c r="AU436" s="8">
        <f t="shared" si="39"/>
        <v>3.0914874882726702</v>
      </c>
      <c r="AV436" s="8">
        <f t="shared" si="40"/>
        <v>2.2125327139417217</v>
      </c>
      <c r="AW436" s="8">
        <f t="shared" si="41"/>
        <v>1.3335779396107732</v>
      </c>
    </row>
    <row r="437" spans="1:49" x14ac:dyDescent="0.2">
      <c r="A437">
        <v>435</v>
      </c>
      <c r="B437" t="s">
        <v>4604</v>
      </c>
      <c r="C437" t="s">
        <v>4605</v>
      </c>
      <c r="F437" t="s">
        <v>4606</v>
      </c>
      <c r="G437" t="s">
        <v>4</v>
      </c>
      <c r="H437" t="s">
        <v>5</v>
      </c>
      <c r="I437" t="s">
        <v>318</v>
      </c>
      <c r="J437">
        <v>60019702</v>
      </c>
      <c r="K437" t="s">
        <v>319</v>
      </c>
      <c r="L437" t="s">
        <v>320</v>
      </c>
      <c r="M437" t="s">
        <v>94</v>
      </c>
      <c r="N437">
        <v>1</v>
      </c>
      <c r="O437" t="s">
        <v>4607</v>
      </c>
      <c r="P437">
        <v>7005970306</v>
      </c>
      <c r="Q437">
        <v>60019702</v>
      </c>
      <c r="R437" s="1">
        <v>29952</v>
      </c>
      <c r="S437" s="2">
        <f t="shared" si="36"/>
        <v>1982</v>
      </c>
      <c r="T437" s="2">
        <v>1982</v>
      </c>
      <c r="U437" s="2">
        <f t="shared" si="37"/>
        <v>40</v>
      </c>
      <c r="V437" s="1">
        <v>30072</v>
      </c>
      <c r="W437" t="s">
        <v>4608</v>
      </c>
      <c r="X437" s="3">
        <v>0.91600000000000004</v>
      </c>
      <c r="Y437" s="4">
        <f>(X437-'[1]1982'!$Z$4)/('[1]1982'!$Z$3-'[1]1982'!$Z$4)</f>
        <v>2.4452096847387951E-2</v>
      </c>
      <c r="AA437">
        <v>189359</v>
      </c>
      <c r="AB437">
        <v>17344</v>
      </c>
      <c r="AC437">
        <v>15579638</v>
      </c>
      <c r="AD437" t="s">
        <v>15</v>
      </c>
      <c r="AE437">
        <v>25</v>
      </c>
      <c r="AF437">
        <v>2</v>
      </c>
      <c r="AH437" t="s">
        <v>4609</v>
      </c>
      <c r="AI437" t="s">
        <v>4610</v>
      </c>
      <c r="AK437" t="s">
        <v>4611</v>
      </c>
      <c r="AL437">
        <v>0</v>
      </c>
      <c r="AM437" s="5">
        <f t="shared" si="38"/>
        <v>0</v>
      </c>
      <c r="AN437" s="6">
        <f>(AM437-'[1]1982'!$AO$4)/('[1]1982'!$AO$3-'[1]1982'!$AO$4)</f>
        <v>0</v>
      </c>
      <c r="AO437" s="7"/>
      <c r="AP437">
        <v>0</v>
      </c>
      <c r="AR437" t="s">
        <v>19</v>
      </c>
      <c r="AT437" s="3">
        <v>2.1160000000000001</v>
      </c>
      <c r="AU437" s="8">
        <f t="shared" si="39"/>
        <v>1.7116467793171564</v>
      </c>
      <c r="AV437" s="8">
        <f t="shared" si="40"/>
        <v>1.2226048423693976</v>
      </c>
      <c r="AW437" s="8">
        <f t="shared" si="41"/>
        <v>0.73356290542163849</v>
      </c>
    </row>
    <row r="438" spans="1:49" x14ac:dyDescent="0.2">
      <c r="A438">
        <v>436</v>
      </c>
      <c r="B438" t="s">
        <v>4612</v>
      </c>
      <c r="C438" t="s">
        <v>4613</v>
      </c>
      <c r="F438" t="s">
        <v>4614</v>
      </c>
      <c r="G438" t="s">
        <v>4</v>
      </c>
      <c r="H438" t="s">
        <v>5</v>
      </c>
      <c r="I438" t="s">
        <v>4615</v>
      </c>
      <c r="J438">
        <v>60021378</v>
      </c>
      <c r="K438" t="s">
        <v>1539</v>
      </c>
      <c r="L438" t="s">
        <v>1540</v>
      </c>
      <c r="M438" t="s">
        <v>9</v>
      </c>
      <c r="N438">
        <v>1</v>
      </c>
      <c r="O438" t="s">
        <v>4616</v>
      </c>
      <c r="P438">
        <v>7005699797</v>
      </c>
      <c r="Q438">
        <v>60021378</v>
      </c>
      <c r="R438" s="1">
        <v>29952</v>
      </c>
      <c r="S438" s="2">
        <f t="shared" si="36"/>
        <v>1982</v>
      </c>
      <c r="T438" s="2">
        <v>1982</v>
      </c>
      <c r="U438" s="2">
        <f t="shared" si="37"/>
        <v>40</v>
      </c>
      <c r="V438" s="1">
        <v>30072</v>
      </c>
      <c r="W438" t="s">
        <v>1117</v>
      </c>
      <c r="X438" s="3">
        <v>1.6519999999999999</v>
      </c>
      <c r="Y438" s="4">
        <f>(X438-'[1]1982'!$Z$4)/('[1]1982'!$Z$3-'[1]1982'!$Z$4)</f>
        <v>4.409919649769093E-2</v>
      </c>
      <c r="AA438" t="s">
        <v>1118</v>
      </c>
      <c r="AB438">
        <v>17337</v>
      </c>
      <c r="AC438">
        <v>15582221</v>
      </c>
      <c r="AD438" t="s">
        <v>15</v>
      </c>
      <c r="AE438">
        <v>30</v>
      </c>
      <c r="AF438">
        <v>3</v>
      </c>
      <c r="AH438" t="s">
        <v>4617</v>
      </c>
      <c r="AI438" t="s">
        <v>4618</v>
      </c>
      <c r="AK438" t="s">
        <v>4619</v>
      </c>
      <c r="AL438">
        <v>57</v>
      </c>
      <c r="AM438" s="5">
        <f t="shared" si="38"/>
        <v>1.425</v>
      </c>
      <c r="AN438" s="6">
        <f>(AM438-'[1]1982'!$AO$4)/('[1]1982'!$AO$3-'[1]1982'!$AO$4)</f>
        <v>2.158273381294964E-3</v>
      </c>
      <c r="AO438" s="7"/>
      <c r="AP438">
        <v>0</v>
      </c>
      <c r="AR438" t="s">
        <v>19</v>
      </c>
      <c r="AT438" s="3" t="s">
        <v>20</v>
      </c>
      <c r="AU438" s="8">
        <f t="shared" si="39"/>
        <v>3.1516919562772139</v>
      </c>
      <c r="AV438" s="8">
        <f t="shared" si="40"/>
        <v>2.3128734939492945</v>
      </c>
      <c r="AW438" s="8">
        <f t="shared" si="41"/>
        <v>1.4740550316213752</v>
      </c>
    </row>
    <row r="439" spans="1:49" x14ac:dyDescent="0.2">
      <c r="A439">
        <v>437</v>
      </c>
      <c r="B439" t="s">
        <v>4620</v>
      </c>
      <c r="C439" t="s">
        <v>4621</v>
      </c>
      <c r="F439" t="s">
        <v>4622</v>
      </c>
      <c r="G439" t="s">
        <v>4</v>
      </c>
      <c r="H439" t="s">
        <v>5</v>
      </c>
      <c r="I439" t="s">
        <v>3635</v>
      </c>
      <c r="J439">
        <v>60003500</v>
      </c>
      <c r="K439" t="s">
        <v>2507</v>
      </c>
      <c r="L439" t="s">
        <v>951</v>
      </c>
      <c r="M439" t="s">
        <v>9</v>
      </c>
      <c r="N439">
        <v>1</v>
      </c>
      <c r="O439" t="s">
        <v>3636</v>
      </c>
      <c r="P439">
        <v>35611381200</v>
      </c>
      <c r="Q439">
        <v>60003500</v>
      </c>
      <c r="R439" s="1">
        <v>29952</v>
      </c>
      <c r="S439" s="2">
        <f t="shared" si="36"/>
        <v>1982</v>
      </c>
      <c r="T439" s="2">
        <v>1982</v>
      </c>
      <c r="U439" s="2">
        <f t="shared" si="37"/>
        <v>40</v>
      </c>
      <c r="V439" s="1">
        <v>30072</v>
      </c>
      <c r="W439" t="s">
        <v>1117</v>
      </c>
      <c r="X439" s="3">
        <v>1.6519999999999999</v>
      </c>
      <c r="Y439" s="4">
        <f>(X439-'[1]1982'!$Z$4)/('[1]1982'!$Z$3-'[1]1982'!$Z$4)</f>
        <v>4.409919649769093E-2</v>
      </c>
      <c r="AA439" t="s">
        <v>1118</v>
      </c>
      <c r="AB439">
        <v>17337</v>
      </c>
      <c r="AC439">
        <v>15582221</v>
      </c>
      <c r="AD439" t="s">
        <v>15</v>
      </c>
      <c r="AE439">
        <v>30</v>
      </c>
      <c r="AF439">
        <v>3</v>
      </c>
      <c r="AH439" t="s">
        <v>4623</v>
      </c>
      <c r="AI439" t="s">
        <v>4624</v>
      </c>
      <c r="AK439" t="s">
        <v>4625</v>
      </c>
      <c r="AL439">
        <v>18</v>
      </c>
      <c r="AM439" s="5">
        <f t="shared" si="38"/>
        <v>0.45</v>
      </c>
      <c r="AN439" s="6">
        <f>(AM439-'[1]1982'!$AO$4)/('[1]1982'!$AO$3-'[1]1982'!$AO$4)</f>
        <v>6.8156001514577808E-4</v>
      </c>
      <c r="AO439" s="7"/>
      <c r="AP439">
        <v>0</v>
      </c>
      <c r="AR439" t="s">
        <v>19</v>
      </c>
      <c r="AT439" s="3" t="s">
        <v>20</v>
      </c>
      <c r="AU439" s="8">
        <f t="shared" si="39"/>
        <v>3.1073905552927386</v>
      </c>
      <c r="AV439" s="8">
        <f t="shared" si="40"/>
        <v>2.2390378256418355</v>
      </c>
      <c r="AW439" s="8">
        <f t="shared" si="41"/>
        <v>1.3706850959909322</v>
      </c>
    </row>
    <row r="440" spans="1:49" x14ac:dyDescent="0.2">
      <c r="A440">
        <v>438</v>
      </c>
      <c r="B440" t="s">
        <v>4626</v>
      </c>
      <c r="C440" t="s">
        <v>4627</v>
      </c>
      <c r="F440" t="s">
        <v>4628</v>
      </c>
      <c r="G440" t="s">
        <v>4</v>
      </c>
      <c r="H440" t="s">
        <v>5</v>
      </c>
      <c r="I440" t="s">
        <v>4629</v>
      </c>
      <c r="J440" t="s">
        <v>4507</v>
      </c>
      <c r="K440" t="s">
        <v>4508</v>
      </c>
      <c r="L440" t="s">
        <v>4509</v>
      </c>
      <c r="M440" t="s">
        <v>218</v>
      </c>
      <c r="N440">
        <v>2</v>
      </c>
      <c r="O440" t="s">
        <v>4630</v>
      </c>
      <c r="P440" t="s">
        <v>4631</v>
      </c>
      <c r="Q440" t="s">
        <v>4632</v>
      </c>
      <c r="R440" s="1">
        <v>29952</v>
      </c>
      <c r="S440" s="2">
        <f t="shared" si="36"/>
        <v>1982</v>
      </c>
      <c r="T440" s="2">
        <v>1982</v>
      </c>
      <c r="U440" s="2">
        <f t="shared" si="37"/>
        <v>40</v>
      </c>
      <c r="V440" s="1">
        <v>30072</v>
      </c>
      <c r="W440" t="s">
        <v>1117</v>
      </c>
      <c r="X440" s="3">
        <v>1.6519999999999999</v>
      </c>
      <c r="Y440" s="4">
        <f>(X440-'[1]1982'!$Z$4)/('[1]1982'!$Z$3-'[1]1982'!$Z$4)</f>
        <v>4.409919649769093E-2</v>
      </c>
      <c r="AA440" t="s">
        <v>1118</v>
      </c>
      <c r="AB440">
        <v>17337</v>
      </c>
      <c r="AC440">
        <v>15582221</v>
      </c>
      <c r="AD440" t="s">
        <v>15</v>
      </c>
      <c r="AE440">
        <v>30</v>
      </c>
      <c r="AF440">
        <v>3</v>
      </c>
      <c r="AH440" t="s">
        <v>4633</v>
      </c>
      <c r="AI440" t="s">
        <v>4634</v>
      </c>
      <c r="AK440" t="s">
        <v>4635</v>
      </c>
      <c r="AL440">
        <v>37</v>
      </c>
      <c r="AM440" s="5">
        <f t="shared" si="38"/>
        <v>0.92500000000000004</v>
      </c>
      <c r="AN440" s="6">
        <f>(AM440-'[1]1982'!$AO$4)/('[1]1982'!$AO$3-'[1]1982'!$AO$4)</f>
        <v>1.4009844755774328E-3</v>
      </c>
      <c r="AO440" s="7"/>
      <c r="AP440">
        <v>0</v>
      </c>
      <c r="AR440" t="s">
        <v>19</v>
      </c>
      <c r="AT440" s="3" t="s">
        <v>20</v>
      </c>
      <c r="AU440" s="8">
        <f t="shared" si="39"/>
        <v>3.1289732891056881</v>
      </c>
      <c r="AV440" s="8">
        <f t="shared" si="40"/>
        <v>2.275009048663418</v>
      </c>
      <c r="AW440" s="8">
        <f t="shared" si="41"/>
        <v>1.4210448082211482</v>
      </c>
    </row>
    <row r="441" spans="1:49" x14ac:dyDescent="0.2">
      <c r="A441">
        <v>439</v>
      </c>
      <c r="B441" t="s">
        <v>4636</v>
      </c>
      <c r="C441" t="s">
        <v>4637</v>
      </c>
      <c r="F441" t="s">
        <v>4638</v>
      </c>
      <c r="G441" t="s">
        <v>4</v>
      </c>
      <c r="H441" t="s">
        <v>5</v>
      </c>
      <c r="I441" t="s">
        <v>4639</v>
      </c>
      <c r="J441">
        <v>60009982</v>
      </c>
      <c r="K441" t="s">
        <v>3479</v>
      </c>
      <c r="L441" t="s">
        <v>3002</v>
      </c>
      <c r="M441" t="s">
        <v>9</v>
      </c>
      <c r="N441">
        <v>2</v>
      </c>
      <c r="O441" t="s">
        <v>4640</v>
      </c>
      <c r="P441" t="s">
        <v>4641</v>
      </c>
      <c r="Q441" t="s">
        <v>4642</v>
      </c>
      <c r="R441" s="1">
        <v>29952</v>
      </c>
      <c r="S441" s="2">
        <f t="shared" si="36"/>
        <v>1982</v>
      </c>
      <c r="T441" s="2">
        <v>1982</v>
      </c>
      <c r="U441" s="2">
        <f t="shared" si="37"/>
        <v>40</v>
      </c>
      <c r="V441" s="1">
        <v>30072</v>
      </c>
      <c r="W441" t="s">
        <v>2551</v>
      </c>
      <c r="X441" s="3">
        <v>0.65500000000000003</v>
      </c>
      <c r="Y441" s="4">
        <f>(X441-'[1]1982'!$Z$4)/('[1]1982'!$Z$3-'[1]1982'!$Z$4)</f>
        <v>1.7484850911614749E-2</v>
      </c>
      <c r="AA441">
        <v>189375</v>
      </c>
      <c r="AB441">
        <v>26051</v>
      </c>
      <c r="AC441" t="s">
        <v>2552</v>
      </c>
      <c r="AD441" t="s">
        <v>15</v>
      </c>
      <c r="AE441" t="s">
        <v>2553</v>
      </c>
      <c r="AF441">
        <v>2</v>
      </c>
      <c r="AH441" t="s">
        <v>4643</v>
      </c>
      <c r="AI441" t="s">
        <v>4644</v>
      </c>
      <c r="AJ441" t="s">
        <v>4645</v>
      </c>
      <c r="AK441" t="s">
        <v>4646</v>
      </c>
      <c r="AL441">
        <v>10</v>
      </c>
      <c r="AM441" s="5">
        <f t="shared" si="38"/>
        <v>0.25</v>
      </c>
      <c r="AN441" s="6">
        <f>(AM441-'[1]1982'!$AO$4)/('[1]1982'!$AO$3-'[1]1982'!$AO$4)</f>
        <v>3.786444528587656E-4</v>
      </c>
      <c r="AO441" s="7"/>
      <c r="AP441">
        <v>0</v>
      </c>
      <c r="AR441" t="s">
        <v>19</v>
      </c>
      <c r="AT441" s="3" t="s">
        <v>20</v>
      </c>
      <c r="AU441" s="8">
        <f t="shared" si="39"/>
        <v>1.2352988973987953</v>
      </c>
      <c r="AV441" s="8">
        <f t="shared" si="40"/>
        <v>0.8931747682236757</v>
      </c>
      <c r="AW441" s="8">
        <f t="shared" si="41"/>
        <v>0.55105063904855611</v>
      </c>
    </row>
    <row r="442" spans="1:49" x14ac:dyDescent="0.2">
      <c r="A442">
        <v>440</v>
      </c>
      <c r="B442" t="s">
        <v>4647</v>
      </c>
      <c r="C442" t="s">
        <v>4648</v>
      </c>
      <c r="F442" t="s">
        <v>4649</v>
      </c>
      <c r="G442" t="s">
        <v>4</v>
      </c>
      <c r="H442" t="s">
        <v>5</v>
      </c>
      <c r="I442" t="s">
        <v>4650</v>
      </c>
      <c r="J442">
        <v>60000745</v>
      </c>
      <c r="K442" t="s">
        <v>1500</v>
      </c>
      <c r="L442" t="s">
        <v>1501</v>
      </c>
      <c r="M442" t="s">
        <v>9</v>
      </c>
      <c r="N442">
        <v>4</v>
      </c>
      <c r="O442" t="s">
        <v>4651</v>
      </c>
      <c r="P442" t="s">
        <v>4652</v>
      </c>
      <c r="Q442" t="s">
        <v>4653</v>
      </c>
      <c r="R442" s="1">
        <v>29952</v>
      </c>
      <c r="S442" s="2">
        <f t="shared" si="36"/>
        <v>1982</v>
      </c>
      <c r="T442" s="2">
        <v>1982</v>
      </c>
      <c r="U442" s="2">
        <f t="shared" si="37"/>
        <v>40</v>
      </c>
      <c r="V442" s="1">
        <v>30072</v>
      </c>
      <c r="W442" t="s">
        <v>1117</v>
      </c>
      <c r="X442" s="3">
        <v>1.6519999999999999</v>
      </c>
      <c r="Y442" s="4">
        <f>(X442-'[1]1982'!$Z$4)/('[1]1982'!$Z$3-'[1]1982'!$Z$4)</f>
        <v>4.409919649769093E-2</v>
      </c>
      <c r="AA442" t="s">
        <v>1118</v>
      </c>
      <c r="AB442">
        <v>17337</v>
      </c>
      <c r="AC442">
        <v>15582221</v>
      </c>
      <c r="AD442" t="s">
        <v>15</v>
      </c>
      <c r="AE442">
        <v>30</v>
      </c>
      <c r="AF442">
        <v>3</v>
      </c>
      <c r="AH442" t="s">
        <v>4654</v>
      </c>
      <c r="AI442" t="s">
        <v>4655</v>
      </c>
      <c r="AK442" t="s">
        <v>4656</v>
      </c>
      <c r="AL442">
        <v>4</v>
      </c>
      <c r="AM442" s="5">
        <f t="shared" si="38"/>
        <v>0.1</v>
      </c>
      <c r="AN442" s="6">
        <f>(AM442-'[1]1982'!$AO$4)/('[1]1982'!$AO$3-'[1]1982'!$AO$4)</f>
        <v>1.5145778114350627E-4</v>
      </c>
      <c r="AO442" s="7"/>
      <c r="AP442">
        <v>0</v>
      </c>
      <c r="AR442" t="s">
        <v>19</v>
      </c>
      <c r="AT442" s="3" t="s">
        <v>20</v>
      </c>
      <c r="AU442" s="8">
        <f t="shared" si="39"/>
        <v>3.0914874882726702</v>
      </c>
      <c r="AV442" s="8">
        <f t="shared" si="40"/>
        <v>2.2125327139417217</v>
      </c>
      <c r="AW442" s="8">
        <f t="shared" si="41"/>
        <v>1.3335779396107732</v>
      </c>
    </row>
    <row r="443" spans="1:49" x14ac:dyDescent="0.2">
      <c r="A443">
        <v>441</v>
      </c>
      <c r="B443" t="s">
        <v>4657</v>
      </c>
      <c r="F443" t="s">
        <v>4658</v>
      </c>
      <c r="G443" t="s">
        <v>4</v>
      </c>
      <c r="H443" t="s">
        <v>5</v>
      </c>
      <c r="I443" t="s">
        <v>4659</v>
      </c>
      <c r="N443">
        <v>3</v>
      </c>
      <c r="O443" t="s">
        <v>4660</v>
      </c>
      <c r="P443" t="s">
        <v>4661</v>
      </c>
      <c r="Q443" t="s">
        <v>145</v>
      </c>
      <c r="R443" s="1">
        <v>29952</v>
      </c>
      <c r="S443" s="2">
        <f t="shared" si="36"/>
        <v>1982</v>
      </c>
      <c r="T443" s="2">
        <v>1982</v>
      </c>
      <c r="U443" s="2">
        <f t="shared" si="37"/>
        <v>40</v>
      </c>
      <c r="V443" s="1" t="s">
        <v>4302</v>
      </c>
      <c r="W443" t="s">
        <v>1643</v>
      </c>
      <c r="X443" s="3" t="s">
        <v>20</v>
      </c>
      <c r="Y443" s="4" t="e">
        <f>(X443-'[1]1982'!$Z$4)/('[1]1982'!$Z$3-'[1]1982'!$Z$4)</f>
        <v>#VALUE!</v>
      </c>
      <c r="AA443">
        <v>337889</v>
      </c>
      <c r="AB443">
        <v>40920</v>
      </c>
      <c r="AD443" t="s">
        <v>15</v>
      </c>
      <c r="AE443">
        <v>27</v>
      </c>
      <c r="AF443">
        <v>5</v>
      </c>
      <c r="AH443" t="s">
        <v>4662</v>
      </c>
      <c r="AI443" t="s">
        <v>4663</v>
      </c>
      <c r="AK443" t="s">
        <v>4664</v>
      </c>
      <c r="AL443">
        <v>0</v>
      </c>
      <c r="AM443" s="5">
        <f t="shared" si="38"/>
        <v>0</v>
      </c>
      <c r="AN443" s="6">
        <f>(AM443-'[1]1982'!$AO$4)/('[1]1982'!$AO$3-'[1]1982'!$AO$4)</f>
        <v>0</v>
      </c>
      <c r="AO443" s="7"/>
      <c r="AP443">
        <v>0</v>
      </c>
      <c r="AR443" t="s">
        <v>19</v>
      </c>
      <c r="AT443" s="3" t="s">
        <v>20</v>
      </c>
      <c r="AU443" s="8" t="e">
        <f t="shared" si="39"/>
        <v>#VALUE!</v>
      </c>
      <c r="AV443" s="8" t="e">
        <f t="shared" si="40"/>
        <v>#VALUE!</v>
      </c>
      <c r="AW443" s="8" t="e">
        <f t="shared" si="41"/>
        <v>#VALUE!</v>
      </c>
    </row>
    <row r="444" spans="1:49" x14ac:dyDescent="0.2">
      <c r="A444">
        <v>442</v>
      </c>
      <c r="B444" t="s">
        <v>4665</v>
      </c>
      <c r="F444" t="s">
        <v>4666</v>
      </c>
      <c r="G444" t="s">
        <v>4</v>
      </c>
      <c r="H444" t="s">
        <v>5</v>
      </c>
      <c r="I444" t="s">
        <v>4667</v>
      </c>
      <c r="N444">
        <v>2</v>
      </c>
      <c r="O444" t="s">
        <v>4668</v>
      </c>
      <c r="P444" t="s">
        <v>4669</v>
      </c>
      <c r="Q444" t="s">
        <v>156</v>
      </c>
      <c r="R444" s="1">
        <v>29952</v>
      </c>
      <c r="S444" s="2">
        <f t="shared" si="36"/>
        <v>1982</v>
      </c>
      <c r="T444" s="2">
        <v>1982</v>
      </c>
      <c r="U444" s="2">
        <f t="shared" si="37"/>
        <v>40</v>
      </c>
      <c r="V444" s="1" t="s">
        <v>4302</v>
      </c>
      <c r="W444" t="s">
        <v>1643</v>
      </c>
      <c r="X444" s="3" t="s">
        <v>20</v>
      </c>
      <c r="Y444" s="4" t="e">
        <f>(X444-'[1]1982'!$Z$4)/('[1]1982'!$Z$3-'[1]1982'!$Z$4)</f>
        <v>#VALUE!</v>
      </c>
      <c r="AA444">
        <v>337889</v>
      </c>
      <c r="AB444">
        <v>40920</v>
      </c>
      <c r="AD444" t="s">
        <v>15</v>
      </c>
      <c r="AE444">
        <v>27</v>
      </c>
      <c r="AF444">
        <v>5</v>
      </c>
      <c r="AH444" t="s">
        <v>4670</v>
      </c>
      <c r="AI444" t="s">
        <v>4671</v>
      </c>
      <c r="AK444" t="s">
        <v>4672</v>
      </c>
      <c r="AL444">
        <v>0</v>
      </c>
      <c r="AM444" s="5">
        <f t="shared" si="38"/>
        <v>0</v>
      </c>
      <c r="AN444" s="6">
        <f>(AM444-'[1]1982'!$AO$4)/('[1]1982'!$AO$3-'[1]1982'!$AO$4)</f>
        <v>0</v>
      </c>
      <c r="AO444" s="7"/>
      <c r="AP444">
        <v>0</v>
      </c>
      <c r="AR444" t="s">
        <v>19</v>
      </c>
      <c r="AT444" s="3" t="s">
        <v>20</v>
      </c>
      <c r="AU444" s="8" t="e">
        <f t="shared" si="39"/>
        <v>#VALUE!</v>
      </c>
      <c r="AV444" s="8" t="e">
        <f t="shared" si="40"/>
        <v>#VALUE!</v>
      </c>
      <c r="AW444" s="8" t="e">
        <f t="shared" si="41"/>
        <v>#VALUE!</v>
      </c>
    </row>
    <row r="445" spans="1:49" x14ac:dyDescent="0.2">
      <c r="A445">
        <v>443</v>
      </c>
      <c r="B445" t="s">
        <v>4673</v>
      </c>
      <c r="C445" t="s">
        <v>4674</v>
      </c>
      <c r="F445" t="s">
        <v>4675</v>
      </c>
      <c r="G445" t="s">
        <v>4</v>
      </c>
      <c r="H445" t="s">
        <v>5</v>
      </c>
      <c r="I445" t="s">
        <v>4676</v>
      </c>
      <c r="J445">
        <v>60022148</v>
      </c>
      <c r="K445" t="s">
        <v>4677</v>
      </c>
      <c r="L445" t="s">
        <v>3165</v>
      </c>
      <c r="M445" t="s">
        <v>94</v>
      </c>
      <c r="N445">
        <v>1</v>
      </c>
      <c r="O445" t="s">
        <v>4678</v>
      </c>
      <c r="P445">
        <v>55698377500</v>
      </c>
      <c r="Q445">
        <v>60022148</v>
      </c>
      <c r="R445" s="1">
        <v>29952</v>
      </c>
      <c r="S445" s="2">
        <f t="shared" si="36"/>
        <v>1982</v>
      </c>
      <c r="T445" s="2">
        <v>1982</v>
      </c>
      <c r="U445" s="2">
        <f t="shared" si="37"/>
        <v>40</v>
      </c>
      <c r="V445" s="1">
        <v>30042</v>
      </c>
      <c r="W445" t="s">
        <v>811</v>
      </c>
      <c r="X445" s="3" t="s">
        <v>20</v>
      </c>
      <c r="Y445" s="4" t="e">
        <f>(X445-'[1]1982'!$Z$4)/('[1]1982'!$Z$3-'[1]1982'!$Z$4)</f>
        <v>#VALUE!</v>
      </c>
      <c r="AA445">
        <v>337722</v>
      </c>
      <c r="AB445">
        <v>35312</v>
      </c>
      <c r="AD445" t="s">
        <v>15</v>
      </c>
      <c r="AE445">
        <v>52</v>
      </c>
      <c r="AF445">
        <v>4</v>
      </c>
      <c r="AH445" t="s">
        <v>4679</v>
      </c>
      <c r="AI445" t="s">
        <v>4680</v>
      </c>
      <c r="AJ445" t="s">
        <v>4681</v>
      </c>
      <c r="AK445" t="s">
        <v>4682</v>
      </c>
      <c r="AL445">
        <v>32</v>
      </c>
      <c r="AM445" s="5">
        <f t="shared" si="38"/>
        <v>0.8</v>
      </c>
      <c r="AN445" s="6">
        <f>(AM445-'[1]1982'!$AO$4)/('[1]1982'!$AO$3-'[1]1982'!$AO$4)</f>
        <v>1.2116622491480501E-3</v>
      </c>
      <c r="AO445" s="7"/>
      <c r="AP445">
        <v>0</v>
      </c>
      <c r="AR445" t="s">
        <v>19</v>
      </c>
      <c r="AT445" s="3" t="s">
        <v>20</v>
      </c>
      <c r="AU445" s="8" t="e">
        <f t="shared" si="39"/>
        <v>#VALUE!</v>
      </c>
      <c r="AV445" s="8" t="e">
        <f t="shared" si="40"/>
        <v>#VALUE!</v>
      </c>
      <c r="AW445" s="8" t="e">
        <f t="shared" si="41"/>
        <v>#VALUE!</v>
      </c>
    </row>
    <row r="446" spans="1:49" x14ac:dyDescent="0.2">
      <c r="A446">
        <v>444</v>
      </c>
      <c r="B446" t="s">
        <v>4683</v>
      </c>
      <c r="F446" t="s">
        <v>4684</v>
      </c>
      <c r="G446" t="s">
        <v>4</v>
      </c>
      <c r="H446" t="s">
        <v>5</v>
      </c>
      <c r="I446" t="s">
        <v>4231</v>
      </c>
      <c r="N446">
        <v>2</v>
      </c>
      <c r="O446" t="s">
        <v>4232</v>
      </c>
      <c r="P446" t="s">
        <v>4233</v>
      </c>
      <c r="Q446" t="s">
        <v>156</v>
      </c>
      <c r="R446" s="1">
        <v>29952</v>
      </c>
      <c r="S446" s="2">
        <f t="shared" si="36"/>
        <v>1982</v>
      </c>
      <c r="T446" s="2">
        <v>1982</v>
      </c>
      <c r="U446" s="2">
        <f t="shared" si="37"/>
        <v>40</v>
      </c>
      <c r="V446" s="1" t="s">
        <v>789</v>
      </c>
      <c r="W446" t="s">
        <v>1643</v>
      </c>
      <c r="X446" s="3" t="s">
        <v>20</v>
      </c>
      <c r="Y446" s="4" t="e">
        <f>(X446-'[1]1982'!$Z$4)/('[1]1982'!$Z$3-'[1]1982'!$Z$4)</f>
        <v>#VALUE!</v>
      </c>
      <c r="AA446">
        <v>337889</v>
      </c>
      <c r="AB446">
        <v>40920</v>
      </c>
      <c r="AD446" t="s">
        <v>15</v>
      </c>
      <c r="AE446">
        <v>27</v>
      </c>
      <c r="AF446">
        <v>4</v>
      </c>
      <c r="AH446" t="s">
        <v>4685</v>
      </c>
      <c r="AI446" t="s">
        <v>4686</v>
      </c>
      <c r="AK446" t="s">
        <v>4687</v>
      </c>
      <c r="AL446">
        <v>0</v>
      </c>
      <c r="AM446" s="5">
        <f t="shared" si="38"/>
        <v>0</v>
      </c>
      <c r="AN446" s="6">
        <f>(AM446-'[1]1982'!$AO$4)/('[1]1982'!$AO$3-'[1]1982'!$AO$4)</f>
        <v>0</v>
      </c>
      <c r="AO446" s="7"/>
      <c r="AP446">
        <v>0</v>
      </c>
      <c r="AR446" t="s">
        <v>19</v>
      </c>
      <c r="AT446" s="3" t="s">
        <v>20</v>
      </c>
      <c r="AU446" s="8" t="e">
        <f t="shared" si="39"/>
        <v>#VALUE!</v>
      </c>
      <c r="AV446" s="8" t="e">
        <f t="shared" si="40"/>
        <v>#VALUE!</v>
      </c>
      <c r="AW446" s="8" t="e">
        <f t="shared" si="41"/>
        <v>#VALUE!</v>
      </c>
    </row>
    <row r="447" spans="1:49" x14ac:dyDescent="0.2">
      <c r="A447">
        <v>445</v>
      </c>
      <c r="B447" t="s">
        <v>4688</v>
      </c>
      <c r="F447" t="s">
        <v>4689</v>
      </c>
      <c r="G447" t="s">
        <v>4</v>
      </c>
      <c r="H447" t="s">
        <v>5</v>
      </c>
      <c r="I447" t="s">
        <v>4690</v>
      </c>
      <c r="N447">
        <v>2</v>
      </c>
      <c r="O447" t="s">
        <v>4691</v>
      </c>
      <c r="P447" t="s">
        <v>4692</v>
      </c>
      <c r="Q447" t="s">
        <v>156</v>
      </c>
      <c r="R447" s="1">
        <v>29952</v>
      </c>
      <c r="S447" s="2">
        <f t="shared" si="36"/>
        <v>1982</v>
      </c>
      <c r="T447" s="2">
        <v>1982</v>
      </c>
      <c r="U447" s="2">
        <f t="shared" si="37"/>
        <v>40</v>
      </c>
      <c r="V447" s="1" t="s">
        <v>789</v>
      </c>
      <c r="W447" t="s">
        <v>1643</v>
      </c>
      <c r="X447" s="3" t="s">
        <v>20</v>
      </c>
      <c r="Y447" s="4" t="e">
        <f>(X447-'[1]1982'!$Z$4)/('[1]1982'!$Z$3-'[1]1982'!$Z$4)</f>
        <v>#VALUE!</v>
      </c>
      <c r="AA447">
        <v>337889</v>
      </c>
      <c r="AB447">
        <v>40920</v>
      </c>
      <c r="AD447" t="s">
        <v>15</v>
      </c>
      <c r="AE447">
        <v>27</v>
      </c>
      <c r="AF447">
        <v>4</v>
      </c>
      <c r="AH447" t="s">
        <v>4693</v>
      </c>
      <c r="AI447" t="s">
        <v>4694</v>
      </c>
      <c r="AK447" t="s">
        <v>4695</v>
      </c>
      <c r="AL447">
        <v>0</v>
      </c>
      <c r="AM447" s="5">
        <f t="shared" si="38"/>
        <v>0</v>
      </c>
      <c r="AN447" s="6">
        <f>(AM447-'[1]1982'!$AO$4)/('[1]1982'!$AO$3-'[1]1982'!$AO$4)</f>
        <v>0</v>
      </c>
      <c r="AO447" s="7"/>
      <c r="AP447">
        <v>0</v>
      </c>
      <c r="AR447" t="s">
        <v>19</v>
      </c>
      <c r="AT447" s="3" t="s">
        <v>20</v>
      </c>
      <c r="AU447" s="8" t="e">
        <f t="shared" si="39"/>
        <v>#VALUE!</v>
      </c>
      <c r="AV447" s="8" t="e">
        <f t="shared" si="40"/>
        <v>#VALUE!</v>
      </c>
      <c r="AW447" s="8" t="e">
        <f t="shared" si="41"/>
        <v>#VALUE!</v>
      </c>
    </row>
    <row r="448" spans="1:49" x14ac:dyDescent="0.2">
      <c r="A448">
        <v>446</v>
      </c>
      <c r="B448" t="s">
        <v>4696</v>
      </c>
      <c r="C448" t="s">
        <v>4697</v>
      </c>
      <c r="D448">
        <v>11227582901047</v>
      </c>
      <c r="F448" t="s">
        <v>4698</v>
      </c>
      <c r="G448" t="s">
        <v>4</v>
      </c>
      <c r="H448" t="s">
        <v>5</v>
      </c>
      <c r="I448" t="s">
        <v>4699</v>
      </c>
      <c r="J448" t="s">
        <v>4700</v>
      </c>
      <c r="K448" t="s">
        <v>4701</v>
      </c>
      <c r="L448" t="s">
        <v>4702</v>
      </c>
      <c r="M448" t="s">
        <v>4703</v>
      </c>
      <c r="N448">
        <v>13</v>
      </c>
      <c r="O448" t="s">
        <v>4704</v>
      </c>
      <c r="P448" t="s">
        <v>4705</v>
      </c>
      <c r="Q448" t="s">
        <v>4706</v>
      </c>
      <c r="R448" s="1">
        <v>29952</v>
      </c>
      <c r="S448" s="2">
        <f t="shared" si="36"/>
        <v>1982</v>
      </c>
      <c r="T448" s="2">
        <v>1982</v>
      </c>
      <c r="U448" s="2">
        <f t="shared" si="37"/>
        <v>40</v>
      </c>
      <c r="V448" s="1">
        <v>30011</v>
      </c>
      <c r="W448" t="s">
        <v>4707</v>
      </c>
      <c r="X448" s="3">
        <v>0.66900000000000004</v>
      </c>
      <c r="Y448" s="4">
        <f>(X448-'[1]1982'!$Z$4)/('[1]1982'!$Z$3-'[1]1982'!$Z$4)</f>
        <v>1.7858572915832469E-2</v>
      </c>
      <c r="AA448">
        <v>112275</v>
      </c>
      <c r="AB448">
        <v>13713</v>
      </c>
      <c r="AD448" t="s">
        <v>15</v>
      </c>
      <c r="AE448">
        <v>22</v>
      </c>
      <c r="AF448">
        <v>3</v>
      </c>
      <c r="AH448" t="s">
        <v>4708</v>
      </c>
      <c r="AI448" t="s">
        <v>4709</v>
      </c>
      <c r="AJ448" t="s">
        <v>4710</v>
      </c>
      <c r="AK448" t="s">
        <v>4711</v>
      </c>
      <c r="AL448">
        <v>3</v>
      </c>
      <c r="AM448" s="5">
        <f t="shared" si="38"/>
        <v>7.4999999999999997E-2</v>
      </c>
      <c r="AN448" s="6">
        <f>(AM448-'[1]1982'!$AO$4)/('[1]1982'!$AO$3-'[1]1982'!$AO$4)</f>
        <v>1.1359333585762968E-4</v>
      </c>
      <c r="AO448" s="7"/>
      <c r="AP448">
        <v>0</v>
      </c>
      <c r="AQ448" t="s">
        <v>208</v>
      </c>
      <c r="AR448" t="s">
        <v>19</v>
      </c>
      <c r="AS448" t="s">
        <v>210</v>
      </c>
      <c r="AT448" s="3">
        <v>2.226</v>
      </c>
      <c r="AU448" s="8">
        <f t="shared" si="39"/>
        <v>1.2535079041840016</v>
      </c>
      <c r="AV448" s="8">
        <f t="shared" si="40"/>
        <v>0.8986083125845048</v>
      </c>
      <c r="AW448" s="8">
        <f t="shared" si="41"/>
        <v>0.54370872098500822</v>
      </c>
    </row>
    <row r="449" spans="1:49" x14ac:dyDescent="0.2">
      <c r="A449">
        <v>447</v>
      </c>
      <c r="B449" t="s">
        <v>4712</v>
      </c>
      <c r="C449" t="s">
        <v>4713</v>
      </c>
      <c r="F449" t="s">
        <v>4714</v>
      </c>
      <c r="G449" t="s">
        <v>4</v>
      </c>
      <c r="H449" t="s">
        <v>5</v>
      </c>
      <c r="I449" t="s">
        <v>4715</v>
      </c>
      <c r="N449">
        <v>1</v>
      </c>
      <c r="O449" t="s">
        <v>4716</v>
      </c>
      <c r="P449">
        <v>57196661033</v>
      </c>
      <c r="R449" s="1">
        <v>29952</v>
      </c>
      <c r="S449" s="2">
        <f t="shared" si="36"/>
        <v>1982</v>
      </c>
      <c r="T449" s="2">
        <v>1982</v>
      </c>
      <c r="U449" s="2">
        <f t="shared" si="37"/>
        <v>40</v>
      </c>
      <c r="V449" s="1" t="s">
        <v>4717</v>
      </c>
      <c r="W449" t="s">
        <v>4718</v>
      </c>
      <c r="X449" s="3" t="s">
        <v>20</v>
      </c>
      <c r="Y449" s="4" t="e">
        <f>(X449-'[1]1982'!$Z$4)/('[1]1982'!$Z$3-'[1]1982'!$Z$4)</f>
        <v>#VALUE!</v>
      </c>
      <c r="AA449">
        <v>281522</v>
      </c>
      <c r="AB449">
        <v>12174</v>
      </c>
      <c r="AC449">
        <v>21614296</v>
      </c>
      <c r="AD449" t="s">
        <v>15</v>
      </c>
      <c r="AE449">
        <v>29</v>
      </c>
      <c r="AF449">
        <v>1</v>
      </c>
      <c r="AH449" t="s">
        <v>4719</v>
      </c>
      <c r="AI449" t="s">
        <v>4720</v>
      </c>
      <c r="AK449" t="s">
        <v>4721</v>
      </c>
      <c r="AL449">
        <v>2</v>
      </c>
      <c r="AM449" s="5">
        <f t="shared" si="38"/>
        <v>0.05</v>
      </c>
      <c r="AN449" s="6">
        <f>(AM449-'[1]1982'!$AO$4)/('[1]1982'!$AO$3-'[1]1982'!$AO$4)</f>
        <v>7.5728890571753133E-5</v>
      </c>
      <c r="AO449" s="7"/>
      <c r="AP449">
        <v>0</v>
      </c>
      <c r="AR449" t="s">
        <v>19</v>
      </c>
      <c r="AT449" s="3" t="s">
        <v>20</v>
      </c>
      <c r="AU449" s="8" t="e">
        <f t="shared" si="39"/>
        <v>#VALUE!</v>
      </c>
      <c r="AV449" s="8" t="e">
        <f t="shared" si="40"/>
        <v>#VALUE!</v>
      </c>
      <c r="AW449" s="8" t="e">
        <f t="shared" si="41"/>
        <v>#VALUE!</v>
      </c>
    </row>
    <row r="450" spans="1:49" x14ac:dyDescent="0.2">
      <c r="A450">
        <v>448</v>
      </c>
      <c r="B450" t="s">
        <v>4722</v>
      </c>
      <c r="C450" t="s">
        <v>4723</v>
      </c>
      <c r="D450">
        <v>94576582900820</v>
      </c>
      <c r="F450" t="s">
        <v>4724</v>
      </c>
      <c r="G450" t="s">
        <v>4</v>
      </c>
      <c r="H450" t="s">
        <v>5</v>
      </c>
      <c r="I450" t="s">
        <v>4725</v>
      </c>
      <c r="J450">
        <v>60021988</v>
      </c>
      <c r="K450" t="s">
        <v>4726</v>
      </c>
      <c r="L450" t="s">
        <v>4727</v>
      </c>
      <c r="M450" t="s">
        <v>640</v>
      </c>
      <c r="N450">
        <v>1</v>
      </c>
      <c r="O450" t="s">
        <v>4728</v>
      </c>
      <c r="P450">
        <v>7402676359</v>
      </c>
      <c r="Q450">
        <v>60021988</v>
      </c>
      <c r="R450" s="1">
        <v>29952</v>
      </c>
      <c r="S450" s="2">
        <f t="shared" ref="S450:S513" si="42">YEAR(R450)</f>
        <v>1982</v>
      </c>
      <c r="T450" s="2">
        <v>1982</v>
      </c>
      <c r="U450" s="2">
        <f t="shared" ref="U450:U513" si="43">2022-T450</f>
        <v>40</v>
      </c>
      <c r="V450" s="1">
        <v>30011</v>
      </c>
      <c r="W450" t="s">
        <v>1898</v>
      </c>
      <c r="X450" s="3">
        <v>1.1339999999999999</v>
      </c>
      <c r="Y450" s="4">
        <f>(X450-'[1]1982'!$Z$4)/('[1]1982'!$Z$3-'[1]1982'!$Z$4)</f>
        <v>3.0271482341635299E-2</v>
      </c>
      <c r="AA450">
        <v>945765</v>
      </c>
      <c r="AB450">
        <v>12372</v>
      </c>
      <c r="AD450" t="s">
        <v>15</v>
      </c>
      <c r="AE450">
        <v>9</v>
      </c>
      <c r="AF450">
        <v>3</v>
      </c>
      <c r="AH450" t="s">
        <v>4729</v>
      </c>
      <c r="AI450" t="s">
        <v>4730</v>
      </c>
      <c r="AK450" t="s">
        <v>4731</v>
      </c>
      <c r="AL450">
        <v>7</v>
      </c>
      <c r="AM450" s="5">
        <f t="shared" ref="AM450:AM513" si="44">AL450/U450</f>
        <v>0.17499999999999999</v>
      </c>
      <c r="AN450" s="6">
        <f>(AM450-'[1]1982'!$AO$4)/('[1]1982'!$AO$3-'[1]1982'!$AO$4)</f>
        <v>2.6505111700113592E-4</v>
      </c>
      <c r="AO450" s="7"/>
      <c r="AP450">
        <v>0</v>
      </c>
      <c r="AR450" t="s">
        <v>19</v>
      </c>
      <c r="AT450" s="3">
        <v>2.4129999999999998</v>
      </c>
      <c r="AU450" s="8">
        <f t="shared" ref="AU450:AU513" si="45">(Y450*0.7+AN450*0.3)*100</f>
        <v>2.1269552974245052</v>
      </c>
      <c r="AV450" s="8">
        <f t="shared" ref="AV450:AV513" si="46">(Y450*0.5+AN450*0.5)*100</f>
        <v>1.5268266729318218</v>
      </c>
      <c r="AW450" s="8">
        <f t="shared" ref="AW450:AW513" si="47">(Y450*0.3+AN450*0.7)*100</f>
        <v>0.92669804843913839</v>
      </c>
    </row>
    <row r="451" spans="1:49" x14ac:dyDescent="0.2">
      <c r="A451">
        <v>449</v>
      </c>
      <c r="B451" t="s">
        <v>4732</v>
      </c>
      <c r="F451" t="s">
        <v>4733</v>
      </c>
      <c r="G451" t="s">
        <v>4</v>
      </c>
      <c r="H451" t="s">
        <v>5</v>
      </c>
      <c r="I451" t="s">
        <v>4734</v>
      </c>
      <c r="N451">
        <v>1</v>
      </c>
      <c r="O451" t="s">
        <v>4735</v>
      </c>
      <c r="P451">
        <v>55228380100</v>
      </c>
      <c r="R451" s="1">
        <v>29952</v>
      </c>
      <c r="S451" s="2">
        <f t="shared" si="42"/>
        <v>1982</v>
      </c>
      <c r="T451" s="2">
        <v>1982</v>
      </c>
      <c r="U451" s="2">
        <f t="shared" si="43"/>
        <v>40</v>
      </c>
      <c r="V451" s="1" t="s">
        <v>4736</v>
      </c>
      <c r="W451" t="s">
        <v>4737</v>
      </c>
      <c r="X451" s="3" t="s">
        <v>20</v>
      </c>
      <c r="Y451" s="4" t="e">
        <f>(X451-'[1]1982'!$Z$4)/('[1]1982'!$Z$3-'[1]1982'!$Z$4)</f>
        <v>#VALUE!</v>
      </c>
      <c r="AB451">
        <v>37257</v>
      </c>
      <c r="AD451" t="s">
        <v>15</v>
      </c>
      <c r="AE451">
        <v>19</v>
      </c>
      <c r="AF451">
        <v>183</v>
      </c>
      <c r="AH451" t="s">
        <v>4738</v>
      </c>
      <c r="AI451" t="s">
        <v>4739</v>
      </c>
      <c r="AK451" t="s">
        <v>4740</v>
      </c>
      <c r="AL451">
        <v>0</v>
      </c>
      <c r="AM451" s="5">
        <f t="shared" si="44"/>
        <v>0</v>
      </c>
      <c r="AN451" s="6">
        <f>(AM451-'[1]1982'!$AO$4)/('[1]1982'!$AO$3-'[1]1982'!$AO$4)</f>
        <v>0</v>
      </c>
      <c r="AO451" s="7"/>
      <c r="AP451">
        <v>0</v>
      </c>
      <c r="AR451" t="s">
        <v>19</v>
      </c>
      <c r="AT451" s="3" t="s">
        <v>20</v>
      </c>
      <c r="AU451" s="8" t="e">
        <f t="shared" si="45"/>
        <v>#VALUE!</v>
      </c>
      <c r="AV451" s="8" t="e">
        <f t="shared" si="46"/>
        <v>#VALUE!</v>
      </c>
      <c r="AW451" s="8" t="e">
        <f t="shared" si="47"/>
        <v>#VALUE!</v>
      </c>
    </row>
    <row r="452" spans="1:49" x14ac:dyDescent="0.2">
      <c r="A452">
        <v>450</v>
      </c>
      <c r="B452" t="s">
        <v>4741</v>
      </c>
      <c r="C452" t="s">
        <v>4742</v>
      </c>
      <c r="F452" t="s">
        <v>4743</v>
      </c>
      <c r="G452" t="s">
        <v>4</v>
      </c>
      <c r="H452" t="s">
        <v>5</v>
      </c>
      <c r="I452" t="s">
        <v>4744</v>
      </c>
      <c r="J452" t="s">
        <v>4745</v>
      </c>
      <c r="K452" t="s">
        <v>4746</v>
      </c>
      <c r="L452" t="s">
        <v>4747</v>
      </c>
      <c r="M452" t="s">
        <v>218</v>
      </c>
      <c r="N452">
        <v>2</v>
      </c>
      <c r="O452" t="s">
        <v>4748</v>
      </c>
      <c r="P452" t="s">
        <v>4749</v>
      </c>
      <c r="Q452" t="s">
        <v>4750</v>
      </c>
      <c r="R452" s="1">
        <v>29952</v>
      </c>
      <c r="S452" s="2">
        <f t="shared" si="42"/>
        <v>1982</v>
      </c>
      <c r="T452" s="2">
        <v>1982</v>
      </c>
      <c r="U452" s="2">
        <f t="shared" si="43"/>
        <v>40</v>
      </c>
      <c r="V452" s="1">
        <v>30011</v>
      </c>
      <c r="W452" t="s">
        <v>1117</v>
      </c>
      <c r="X452" s="3">
        <v>1.6519999999999999</v>
      </c>
      <c r="Y452" s="4">
        <f>(X452-'[1]1982'!$Z$4)/('[1]1982'!$Z$3-'[1]1982'!$Z$4)</f>
        <v>4.409919649769093E-2</v>
      </c>
      <c r="AA452" t="s">
        <v>1118</v>
      </c>
      <c r="AB452">
        <v>17337</v>
      </c>
      <c r="AC452">
        <v>15582221</v>
      </c>
      <c r="AD452" t="s">
        <v>15</v>
      </c>
      <c r="AE452">
        <v>30</v>
      </c>
      <c r="AF452">
        <v>2</v>
      </c>
      <c r="AH452" t="s">
        <v>4751</v>
      </c>
      <c r="AI452" t="s">
        <v>4752</v>
      </c>
      <c r="AK452" t="s">
        <v>4753</v>
      </c>
      <c r="AL452">
        <v>49</v>
      </c>
      <c r="AM452" s="5">
        <f t="shared" si="44"/>
        <v>1.2250000000000001</v>
      </c>
      <c r="AN452" s="6">
        <f>(AM452-'[1]1982'!$AO$4)/('[1]1982'!$AO$3-'[1]1982'!$AO$4)</f>
        <v>1.8553578190079517E-3</v>
      </c>
      <c r="AO452" s="7"/>
      <c r="AP452">
        <v>0</v>
      </c>
      <c r="AR452" t="s">
        <v>19</v>
      </c>
      <c r="AT452" s="3" t="s">
        <v>20</v>
      </c>
      <c r="AU452" s="8">
        <f t="shared" si="45"/>
        <v>3.1426044894086034</v>
      </c>
      <c r="AV452" s="8">
        <f t="shared" si="46"/>
        <v>2.2977277158349443</v>
      </c>
      <c r="AW452" s="8">
        <f t="shared" si="47"/>
        <v>1.4528509422612845</v>
      </c>
    </row>
    <row r="453" spans="1:49" x14ac:dyDescent="0.2">
      <c r="A453">
        <v>451</v>
      </c>
      <c r="B453" t="s">
        <v>4754</v>
      </c>
      <c r="C453" t="s">
        <v>4755</v>
      </c>
      <c r="F453" t="s">
        <v>4756</v>
      </c>
      <c r="G453" t="s">
        <v>4</v>
      </c>
      <c r="H453" t="s">
        <v>5</v>
      </c>
      <c r="I453" t="s">
        <v>4370</v>
      </c>
      <c r="N453">
        <v>2</v>
      </c>
      <c r="O453" t="s">
        <v>4757</v>
      </c>
      <c r="P453" t="s">
        <v>4758</v>
      </c>
      <c r="Q453" t="s">
        <v>156</v>
      </c>
      <c r="R453" s="1">
        <v>29952</v>
      </c>
      <c r="S453" s="2">
        <f t="shared" si="42"/>
        <v>1982</v>
      </c>
      <c r="T453" s="2">
        <v>1982</v>
      </c>
      <c r="U453" s="2">
        <f t="shared" si="43"/>
        <v>40</v>
      </c>
      <c r="V453" s="1" t="s">
        <v>4759</v>
      </c>
      <c r="W453" t="s">
        <v>2385</v>
      </c>
      <c r="X453" s="3">
        <v>0.371</v>
      </c>
      <c r="Y453" s="4">
        <f>(X453-'[1]1982'!$Z$4)/('[1]1982'!$Z$3-'[1]1982'!$Z$4)</f>
        <v>9.9036331117695747E-3</v>
      </c>
      <c r="AA453">
        <v>486604</v>
      </c>
      <c r="AB453">
        <v>28580</v>
      </c>
      <c r="AC453" t="s">
        <v>2386</v>
      </c>
      <c r="AD453" t="s">
        <v>15</v>
      </c>
      <c r="AE453">
        <v>17</v>
      </c>
      <c r="AF453">
        <v>2</v>
      </c>
      <c r="AH453" t="s">
        <v>4760</v>
      </c>
      <c r="AI453" t="s">
        <v>4761</v>
      </c>
      <c r="AK453" t="s">
        <v>4762</v>
      </c>
      <c r="AL453">
        <v>27</v>
      </c>
      <c r="AM453" s="5">
        <f t="shared" si="44"/>
        <v>0.67500000000000004</v>
      </c>
      <c r="AN453" s="6">
        <f>(AM453-'[1]1982'!$AO$4)/('[1]1982'!$AO$3-'[1]1982'!$AO$4)</f>
        <v>1.0223400227186673E-3</v>
      </c>
      <c r="AO453" s="7"/>
      <c r="AP453">
        <v>0</v>
      </c>
      <c r="AR453" t="s">
        <v>19</v>
      </c>
      <c r="AT453" s="3">
        <v>1.431</v>
      </c>
      <c r="AU453" s="8">
        <f t="shared" si="45"/>
        <v>0.72392451850543016</v>
      </c>
      <c r="AV453" s="8">
        <f t="shared" si="46"/>
        <v>0.54629865672441213</v>
      </c>
      <c r="AW453" s="8">
        <f t="shared" si="47"/>
        <v>0.36867279494339394</v>
      </c>
    </row>
    <row r="454" spans="1:49" x14ac:dyDescent="0.2">
      <c r="A454">
        <v>452</v>
      </c>
      <c r="B454" t="s">
        <v>4763</v>
      </c>
      <c r="C454" t="s">
        <v>4764</v>
      </c>
      <c r="F454" t="s">
        <v>4765</v>
      </c>
      <c r="G454" t="s">
        <v>4</v>
      </c>
      <c r="H454" t="s">
        <v>5</v>
      </c>
      <c r="I454" t="s">
        <v>4766</v>
      </c>
      <c r="N454">
        <v>1</v>
      </c>
      <c r="O454" t="s">
        <v>4767</v>
      </c>
      <c r="P454">
        <v>7103309496</v>
      </c>
      <c r="R454" s="1">
        <v>29952</v>
      </c>
      <c r="S454" s="2">
        <f t="shared" si="42"/>
        <v>1982</v>
      </c>
      <c r="T454" s="2">
        <v>1982</v>
      </c>
      <c r="U454" s="2">
        <f t="shared" si="43"/>
        <v>40</v>
      </c>
      <c r="V454" s="1" t="s">
        <v>4759</v>
      </c>
      <c r="W454" t="s">
        <v>2385</v>
      </c>
      <c r="X454" s="3">
        <v>0.371</v>
      </c>
      <c r="Y454" s="4">
        <f>(X454-'[1]1982'!$Z$4)/('[1]1982'!$Z$3-'[1]1982'!$Z$4)</f>
        <v>9.9036331117695747E-3</v>
      </c>
      <c r="AA454">
        <v>486604</v>
      </c>
      <c r="AB454">
        <v>28580</v>
      </c>
      <c r="AC454" t="s">
        <v>2386</v>
      </c>
      <c r="AD454" t="s">
        <v>15</v>
      </c>
      <c r="AE454">
        <v>17</v>
      </c>
      <c r="AF454">
        <v>2</v>
      </c>
      <c r="AH454" t="s">
        <v>4768</v>
      </c>
      <c r="AI454" t="s">
        <v>4769</v>
      </c>
      <c r="AK454" t="s">
        <v>4770</v>
      </c>
      <c r="AL454">
        <v>3</v>
      </c>
      <c r="AM454" s="5">
        <f t="shared" si="44"/>
        <v>7.4999999999999997E-2</v>
      </c>
      <c r="AN454" s="6">
        <f>(AM454-'[1]1982'!$AO$4)/('[1]1982'!$AO$3-'[1]1982'!$AO$4)</f>
        <v>1.1359333585762968E-4</v>
      </c>
      <c r="AO454" s="7"/>
      <c r="AP454">
        <v>0</v>
      </c>
      <c r="AR454" t="s">
        <v>19</v>
      </c>
      <c r="AT454" s="3">
        <v>1.431</v>
      </c>
      <c r="AU454" s="8">
        <f t="shared" si="45"/>
        <v>0.69666211789959909</v>
      </c>
      <c r="AV454" s="8">
        <f t="shared" si="46"/>
        <v>0.50086132238136027</v>
      </c>
      <c r="AW454" s="8">
        <f t="shared" si="47"/>
        <v>0.30506052686312135</v>
      </c>
    </row>
    <row r="455" spans="1:49" x14ac:dyDescent="0.2">
      <c r="A455">
        <v>453</v>
      </c>
      <c r="B455" t="s">
        <v>4771</v>
      </c>
      <c r="C455" t="s">
        <v>4772</v>
      </c>
      <c r="F455" t="s">
        <v>4773</v>
      </c>
      <c r="G455" t="s">
        <v>4</v>
      </c>
      <c r="H455" t="s">
        <v>5</v>
      </c>
      <c r="I455" t="s">
        <v>4774</v>
      </c>
      <c r="J455">
        <v>60017317</v>
      </c>
      <c r="K455" t="s">
        <v>4775</v>
      </c>
      <c r="L455" t="s">
        <v>4776</v>
      </c>
      <c r="M455" t="s">
        <v>94</v>
      </c>
      <c r="N455">
        <v>1</v>
      </c>
      <c r="O455" t="s">
        <v>4777</v>
      </c>
      <c r="P455">
        <v>7202088996</v>
      </c>
      <c r="Q455">
        <v>60017317</v>
      </c>
      <c r="R455" s="1">
        <v>29952</v>
      </c>
      <c r="S455" s="2">
        <f t="shared" si="42"/>
        <v>1982</v>
      </c>
      <c r="T455" s="2">
        <v>1982</v>
      </c>
      <c r="U455" s="2">
        <f t="shared" si="43"/>
        <v>40</v>
      </c>
      <c r="V455" s="1">
        <v>30011</v>
      </c>
      <c r="W455" t="s">
        <v>4778</v>
      </c>
      <c r="X455" s="3">
        <v>0.52800000000000002</v>
      </c>
      <c r="Y455" s="4">
        <f>(X455-'[1]1982'!$Z$4)/('[1]1982'!$Z$3-'[1]1982'!$Z$4)</f>
        <v>1.4094658444782575E-2</v>
      </c>
      <c r="AA455">
        <v>220434</v>
      </c>
      <c r="AB455">
        <v>21141</v>
      </c>
      <c r="AC455">
        <v>15289028</v>
      </c>
      <c r="AD455" t="s">
        <v>15</v>
      </c>
      <c r="AE455">
        <v>104</v>
      </c>
      <c r="AF455">
        <v>1</v>
      </c>
      <c r="AH455" t="s">
        <v>4779</v>
      </c>
      <c r="AI455" t="s">
        <v>4780</v>
      </c>
      <c r="AK455" t="s">
        <v>4781</v>
      </c>
      <c r="AL455">
        <v>0</v>
      </c>
      <c r="AM455" s="5">
        <f t="shared" si="44"/>
        <v>0</v>
      </c>
      <c r="AN455" s="6">
        <f>(AM455-'[1]1982'!$AO$4)/('[1]1982'!$AO$3-'[1]1982'!$AO$4)</f>
        <v>0</v>
      </c>
      <c r="AO455" s="7"/>
      <c r="AP455">
        <v>0</v>
      </c>
      <c r="AR455" t="s">
        <v>19</v>
      </c>
      <c r="AT455" s="3" t="s">
        <v>20</v>
      </c>
      <c r="AU455" s="8">
        <f t="shared" si="45"/>
        <v>0.98662609113478006</v>
      </c>
      <c r="AV455" s="8">
        <f t="shared" si="46"/>
        <v>0.70473292223912876</v>
      </c>
      <c r="AW455" s="8">
        <f t="shared" si="47"/>
        <v>0.42283975334347723</v>
      </c>
    </row>
    <row r="456" spans="1:49" x14ac:dyDescent="0.2">
      <c r="A456">
        <v>454</v>
      </c>
      <c r="B456" t="s">
        <v>4782</v>
      </c>
      <c r="C456" t="s">
        <v>4783</v>
      </c>
      <c r="F456" t="s">
        <v>4784</v>
      </c>
      <c r="G456" t="s">
        <v>4</v>
      </c>
      <c r="H456" t="s">
        <v>5</v>
      </c>
      <c r="I456" t="s">
        <v>4785</v>
      </c>
      <c r="J456" t="s">
        <v>4786</v>
      </c>
      <c r="K456" t="s">
        <v>4787</v>
      </c>
      <c r="L456" t="s">
        <v>2161</v>
      </c>
      <c r="M456" t="s">
        <v>1556</v>
      </c>
      <c r="N456">
        <v>3</v>
      </c>
      <c r="O456" t="s">
        <v>4788</v>
      </c>
      <c r="P456" t="s">
        <v>4789</v>
      </c>
      <c r="Q456" t="s">
        <v>4790</v>
      </c>
      <c r="R456" s="1">
        <v>29952</v>
      </c>
      <c r="S456" s="2">
        <f t="shared" si="42"/>
        <v>1982</v>
      </c>
      <c r="T456" s="2">
        <v>1982</v>
      </c>
      <c r="U456" s="2">
        <f t="shared" si="43"/>
        <v>40</v>
      </c>
      <c r="V456" s="1">
        <v>30011</v>
      </c>
      <c r="W456" t="s">
        <v>1117</v>
      </c>
      <c r="X456" s="3">
        <v>1.6519999999999999</v>
      </c>
      <c r="Y456" s="4">
        <f>(X456-'[1]1982'!$Z$4)/('[1]1982'!$Z$3-'[1]1982'!$Z$4)</f>
        <v>4.409919649769093E-2</v>
      </c>
      <c r="AA456" t="s">
        <v>1118</v>
      </c>
      <c r="AB456">
        <v>17337</v>
      </c>
      <c r="AC456">
        <v>15582221</v>
      </c>
      <c r="AD456" t="s">
        <v>15</v>
      </c>
      <c r="AE456">
        <v>30</v>
      </c>
      <c r="AF456">
        <v>2</v>
      </c>
      <c r="AH456" t="s">
        <v>4791</v>
      </c>
      <c r="AI456" t="s">
        <v>4792</v>
      </c>
      <c r="AK456" t="s">
        <v>4793</v>
      </c>
      <c r="AL456">
        <v>157</v>
      </c>
      <c r="AM456" s="5">
        <f t="shared" si="44"/>
        <v>3.9249999999999998</v>
      </c>
      <c r="AN456" s="6">
        <f>(AM456-'[1]1982'!$AO$4)/('[1]1982'!$AO$3-'[1]1982'!$AO$4)</f>
        <v>5.9447179098826202E-3</v>
      </c>
      <c r="AO456" s="7"/>
      <c r="AP456">
        <v>0</v>
      </c>
      <c r="AR456" t="s">
        <v>19</v>
      </c>
      <c r="AT456" s="3" t="s">
        <v>20</v>
      </c>
      <c r="AU456" s="8">
        <f t="shared" si="45"/>
        <v>3.2652852921348439</v>
      </c>
      <c r="AV456" s="8">
        <f t="shared" si="46"/>
        <v>2.5021957203786775</v>
      </c>
      <c r="AW456" s="8">
        <f t="shared" si="47"/>
        <v>1.7391061486225112</v>
      </c>
    </row>
    <row r="457" spans="1:49" x14ac:dyDescent="0.2">
      <c r="A457">
        <v>455</v>
      </c>
      <c r="B457" t="s">
        <v>4794</v>
      </c>
      <c r="C457" t="s">
        <v>4795</v>
      </c>
      <c r="F457" t="s">
        <v>4796</v>
      </c>
      <c r="G457" t="s">
        <v>4</v>
      </c>
      <c r="H457" t="s">
        <v>5</v>
      </c>
      <c r="I457" t="s">
        <v>4797</v>
      </c>
      <c r="J457">
        <v>60030551</v>
      </c>
      <c r="K457" t="s">
        <v>1088</v>
      </c>
      <c r="L457" t="s">
        <v>1089</v>
      </c>
      <c r="M457" t="s">
        <v>9</v>
      </c>
      <c r="N457">
        <v>3</v>
      </c>
      <c r="O457" t="s">
        <v>4798</v>
      </c>
      <c r="P457" t="s">
        <v>4799</v>
      </c>
      <c r="Q457" t="s">
        <v>4800</v>
      </c>
      <c r="R457" s="1">
        <v>29952</v>
      </c>
      <c r="S457" s="2">
        <f t="shared" si="42"/>
        <v>1982</v>
      </c>
      <c r="T457" s="2">
        <v>1982</v>
      </c>
      <c r="U457" s="2">
        <f t="shared" si="43"/>
        <v>40</v>
      </c>
      <c r="V457" s="1">
        <v>30011</v>
      </c>
      <c r="W457" t="s">
        <v>1117</v>
      </c>
      <c r="X457" s="3">
        <v>1.6519999999999999</v>
      </c>
      <c r="Y457" s="4">
        <f>(X457-'[1]1982'!$Z$4)/('[1]1982'!$Z$3-'[1]1982'!$Z$4)</f>
        <v>4.409919649769093E-2</v>
      </c>
      <c r="AA457" t="s">
        <v>1118</v>
      </c>
      <c r="AB457">
        <v>17337</v>
      </c>
      <c r="AC457">
        <v>15582221</v>
      </c>
      <c r="AD457" t="s">
        <v>15</v>
      </c>
      <c r="AE457">
        <v>30</v>
      </c>
      <c r="AF457">
        <v>2</v>
      </c>
      <c r="AH457" t="s">
        <v>4801</v>
      </c>
      <c r="AI457" t="s">
        <v>4802</v>
      </c>
      <c r="AK457" t="s">
        <v>4803</v>
      </c>
      <c r="AL457">
        <v>6</v>
      </c>
      <c r="AM457" s="5">
        <f t="shared" si="44"/>
        <v>0.15</v>
      </c>
      <c r="AN457" s="6">
        <f>(AM457-'[1]1982'!$AO$4)/('[1]1982'!$AO$3-'[1]1982'!$AO$4)</f>
        <v>2.2718667171525936E-4</v>
      </c>
      <c r="AO457" s="7"/>
      <c r="AP457">
        <v>0</v>
      </c>
      <c r="AR457" t="s">
        <v>19</v>
      </c>
      <c r="AT457" s="3" t="s">
        <v>20</v>
      </c>
      <c r="AU457" s="8">
        <f t="shared" si="45"/>
        <v>3.0937593549898228</v>
      </c>
      <c r="AV457" s="8">
        <f t="shared" si="46"/>
        <v>2.2163191584703092</v>
      </c>
      <c r="AW457" s="8">
        <f t="shared" si="47"/>
        <v>1.3388789619507961</v>
      </c>
    </row>
    <row r="458" spans="1:49" x14ac:dyDescent="0.2">
      <c r="A458">
        <v>456</v>
      </c>
      <c r="B458" t="s">
        <v>4804</v>
      </c>
      <c r="C458" t="s">
        <v>4805</v>
      </c>
      <c r="F458" t="s">
        <v>4806</v>
      </c>
      <c r="G458" t="s">
        <v>4</v>
      </c>
      <c r="H458" t="s">
        <v>5</v>
      </c>
      <c r="I458" t="s">
        <v>4807</v>
      </c>
      <c r="J458">
        <v>60011688</v>
      </c>
      <c r="K458" t="s">
        <v>2644</v>
      </c>
      <c r="L458" t="s">
        <v>2645</v>
      </c>
      <c r="M458" t="s">
        <v>9</v>
      </c>
      <c r="N458">
        <v>3</v>
      </c>
      <c r="O458" t="s">
        <v>4808</v>
      </c>
      <c r="P458" t="s">
        <v>4809</v>
      </c>
      <c r="Q458" t="s">
        <v>2648</v>
      </c>
      <c r="R458" s="1">
        <v>29952</v>
      </c>
      <c r="S458" s="2">
        <f t="shared" si="42"/>
        <v>1982</v>
      </c>
      <c r="T458" s="2">
        <v>1982</v>
      </c>
      <c r="U458" s="2">
        <f t="shared" si="43"/>
        <v>40</v>
      </c>
      <c r="V458" s="1">
        <v>30011</v>
      </c>
      <c r="W458" t="s">
        <v>1117</v>
      </c>
      <c r="X458" s="3">
        <v>1.6519999999999999</v>
      </c>
      <c r="Y458" s="4">
        <f>(X458-'[1]1982'!$Z$4)/('[1]1982'!$Z$3-'[1]1982'!$Z$4)</f>
        <v>4.409919649769093E-2</v>
      </c>
      <c r="AA458" t="s">
        <v>1118</v>
      </c>
      <c r="AB458">
        <v>17337</v>
      </c>
      <c r="AC458">
        <v>15582221</v>
      </c>
      <c r="AD458" t="s">
        <v>15</v>
      </c>
      <c r="AE458">
        <v>30</v>
      </c>
      <c r="AF458">
        <v>2</v>
      </c>
      <c r="AH458" t="s">
        <v>4810</v>
      </c>
      <c r="AI458" t="s">
        <v>4811</v>
      </c>
      <c r="AK458" t="s">
        <v>4812</v>
      </c>
      <c r="AL458">
        <v>3</v>
      </c>
      <c r="AM458" s="5">
        <f t="shared" si="44"/>
        <v>7.4999999999999997E-2</v>
      </c>
      <c r="AN458" s="6">
        <f>(AM458-'[1]1982'!$AO$4)/('[1]1982'!$AO$3-'[1]1982'!$AO$4)</f>
        <v>1.1359333585762968E-4</v>
      </c>
      <c r="AO458" s="7"/>
      <c r="AP458">
        <v>0</v>
      </c>
      <c r="AR458" t="s">
        <v>19</v>
      </c>
      <c r="AT458" s="3" t="s">
        <v>20</v>
      </c>
      <c r="AU458" s="8">
        <f t="shared" si="45"/>
        <v>3.0903515549140939</v>
      </c>
      <c r="AV458" s="8">
        <f t="shared" si="46"/>
        <v>2.2106394916774281</v>
      </c>
      <c r="AW458" s="8">
        <f t="shared" si="47"/>
        <v>1.330927428440762</v>
      </c>
    </row>
    <row r="459" spans="1:49" x14ac:dyDescent="0.2">
      <c r="A459">
        <v>457</v>
      </c>
      <c r="B459" t="s">
        <v>4813</v>
      </c>
      <c r="C459" t="s">
        <v>4814</v>
      </c>
      <c r="F459" t="s">
        <v>4815</v>
      </c>
      <c r="G459" t="s">
        <v>4</v>
      </c>
      <c r="H459" t="s">
        <v>5</v>
      </c>
      <c r="I459" t="s">
        <v>4816</v>
      </c>
      <c r="J459">
        <v>60030551</v>
      </c>
      <c r="K459" t="s">
        <v>1088</v>
      </c>
      <c r="L459" t="s">
        <v>1089</v>
      </c>
      <c r="M459" t="s">
        <v>9</v>
      </c>
      <c r="N459">
        <v>1</v>
      </c>
      <c r="O459" t="s">
        <v>4817</v>
      </c>
      <c r="P459">
        <v>7201653432</v>
      </c>
      <c r="Q459">
        <v>60030551</v>
      </c>
      <c r="R459" s="1">
        <v>29952</v>
      </c>
      <c r="S459" s="2">
        <f t="shared" si="42"/>
        <v>1982</v>
      </c>
      <c r="T459" s="2">
        <v>1982</v>
      </c>
      <c r="U459" s="2">
        <f t="shared" si="43"/>
        <v>40</v>
      </c>
      <c r="V459" s="1">
        <v>30011</v>
      </c>
      <c r="W459" t="s">
        <v>1117</v>
      </c>
      <c r="X459" s="3">
        <v>1.6519999999999999</v>
      </c>
      <c r="Y459" s="4">
        <f>(X459-'[1]1982'!$Z$4)/('[1]1982'!$Z$3-'[1]1982'!$Z$4)</f>
        <v>4.409919649769093E-2</v>
      </c>
      <c r="AA459" t="s">
        <v>1118</v>
      </c>
      <c r="AB459">
        <v>17337</v>
      </c>
      <c r="AC459">
        <v>15582221</v>
      </c>
      <c r="AD459" t="s">
        <v>15</v>
      </c>
      <c r="AE459">
        <v>30</v>
      </c>
      <c r="AF459">
        <v>2</v>
      </c>
      <c r="AH459" t="s">
        <v>4818</v>
      </c>
      <c r="AI459" t="s">
        <v>4819</v>
      </c>
      <c r="AK459" t="s">
        <v>4820</v>
      </c>
      <c r="AL459">
        <v>78</v>
      </c>
      <c r="AM459" s="5">
        <f t="shared" si="44"/>
        <v>1.95</v>
      </c>
      <c r="AN459" s="6">
        <f>(AM459-'[1]1982'!$AO$4)/('[1]1982'!$AO$3-'[1]1982'!$AO$4)</f>
        <v>2.9534267322983716E-3</v>
      </c>
      <c r="AO459" s="7"/>
      <c r="AP459">
        <v>0</v>
      </c>
      <c r="AR459" t="s">
        <v>19</v>
      </c>
      <c r="AT459" s="3" t="s">
        <v>20</v>
      </c>
      <c r="AU459" s="8">
        <f t="shared" si="45"/>
        <v>3.175546556807316</v>
      </c>
      <c r="AV459" s="8">
        <f t="shared" si="46"/>
        <v>2.3526311614994651</v>
      </c>
      <c r="AW459" s="8">
        <f t="shared" si="47"/>
        <v>1.5297157661916139</v>
      </c>
    </row>
    <row r="460" spans="1:49" x14ac:dyDescent="0.2">
      <c r="A460">
        <v>458</v>
      </c>
      <c r="B460" t="s">
        <v>4821</v>
      </c>
      <c r="C460" t="s">
        <v>4822</v>
      </c>
      <c r="F460" t="s">
        <v>4823</v>
      </c>
      <c r="G460" t="s">
        <v>4</v>
      </c>
      <c r="H460" t="s">
        <v>5</v>
      </c>
      <c r="I460" t="s">
        <v>4824</v>
      </c>
      <c r="J460" t="s">
        <v>4825</v>
      </c>
      <c r="K460" t="s">
        <v>4826</v>
      </c>
      <c r="L460" t="s">
        <v>4827</v>
      </c>
      <c r="M460" t="s">
        <v>218</v>
      </c>
      <c r="N460">
        <v>2</v>
      </c>
      <c r="O460" t="s">
        <v>4828</v>
      </c>
      <c r="P460" t="s">
        <v>4829</v>
      </c>
      <c r="Q460" t="s">
        <v>4825</v>
      </c>
      <c r="R460" s="1">
        <v>29952</v>
      </c>
      <c r="S460" s="2">
        <f t="shared" si="42"/>
        <v>1982</v>
      </c>
      <c r="T460" s="2">
        <v>1982</v>
      </c>
      <c r="U460" s="2">
        <f t="shared" si="43"/>
        <v>40</v>
      </c>
      <c r="V460" s="1">
        <v>30011</v>
      </c>
      <c r="W460" t="s">
        <v>1117</v>
      </c>
      <c r="X460" s="3">
        <v>1.6519999999999999</v>
      </c>
      <c r="Y460" s="4">
        <f>(X460-'[1]1982'!$Z$4)/('[1]1982'!$Z$3-'[1]1982'!$Z$4)</f>
        <v>4.409919649769093E-2</v>
      </c>
      <c r="AA460" t="s">
        <v>1118</v>
      </c>
      <c r="AB460">
        <v>17337</v>
      </c>
      <c r="AC460">
        <v>15582221</v>
      </c>
      <c r="AD460" t="s">
        <v>15</v>
      </c>
      <c r="AE460">
        <v>30</v>
      </c>
      <c r="AF460">
        <v>2</v>
      </c>
      <c r="AH460" t="s">
        <v>4830</v>
      </c>
      <c r="AI460" t="s">
        <v>4831</v>
      </c>
      <c r="AK460" t="s">
        <v>4832</v>
      </c>
      <c r="AL460">
        <v>0</v>
      </c>
      <c r="AM460" s="5">
        <f t="shared" si="44"/>
        <v>0</v>
      </c>
      <c r="AN460" s="6">
        <f>(AM460-'[1]1982'!$AO$4)/('[1]1982'!$AO$3-'[1]1982'!$AO$4)</f>
        <v>0</v>
      </c>
      <c r="AO460" s="7"/>
      <c r="AP460">
        <v>0</v>
      </c>
      <c r="AR460" t="s">
        <v>19</v>
      </c>
      <c r="AT460" s="3" t="s">
        <v>20</v>
      </c>
      <c r="AU460" s="8">
        <f t="shared" si="45"/>
        <v>3.0869437548383649</v>
      </c>
      <c r="AV460" s="8">
        <f t="shared" si="46"/>
        <v>2.2049598248845466</v>
      </c>
      <c r="AW460" s="8">
        <f t="shared" si="47"/>
        <v>1.3229758949307278</v>
      </c>
    </row>
    <row r="461" spans="1:49" x14ac:dyDescent="0.2">
      <c r="A461">
        <v>459</v>
      </c>
      <c r="B461" t="s">
        <v>4833</v>
      </c>
      <c r="C461" t="s">
        <v>4834</v>
      </c>
      <c r="F461" t="s">
        <v>4835</v>
      </c>
      <c r="G461" t="s">
        <v>4</v>
      </c>
      <c r="H461" t="s">
        <v>5</v>
      </c>
      <c r="I461" t="s">
        <v>4836</v>
      </c>
      <c r="J461" t="s">
        <v>4837</v>
      </c>
      <c r="K461" t="s">
        <v>4838</v>
      </c>
      <c r="L461" t="s">
        <v>4839</v>
      </c>
      <c r="M461" t="s">
        <v>4840</v>
      </c>
      <c r="N461">
        <v>3</v>
      </c>
      <c r="O461" t="s">
        <v>4841</v>
      </c>
      <c r="P461" t="s">
        <v>4842</v>
      </c>
      <c r="Q461" t="s">
        <v>4843</v>
      </c>
      <c r="R461" s="1">
        <v>29952</v>
      </c>
      <c r="S461" s="2">
        <f t="shared" si="42"/>
        <v>1982</v>
      </c>
      <c r="T461" s="2">
        <v>1982</v>
      </c>
      <c r="U461" s="2">
        <f t="shared" si="43"/>
        <v>40</v>
      </c>
      <c r="V461" s="1">
        <v>30011</v>
      </c>
      <c r="W461" t="s">
        <v>1117</v>
      </c>
      <c r="X461" s="3">
        <v>1.6519999999999999</v>
      </c>
      <c r="Y461" s="4">
        <f>(X461-'[1]1982'!$Z$4)/('[1]1982'!$Z$3-'[1]1982'!$Z$4)</f>
        <v>4.409919649769093E-2</v>
      </c>
      <c r="AA461" t="s">
        <v>1118</v>
      </c>
      <c r="AB461">
        <v>17337</v>
      </c>
      <c r="AC461">
        <v>15582221</v>
      </c>
      <c r="AD461" t="s">
        <v>15</v>
      </c>
      <c r="AE461">
        <v>30</v>
      </c>
      <c r="AF461">
        <v>2</v>
      </c>
      <c r="AH461" t="s">
        <v>4844</v>
      </c>
      <c r="AI461" t="s">
        <v>4845</v>
      </c>
      <c r="AK461" t="s">
        <v>4846</v>
      </c>
      <c r="AL461">
        <v>2</v>
      </c>
      <c r="AM461" s="5">
        <f t="shared" si="44"/>
        <v>0.05</v>
      </c>
      <c r="AN461" s="6">
        <f>(AM461-'[1]1982'!$AO$4)/('[1]1982'!$AO$3-'[1]1982'!$AO$4)</f>
        <v>7.5728890571753133E-5</v>
      </c>
      <c r="AO461" s="7"/>
      <c r="AP461">
        <v>0</v>
      </c>
      <c r="AR461" t="s">
        <v>19</v>
      </c>
      <c r="AT461" s="3" t="s">
        <v>20</v>
      </c>
      <c r="AU461" s="8">
        <f t="shared" si="45"/>
        <v>3.0892156215555175</v>
      </c>
      <c r="AV461" s="8">
        <f t="shared" si="46"/>
        <v>2.2087462694131341</v>
      </c>
      <c r="AW461" s="8">
        <f t="shared" si="47"/>
        <v>1.3282769172707507</v>
      </c>
    </row>
    <row r="462" spans="1:49" x14ac:dyDescent="0.2">
      <c r="A462">
        <v>460</v>
      </c>
      <c r="B462" t="s">
        <v>4847</v>
      </c>
      <c r="C462" t="s">
        <v>4848</v>
      </c>
      <c r="F462" t="s">
        <v>4849</v>
      </c>
      <c r="G462" t="s">
        <v>4</v>
      </c>
      <c r="H462" t="s">
        <v>5</v>
      </c>
      <c r="I462" t="s">
        <v>4850</v>
      </c>
      <c r="J462">
        <v>60021918</v>
      </c>
      <c r="K462" t="s">
        <v>4851</v>
      </c>
      <c r="L462" t="s">
        <v>4852</v>
      </c>
      <c r="M462" t="s">
        <v>9</v>
      </c>
      <c r="N462">
        <v>1</v>
      </c>
      <c r="O462" t="s">
        <v>4853</v>
      </c>
      <c r="P462">
        <v>7202954787</v>
      </c>
      <c r="Q462">
        <v>60021918</v>
      </c>
      <c r="R462" s="1">
        <v>29952</v>
      </c>
      <c r="S462" s="2">
        <f t="shared" si="42"/>
        <v>1982</v>
      </c>
      <c r="T462" s="2">
        <v>1982</v>
      </c>
      <c r="U462" s="2">
        <f t="shared" si="43"/>
        <v>40</v>
      </c>
      <c r="V462" s="1">
        <v>30011</v>
      </c>
      <c r="W462" t="s">
        <v>2417</v>
      </c>
      <c r="X462" s="3">
        <v>1.137</v>
      </c>
      <c r="Y462" s="4">
        <f>(X462-'[1]1982'!$Z$4)/('[1]1982'!$Z$3-'[1]1982'!$Z$4)</f>
        <v>3.0351565628253384E-2</v>
      </c>
      <c r="AA462">
        <v>189251</v>
      </c>
      <c r="AB462">
        <v>17336</v>
      </c>
      <c r="AD462" t="s">
        <v>15</v>
      </c>
      <c r="AE462" t="s">
        <v>2418</v>
      </c>
      <c r="AF462">
        <v>2</v>
      </c>
      <c r="AH462" t="s">
        <v>4854</v>
      </c>
      <c r="AI462" t="s">
        <v>4855</v>
      </c>
      <c r="AK462" t="s">
        <v>4856</v>
      </c>
      <c r="AL462">
        <v>3</v>
      </c>
      <c r="AM462" s="5">
        <f t="shared" si="44"/>
        <v>7.4999999999999997E-2</v>
      </c>
      <c r="AN462" s="6">
        <f>(AM462-'[1]1982'!$AO$4)/('[1]1982'!$AO$3-'[1]1982'!$AO$4)</f>
        <v>1.1359333585762968E-4</v>
      </c>
      <c r="AO462" s="7"/>
      <c r="AP462">
        <v>0</v>
      </c>
      <c r="AR462" t="s">
        <v>19</v>
      </c>
      <c r="AT462" s="3" t="s">
        <v>20</v>
      </c>
      <c r="AU462" s="8">
        <f t="shared" si="45"/>
        <v>2.1280173940534657</v>
      </c>
      <c r="AV462" s="8">
        <f t="shared" si="46"/>
        <v>1.5232579482055506</v>
      </c>
      <c r="AW462" s="8">
        <f t="shared" si="47"/>
        <v>0.91849850235763553</v>
      </c>
    </row>
    <row r="463" spans="1:49" x14ac:dyDescent="0.2">
      <c r="A463">
        <v>461</v>
      </c>
      <c r="B463" t="s">
        <v>4857</v>
      </c>
      <c r="C463" t="s">
        <v>4858</v>
      </c>
      <c r="F463" t="s">
        <v>4859</v>
      </c>
      <c r="G463" t="s">
        <v>4</v>
      </c>
      <c r="H463" t="s">
        <v>5</v>
      </c>
      <c r="I463" t="s">
        <v>4860</v>
      </c>
      <c r="J463" t="s">
        <v>4861</v>
      </c>
      <c r="K463" t="s">
        <v>4862</v>
      </c>
      <c r="L463" t="s">
        <v>4863</v>
      </c>
      <c r="M463" t="s">
        <v>218</v>
      </c>
      <c r="N463">
        <v>2</v>
      </c>
      <c r="O463" t="s">
        <v>4864</v>
      </c>
      <c r="P463" t="s">
        <v>4865</v>
      </c>
      <c r="Q463" t="s">
        <v>4866</v>
      </c>
      <c r="R463" s="1">
        <v>29952</v>
      </c>
      <c r="S463" s="2">
        <f t="shared" si="42"/>
        <v>1982</v>
      </c>
      <c r="T463" s="2">
        <v>1982</v>
      </c>
      <c r="U463" s="2">
        <f t="shared" si="43"/>
        <v>40</v>
      </c>
      <c r="V463" s="1">
        <v>30011</v>
      </c>
      <c r="W463" t="s">
        <v>1117</v>
      </c>
      <c r="X463" s="3">
        <v>1.6519999999999999</v>
      </c>
      <c r="Y463" s="4">
        <f>(X463-'[1]1982'!$Z$4)/('[1]1982'!$Z$3-'[1]1982'!$Z$4)</f>
        <v>4.409919649769093E-2</v>
      </c>
      <c r="AA463" t="s">
        <v>1118</v>
      </c>
      <c r="AB463">
        <v>17337</v>
      </c>
      <c r="AC463">
        <v>15582221</v>
      </c>
      <c r="AD463" t="s">
        <v>15</v>
      </c>
      <c r="AE463">
        <v>30</v>
      </c>
      <c r="AF463">
        <v>2</v>
      </c>
      <c r="AH463" t="s">
        <v>4867</v>
      </c>
      <c r="AI463" t="s">
        <v>4868</v>
      </c>
      <c r="AK463" t="s">
        <v>4869</v>
      </c>
      <c r="AL463">
        <v>4</v>
      </c>
      <c r="AM463" s="5">
        <f t="shared" si="44"/>
        <v>0.1</v>
      </c>
      <c r="AN463" s="6">
        <f>(AM463-'[1]1982'!$AO$4)/('[1]1982'!$AO$3-'[1]1982'!$AO$4)</f>
        <v>1.5145778114350627E-4</v>
      </c>
      <c r="AO463" s="7"/>
      <c r="AP463">
        <v>0</v>
      </c>
      <c r="AR463" t="s">
        <v>19</v>
      </c>
      <c r="AT463" s="3" t="s">
        <v>20</v>
      </c>
      <c r="AU463" s="8">
        <f t="shared" si="45"/>
        <v>3.0914874882726702</v>
      </c>
      <c r="AV463" s="8">
        <f t="shared" si="46"/>
        <v>2.2125327139417217</v>
      </c>
      <c r="AW463" s="8">
        <f t="shared" si="47"/>
        <v>1.3335779396107732</v>
      </c>
    </row>
    <row r="464" spans="1:49" x14ac:dyDescent="0.2">
      <c r="A464">
        <v>462</v>
      </c>
      <c r="B464" t="s">
        <v>4870</v>
      </c>
      <c r="C464" t="s">
        <v>4871</v>
      </c>
      <c r="F464" t="s">
        <v>4872</v>
      </c>
      <c r="G464" t="s">
        <v>4</v>
      </c>
      <c r="H464" t="s">
        <v>5</v>
      </c>
      <c r="I464" t="s">
        <v>4873</v>
      </c>
      <c r="J464">
        <v>60001247</v>
      </c>
      <c r="K464" t="s">
        <v>4874</v>
      </c>
      <c r="M464" t="s">
        <v>9</v>
      </c>
      <c r="N464">
        <v>1</v>
      </c>
      <c r="O464" t="s">
        <v>4875</v>
      </c>
      <c r="P464">
        <v>55951888900</v>
      </c>
      <c r="Q464">
        <v>60001247</v>
      </c>
      <c r="R464" s="1">
        <v>29952</v>
      </c>
      <c r="S464" s="2">
        <f t="shared" si="42"/>
        <v>1982</v>
      </c>
      <c r="T464" s="2">
        <v>1982</v>
      </c>
      <c r="U464" s="2">
        <f t="shared" si="43"/>
        <v>40</v>
      </c>
      <c r="V464" s="1">
        <v>30011</v>
      </c>
      <c r="W464" t="s">
        <v>2364</v>
      </c>
      <c r="X464" s="3">
        <v>2.383</v>
      </c>
      <c r="Y464" s="4">
        <f>(X464-'[1]1982'!$Z$4)/('[1]1982'!$Z$3-'[1]1982'!$Z$4)</f>
        <v>6.3612824003630442E-2</v>
      </c>
      <c r="AA464">
        <v>189219</v>
      </c>
      <c r="AB464">
        <v>17915</v>
      </c>
      <c r="AC464">
        <v>15582256</v>
      </c>
      <c r="AD464" t="s">
        <v>15</v>
      </c>
      <c r="AE464">
        <v>70</v>
      </c>
      <c r="AF464">
        <v>3</v>
      </c>
      <c r="AH464" t="s">
        <v>4876</v>
      </c>
      <c r="AI464" t="s">
        <v>4877</v>
      </c>
      <c r="AK464" t="s">
        <v>4878</v>
      </c>
      <c r="AL464">
        <v>161</v>
      </c>
      <c r="AM464" s="5">
        <f t="shared" si="44"/>
        <v>4.0250000000000004</v>
      </c>
      <c r="AN464" s="6">
        <f>(AM464-'[1]1982'!$AO$4)/('[1]1982'!$AO$3-'[1]1982'!$AO$4)</f>
        <v>6.0961756910261266E-3</v>
      </c>
      <c r="AO464" s="7"/>
      <c r="AP464">
        <v>0</v>
      </c>
      <c r="AR464" t="s">
        <v>19</v>
      </c>
      <c r="AT464" s="3">
        <v>10.961</v>
      </c>
      <c r="AU464" s="8">
        <f t="shared" si="45"/>
        <v>4.6357829509849147</v>
      </c>
      <c r="AV464" s="8">
        <f t="shared" si="46"/>
        <v>3.4854499847328282</v>
      </c>
      <c r="AW464" s="8">
        <f t="shared" si="47"/>
        <v>2.3351170184807422</v>
      </c>
    </row>
    <row r="465" spans="1:49" x14ac:dyDescent="0.2">
      <c r="A465">
        <v>463</v>
      </c>
      <c r="B465" t="s">
        <v>4879</v>
      </c>
      <c r="F465" t="s">
        <v>4880</v>
      </c>
      <c r="G465" t="s">
        <v>4</v>
      </c>
      <c r="H465" t="s">
        <v>5</v>
      </c>
      <c r="I465" t="s">
        <v>4881</v>
      </c>
      <c r="N465">
        <v>2</v>
      </c>
      <c r="O465" t="s">
        <v>4882</v>
      </c>
      <c r="P465" t="s">
        <v>4883</v>
      </c>
      <c r="Q465" t="s">
        <v>156</v>
      </c>
      <c r="R465" s="1">
        <v>29952</v>
      </c>
      <c r="S465" s="2">
        <f t="shared" si="42"/>
        <v>1982</v>
      </c>
      <c r="T465" s="2">
        <v>1982</v>
      </c>
      <c r="U465" s="2">
        <f t="shared" si="43"/>
        <v>40</v>
      </c>
      <c r="V465" s="1" t="s">
        <v>4736</v>
      </c>
      <c r="W465" t="s">
        <v>2185</v>
      </c>
      <c r="X465" s="3">
        <v>0.14099999999999999</v>
      </c>
      <c r="Y465" s="4">
        <f>(X465-'[1]1982'!$Z$4)/('[1]1982'!$Z$3-'[1]1982'!$Z$4)</f>
        <v>3.7639144710498915E-3</v>
      </c>
      <c r="AA465">
        <v>402508</v>
      </c>
      <c r="AB465">
        <v>20868</v>
      </c>
      <c r="AD465" t="s">
        <v>15</v>
      </c>
      <c r="AE465" t="s">
        <v>2186</v>
      </c>
      <c r="AF465">
        <v>3</v>
      </c>
      <c r="AH465" t="s">
        <v>4884</v>
      </c>
      <c r="AI465" t="s">
        <v>4885</v>
      </c>
      <c r="AK465" t="s">
        <v>4886</v>
      </c>
      <c r="AL465">
        <v>1</v>
      </c>
      <c r="AM465" s="5">
        <f t="shared" si="44"/>
        <v>2.5000000000000001E-2</v>
      </c>
      <c r="AN465" s="6">
        <f>(AM465-'[1]1982'!$AO$4)/('[1]1982'!$AO$3-'[1]1982'!$AO$4)</f>
        <v>3.7864445285876567E-5</v>
      </c>
      <c r="AO465" s="7"/>
      <c r="AP465">
        <v>0</v>
      </c>
      <c r="AR465" t="s">
        <v>19</v>
      </c>
      <c r="AT465" s="3" t="s">
        <v>20</v>
      </c>
      <c r="AU465" s="8">
        <f t="shared" si="45"/>
        <v>0.26460994633206869</v>
      </c>
      <c r="AV465" s="8">
        <f t="shared" si="46"/>
        <v>0.1900889458167884</v>
      </c>
      <c r="AW465" s="8">
        <f t="shared" si="47"/>
        <v>0.11556794530150809</v>
      </c>
    </row>
    <row r="466" spans="1:49" x14ac:dyDescent="0.2">
      <c r="A466">
        <v>464</v>
      </c>
      <c r="B466" t="s">
        <v>4887</v>
      </c>
      <c r="F466" t="s">
        <v>4888</v>
      </c>
      <c r="G466" t="s">
        <v>4</v>
      </c>
      <c r="H466" t="s">
        <v>5</v>
      </c>
      <c r="I466" t="s">
        <v>4889</v>
      </c>
      <c r="N466">
        <v>2</v>
      </c>
      <c r="O466" t="s">
        <v>4890</v>
      </c>
      <c r="P466" t="s">
        <v>4891</v>
      </c>
      <c r="Q466" t="s">
        <v>156</v>
      </c>
      <c r="R466" s="1">
        <v>29952</v>
      </c>
      <c r="S466" s="2">
        <f t="shared" si="42"/>
        <v>1982</v>
      </c>
      <c r="T466" s="2">
        <v>1982</v>
      </c>
      <c r="U466" s="2">
        <f t="shared" si="43"/>
        <v>40</v>
      </c>
      <c r="V466" s="1" t="s">
        <v>4736</v>
      </c>
      <c r="W466" t="s">
        <v>2185</v>
      </c>
      <c r="X466" s="3">
        <v>0.14099999999999999</v>
      </c>
      <c r="Y466" s="4">
        <f>(X466-'[1]1982'!$Z$4)/('[1]1982'!$Z$3-'[1]1982'!$Z$4)</f>
        <v>3.7639144710498915E-3</v>
      </c>
      <c r="AA466">
        <v>402508</v>
      </c>
      <c r="AB466">
        <v>20868</v>
      </c>
      <c r="AD466" t="s">
        <v>15</v>
      </c>
      <c r="AE466" t="s">
        <v>2186</v>
      </c>
      <c r="AF466">
        <v>3</v>
      </c>
      <c r="AH466" t="s">
        <v>4892</v>
      </c>
      <c r="AI466" t="s">
        <v>4893</v>
      </c>
      <c r="AK466" t="s">
        <v>4894</v>
      </c>
      <c r="AL466">
        <v>0</v>
      </c>
      <c r="AM466" s="5">
        <f t="shared" si="44"/>
        <v>0</v>
      </c>
      <c r="AN466" s="6">
        <f>(AM466-'[1]1982'!$AO$4)/('[1]1982'!$AO$3-'[1]1982'!$AO$4)</f>
        <v>0</v>
      </c>
      <c r="AO466" s="7"/>
      <c r="AP466">
        <v>0</v>
      </c>
      <c r="AR466" t="s">
        <v>19</v>
      </c>
      <c r="AT466" s="3" t="s">
        <v>20</v>
      </c>
      <c r="AU466" s="8">
        <f t="shared" si="45"/>
        <v>0.26347401297349238</v>
      </c>
      <c r="AV466" s="8">
        <f t="shared" si="46"/>
        <v>0.18819572355249459</v>
      </c>
      <c r="AW466" s="8">
        <f t="shared" si="47"/>
        <v>0.11291743413149673</v>
      </c>
    </row>
    <row r="467" spans="1:49" x14ac:dyDescent="0.2">
      <c r="A467">
        <v>465</v>
      </c>
      <c r="B467" t="s">
        <v>4895</v>
      </c>
      <c r="C467" t="s">
        <v>4896</v>
      </c>
      <c r="F467" t="s">
        <v>4897</v>
      </c>
      <c r="G467" t="s">
        <v>4</v>
      </c>
      <c r="H467" t="s">
        <v>5</v>
      </c>
      <c r="I467" t="s">
        <v>4898</v>
      </c>
      <c r="J467">
        <v>60025522</v>
      </c>
      <c r="K467" t="s">
        <v>4899</v>
      </c>
      <c r="L467" t="s">
        <v>2615</v>
      </c>
      <c r="M467" t="s">
        <v>9</v>
      </c>
      <c r="N467">
        <v>1</v>
      </c>
      <c r="O467" t="s">
        <v>4900</v>
      </c>
      <c r="P467">
        <v>7405568610</v>
      </c>
      <c r="Q467">
        <v>60025522</v>
      </c>
      <c r="R467" s="1">
        <v>29952</v>
      </c>
      <c r="S467" s="2">
        <f t="shared" si="42"/>
        <v>1982</v>
      </c>
      <c r="T467" s="2">
        <v>1982</v>
      </c>
      <c r="U467" s="2">
        <f t="shared" si="43"/>
        <v>40</v>
      </c>
      <c r="V467" s="1">
        <v>30011</v>
      </c>
      <c r="W467" t="s">
        <v>1117</v>
      </c>
      <c r="X467" s="3">
        <v>1.6519999999999999</v>
      </c>
      <c r="Y467" s="4">
        <f>(X467-'[1]1982'!$Z$4)/('[1]1982'!$Z$3-'[1]1982'!$Z$4)</f>
        <v>4.409919649769093E-2</v>
      </c>
      <c r="AA467" t="s">
        <v>1118</v>
      </c>
      <c r="AB467">
        <v>17337</v>
      </c>
      <c r="AC467">
        <v>15582221</v>
      </c>
      <c r="AD467" t="s">
        <v>15</v>
      </c>
      <c r="AE467">
        <v>30</v>
      </c>
      <c r="AF467">
        <v>2</v>
      </c>
      <c r="AH467" t="s">
        <v>4901</v>
      </c>
      <c r="AI467" t="s">
        <v>4902</v>
      </c>
      <c r="AK467" t="s">
        <v>4903</v>
      </c>
      <c r="AL467">
        <v>62</v>
      </c>
      <c r="AM467" s="5">
        <f t="shared" si="44"/>
        <v>1.55</v>
      </c>
      <c r="AN467" s="6">
        <f>(AM467-'[1]1982'!$AO$4)/('[1]1982'!$AO$3-'[1]1982'!$AO$4)</f>
        <v>2.347595607724347E-3</v>
      </c>
      <c r="AO467" s="7"/>
      <c r="AP467">
        <v>0</v>
      </c>
      <c r="AR467" t="s">
        <v>19</v>
      </c>
      <c r="AT467" s="3" t="s">
        <v>20</v>
      </c>
      <c r="AU467" s="8">
        <f t="shared" si="45"/>
        <v>3.1573716230700954</v>
      </c>
      <c r="AV467" s="8">
        <f t="shared" si="46"/>
        <v>2.3223396052707637</v>
      </c>
      <c r="AW467" s="8">
        <f t="shared" si="47"/>
        <v>1.4873075874714321</v>
      </c>
    </row>
    <row r="468" spans="1:49" x14ac:dyDescent="0.2">
      <c r="A468">
        <v>466</v>
      </c>
      <c r="B468" t="s">
        <v>4904</v>
      </c>
      <c r="C468" t="s">
        <v>4905</v>
      </c>
      <c r="F468" t="s">
        <v>4906</v>
      </c>
      <c r="G468" t="s">
        <v>4</v>
      </c>
      <c r="H468" t="s">
        <v>5</v>
      </c>
      <c r="I468" t="s">
        <v>4907</v>
      </c>
      <c r="J468" t="s">
        <v>4908</v>
      </c>
      <c r="K468" t="s">
        <v>4909</v>
      </c>
      <c r="L468" t="s">
        <v>4910</v>
      </c>
      <c r="M468" t="s">
        <v>218</v>
      </c>
      <c r="N468">
        <v>2</v>
      </c>
      <c r="O468" t="s">
        <v>4911</v>
      </c>
      <c r="P468" t="s">
        <v>4912</v>
      </c>
      <c r="Q468" t="s">
        <v>4908</v>
      </c>
      <c r="R468" s="1">
        <v>29952</v>
      </c>
      <c r="S468" s="2">
        <f t="shared" si="42"/>
        <v>1982</v>
      </c>
      <c r="T468" s="2">
        <v>1982</v>
      </c>
      <c r="U468" s="2">
        <f t="shared" si="43"/>
        <v>40</v>
      </c>
      <c r="V468" s="1">
        <v>30011</v>
      </c>
      <c r="W468" t="s">
        <v>1117</v>
      </c>
      <c r="X468" s="3">
        <v>1.6519999999999999</v>
      </c>
      <c r="Y468" s="4">
        <f>(X468-'[1]1982'!$Z$4)/('[1]1982'!$Z$3-'[1]1982'!$Z$4)</f>
        <v>4.409919649769093E-2</v>
      </c>
      <c r="AA468" t="s">
        <v>1118</v>
      </c>
      <c r="AB468">
        <v>17337</v>
      </c>
      <c r="AC468">
        <v>15582221</v>
      </c>
      <c r="AD468" t="s">
        <v>15</v>
      </c>
      <c r="AE468">
        <v>30</v>
      </c>
      <c r="AF468">
        <v>2</v>
      </c>
      <c r="AH468" t="s">
        <v>4913</v>
      </c>
      <c r="AI468" t="s">
        <v>4914</v>
      </c>
      <c r="AK468" t="s">
        <v>4915</v>
      </c>
      <c r="AL468">
        <v>47</v>
      </c>
      <c r="AM468" s="5">
        <f t="shared" si="44"/>
        <v>1.175</v>
      </c>
      <c r="AN468" s="6">
        <f>(AM468-'[1]1982'!$AO$4)/('[1]1982'!$AO$3-'[1]1982'!$AO$4)</f>
        <v>1.7796289284361985E-3</v>
      </c>
      <c r="AO468" s="7"/>
      <c r="AP468">
        <v>0</v>
      </c>
      <c r="AR468" t="s">
        <v>19</v>
      </c>
      <c r="AT468" s="3" t="s">
        <v>20</v>
      </c>
      <c r="AU468" s="8">
        <f t="shared" si="45"/>
        <v>3.1403326226914512</v>
      </c>
      <c r="AV468" s="8">
        <f t="shared" si="46"/>
        <v>2.2939412713063567</v>
      </c>
      <c r="AW468" s="8">
        <f t="shared" si="47"/>
        <v>1.4475499199212616</v>
      </c>
    </row>
    <row r="469" spans="1:49" x14ac:dyDescent="0.2">
      <c r="A469">
        <v>467</v>
      </c>
      <c r="B469" t="s">
        <v>4916</v>
      </c>
      <c r="C469" t="s">
        <v>4917</v>
      </c>
      <c r="F469" t="s">
        <v>4918</v>
      </c>
      <c r="G469" t="s">
        <v>4</v>
      </c>
      <c r="H469" t="s">
        <v>5</v>
      </c>
      <c r="I469" t="s">
        <v>4919</v>
      </c>
      <c r="J469">
        <v>60005248</v>
      </c>
      <c r="K469" t="s">
        <v>3023</v>
      </c>
      <c r="L469" t="s">
        <v>2948</v>
      </c>
      <c r="M469" t="s">
        <v>9</v>
      </c>
      <c r="N469">
        <v>1</v>
      </c>
      <c r="O469" t="s">
        <v>4920</v>
      </c>
      <c r="P469">
        <v>7005208323</v>
      </c>
      <c r="Q469">
        <v>60005248</v>
      </c>
      <c r="R469" s="1">
        <v>29952</v>
      </c>
      <c r="S469" s="2">
        <f t="shared" si="42"/>
        <v>1982</v>
      </c>
      <c r="T469" s="2">
        <v>1982</v>
      </c>
      <c r="U469" s="2">
        <f t="shared" si="43"/>
        <v>40</v>
      </c>
      <c r="V469" s="1">
        <v>30011</v>
      </c>
      <c r="W469" t="s">
        <v>1117</v>
      </c>
      <c r="X469" s="3">
        <v>1.6519999999999999</v>
      </c>
      <c r="Y469" s="4">
        <f>(X469-'[1]1982'!$Z$4)/('[1]1982'!$Z$3-'[1]1982'!$Z$4)</f>
        <v>4.409919649769093E-2</v>
      </c>
      <c r="AA469" t="s">
        <v>1118</v>
      </c>
      <c r="AB469">
        <v>17337</v>
      </c>
      <c r="AC469">
        <v>15582221</v>
      </c>
      <c r="AD469" t="s">
        <v>15</v>
      </c>
      <c r="AE469">
        <v>30</v>
      </c>
      <c r="AF469">
        <v>2</v>
      </c>
      <c r="AH469" t="s">
        <v>4921</v>
      </c>
      <c r="AI469" t="s">
        <v>4922</v>
      </c>
      <c r="AK469" t="s">
        <v>4923</v>
      </c>
      <c r="AL469">
        <v>20</v>
      </c>
      <c r="AM469" s="5">
        <f t="shared" si="44"/>
        <v>0.5</v>
      </c>
      <c r="AN469" s="6">
        <f>(AM469-'[1]1982'!$AO$4)/('[1]1982'!$AO$3-'[1]1982'!$AO$4)</f>
        <v>7.572889057175312E-4</v>
      </c>
      <c r="AO469" s="7"/>
      <c r="AP469">
        <v>0</v>
      </c>
      <c r="AR469" t="s">
        <v>19</v>
      </c>
      <c r="AT469" s="3" t="s">
        <v>20</v>
      </c>
      <c r="AU469" s="8">
        <f t="shared" si="45"/>
        <v>3.1096624220098912</v>
      </c>
      <c r="AV469" s="8">
        <f t="shared" si="46"/>
        <v>2.2428242701704231</v>
      </c>
      <c r="AW469" s="8">
        <f t="shared" si="47"/>
        <v>1.375986118330955</v>
      </c>
    </row>
    <row r="470" spans="1:49" x14ac:dyDescent="0.2">
      <c r="A470">
        <v>468</v>
      </c>
      <c r="B470" t="s">
        <v>4924</v>
      </c>
      <c r="C470" t="s">
        <v>4925</v>
      </c>
      <c r="F470" t="s">
        <v>4926</v>
      </c>
      <c r="G470" t="s">
        <v>4</v>
      </c>
      <c r="H470" t="s">
        <v>5</v>
      </c>
      <c r="I470" t="s">
        <v>4927</v>
      </c>
      <c r="J470">
        <v>60030469</v>
      </c>
      <c r="K470" t="s">
        <v>4928</v>
      </c>
      <c r="L470" t="s">
        <v>4929</v>
      </c>
      <c r="M470" t="s">
        <v>94</v>
      </c>
      <c r="N470">
        <v>1</v>
      </c>
      <c r="O470" t="s">
        <v>4930</v>
      </c>
      <c r="P470">
        <v>7004241240</v>
      </c>
      <c r="Q470">
        <v>60030469</v>
      </c>
      <c r="R470" s="1">
        <v>29952</v>
      </c>
      <c r="S470" s="2">
        <f t="shared" si="42"/>
        <v>1982</v>
      </c>
      <c r="T470" s="2">
        <v>1982</v>
      </c>
      <c r="U470" s="2">
        <f t="shared" si="43"/>
        <v>40</v>
      </c>
      <c r="V470" s="1">
        <v>30011</v>
      </c>
      <c r="W470" t="s">
        <v>4931</v>
      </c>
      <c r="X470" s="3">
        <v>0.66800000000000004</v>
      </c>
      <c r="Y470" s="4">
        <f>(X470-'[1]1982'!$Z$4)/('[1]1982'!$Z$3-'[1]1982'!$Z$4)</f>
        <v>1.7831878486959774E-2</v>
      </c>
      <c r="AA470" t="s">
        <v>4932</v>
      </c>
      <c r="AB470">
        <v>29593</v>
      </c>
      <c r="AC470">
        <v>21553165</v>
      </c>
      <c r="AD470" t="s">
        <v>15</v>
      </c>
      <c r="AE470">
        <v>21</v>
      </c>
      <c r="AF470">
        <v>5</v>
      </c>
      <c r="AH470" t="s">
        <v>4933</v>
      </c>
      <c r="AI470" t="s">
        <v>4934</v>
      </c>
      <c r="AK470" t="s">
        <v>4935</v>
      </c>
      <c r="AL470">
        <v>34</v>
      </c>
      <c r="AM470" s="5">
        <f t="shared" si="44"/>
        <v>0.85</v>
      </c>
      <c r="AN470" s="6">
        <f>(AM470-'[1]1982'!$AO$4)/('[1]1982'!$AO$3-'[1]1982'!$AO$4)</f>
        <v>1.2873911397198031E-3</v>
      </c>
      <c r="AO470" s="7"/>
      <c r="AP470">
        <v>0</v>
      </c>
      <c r="AR470" t="s">
        <v>19</v>
      </c>
      <c r="AT470" s="3">
        <v>1.98</v>
      </c>
      <c r="AU470" s="8">
        <f t="shared" si="45"/>
        <v>1.2868532282787781</v>
      </c>
      <c r="AV470" s="8">
        <f t="shared" si="46"/>
        <v>0.9559634813339789</v>
      </c>
      <c r="AW470" s="8">
        <f t="shared" si="47"/>
        <v>0.62507373438917935</v>
      </c>
    </row>
    <row r="471" spans="1:49" x14ac:dyDescent="0.2">
      <c r="A471">
        <v>469</v>
      </c>
      <c r="B471" t="s">
        <v>4936</v>
      </c>
      <c r="C471" t="s">
        <v>4937</v>
      </c>
      <c r="F471" t="s">
        <v>4938</v>
      </c>
      <c r="G471" t="s">
        <v>4</v>
      </c>
      <c r="H471" t="s">
        <v>5</v>
      </c>
      <c r="I471" t="s">
        <v>4939</v>
      </c>
      <c r="J471">
        <v>60003500</v>
      </c>
      <c r="K471" t="s">
        <v>2507</v>
      </c>
      <c r="L471" t="s">
        <v>951</v>
      </c>
      <c r="M471" t="s">
        <v>9</v>
      </c>
      <c r="N471">
        <v>2</v>
      </c>
      <c r="O471" t="s">
        <v>4940</v>
      </c>
      <c r="P471" t="s">
        <v>4941</v>
      </c>
      <c r="Q471" t="s">
        <v>2676</v>
      </c>
      <c r="R471" s="1">
        <v>29952</v>
      </c>
      <c r="S471" s="2">
        <f t="shared" si="42"/>
        <v>1982</v>
      </c>
      <c r="T471" s="2">
        <v>1982</v>
      </c>
      <c r="U471" s="2">
        <f t="shared" si="43"/>
        <v>40</v>
      </c>
      <c r="V471" s="1">
        <v>30011</v>
      </c>
      <c r="W471" t="s">
        <v>1117</v>
      </c>
      <c r="X471" s="3">
        <v>1.6519999999999999</v>
      </c>
      <c r="Y471" s="4">
        <f>(X471-'[1]1982'!$Z$4)/('[1]1982'!$Z$3-'[1]1982'!$Z$4)</f>
        <v>4.409919649769093E-2</v>
      </c>
      <c r="AA471" t="s">
        <v>1118</v>
      </c>
      <c r="AB471">
        <v>17337</v>
      </c>
      <c r="AC471">
        <v>15582221</v>
      </c>
      <c r="AD471" t="s">
        <v>15</v>
      </c>
      <c r="AE471">
        <v>30</v>
      </c>
      <c r="AF471">
        <v>2</v>
      </c>
      <c r="AH471" t="s">
        <v>4942</v>
      </c>
      <c r="AI471" t="s">
        <v>4943</v>
      </c>
      <c r="AK471" t="s">
        <v>4944</v>
      </c>
      <c r="AL471">
        <v>5</v>
      </c>
      <c r="AM471" s="5">
        <f t="shared" si="44"/>
        <v>0.125</v>
      </c>
      <c r="AN471" s="6">
        <f>(AM471-'[1]1982'!$AO$4)/('[1]1982'!$AO$3-'[1]1982'!$AO$4)</f>
        <v>1.893222264293828E-4</v>
      </c>
      <c r="AO471" s="7"/>
      <c r="AP471">
        <v>0</v>
      </c>
      <c r="AR471" t="s">
        <v>19</v>
      </c>
      <c r="AT471" s="3" t="s">
        <v>20</v>
      </c>
      <c r="AU471" s="8">
        <f t="shared" si="45"/>
        <v>3.0926234216312465</v>
      </c>
      <c r="AV471" s="8">
        <f t="shared" si="46"/>
        <v>2.2144259362060157</v>
      </c>
      <c r="AW471" s="8">
        <f t="shared" si="47"/>
        <v>1.3362284507807847</v>
      </c>
    </row>
    <row r="472" spans="1:49" x14ac:dyDescent="0.2">
      <c r="A472">
        <v>470</v>
      </c>
      <c r="B472" t="s">
        <v>4945</v>
      </c>
      <c r="C472" t="s">
        <v>4946</v>
      </c>
      <c r="F472" t="s">
        <v>4947</v>
      </c>
      <c r="G472" t="s">
        <v>4</v>
      </c>
      <c r="H472" t="s">
        <v>5</v>
      </c>
      <c r="I472" t="s">
        <v>4948</v>
      </c>
      <c r="J472">
        <v>60001247</v>
      </c>
      <c r="K472" t="s">
        <v>4874</v>
      </c>
      <c r="M472" t="s">
        <v>9</v>
      </c>
      <c r="N472">
        <v>1</v>
      </c>
      <c r="O472" t="s">
        <v>4949</v>
      </c>
      <c r="P472">
        <v>7004004036</v>
      </c>
      <c r="Q472">
        <v>60001247</v>
      </c>
      <c r="R472" s="1">
        <v>29952</v>
      </c>
      <c r="S472" s="2">
        <f t="shared" si="42"/>
        <v>1982</v>
      </c>
      <c r="T472" s="2">
        <v>1982</v>
      </c>
      <c r="U472" s="2">
        <f t="shared" si="43"/>
        <v>40</v>
      </c>
      <c r="V472" s="1">
        <v>30011</v>
      </c>
      <c r="W472" t="s">
        <v>1117</v>
      </c>
      <c r="X472" s="3">
        <v>1.6519999999999999</v>
      </c>
      <c r="Y472" s="4">
        <f>(X472-'[1]1982'!$Z$4)/('[1]1982'!$Z$3-'[1]1982'!$Z$4)</f>
        <v>4.409919649769093E-2</v>
      </c>
      <c r="AA472" t="s">
        <v>1118</v>
      </c>
      <c r="AB472">
        <v>17337</v>
      </c>
      <c r="AC472">
        <v>15582221</v>
      </c>
      <c r="AD472" t="s">
        <v>15</v>
      </c>
      <c r="AE472">
        <v>30</v>
      </c>
      <c r="AF472">
        <v>2</v>
      </c>
      <c r="AH472" t="s">
        <v>4950</v>
      </c>
      <c r="AI472" t="s">
        <v>4951</v>
      </c>
      <c r="AK472" t="s">
        <v>4952</v>
      </c>
      <c r="AL472">
        <v>76</v>
      </c>
      <c r="AM472" s="5">
        <f t="shared" si="44"/>
        <v>1.9</v>
      </c>
      <c r="AN472" s="6">
        <f>(AM472-'[1]1982'!$AO$4)/('[1]1982'!$AO$3-'[1]1982'!$AO$4)</f>
        <v>2.8776978417266188E-3</v>
      </c>
      <c r="AO472" s="7"/>
      <c r="AP472">
        <v>0</v>
      </c>
      <c r="AR472" t="s">
        <v>19</v>
      </c>
      <c r="AT472" s="3" t="s">
        <v>20</v>
      </c>
      <c r="AU472" s="8">
        <f t="shared" si="45"/>
        <v>3.1732746900901638</v>
      </c>
      <c r="AV472" s="8">
        <f t="shared" si="46"/>
        <v>2.3488447169708775</v>
      </c>
      <c r="AW472" s="8">
        <f t="shared" si="47"/>
        <v>1.5244147438515911</v>
      </c>
    </row>
    <row r="473" spans="1:49" x14ac:dyDescent="0.2">
      <c r="A473">
        <v>471</v>
      </c>
      <c r="B473" t="s">
        <v>4953</v>
      </c>
      <c r="F473" t="s">
        <v>4954</v>
      </c>
      <c r="G473" t="s">
        <v>4</v>
      </c>
      <c r="H473" t="s">
        <v>5</v>
      </c>
      <c r="I473" t="s">
        <v>4955</v>
      </c>
      <c r="N473">
        <v>4</v>
      </c>
      <c r="O473" t="s">
        <v>4956</v>
      </c>
      <c r="P473" t="s">
        <v>4957</v>
      </c>
      <c r="Q473" t="s">
        <v>165</v>
      </c>
      <c r="R473" s="1">
        <v>29952</v>
      </c>
      <c r="S473" s="2">
        <f t="shared" si="42"/>
        <v>1982</v>
      </c>
      <c r="T473" s="2">
        <v>1982</v>
      </c>
      <c r="U473" s="2">
        <f t="shared" si="43"/>
        <v>40</v>
      </c>
      <c r="V473" s="1" t="s">
        <v>4736</v>
      </c>
      <c r="W473" t="s">
        <v>1643</v>
      </c>
      <c r="X473" s="3" t="s">
        <v>20</v>
      </c>
      <c r="Y473" s="4" t="e">
        <f>(X473-'[1]1982'!$Z$4)/('[1]1982'!$Z$3-'[1]1982'!$Z$4)</f>
        <v>#VALUE!</v>
      </c>
      <c r="AA473">
        <v>337889</v>
      </c>
      <c r="AB473">
        <v>40920</v>
      </c>
      <c r="AD473" t="s">
        <v>15</v>
      </c>
      <c r="AE473">
        <v>27</v>
      </c>
      <c r="AF473">
        <v>3</v>
      </c>
      <c r="AH473" t="s">
        <v>4958</v>
      </c>
      <c r="AI473" t="s">
        <v>4959</v>
      </c>
      <c r="AK473" t="s">
        <v>4960</v>
      </c>
      <c r="AL473">
        <v>1</v>
      </c>
      <c r="AM473" s="5">
        <f t="shared" si="44"/>
        <v>2.5000000000000001E-2</v>
      </c>
      <c r="AN473" s="6">
        <f>(AM473-'[1]1982'!$AO$4)/('[1]1982'!$AO$3-'[1]1982'!$AO$4)</f>
        <v>3.7864445285876567E-5</v>
      </c>
      <c r="AO473" s="7"/>
      <c r="AP473">
        <v>0</v>
      </c>
      <c r="AR473" t="s">
        <v>19</v>
      </c>
      <c r="AT473" s="3" t="s">
        <v>20</v>
      </c>
      <c r="AU473" s="8" t="e">
        <f t="shared" si="45"/>
        <v>#VALUE!</v>
      </c>
      <c r="AV473" s="8" t="e">
        <f t="shared" si="46"/>
        <v>#VALUE!</v>
      </c>
      <c r="AW473" s="8" t="e">
        <f t="shared" si="47"/>
        <v>#VALUE!</v>
      </c>
    </row>
    <row r="474" spans="1:49" x14ac:dyDescent="0.2">
      <c r="A474">
        <v>472</v>
      </c>
      <c r="B474" t="s">
        <v>4961</v>
      </c>
      <c r="F474" t="s">
        <v>4962</v>
      </c>
      <c r="G474" t="s">
        <v>4</v>
      </c>
      <c r="H474" t="s">
        <v>5</v>
      </c>
      <c r="I474" t="s">
        <v>4963</v>
      </c>
      <c r="N474">
        <v>2</v>
      </c>
      <c r="O474" t="s">
        <v>4964</v>
      </c>
      <c r="P474" t="s">
        <v>4965</v>
      </c>
      <c r="Q474" t="s">
        <v>156</v>
      </c>
      <c r="R474" s="1">
        <v>29952</v>
      </c>
      <c r="S474" s="2">
        <f t="shared" si="42"/>
        <v>1982</v>
      </c>
      <c r="T474" s="2">
        <v>1982</v>
      </c>
      <c r="U474" s="2">
        <f t="shared" si="43"/>
        <v>40</v>
      </c>
      <c r="V474" s="1" t="s">
        <v>4736</v>
      </c>
      <c r="W474" t="s">
        <v>1643</v>
      </c>
      <c r="X474" s="3" t="s">
        <v>20</v>
      </c>
      <c r="Y474" s="4" t="e">
        <f>(X474-'[1]1982'!$Z$4)/('[1]1982'!$Z$3-'[1]1982'!$Z$4)</f>
        <v>#VALUE!</v>
      </c>
      <c r="AA474">
        <v>337889</v>
      </c>
      <c r="AB474">
        <v>40920</v>
      </c>
      <c r="AD474" t="s">
        <v>15</v>
      </c>
      <c r="AE474">
        <v>27</v>
      </c>
      <c r="AF474">
        <v>3</v>
      </c>
      <c r="AH474" t="s">
        <v>4966</v>
      </c>
      <c r="AI474" t="s">
        <v>4967</v>
      </c>
      <c r="AK474" t="s">
        <v>4968</v>
      </c>
      <c r="AL474">
        <v>0</v>
      </c>
      <c r="AM474" s="5">
        <f t="shared" si="44"/>
        <v>0</v>
      </c>
      <c r="AN474" s="6">
        <f>(AM474-'[1]1982'!$AO$4)/('[1]1982'!$AO$3-'[1]1982'!$AO$4)</f>
        <v>0</v>
      </c>
      <c r="AO474" s="7"/>
      <c r="AP474">
        <v>0</v>
      </c>
      <c r="AR474" t="s">
        <v>19</v>
      </c>
      <c r="AT474" s="3" t="s">
        <v>20</v>
      </c>
      <c r="AU474" s="8" t="e">
        <f t="shared" si="45"/>
        <v>#VALUE!</v>
      </c>
      <c r="AV474" s="8" t="e">
        <f t="shared" si="46"/>
        <v>#VALUE!</v>
      </c>
      <c r="AW474" s="8" t="e">
        <f t="shared" si="47"/>
        <v>#VALUE!</v>
      </c>
    </row>
    <row r="475" spans="1:49" x14ac:dyDescent="0.2">
      <c r="A475">
        <v>473</v>
      </c>
      <c r="B475" t="s">
        <v>4969</v>
      </c>
      <c r="F475" t="s">
        <v>4970</v>
      </c>
      <c r="G475" t="s">
        <v>4</v>
      </c>
      <c r="H475" t="s">
        <v>5</v>
      </c>
      <c r="I475" t="s">
        <v>4971</v>
      </c>
      <c r="N475">
        <v>2</v>
      </c>
      <c r="O475" t="s">
        <v>4972</v>
      </c>
      <c r="P475" t="s">
        <v>4973</v>
      </c>
      <c r="Q475" t="s">
        <v>156</v>
      </c>
      <c r="R475" s="1">
        <v>29952</v>
      </c>
      <c r="S475" s="2">
        <f t="shared" si="42"/>
        <v>1982</v>
      </c>
      <c r="T475" s="2">
        <v>1982</v>
      </c>
      <c r="U475" s="2">
        <f t="shared" si="43"/>
        <v>40</v>
      </c>
      <c r="V475" s="1" t="s">
        <v>4736</v>
      </c>
      <c r="W475" t="s">
        <v>1643</v>
      </c>
      <c r="X475" s="3" t="s">
        <v>20</v>
      </c>
      <c r="Y475" s="4" t="e">
        <f>(X475-'[1]1982'!$Z$4)/('[1]1982'!$Z$3-'[1]1982'!$Z$4)</f>
        <v>#VALUE!</v>
      </c>
      <c r="AA475">
        <v>337889</v>
      </c>
      <c r="AB475">
        <v>40920</v>
      </c>
      <c r="AD475" t="s">
        <v>15</v>
      </c>
      <c r="AE475">
        <v>27</v>
      </c>
      <c r="AF475">
        <v>3</v>
      </c>
      <c r="AH475" t="s">
        <v>4974</v>
      </c>
      <c r="AI475" t="s">
        <v>4975</v>
      </c>
      <c r="AK475" t="s">
        <v>4976</v>
      </c>
      <c r="AL475">
        <v>0</v>
      </c>
      <c r="AM475" s="5">
        <f t="shared" si="44"/>
        <v>0</v>
      </c>
      <c r="AN475" s="6">
        <f>(AM475-'[1]1982'!$AO$4)/('[1]1982'!$AO$3-'[1]1982'!$AO$4)</f>
        <v>0</v>
      </c>
      <c r="AO475" s="7"/>
      <c r="AP475">
        <v>0</v>
      </c>
      <c r="AR475" t="s">
        <v>19</v>
      </c>
      <c r="AT475" s="3" t="s">
        <v>20</v>
      </c>
      <c r="AU475" s="8" t="e">
        <f t="shared" si="45"/>
        <v>#VALUE!</v>
      </c>
      <c r="AV475" s="8" t="e">
        <f t="shared" si="46"/>
        <v>#VALUE!</v>
      </c>
      <c r="AW475" s="8" t="e">
        <f t="shared" si="47"/>
        <v>#VALUE!</v>
      </c>
    </row>
    <row r="476" spans="1:49" x14ac:dyDescent="0.2">
      <c r="A476">
        <v>474</v>
      </c>
      <c r="B476" t="s">
        <v>4977</v>
      </c>
      <c r="C476" t="s">
        <v>4978</v>
      </c>
      <c r="F476" t="s">
        <v>4979</v>
      </c>
      <c r="G476" t="s">
        <v>4</v>
      </c>
      <c r="H476" t="s">
        <v>5</v>
      </c>
      <c r="I476" t="s">
        <v>4980</v>
      </c>
      <c r="J476" t="s">
        <v>4981</v>
      </c>
      <c r="K476" t="s">
        <v>4982</v>
      </c>
      <c r="L476" t="s">
        <v>4983</v>
      </c>
      <c r="M476" t="s">
        <v>218</v>
      </c>
      <c r="N476">
        <v>2</v>
      </c>
      <c r="O476" t="s">
        <v>4984</v>
      </c>
      <c r="P476" t="s">
        <v>4985</v>
      </c>
      <c r="Q476" t="s">
        <v>4981</v>
      </c>
      <c r="R476" s="1">
        <v>29952</v>
      </c>
      <c r="S476" s="2">
        <f t="shared" si="42"/>
        <v>1982</v>
      </c>
      <c r="T476" s="2">
        <v>1982</v>
      </c>
      <c r="U476" s="2">
        <f t="shared" si="43"/>
        <v>40</v>
      </c>
      <c r="V476" s="1">
        <v>30011</v>
      </c>
      <c r="W476" t="s">
        <v>1117</v>
      </c>
      <c r="X476" s="3">
        <v>1.6519999999999999</v>
      </c>
      <c r="Y476" s="4">
        <f>(X476-'[1]1982'!$Z$4)/('[1]1982'!$Z$3-'[1]1982'!$Z$4)</f>
        <v>4.409919649769093E-2</v>
      </c>
      <c r="AA476" t="s">
        <v>1118</v>
      </c>
      <c r="AB476">
        <v>17337</v>
      </c>
      <c r="AC476">
        <v>15582221</v>
      </c>
      <c r="AD476" t="s">
        <v>15</v>
      </c>
      <c r="AE476">
        <v>30</v>
      </c>
      <c r="AF476">
        <v>2</v>
      </c>
      <c r="AH476" t="s">
        <v>4986</v>
      </c>
      <c r="AI476" t="s">
        <v>4987</v>
      </c>
      <c r="AK476" t="s">
        <v>4988</v>
      </c>
      <c r="AL476">
        <v>8</v>
      </c>
      <c r="AM476" s="5">
        <f t="shared" si="44"/>
        <v>0.2</v>
      </c>
      <c r="AN476" s="6">
        <f>(AM476-'[1]1982'!$AO$4)/('[1]1982'!$AO$3-'[1]1982'!$AO$4)</f>
        <v>3.0291556228701253E-4</v>
      </c>
      <c r="AO476" s="7"/>
      <c r="AP476">
        <v>0</v>
      </c>
      <c r="AR476" t="s">
        <v>19</v>
      </c>
      <c r="AT476" s="3" t="s">
        <v>20</v>
      </c>
      <c r="AU476" s="8">
        <f t="shared" si="45"/>
        <v>3.0960312217069754</v>
      </c>
      <c r="AV476" s="8">
        <f t="shared" si="46"/>
        <v>2.2201056029988968</v>
      </c>
      <c r="AW476" s="8">
        <f t="shared" si="47"/>
        <v>1.3441799842908186</v>
      </c>
    </row>
    <row r="477" spans="1:49" x14ac:dyDescent="0.2">
      <c r="A477">
        <v>475</v>
      </c>
      <c r="B477" t="s">
        <v>4989</v>
      </c>
      <c r="C477" t="s">
        <v>4990</v>
      </c>
      <c r="F477" t="s">
        <v>4991</v>
      </c>
      <c r="G477" t="s">
        <v>4</v>
      </c>
      <c r="H477" t="s">
        <v>5</v>
      </c>
      <c r="I477" t="s">
        <v>4992</v>
      </c>
      <c r="J477">
        <v>60020536</v>
      </c>
      <c r="K477" t="s">
        <v>4993</v>
      </c>
      <c r="L477" t="s">
        <v>2645</v>
      </c>
      <c r="M477" t="s">
        <v>9</v>
      </c>
      <c r="N477">
        <v>1</v>
      </c>
      <c r="O477" t="s">
        <v>4994</v>
      </c>
      <c r="P477">
        <v>54681271000</v>
      </c>
      <c r="Q477">
        <v>60020536</v>
      </c>
      <c r="R477" s="1">
        <v>29952</v>
      </c>
      <c r="S477" s="2">
        <f t="shared" si="42"/>
        <v>1982</v>
      </c>
      <c r="T477" s="2">
        <v>1982</v>
      </c>
      <c r="U477" s="2">
        <f t="shared" si="43"/>
        <v>40</v>
      </c>
      <c r="V477" s="1">
        <v>30011</v>
      </c>
      <c r="W477" t="s">
        <v>2364</v>
      </c>
      <c r="X477" s="3">
        <v>2.383</v>
      </c>
      <c r="Y477" s="4">
        <f>(X477-'[1]1982'!$Z$4)/('[1]1982'!$Z$3-'[1]1982'!$Z$4)</f>
        <v>6.3612824003630442E-2</v>
      </c>
      <c r="AA477">
        <v>189219</v>
      </c>
      <c r="AB477">
        <v>17915</v>
      </c>
      <c r="AC477">
        <v>15582256</v>
      </c>
      <c r="AD477" t="s">
        <v>15</v>
      </c>
      <c r="AE477">
        <v>70</v>
      </c>
      <c r="AF477">
        <v>3</v>
      </c>
      <c r="AH477" t="s">
        <v>4995</v>
      </c>
      <c r="AI477" t="s">
        <v>4996</v>
      </c>
      <c r="AK477" t="s">
        <v>4997</v>
      </c>
      <c r="AL477">
        <v>1</v>
      </c>
      <c r="AM477" s="5">
        <f t="shared" si="44"/>
        <v>2.5000000000000001E-2</v>
      </c>
      <c r="AN477" s="6">
        <f>(AM477-'[1]1982'!$AO$4)/('[1]1982'!$AO$3-'[1]1982'!$AO$4)</f>
        <v>3.7864445285876567E-5</v>
      </c>
      <c r="AO477" s="7"/>
      <c r="AP477">
        <v>0</v>
      </c>
      <c r="AR477" t="s">
        <v>19</v>
      </c>
      <c r="AT477" s="3">
        <v>10.961</v>
      </c>
      <c r="AU477" s="8">
        <f t="shared" si="45"/>
        <v>4.4540336136127072</v>
      </c>
      <c r="AV477" s="8">
        <f t="shared" si="46"/>
        <v>3.1825344224458161</v>
      </c>
      <c r="AW477" s="8">
        <f t="shared" si="47"/>
        <v>1.9110352312789247</v>
      </c>
    </row>
    <row r="478" spans="1:49" x14ac:dyDescent="0.2">
      <c r="A478">
        <v>476</v>
      </c>
      <c r="B478" t="s">
        <v>4998</v>
      </c>
      <c r="C478" t="s">
        <v>4999</v>
      </c>
      <c r="F478" t="s">
        <v>5000</v>
      </c>
      <c r="G478" t="s">
        <v>4</v>
      </c>
      <c r="H478" t="s">
        <v>5</v>
      </c>
      <c r="I478" t="s">
        <v>5001</v>
      </c>
      <c r="N478">
        <v>1</v>
      </c>
      <c r="O478" t="s">
        <v>5002</v>
      </c>
      <c r="P478">
        <v>6508032446</v>
      </c>
      <c r="R478" s="1">
        <v>29952</v>
      </c>
      <c r="S478" s="2">
        <f t="shared" si="42"/>
        <v>1982</v>
      </c>
      <c r="T478" s="2">
        <v>1982</v>
      </c>
      <c r="U478" s="2">
        <f t="shared" si="43"/>
        <v>40</v>
      </c>
      <c r="V478" s="1" t="s">
        <v>4759</v>
      </c>
      <c r="W478" t="s">
        <v>2385</v>
      </c>
      <c r="X478" s="3">
        <v>0.371</v>
      </c>
      <c r="Y478" s="4">
        <f>(X478-'[1]1982'!$Z$4)/('[1]1982'!$Z$3-'[1]1982'!$Z$4)</f>
        <v>9.9036331117695747E-3</v>
      </c>
      <c r="AA478">
        <v>486604</v>
      </c>
      <c r="AB478">
        <v>28580</v>
      </c>
      <c r="AC478" t="s">
        <v>2386</v>
      </c>
      <c r="AD478" t="s">
        <v>15</v>
      </c>
      <c r="AE478">
        <v>17</v>
      </c>
      <c r="AF478">
        <v>2</v>
      </c>
      <c r="AH478" t="s">
        <v>5003</v>
      </c>
      <c r="AI478" t="s">
        <v>5004</v>
      </c>
      <c r="AK478" t="s">
        <v>5005</v>
      </c>
      <c r="AL478">
        <v>5</v>
      </c>
      <c r="AM478" s="5">
        <f t="shared" si="44"/>
        <v>0.125</v>
      </c>
      <c r="AN478" s="6">
        <f>(AM478-'[1]1982'!$AO$4)/('[1]1982'!$AO$3-'[1]1982'!$AO$4)</f>
        <v>1.893222264293828E-4</v>
      </c>
      <c r="AO478" s="7"/>
      <c r="AP478">
        <v>0</v>
      </c>
      <c r="AR478" t="s">
        <v>19</v>
      </c>
      <c r="AT478" s="3">
        <v>1.431</v>
      </c>
      <c r="AU478" s="8">
        <f t="shared" si="45"/>
        <v>0.69893398461675171</v>
      </c>
      <c r="AV478" s="8">
        <f t="shared" si="46"/>
        <v>0.50464776690994784</v>
      </c>
      <c r="AW478" s="8">
        <f t="shared" si="47"/>
        <v>0.31036154920314407</v>
      </c>
    </row>
    <row r="479" spans="1:49" x14ac:dyDescent="0.2">
      <c r="A479">
        <v>477</v>
      </c>
      <c r="B479" t="s">
        <v>5006</v>
      </c>
      <c r="C479" t="s">
        <v>5007</v>
      </c>
      <c r="F479" t="s">
        <v>5008</v>
      </c>
      <c r="G479" t="s">
        <v>4</v>
      </c>
      <c r="H479" t="s">
        <v>5</v>
      </c>
      <c r="I479" t="s">
        <v>5009</v>
      </c>
      <c r="J479">
        <v>60021378</v>
      </c>
      <c r="K479" t="s">
        <v>1539</v>
      </c>
      <c r="L479" t="s">
        <v>1540</v>
      </c>
      <c r="M479" t="s">
        <v>9</v>
      </c>
      <c r="N479">
        <v>3</v>
      </c>
      <c r="O479" t="s">
        <v>5010</v>
      </c>
      <c r="P479" t="s">
        <v>5011</v>
      </c>
      <c r="Q479" t="s">
        <v>1543</v>
      </c>
      <c r="R479" s="1">
        <v>29952</v>
      </c>
      <c r="S479" s="2">
        <f t="shared" si="42"/>
        <v>1982</v>
      </c>
      <c r="T479" s="2">
        <v>1982</v>
      </c>
      <c r="U479" s="2">
        <f t="shared" si="43"/>
        <v>40</v>
      </c>
      <c r="V479" s="1">
        <v>30011</v>
      </c>
      <c r="W479" t="s">
        <v>1117</v>
      </c>
      <c r="X479" s="3">
        <v>1.6519999999999999</v>
      </c>
      <c r="Y479" s="4">
        <f>(X479-'[1]1982'!$Z$4)/('[1]1982'!$Z$3-'[1]1982'!$Z$4)</f>
        <v>4.409919649769093E-2</v>
      </c>
      <c r="AA479" t="s">
        <v>1118</v>
      </c>
      <c r="AB479">
        <v>17337</v>
      </c>
      <c r="AC479">
        <v>15582221</v>
      </c>
      <c r="AD479" t="s">
        <v>15</v>
      </c>
      <c r="AE479">
        <v>30</v>
      </c>
      <c r="AF479">
        <v>2</v>
      </c>
      <c r="AH479" t="s">
        <v>5012</v>
      </c>
      <c r="AI479" t="s">
        <v>5013</v>
      </c>
      <c r="AK479" t="s">
        <v>5014</v>
      </c>
      <c r="AL479">
        <v>5</v>
      </c>
      <c r="AM479" s="5">
        <f t="shared" si="44"/>
        <v>0.125</v>
      </c>
      <c r="AN479" s="6">
        <f>(AM479-'[1]1982'!$AO$4)/('[1]1982'!$AO$3-'[1]1982'!$AO$4)</f>
        <v>1.893222264293828E-4</v>
      </c>
      <c r="AO479" s="7"/>
      <c r="AP479">
        <v>0</v>
      </c>
      <c r="AR479" t="s">
        <v>19</v>
      </c>
      <c r="AT479" s="3" t="s">
        <v>20</v>
      </c>
      <c r="AU479" s="8">
        <f t="shared" si="45"/>
        <v>3.0926234216312465</v>
      </c>
      <c r="AV479" s="8">
        <f t="shared" si="46"/>
        <v>2.2144259362060157</v>
      </c>
      <c r="AW479" s="8">
        <f t="shared" si="47"/>
        <v>1.3362284507807847</v>
      </c>
    </row>
    <row r="480" spans="1:49" x14ac:dyDescent="0.2">
      <c r="A480">
        <v>478</v>
      </c>
      <c r="B480" t="s">
        <v>5015</v>
      </c>
      <c r="C480" t="s">
        <v>5016</v>
      </c>
      <c r="F480" t="s">
        <v>5017</v>
      </c>
      <c r="G480" t="s">
        <v>4</v>
      </c>
      <c r="H480" t="s">
        <v>5</v>
      </c>
      <c r="I480" t="s">
        <v>5018</v>
      </c>
      <c r="J480" t="s">
        <v>5019</v>
      </c>
      <c r="K480" t="s">
        <v>5020</v>
      </c>
      <c r="L480" t="s">
        <v>5021</v>
      </c>
      <c r="M480" t="s">
        <v>1076</v>
      </c>
      <c r="N480">
        <v>4</v>
      </c>
      <c r="O480" t="s">
        <v>5022</v>
      </c>
      <c r="P480" t="s">
        <v>5023</v>
      </c>
      <c r="Q480" t="s">
        <v>5024</v>
      </c>
      <c r="R480" s="1">
        <v>29952</v>
      </c>
      <c r="S480" s="2">
        <f t="shared" si="42"/>
        <v>1982</v>
      </c>
      <c r="T480" s="2">
        <v>1982</v>
      </c>
      <c r="U480" s="2">
        <f t="shared" si="43"/>
        <v>40</v>
      </c>
      <c r="V480" s="1">
        <v>30011</v>
      </c>
      <c r="W480" t="s">
        <v>1117</v>
      </c>
      <c r="X480" s="3">
        <v>1.6519999999999999</v>
      </c>
      <c r="Y480" s="4">
        <f>(X480-'[1]1982'!$Z$4)/('[1]1982'!$Z$3-'[1]1982'!$Z$4)</f>
        <v>4.409919649769093E-2</v>
      </c>
      <c r="AA480" t="s">
        <v>1118</v>
      </c>
      <c r="AB480">
        <v>17337</v>
      </c>
      <c r="AC480">
        <v>15582221</v>
      </c>
      <c r="AD480" t="s">
        <v>15</v>
      </c>
      <c r="AE480">
        <v>30</v>
      </c>
      <c r="AF480">
        <v>2</v>
      </c>
      <c r="AH480" t="s">
        <v>5025</v>
      </c>
      <c r="AI480" t="s">
        <v>5026</v>
      </c>
      <c r="AK480" t="s">
        <v>5027</v>
      </c>
      <c r="AL480">
        <v>1</v>
      </c>
      <c r="AM480" s="5">
        <f t="shared" si="44"/>
        <v>2.5000000000000001E-2</v>
      </c>
      <c r="AN480" s="6">
        <f>(AM480-'[1]1982'!$AO$4)/('[1]1982'!$AO$3-'[1]1982'!$AO$4)</f>
        <v>3.7864445285876567E-5</v>
      </c>
      <c r="AO480" s="7"/>
      <c r="AP480">
        <v>0</v>
      </c>
      <c r="AR480" t="s">
        <v>19</v>
      </c>
      <c r="AT480" s="3" t="s">
        <v>20</v>
      </c>
      <c r="AU480" s="8">
        <f t="shared" si="45"/>
        <v>3.0880796881969412</v>
      </c>
      <c r="AV480" s="8">
        <f t="shared" si="46"/>
        <v>2.2068530471488401</v>
      </c>
      <c r="AW480" s="8">
        <f t="shared" si="47"/>
        <v>1.3256264061007392</v>
      </c>
    </row>
    <row r="481" spans="1:49" x14ac:dyDescent="0.2">
      <c r="A481">
        <v>479</v>
      </c>
      <c r="B481" t="s">
        <v>5028</v>
      </c>
      <c r="C481" t="s">
        <v>5029</v>
      </c>
      <c r="F481" t="s">
        <v>5030</v>
      </c>
      <c r="G481" t="s">
        <v>4</v>
      </c>
      <c r="H481" t="s">
        <v>5</v>
      </c>
      <c r="I481" t="s">
        <v>5031</v>
      </c>
      <c r="J481" t="s">
        <v>5032</v>
      </c>
      <c r="K481" t="s">
        <v>5033</v>
      </c>
      <c r="L481" t="s">
        <v>5034</v>
      </c>
      <c r="M481" t="s">
        <v>5035</v>
      </c>
      <c r="N481">
        <v>3</v>
      </c>
      <c r="O481" t="s">
        <v>5036</v>
      </c>
      <c r="P481" t="s">
        <v>5037</v>
      </c>
      <c r="Q481" t="s">
        <v>5038</v>
      </c>
      <c r="R481" s="1">
        <v>29952</v>
      </c>
      <c r="S481" s="2">
        <f t="shared" si="42"/>
        <v>1982</v>
      </c>
      <c r="T481" s="2">
        <v>1982</v>
      </c>
      <c r="U481" s="2">
        <f t="shared" si="43"/>
        <v>40</v>
      </c>
      <c r="V481" s="1">
        <v>30011</v>
      </c>
      <c r="W481" t="s">
        <v>1117</v>
      </c>
      <c r="X481" s="3">
        <v>1.6519999999999999</v>
      </c>
      <c r="Y481" s="4">
        <f>(X481-'[1]1982'!$Z$4)/('[1]1982'!$Z$3-'[1]1982'!$Z$4)</f>
        <v>4.409919649769093E-2</v>
      </c>
      <c r="AA481" t="s">
        <v>1118</v>
      </c>
      <c r="AB481">
        <v>17337</v>
      </c>
      <c r="AC481">
        <v>15582221</v>
      </c>
      <c r="AD481" t="s">
        <v>15</v>
      </c>
      <c r="AE481">
        <v>30</v>
      </c>
      <c r="AF481">
        <v>2</v>
      </c>
      <c r="AH481" t="s">
        <v>5039</v>
      </c>
      <c r="AI481" t="s">
        <v>5040</v>
      </c>
      <c r="AK481" t="s">
        <v>5041</v>
      </c>
      <c r="AL481">
        <v>17</v>
      </c>
      <c r="AM481" s="5">
        <f t="shared" si="44"/>
        <v>0.42499999999999999</v>
      </c>
      <c r="AN481" s="6">
        <f>(AM481-'[1]1982'!$AO$4)/('[1]1982'!$AO$3-'[1]1982'!$AO$4)</f>
        <v>6.4369556985990157E-4</v>
      </c>
      <c r="AO481" s="7"/>
      <c r="AP481">
        <v>0</v>
      </c>
      <c r="AR481" t="s">
        <v>19</v>
      </c>
      <c r="AT481" s="3" t="s">
        <v>20</v>
      </c>
      <c r="AU481" s="8">
        <f t="shared" si="45"/>
        <v>3.1062546219341622</v>
      </c>
      <c r="AV481" s="8">
        <f t="shared" si="46"/>
        <v>2.2371446033775415</v>
      </c>
      <c r="AW481" s="8">
        <f t="shared" si="47"/>
        <v>1.368034584820921</v>
      </c>
    </row>
    <row r="482" spans="1:49" x14ac:dyDescent="0.2">
      <c r="A482">
        <v>480</v>
      </c>
      <c r="B482" t="s">
        <v>5042</v>
      </c>
      <c r="C482" t="s">
        <v>5043</v>
      </c>
      <c r="F482" t="s">
        <v>5044</v>
      </c>
      <c r="G482" t="s">
        <v>4</v>
      </c>
      <c r="H482" t="s">
        <v>5</v>
      </c>
      <c r="I482" t="s">
        <v>4919</v>
      </c>
      <c r="J482">
        <v>60005248</v>
      </c>
      <c r="K482" t="s">
        <v>3023</v>
      </c>
      <c r="L482" t="s">
        <v>2948</v>
      </c>
      <c r="M482" t="s">
        <v>9</v>
      </c>
      <c r="N482">
        <v>1</v>
      </c>
      <c r="O482" t="s">
        <v>4920</v>
      </c>
      <c r="P482">
        <v>7005208323</v>
      </c>
      <c r="Q482">
        <v>60005248</v>
      </c>
      <c r="R482" s="1">
        <v>29952</v>
      </c>
      <c r="S482" s="2">
        <f t="shared" si="42"/>
        <v>1982</v>
      </c>
      <c r="T482" s="2">
        <v>1982</v>
      </c>
      <c r="U482" s="2">
        <f t="shared" si="43"/>
        <v>40</v>
      </c>
      <c r="V482" s="1">
        <v>30011</v>
      </c>
      <c r="W482" t="s">
        <v>1117</v>
      </c>
      <c r="X482" s="3">
        <v>1.6519999999999999</v>
      </c>
      <c r="Y482" s="4">
        <f>(X482-'[1]1982'!$Z$4)/('[1]1982'!$Z$3-'[1]1982'!$Z$4)</f>
        <v>4.409919649769093E-2</v>
      </c>
      <c r="AA482" t="s">
        <v>1118</v>
      </c>
      <c r="AB482">
        <v>17337</v>
      </c>
      <c r="AC482">
        <v>15582221</v>
      </c>
      <c r="AD482" t="s">
        <v>15</v>
      </c>
      <c r="AE482">
        <v>30</v>
      </c>
      <c r="AF482">
        <v>2</v>
      </c>
      <c r="AH482" t="s">
        <v>5045</v>
      </c>
      <c r="AI482" t="s">
        <v>5046</v>
      </c>
      <c r="AK482" t="s">
        <v>5047</v>
      </c>
      <c r="AL482">
        <v>1</v>
      </c>
      <c r="AM482" s="5">
        <f t="shared" si="44"/>
        <v>2.5000000000000001E-2</v>
      </c>
      <c r="AN482" s="6">
        <f>(AM482-'[1]1982'!$AO$4)/('[1]1982'!$AO$3-'[1]1982'!$AO$4)</f>
        <v>3.7864445285876567E-5</v>
      </c>
      <c r="AO482" s="7"/>
      <c r="AP482">
        <v>0</v>
      </c>
      <c r="AR482" t="s">
        <v>19</v>
      </c>
      <c r="AT482" s="3" t="s">
        <v>20</v>
      </c>
      <c r="AU482" s="8">
        <f t="shared" si="45"/>
        <v>3.0880796881969412</v>
      </c>
      <c r="AV482" s="8">
        <f t="shared" si="46"/>
        <v>2.2068530471488401</v>
      </c>
      <c r="AW482" s="8">
        <f t="shared" si="47"/>
        <v>1.3256264061007392</v>
      </c>
    </row>
    <row r="483" spans="1:49" x14ac:dyDescent="0.2">
      <c r="A483">
        <v>481</v>
      </c>
      <c r="B483" t="s">
        <v>5048</v>
      </c>
      <c r="C483" t="s">
        <v>5049</v>
      </c>
      <c r="F483" t="s">
        <v>5050</v>
      </c>
      <c r="G483" t="s">
        <v>4</v>
      </c>
      <c r="H483" t="s">
        <v>5</v>
      </c>
      <c r="I483" t="s">
        <v>5051</v>
      </c>
      <c r="J483">
        <v>60009037</v>
      </c>
      <c r="K483" t="s">
        <v>2786</v>
      </c>
      <c r="L483" t="s">
        <v>445</v>
      </c>
      <c r="M483" t="s">
        <v>9</v>
      </c>
      <c r="N483">
        <v>1</v>
      </c>
      <c r="O483" t="s">
        <v>5052</v>
      </c>
      <c r="P483">
        <v>57193752819</v>
      </c>
      <c r="Q483">
        <v>60009037</v>
      </c>
      <c r="R483" s="1">
        <v>29952</v>
      </c>
      <c r="S483" s="2">
        <f t="shared" si="42"/>
        <v>1982</v>
      </c>
      <c r="T483" s="2">
        <v>1982</v>
      </c>
      <c r="U483" s="2">
        <f t="shared" si="43"/>
        <v>40</v>
      </c>
      <c r="V483" s="1">
        <v>30011</v>
      </c>
      <c r="W483" t="s">
        <v>1117</v>
      </c>
      <c r="X483" s="3">
        <v>1.6519999999999999</v>
      </c>
      <c r="Y483" s="4">
        <f>(X483-'[1]1982'!$Z$4)/('[1]1982'!$Z$3-'[1]1982'!$Z$4)</f>
        <v>4.409919649769093E-2</v>
      </c>
      <c r="AA483" t="s">
        <v>1118</v>
      </c>
      <c r="AB483">
        <v>17337</v>
      </c>
      <c r="AC483">
        <v>15582221</v>
      </c>
      <c r="AD483" t="s">
        <v>15</v>
      </c>
      <c r="AE483">
        <v>30</v>
      </c>
      <c r="AF483">
        <v>2</v>
      </c>
      <c r="AH483" t="s">
        <v>5053</v>
      </c>
      <c r="AI483" t="s">
        <v>5054</v>
      </c>
      <c r="AK483" t="s">
        <v>5055</v>
      </c>
      <c r="AL483">
        <v>1</v>
      </c>
      <c r="AM483" s="5">
        <f t="shared" si="44"/>
        <v>2.5000000000000001E-2</v>
      </c>
      <c r="AN483" s="6">
        <f>(AM483-'[1]1982'!$AO$4)/('[1]1982'!$AO$3-'[1]1982'!$AO$4)</f>
        <v>3.7864445285876567E-5</v>
      </c>
      <c r="AO483" s="7"/>
      <c r="AP483">
        <v>0</v>
      </c>
      <c r="AR483" t="s">
        <v>19</v>
      </c>
      <c r="AT483" s="3" t="s">
        <v>20</v>
      </c>
      <c r="AU483" s="8">
        <f t="shared" si="45"/>
        <v>3.0880796881969412</v>
      </c>
      <c r="AV483" s="8">
        <f t="shared" si="46"/>
        <v>2.2068530471488401</v>
      </c>
      <c r="AW483" s="8">
        <f t="shared" si="47"/>
        <v>1.3256264061007392</v>
      </c>
    </row>
    <row r="484" spans="1:49" x14ac:dyDescent="0.2">
      <c r="A484">
        <v>482</v>
      </c>
      <c r="B484" t="s">
        <v>5056</v>
      </c>
      <c r="C484" t="s">
        <v>5057</v>
      </c>
      <c r="F484" t="s">
        <v>5058</v>
      </c>
      <c r="G484" t="s">
        <v>4</v>
      </c>
      <c r="H484" t="s">
        <v>5</v>
      </c>
      <c r="I484" t="s">
        <v>2457</v>
      </c>
      <c r="J484" t="s">
        <v>5059</v>
      </c>
      <c r="K484" t="s">
        <v>5060</v>
      </c>
      <c r="L484" t="s">
        <v>5061</v>
      </c>
      <c r="M484" t="s">
        <v>218</v>
      </c>
      <c r="N484">
        <v>1</v>
      </c>
      <c r="O484" t="s">
        <v>2461</v>
      </c>
      <c r="P484">
        <v>7102870158</v>
      </c>
      <c r="Q484" t="s">
        <v>5062</v>
      </c>
      <c r="R484" s="1">
        <v>29952</v>
      </c>
      <c r="S484" s="2">
        <f t="shared" si="42"/>
        <v>1982</v>
      </c>
      <c r="T484" s="2">
        <v>1982</v>
      </c>
      <c r="U484" s="2">
        <f t="shared" si="43"/>
        <v>40</v>
      </c>
      <c r="V484" s="1">
        <v>30011</v>
      </c>
      <c r="W484" t="s">
        <v>2417</v>
      </c>
      <c r="X484" s="3">
        <v>1.137</v>
      </c>
      <c r="Y484" s="4">
        <f>(X484-'[1]1982'!$Z$4)/('[1]1982'!$Z$3-'[1]1982'!$Z$4)</f>
        <v>3.0351565628253384E-2</v>
      </c>
      <c r="AA484">
        <v>189251</v>
      </c>
      <c r="AB484">
        <v>17336</v>
      </c>
      <c r="AD484" t="s">
        <v>15</v>
      </c>
      <c r="AE484" t="s">
        <v>2418</v>
      </c>
      <c r="AF484">
        <v>2</v>
      </c>
      <c r="AH484" t="s">
        <v>2274</v>
      </c>
      <c r="AI484" t="s">
        <v>5063</v>
      </c>
      <c r="AK484" t="s">
        <v>5064</v>
      </c>
      <c r="AL484">
        <v>10</v>
      </c>
      <c r="AM484" s="5">
        <f t="shared" si="44"/>
        <v>0.25</v>
      </c>
      <c r="AN484" s="6">
        <f>(AM484-'[1]1982'!$AO$4)/('[1]1982'!$AO$3-'[1]1982'!$AO$4)</f>
        <v>3.786444528587656E-4</v>
      </c>
      <c r="AO484" s="7"/>
      <c r="AP484">
        <v>0</v>
      </c>
      <c r="AR484" t="s">
        <v>19</v>
      </c>
      <c r="AT484" s="3" t="s">
        <v>20</v>
      </c>
      <c r="AU484" s="8">
        <f t="shared" si="45"/>
        <v>2.1359689275634994</v>
      </c>
      <c r="AV484" s="8">
        <f t="shared" si="46"/>
        <v>1.5365105040556075</v>
      </c>
      <c r="AW484" s="8">
        <f t="shared" si="47"/>
        <v>0.93705208054771527</v>
      </c>
    </row>
    <row r="485" spans="1:49" x14ac:dyDescent="0.2">
      <c r="A485">
        <v>483</v>
      </c>
      <c r="B485" t="s">
        <v>5065</v>
      </c>
      <c r="C485" t="s">
        <v>5066</v>
      </c>
      <c r="F485" t="s">
        <v>5067</v>
      </c>
      <c r="G485" t="s">
        <v>4</v>
      </c>
      <c r="H485" t="s">
        <v>5</v>
      </c>
      <c r="I485" t="s">
        <v>4447</v>
      </c>
      <c r="J485" t="s">
        <v>5068</v>
      </c>
      <c r="K485" t="s">
        <v>5069</v>
      </c>
      <c r="L485" t="s">
        <v>5070</v>
      </c>
      <c r="M485" t="s">
        <v>218</v>
      </c>
      <c r="N485">
        <v>3</v>
      </c>
      <c r="O485" t="s">
        <v>5071</v>
      </c>
      <c r="P485" t="s">
        <v>5072</v>
      </c>
      <c r="Q485" t="s">
        <v>5073</v>
      </c>
      <c r="R485" s="1">
        <v>29952</v>
      </c>
      <c r="S485" s="2">
        <f t="shared" si="42"/>
        <v>1982</v>
      </c>
      <c r="T485" s="2">
        <v>1982</v>
      </c>
      <c r="U485" s="2">
        <f t="shared" si="43"/>
        <v>40</v>
      </c>
      <c r="V485" s="1">
        <v>30011</v>
      </c>
      <c r="W485" t="s">
        <v>1117</v>
      </c>
      <c r="X485" s="3">
        <v>1.6519999999999999</v>
      </c>
      <c r="Y485" s="4">
        <f>(X485-'[1]1982'!$Z$4)/('[1]1982'!$Z$3-'[1]1982'!$Z$4)</f>
        <v>4.409919649769093E-2</v>
      </c>
      <c r="AA485" t="s">
        <v>1118</v>
      </c>
      <c r="AB485">
        <v>17337</v>
      </c>
      <c r="AC485">
        <v>15582221</v>
      </c>
      <c r="AD485" t="s">
        <v>15</v>
      </c>
      <c r="AE485">
        <v>30</v>
      </c>
      <c r="AF485">
        <v>2</v>
      </c>
      <c r="AH485" t="s">
        <v>5074</v>
      </c>
      <c r="AI485" t="s">
        <v>5075</v>
      </c>
      <c r="AK485" t="s">
        <v>5076</v>
      </c>
      <c r="AL485">
        <v>5</v>
      </c>
      <c r="AM485" s="5">
        <f t="shared" si="44"/>
        <v>0.125</v>
      </c>
      <c r="AN485" s="6">
        <f>(AM485-'[1]1982'!$AO$4)/('[1]1982'!$AO$3-'[1]1982'!$AO$4)</f>
        <v>1.893222264293828E-4</v>
      </c>
      <c r="AO485" s="7"/>
      <c r="AP485">
        <v>0</v>
      </c>
      <c r="AR485" t="s">
        <v>19</v>
      </c>
      <c r="AT485" s="3" t="s">
        <v>20</v>
      </c>
      <c r="AU485" s="8">
        <f t="shared" si="45"/>
        <v>3.0926234216312465</v>
      </c>
      <c r="AV485" s="8">
        <f t="shared" si="46"/>
        <v>2.2144259362060157</v>
      </c>
      <c r="AW485" s="8">
        <f t="shared" si="47"/>
        <v>1.3362284507807847</v>
      </c>
    </row>
    <row r="486" spans="1:49" x14ac:dyDescent="0.2">
      <c r="A486">
        <v>484</v>
      </c>
      <c r="B486" t="s">
        <v>5077</v>
      </c>
      <c r="C486" t="s">
        <v>5078</v>
      </c>
      <c r="F486" t="s">
        <v>5079</v>
      </c>
      <c r="G486" t="s">
        <v>4</v>
      </c>
      <c r="H486" t="s">
        <v>5</v>
      </c>
      <c r="I486" t="s">
        <v>5080</v>
      </c>
      <c r="J486">
        <v>60020585</v>
      </c>
      <c r="K486" t="s">
        <v>5081</v>
      </c>
      <c r="L486" t="s">
        <v>5082</v>
      </c>
      <c r="M486" t="s">
        <v>2605</v>
      </c>
      <c r="N486">
        <v>2</v>
      </c>
      <c r="O486" t="s">
        <v>5083</v>
      </c>
      <c r="P486" t="s">
        <v>5084</v>
      </c>
      <c r="Q486" t="s">
        <v>5085</v>
      </c>
      <c r="R486" s="1">
        <v>29952</v>
      </c>
      <c r="S486" s="2">
        <f t="shared" si="42"/>
        <v>1982</v>
      </c>
      <c r="T486" s="2">
        <v>1982</v>
      </c>
      <c r="U486" s="2">
        <f t="shared" si="43"/>
        <v>40</v>
      </c>
      <c r="V486" s="1">
        <v>30011</v>
      </c>
      <c r="W486" t="s">
        <v>1117</v>
      </c>
      <c r="X486" s="3">
        <v>1.6519999999999999</v>
      </c>
      <c r="Y486" s="4">
        <f>(X486-'[1]1982'!$Z$4)/('[1]1982'!$Z$3-'[1]1982'!$Z$4)</f>
        <v>4.409919649769093E-2</v>
      </c>
      <c r="AA486" t="s">
        <v>1118</v>
      </c>
      <c r="AB486">
        <v>17337</v>
      </c>
      <c r="AC486">
        <v>15582221</v>
      </c>
      <c r="AD486" t="s">
        <v>15</v>
      </c>
      <c r="AE486">
        <v>30</v>
      </c>
      <c r="AF486">
        <v>2</v>
      </c>
      <c r="AH486" t="s">
        <v>5086</v>
      </c>
      <c r="AI486" t="s">
        <v>5087</v>
      </c>
      <c r="AK486" t="s">
        <v>5088</v>
      </c>
      <c r="AL486">
        <v>1</v>
      </c>
      <c r="AM486" s="5">
        <f t="shared" si="44"/>
        <v>2.5000000000000001E-2</v>
      </c>
      <c r="AN486" s="6">
        <f>(AM486-'[1]1982'!$AO$4)/('[1]1982'!$AO$3-'[1]1982'!$AO$4)</f>
        <v>3.7864445285876567E-5</v>
      </c>
      <c r="AO486" s="7"/>
      <c r="AP486">
        <v>0</v>
      </c>
      <c r="AR486" t="s">
        <v>19</v>
      </c>
      <c r="AT486" s="3" t="s">
        <v>20</v>
      </c>
      <c r="AU486" s="8">
        <f t="shared" si="45"/>
        <v>3.0880796881969412</v>
      </c>
      <c r="AV486" s="8">
        <f t="shared" si="46"/>
        <v>2.2068530471488401</v>
      </c>
      <c r="AW486" s="8">
        <f t="shared" si="47"/>
        <v>1.3256264061007392</v>
      </c>
    </row>
    <row r="487" spans="1:49" x14ac:dyDescent="0.2">
      <c r="A487">
        <v>485</v>
      </c>
      <c r="B487" t="s">
        <v>5089</v>
      </c>
      <c r="F487" t="s">
        <v>5090</v>
      </c>
      <c r="G487" t="s">
        <v>4</v>
      </c>
      <c r="H487" t="s">
        <v>5</v>
      </c>
      <c r="I487" t="s">
        <v>5091</v>
      </c>
      <c r="N487">
        <v>1</v>
      </c>
      <c r="O487" t="s">
        <v>5092</v>
      </c>
      <c r="P487">
        <v>57198067284</v>
      </c>
      <c r="R487" s="1">
        <v>29952</v>
      </c>
      <c r="S487" s="2">
        <f t="shared" si="42"/>
        <v>1982</v>
      </c>
      <c r="T487" s="2">
        <v>1982</v>
      </c>
      <c r="U487" s="2">
        <f t="shared" si="43"/>
        <v>40</v>
      </c>
      <c r="V487" s="1" t="s">
        <v>5093</v>
      </c>
      <c r="W487" t="s">
        <v>3208</v>
      </c>
      <c r="X487" s="3" t="s">
        <v>20</v>
      </c>
      <c r="Y487" s="4" t="e">
        <f>(X487-'[1]1982'!$Z$4)/('[1]1982'!$Z$3-'[1]1982'!$Z$4)</f>
        <v>#VALUE!</v>
      </c>
      <c r="AA487">
        <v>959669</v>
      </c>
      <c r="AB487">
        <v>94658</v>
      </c>
      <c r="AD487" t="s">
        <v>15</v>
      </c>
      <c r="AE487">
        <v>12</v>
      </c>
      <c r="AF487">
        <v>1</v>
      </c>
      <c r="AH487" t="s">
        <v>5094</v>
      </c>
      <c r="AI487" t="s">
        <v>5095</v>
      </c>
      <c r="AK487" t="s">
        <v>5096</v>
      </c>
      <c r="AL487">
        <v>0</v>
      </c>
      <c r="AM487" s="5">
        <f t="shared" si="44"/>
        <v>0</v>
      </c>
      <c r="AN487" s="6">
        <f>(AM487-'[1]1982'!$AO$4)/('[1]1982'!$AO$3-'[1]1982'!$AO$4)</f>
        <v>0</v>
      </c>
      <c r="AO487" s="7"/>
      <c r="AP487">
        <v>0</v>
      </c>
      <c r="AR487" t="s">
        <v>19</v>
      </c>
      <c r="AT487" s="3" t="s">
        <v>20</v>
      </c>
      <c r="AU487" s="8" t="e">
        <f t="shared" si="45"/>
        <v>#VALUE!</v>
      </c>
      <c r="AV487" s="8" t="e">
        <f t="shared" si="46"/>
        <v>#VALUE!</v>
      </c>
      <c r="AW487" s="8" t="e">
        <f t="shared" si="47"/>
        <v>#VALUE!</v>
      </c>
    </row>
    <row r="488" spans="1:49" x14ac:dyDescent="0.2">
      <c r="A488">
        <v>486</v>
      </c>
      <c r="B488" t="s">
        <v>5097</v>
      </c>
      <c r="C488" t="s">
        <v>5098</v>
      </c>
      <c r="F488" t="s">
        <v>5099</v>
      </c>
      <c r="G488" t="s">
        <v>4</v>
      </c>
      <c r="H488" t="s">
        <v>5</v>
      </c>
      <c r="I488" t="s">
        <v>5100</v>
      </c>
      <c r="J488">
        <v>60022148</v>
      </c>
      <c r="K488" t="s">
        <v>4677</v>
      </c>
      <c r="L488" t="s">
        <v>3165</v>
      </c>
      <c r="M488" t="s">
        <v>94</v>
      </c>
      <c r="N488">
        <v>2</v>
      </c>
      <c r="O488" t="s">
        <v>5101</v>
      </c>
      <c r="P488" t="s">
        <v>5102</v>
      </c>
      <c r="Q488" t="s">
        <v>5103</v>
      </c>
      <c r="R488" s="1">
        <v>29952</v>
      </c>
      <c r="S488" s="2">
        <f t="shared" si="42"/>
        <v>1982</v>
      </c>
      <c r="T488" s="2">
        <v>1982</v>
      </c>
      <c r="U488" s="2">
        <f t="shared" si="43"/>
        <v>40</v>
      </c>
      <c r="V488" s="1">
        <v>29983</v>
      </c>
      <c r="W488" t="s">
        <v>811</v>
      </c>
      <c r="X488" s="3" t="s">
        <v>20</v>
      </c>
      <c r="Y488" s="4" t="e">
        <f>(X488-'[1]1982'!$Z$4)/('[1]1982'!$Z$3-'[1]1982'!$Z$4)</f>
        <v>#VALUE!</v>
      </c>
      <c r="AA488">
        <v>337722</v>
      </c>
      <c r="AB488">
        <v>35312</v>
      </c>
      <c r="AD488" t="s">
        <v>15</v>
      </c>
      <c r="AE488">
        <v>52</v>
      </c>
      <c r="AF488">
        <v>2</v>
      </c>
      <c r="AH488" t="s">
        <v>5104</v>
      </c>
      <c r="AI488" t="s">
        <v>5105</v>
      </c>
      <c r="AJ488" t="s">
        <v>5106</v>
      </c>
      <c r="AK488" t="s">
        <v>5107</v>
      </c>
      <c r="AL488">
        <v>24</v>
      </c>
      <c r="AM488" s="5">
        <f t="shared" si="44"/>
        <v>0.6</v>
      </c>
      <c r="AN488" s="6">
        <f>(AM488-'[1]1982'!$AO$4)/('[1]1982'!$AO$3-'[1]1982'!$AO$4)</f>
        <v>9.0874668686103744E-4</v>
      </c>
      <c r="AO488" s="7"/>
      <c r="AP488">
        <v>0</v>
      </c>
      <c r="AR488" t="s">
        <v>19</v>
      </c>
      <c r="AT488" s="3" t="s">
        <v>20</v>
      </c>
      <c r="AU488" s="8" t="e">
        <f t="shared" si="45"/>
        <v>#VALUE!</v>
      </c>
      <c r="AV488" s="8" t="e">
        <f t="shared" si="46"/>
        <v>#VALUE!</v>
      </c>
      <c r="AW488" s="8" t="e">
        <f t="shared" si="47"/>
        <v>#VALUE!</v>
      </c>
    </row>
    <row r="489" spans="1:49" x14ac:dyDescent="0.2">
      <c r="A489">
        <v>487</v>
      </c>
      <c r="B489" t="s">
        <v>5108</v>
      </c>
      <c r="C489" t="s">
        <v>5109</v>
      </c>
      <c r="F489" t="s">
        <v>5110</v>
      </c>
      <c r="G489" t="s">
        <v>4</v>
      </c>
      <c r="H489" t="s">
        <v>5</v>
      </c>
      <c r="I489" t="s">
        <v>5111</v>
      </c>
      <c r="J489" t="s">
        <v>5112</v>
      </c>
      <c r="K489" t="s">
        <v>5113</v>
      </c>
      <c r="L489" t="s">
        <v>5114</v>
      </c>
      <c r="M489" t="s">
        <v>1076</v>
      </c>
      <c r="N489">
        <v>2</v>
      </c>
      <c r="O489" t="s">
        <v>5115</v>
      </c>
      <c r="P489" t="s">
        <v>5116</v>
      </c>
      <c r="Q489" t="s">
        <v>5117</v>
      </c>
      <c r="R489" s="1">
        <v>29952</v>
      </c>
      <c r="S489" s="2">
        <f t="shared" si="42"/>
        <v>1982</v>
      </c>
      <c r="T489" s="2">
        <v>1982</v>
      </c>
      <c r="U489" s="2">
        <f t="shared" si="43"/>
        <v>40</v>
      </c>
      <c r="V489" s="1">
        <v>30011</v>
      </c>
      <c r="W489" t="s">
        <v>5118</v>
      </c>
      <c r="X489" s="3">
        <v>0.64</v>
      </c>
      <c r="Y489" s="4">
        <f>(X489-'[1]1982'!$Z$4)/('[1]1982'!$Z$3-'[1]1982'!$Z$4)</f>
        <v>1.7084434478524334E-2</v>
      </c>
      <c r="AA489">
        <v>218669</v>
      </c>
      <c r="AB489">
        <v>29583</v>
      </c>
      <c r="AD489" t="s">
        <v>15</v>
      </c>
      <c r="AE489">
        <v>19</v>
      </c>
      <c r="AF489">
        <v>2</v>
      </c>
      <c r="AH489" t="s">
        <v>5045</v>
      </c>
      <c r="AI489" t="s">
        <v>5119</v>
      </c>
      <c r="AK489" t="s">
        <v>5120</v>
      </c>
      <c r="AL489">
        <v>9</v>
      </c>
      <c r="AM489" s="5">
        <f t="shared" si="44"/>
        <v>0.22500000000000001</v>
      </c>
      <c r="AN489" s="6">
        <f>(AM489-'[1]1982'!$AO$4)/('[1]1982'!$AO$3-'[1]1982'!$AO$4)</f>
        <v>3.4078000757288904E-4</v>
      </c>
      <c r="AO489" s="7"/>
      <c r="AP489">
        <v>0</v>
      </c>
      <c r="AQ489" t="s">
        <v>5121</v>
      </c>
      <c r="AR489" t="s">
        <v>5122</v>
      </c>
      <c r="AS489" t="s">
        <v>5123</v>
      </c>
      <c r="AT489" s="3">
        <v>1.2490000000000001</v>
      </c>
      <c r="AU489" s="8">
        <f t="shared" si="45"/>
        <v>1.2061338137238899</v>
      </c>
      <c r="AV489" s="8">
        <f t="shared" si="46"/>
        <v>0.87126072430486112</v>
      </c>
      <c r="AW489" s="8">
        <f t="shared" si="47"/>
        <v>0.5363876348858323</v>
      </c>
    </row>
    <row r="490" spans="1:49" x14ac:dyDescent="0.2">
      <c r="A490">
        <v>488</v>
      </c>
      <c r="B490" t="s">
        <v>5124</v>
      </c>
      <c r="C490" t="s">
        <v>5125</v>
      </c>
      <c r="F490" t="s">
        <v>5126</v>
      </c>
      <c r="G490" t="s">
        <v>4</v>
      </c>
      <c r="H490" t="s">
        <v>5</v>
      </c>
      <c r="I490" t="s">
        <v>5127</v>
      </c>
      <c r="N490">
        <v>4</v>
      </c>
      <c r="O490" t="s">
        <v>5128</v>
      </c>
      <c r="P490" t="s">
        <v>5129</v>
      </c>
      <c r="Q490" t="s">
        <v>165</v>
      </c>
      <c r="R490" s="1">
        <v>29952</v>
      </c>
      <c r="S490" s="2">
        <f t="shared" si="42"/>
        <v>1982</v>
      </c>
      <c r="T490" s="2">
        <v>1982</v>
      </c>
      <c r="U490" s="2">
        <f t="shared" si="43"/>
        <v>40</v>
      </c>
      <c r="V490" s="1" t="s">
        <v>5130</v>
      </c>
      <c r="W490" t="s">
        <v>5131</v>
      </c>
      <c r="X490" s="3" t="s">
        <v>20</v>
      </c>
      <c r="Y490" s="4" t="e">
        <f>(X490-'[1]1982'!$Z$4)/('[1]1982'!$Z$3-'[1]1982'!$Z$4)</f>
        <v>#VALUE!</v>
      </c>
      <c r="AA490">
        <v>3866831</v>
      </c>
      <c r="AB490">
        <v>31423</v>
      </c>
      <c r="AD490" t="s">
        <v>15</v>
      </c>
      <c r="AE490">
        <v>36</v>
      </c>
      <c r="AF490">
        <v>2</v>
      </c>
      <c r="AH490" t="s">
        <v>5132</v>
      </c>
      <c r="AI490" t="s">
        <v>5133</v>
      </c>
      <c r="AK490" t="s">
        <v>5134</v>
      </c>
      <c r="AL490">
        <v>3</v>
      </c>
      <c r="AM490" s="5">
        <f t="shared" si="44"/>
        <v>7.4999999999999997E-2</v>
      </c>
      <c r="AN490" s="6">
        <f>(AM490-'[1]1982'!$AO$4)/('[1]1982'!$AO$3-'[1]1982'!$AO$4)</f>
        <v>1.1359333585762968E-4</v>
      </c>
      <c r="AO490" s="7"/>
      <c r="AP490">
        <v>1</v>
      </c>
      <c r="AR490" t="s">
        <v>19</v>
      </c>
      <c r="AT490" s="3" t="s">
        <v>20</v>
      </c>
      <c r="AU490" s="8" t="e">
        <f t="shared" si="45"/>
        <v>#VALUE!</v>
      </c>
      <c r="AV490" s="8" t="e">
        <f t="shared" si="46"/>
        <v>#VALUE!</v>
      </c>
      <c r="AW490" s="8" t="e">
        <f t="shared" si="47"/>
        <v>#VALUE!</v>
      </c>
    </row>
    <row r="491" spans="1:49" x14ac:dyDescent="0.2">
      <c r="A491">
        <v>489</v>
      </c>
      <c r="B491" t="s">
        <v>5135</v>
      </c>
      <c r="C491" t="s">
        <v>5136</v>
      </c>
      <c r="F491" t="s">
        <v>5137</v>
      </c>
      <c r="G491" t="s">
        <v>4</v>
      </c>
      <c r="H491" t="s">
        <v>5</v>
      </c>
      <c r="I491" t="s">
        <v>5138</v>
      </c>
      <c r="J491">
        <v>60084299</v>
      </c>
      <c r="K491" t="s">
        <v>5139</v>
      </c>
      <c r="L491" t="s">
        <v>5140</v>
      </c>
      <c r="M491" t="s">
        <v>550</v>
      </c>
      <c r="N491">
        <v>2</v>
      </c>
      <c r="O491" t="s">
        <v>5141</v>
      </c>
      <c r="P491" t="s">
        <v>5142</v>
      </c>
      <c r="Q491" t="s">
        <v>5143</v>
      </c>
      <c r="R491" s="1">
        <v>29952</v>
      </c>
      <c r="S491" s="2">
        <f t="shared" si="42"/>
        <v>1982</v>
      </c>
      <c r="T491" s="2">
        <v>1982</v>
      </c>
      <c r="U491" s="2">
        <f t="shared" si="43"/>
        <v>40</v>
      </c>
      <c r="V491" s="1">
        <v>29983</v>
      </c>
      <c r="W491" s="11" t="s">
        <v>822</v>
      </c>
      <c r="X491" s="3">
        <v>2.383</v>
      </c>
      <c r="Y491" s="4">
        <f>(X491-'[1]1982'!$Z$4)/('[1]1982'!$Z$3-'[1]1982'!$Z$4)</f>
        <v>6.3612824003630442E-2</v>
      </c>
      <c r="AA491">
        <v>1437070</v>
      </c>
      <c r="AB491">
        <v>39742</v>
      </c>
      <c r="AD491" t="s">
        <v>15</v>
      </c>
      <c r="AE491">
        <v>129</v>
      </c>
      <c r="AF491">
        <v>1</v>
      </c>
      <c r="AH491" t="s">
        <v>5144</v>
      </c>
      <c r="AI491" t="s">
        <v>5145</v>
      </c>
      <c r="AJ491" t="s">
        <v>5146</v>
      </c>
      <c r="AK491" t="s">
        <v>5147</v>
      </c>
      <c r="AL491">
        <v>14</v>
      </c>
      <c r="AM491" s="5">
        <f t="shared" si="44"/>
        <v>0.35</v>
      </c>
      <c r="AN491" s="6">
        <f>(AM491-'[1]1982'!$AO$4)/('[1]1982'!$AO$3-'[1]1982'!$AO$4)</f>
        <v>5.3010223400227184E-4</v>
      </c>
      <c r="AO491" s="7"/>
      <c r="AP491">
        <v>0</v>
      </c>
      <c r="AR491" t="s">
        <v>19</v>
      </c>
      <c r="AT491" s="3" t="s">
        <v>20</v>
      </c>
      <c r="AU491" s="8">
        <f t="shared" si="45"/>
        <v>4.4688007472741997</v>
      </c>
      <c r="AV491" s="8">
        <f t="shared" si="46"/>
        <v>3.2071463118816355</v>
      </c>
      <c r="AW491" s="8">
        <f t="shared" si="47"/>
        <v>1.9454918764890721</v>
      </c>
    </row>
    <row r="492" spans="1:49" x14ac:dyDescent="0.2">
      <c r="A492">
        <v>490</v>
      </c>
      <c r="B492" t="s">
        <v>5148</v>
      </c>
      <c r="C492" t="s">
        <v>5149</v>
      </c>
      <c r="F492" t="s">
        <v>5150</v>
      </c>
      <c r="G492" t="s">
        <v>4</v>
      </c>
      <c r="H492" t="s">
        <v>5</v>
      </c>
      <c r="I492" t="s">
        <v>5151</v>
      </c>
      <c r="J492" t="s">
        <v>5152</v>
      </c>
      <c r="K492" t="s">
        <v>5153</v>
      </c>
      <c r="L492" t="s">
        <v>5154</v>
      </c>
      <c r="M492" t="s">
        <v>218</v>
      </c>
      <c r="N492">
        <v>2</v>
      </c>
      <c r="O492" t="s">
        <v>5155</v>
      </c>
      <c r="P492" t="s">
        <v>5156</v>
      </c>
      <c r="Q492" t="s">
        <v>5152</v>
      </c>
      <c r="R492" s="1">
        <v>29952</v>
      </c>
      <c r="S492" s="2">
        <f t="shared" si="42"/>
        <v>1982</v>
      </c>
      <c r="T492" s="2">
        <v>1982</v>
      </c>
      <c r="U492" s="2">
        <f t="shared" si="43"/>
        <v>40</v>
      </c>
      <c r="V492" s="1">
        <v>29983</v>
      </c>
      <c r="W492" t="s">
        <v>2551</v>
      </c>
      <c r="X492" s="3">
        <v>0.65500000000000003</v>
      </c>
      <c r="Y492" s="4">
        <f>(X492-'[1]1982'!$Z$4)/('[1]1982'!$Z$3-'[1]1982'!$Z$4)</f>
        <v>1.7484850911614749E-2</v>
      </c>
      <c r="AA492">
        <v>189375</v>
      </c>
      <c r="AB492">
        <v>26051</v>
      </c>
      <c r="AC492" t="s">
        <v>2552</v>
      </c>
      <c r="AD492" t="s">
        <v>15</v>
      </c>
      <c r="AE492" t="s">
        <v>2553</v>
      </c>
      <c r="AF492">
        <v>1</v>
      </c>
      <c r="AH492" t="s">
        <v>5157</v>
      </c>
      <c r="AI492" t="s">
        <v>5158</v>
      </c>
      <c r="AJ492" t="s">
        <v>5159</v>
      </c>
      <c r="AK492" t="s">
        <v>5160</v>
      </c>
      <c r="AL492">
        <v>14</v>
      </c>
      <c r="AM492" s="5">
        <f t="shared" si="44"/>
        <v>0.35</v>
      </c>
      <c r="AN492" s="6">
        <f>(AM492-'[1]1982'!$AO$4)/('[1]1982'!$AO$3-'[1]1982'!$AO$4)</f>
        <v>5.3010223400227184E-4</v>
      </c>
      <c r="AO492" s="7"/>
      <c r="AP492">
        <v>0</v>
      </c>
      <c r="AR492" t="s">
        <v>19</v>
      </c>
      <c r="AT492" s="3" t="s">
        <v>20</v>
      </c>
      <c r="AU492" s="8">
        <f t="shared" si="45"/>
        <v>1.2398426308331005</v>
      </c>
      <c r="AV492" s="8">
        <f t="shared" si="46"/>
        <v>0.90074765728085116</v>
      </c>
      <c r="AW492" s="8">
        <f t="shared" si="47"/>
        <v>0.56165268372860155</v>
      </c>
    </row>
    <row r="493" spans="1:49" x14ac:dyDescent="0.2">
      <c r="A493">
        <v>491</v>
      </c>
      <c r="B493" t="s">
        <v>5161</v>
      </c>
      <c r="C493" t="s">
        <v>5162</v>
      </c>
      <c r="F493" t="s">
        <v>5163</v>
      </c>
      <c r="G493" t="s">
        <v>4</v>
      </c>
      <c r="H493" t="s">
        <v>5</v>
      </c>
      <c r="I493" t="s">
        <v>5164</v>
      </c>
      <c r="J493">
        <v>60025529</v>
      </c>
      <c r="K493" t="s">
        <v>5165</v>
      </c>
      <c r="L493" t="s">
        <v>5166</v>
      </c>
      <c r="M493" t="s">
        <v>424</v>
      </c>
      <c r="N493">
        <v>3</v>
      </c>
      <c r="O493" t="s">
        <v>5167</v>
      </c>
      <c r="P493" t="s">
        <v>5168</v>
      </c>
      <c r="Q493" t="s">
        <v>5169</v>
      </c>
      <c r="R493" s="1">
        <v>29952</v>
      </c>
      <c r="S493" s="2">
        <f t="shared" si="42"/>
        <v>1982</v>
      </c>
      <c r="T493" s="2">
        <v>1982</v>
      </c>
      <c r="U493" s="2">
        <f t="shared" si="43"/>
        <v>40</v>
      </c>
      <c r="V493" s="1">
        <v>29983</v>
      </c>
      <c r="W493" t="s">
        <v>1795</v>
      </c>
      <c r="X493" s="3">
        <v>1.3720000000000001</v>
      </c>
      <c r="Y493" s="4">
        <f>(X493-'[1]1982'!$Z$4)/('[1]1982'!$Z$3-'[1]1982'!$Z$4)</f>
        <v>3.662475641333654E-2</v>
      </c>
      <c r="AA493">
        <v>189480</v>
      </c>
      <c r="AB493">
        <v>17366</v>
      </c>
      <c r="AC493">
        <v>15579670</v>
      </c>
      <c r="AD493" t="s">
        <v>15</v>
      </c>
      <c r="AE493">
        <v>30</v>
      </c>
      <c r="AF493">
        <v>2</v>
      </c>
      <c r="AH493" t="s">
        <v>5170</v>
      </c>
      <c r="AI493" t="s">
        <v>5171</v>
      </c>
      <c r="AK493" t="s">
        <v>5172</v>
      </c>
      <c r="AL493">
        <v>6</v>
      </c>
      <c r="AM493" s="5">
        <f t="shared" si="44"/>
        <v>0.15</v>
      </c>
      <c r="AN493" s="6">
        <f>(AM493-'[1]1982'!$AO$4)/('[1]1982'!$AO$3-'[1]1982'!$AO$4)</f>
        <v>2.2718667171525936E-4</v>
      </c>
      <c r="AO493" s="7"/>
      <c r="AP493">
        <v>0</v>
      </c>
      <c r="AR493" t="s">
        <v>19</v>
      </c>
      <c r="AT493" s="3" t="s">
        <v>20</v>
      </c>
      <c r="AU493" s="8">
        <f t="shared" si="45"/>
        <v>2.5705485490850153</v>
      </c>
      <c r="AV493" s="8">
        <f t="shared" si="46"/>
        <v>1.8425971542525899</v>
      </c>
      <c r="AW493" s="8">
        <f t="shared" si="47"/>
        <v>1.1146457594201644</v>
      </c>
    </row>
    <row r="494" spans="1:49" x14ac:dyDescent="0.2">
      <c r="A494">
        <v>492</v>
      </c>
      <c r="B494" t="s">
        <v>5173</v>
      </c>
      <c r="F494" t="s">
        <v>5174</v>
      </c>
      <c r="G494" t="s">
        <v>4</v>
      </c>
      <c r="H494" t="s">
        <v>5</v>
      </c>
      <c r="I494" t="s">
        <v>5175</v>
      </c>
      <c r="N494">
        <v>3</v>
      </c>
      <c r="O494" t="s">
        <v>5176</v>
      </c>
      <c r="P494" t="s">
        <v>5177</v>
      </c>
      <c r="Q494" t="s">
        <v>145</v>
      </c>
      <c r="R494" s="1">
        <v>29952</v>
      </c>
      <c r="S494" s="2">
        <f t="shared" si="42"/>
        <v>1982</v>
      </c>
      <c r="T494" s="2">
        <v>1982</v>
      </c>
      <c r="U494" s="2">
        <f t="shared" si="43"/>
        <v>40</v>
      </c>
      <c r="V494" s="1" t="s">
        <v>5130</v>
      </c>
      <c r="W494" t="s">
        <v>2185</v>
      </c>
      <c r="X494" s="3">
        <v>0.14099999999999999</v>
      </c>
      <c r="Y494" s="4">
        <f>(X494-'[1]1982'!$Z$4)/('[1]1982'!$Z$3-'[1]1982'!$Z$4)</f>
        <v>3.7639144710498915E-3</v>
      </c>
      <c r="AA494">
        <v>402508</v>
      </c>
      <c r="AB494">
        <v>20868</v>
      </c>
      <c r="AD494" t="s">
        <v>15</v>
      </c>
      <c r="AE494" t="s">
        <v>2186</v>
      </c>
      <c r="AF494">
        <v>2</v>
      </c>
      <c r="AH494" t="s">
        <v>5178</v>
      </c>
      <c r="AI494" t="s">
        <v>5179</v>
      </c>
      <c r="AK494" t="s">
        <v>5180</v>
      </c>
      <c r="AL494">
        <v>0</v>
      </c>
      <c r="AM494" s="5">
        <f t="shared" si="44"/>
        <v>0</v>
      </c>
      <c r="AN494" s="6">
        <f>(AM494-'[1]1982'!$AO$4)/('[1]1982'!$AO$3-'[1]1982'!$AO$4)</f>
        <v>0</v>
      </c>
      <c r="AO494" s="7"/>
      <c r="AP494">
        <v>0</v>
      </c>
      <c r="AR494" t="s">
        <v>19</v>
      </c>
      <c r="AT494" s="3" t="s">
        <v>20</v>
      </c>
      <c r="AU494" s="8">
        <f t="shared" si="45"/>
        <v>0.26347401297349238</v>
      </c>
      <c r="AV494" s="8">
        <f t="shared" si="46"/>
        <v>0.18819572355249459</v>
      </c>
      <c r="AW494" s="8">
        <f t="shared" si="47"/>
        <v>0.11291743413149673</v>
      </c>
    </row>
    <row r="495" spans="1:49" x14ac:dyDescent="0.2">
      <c r="A495">
        <v>493</v>
      </c>
      <c r="B495" t="s">
        <v>5181</v>
      </c>
      <c r="F495" t="s">
        <v>5182</v>
      </c>
      <c r="G495" t="s">
        <v>4</v>
      </c>
      <c r="H495" t="s">
        <v>5</v>
      </c>
      <c r="I495" t="s">
        <v>5183</v>
      </c>
      <c r="N495">
        <v>1</v>
      </c>
      <c r="O495" t="s">
        <v>5184</v>
      </c>
      <c r="P495">
        <v>57192441006</v>
      </c>
      <c r="R495" s="1">
        <v>29952</v>
      </c>
      <c r="S495" s="2">
        <f t="shared" si="42"/>
        <v>1982</v>
      </c>
      <c r="T495" s="2">
        <v>1982</v>
      </c>
      <c r="U495" s="2">
        <f t="shared" si="43"/>
        <v>40</v>
      </c>
      <c r="V495" s="1" t="s">
        <v>5130</v>
      </c>
      <c r="W495" t="s">
        <v>2185</v>
      </c>
      <c r="X495" s="3">
        <v>0.14099999999999999</v>
      </c>
      <c r="Y495" s="4">
        <f>(X495-'[1]1982'!$Z$4)/('[1]1982'!$Z$3-'[1]1982'!$Z$4)</f>
        <v>3.7639144710498915E-3</v>
      </c>
      <c r="AA495">
        <v>402508</v>
      </c>
      <c r="AB495">
        <v>20868</v>
      </c>
      <c r="AD495" t="s">
        <v>15</v>
      </c>
      <c r="AE495" t="s">
        <v>2186</v>
      </c>
      <c r="AF495">
        <v>2</v>
      </c>
      <c r="AH495" t="s">
        <v>5185</v>
      </c>
      <c r="AI495" t="s">
        <v>5186</v>
      </c>
      <c r="AK495" t="s">
        <v>5187</v>
      </c>
      <c r="AL495">
        <v>0</v>
      </c>
      <c r="AM495" s="5">
        <f t="shared" si="44"/>
        <v>0</v>
      </c>
      <c r="AN495" s="6">
        <f>(AM495-'[1]1982'!$AO$4)/('[1]1982'!$AO$3-'[1]1982'!$AO$4)</f>
        <v>0</v>
      </c>
      <c r="AO495" s="7"/>
      <c r="AP495">
        <v>0</v>
      </c>
      <c r="AR495" t="s">
        <v>19</v>
      </c>
      <c r="AT495" s="3" t="s">
        <v>20</v>
      </c>
      <c r="AU495" s="8">
        <f t="shared" si="45"/>
        <v>0.26347401297349238</v>
      </c>
      <c r="AV495" s="8">
        <f t="shared" si="46"/>
        <v>0.18819572355249459</v>
      </c>
      <c r="AW495" s="8">
        <f t="shared" si="47"/>
        <v>0.11291743413149673</v>
      </c>
    </row>
    <row r="496" spans="1:49" x14ac:dyDescent="0.2">
      <c r="A496">
        <v>494</v>
      </c>
      <c r="B496" t="s">
        <v>5188</v>
      </c>
      <c r="C496" t="s">
        <v>5189</v>
      </c>
      <c r="F496" t="s">
        <v>5190</v>
      </c>
      <c r="G496" t="s">
        <v>4</v>
      </c>
      <c r="H496" t="s">
        <v>5</v>
      </c>
      <c r="I496" t="s">
        <v>5191</v>
      </c>
      <c r="J496">
        <v>60010003</v>
      </c>
      <c r="K496" t="s">
        <v>2733</v>
      </c>
      <c r="L496" t="s">
        <v>513</v>
      </c>
      <c r="M496" t="s">
        <v>9</v>
      </c>
      <c r="N496">
        <v>1</v>
      </c>
      <c r="O496" t="s">
        <v>5192</v>
      </c>
      <c r="P496">
        <v>56738203900</v>
      </c>
      <c r="Q496">
        <v>60010003</v>
      </c>
      <c r="R496" s="1">
        <v>29952</v>
      </c>
      <c r="S496" s="2">
        <f t="shared" si="42"/>
        <v>1982</v>
      </c>
      <c r="T496" s="2">
        <v>1982</v>
      </c>
      <c r="U496" s="2">
        <f t="shared" si="43"/>
        <v>40</v>
      </c>
      <c r="V496" s="1">
        <v>29983</v>
      </c>
      <c r="W496" t="s">
        <v>3540</v>
      </c>
      <c r="X496" s="3">
        <v>0.76700000000000002</v>
      </c>
      <c r="Y496" s="4">
        <f>(X496-'[1]1982'!$Z$4)/('[1]1982'!$Z$3-'[1]1982'!$Z$4)</f>
        <v>2.0474626945356504E-2</v>
      </c>
      <c r="AA496">
        <v>983063</v>
      </c>
      <c r="AB496">
        <v>26048</v>
      </c>
      <c r="AD496" t="s">
        <v>15</v>
      </c>
      <c r="AE496" t="s">
        <v>3541</v>
      </c>
      <c r="AF496">
        <v>1</v>
      </c>
      <c r="AH496" t="s">
        <v>5193</v>
      </c>
      <c r="AI496" t="s">
        <v>5194</v>
      </c>
      <c r="AK496" t="s">
        <v>5195</v>
      </c>
      <c r="AL496">
        <v>0</v>
      </c>
      <c r="AM496" s="5">
        <f t="shared" si="44"/>
        <v>0</v>
      </c>
      <c r="AN496" s="6">
        <f>(AM496-'[1]1982'!$AO$4)/('[1]1982'!$AO$3-'[1]1982'!$AO$4)</f>
        <v>0</v>
      </c>
      <c r="AO496" s="7"/>
      <c r="AP496">
        <v>0</v>
      </c>
      <c r="AR496" t="s">
        <v>19</v>
      </c>
      <c r="AT496" s="3" t="s">
        <v>20</v>
      </c>
      <c r="AU496" s="8">
        <f t="shared" si="45"/>
        <v>1.4332238861749553</v>
      </c>
      <c r="AV496" s="8">
        <f t="shared" si="46"/>
        <v>1.0237313472678251</v>
      </c>
      <c r="AW496" s="8">
        <f t="shared" si="47"/>
        <v>0.61423880836069511</v>
      </c>
    </row>
    <row r="497" spans="1:49" x14ac:dyDescent="0.2">
      <c r="A497">
        <v>495</v>
      </c>
      <c r="B497" t="s">
        <v>5196</v>
      </c>
      <c r="C497" t="s">
        <v>5197</v>
      </c>
      <c r="F497" t="s">
        <v>5198</v>
      </c>
      <c r="G497" t="s">
        <v>4</v>
      </c>
      <c r="H497" t="s">
        <v>5</v>
      </c>
      <c r="I497" t="s">
        <v>5199</v>
      </c>
      <c r="J497">
        <v>60021378</v>
      </c>
      <c r="K497" t="s">
        <v>1539</v>
      </c>
      <c r="L497" t="s">
        <v>1540</v>
      </c>
      <c r="M497" t="s">
        <v>9</v>
      </c>
      <c r="N497">
        <v>1</v>
      </c>
      <c r="O497" t="s">
        <v>5200</v>
      </c>
      <c r="P497">
        <v>6701824497</v>
      </c>
      <c r="Q497">
        <v>60021378</v>
      </c>
      <c r="R497" s="1">
        <v>29952</v>
      </c>
      <c r="S497" s="2">
        <f t="shared" si="42"/>
        <v>1982</v>
      </c>
      <c r="T497" s="2">
        <v>1982</v>
      </c>
      <c r="U497" s="2">
        <f t="shared" si="43"/>
        <v>40</v>
      </c>
      <c r="V497" s="1">
        <v>29983</v>
      </c>
      <c r="W497" t="s">
        <v>2778</v>
      </c>
      <c r="X497" s="3">
        <v>1.468</v>
      </c>
      <c r="Y497" s="4">
        <f>(X497-'[1]1982'!$Z$4)/('[1]1982'!$Z$3-'[1]1982'!$Z$4)</f>
        <v>3.9187421585115186E-2</v>
      </c>
      <c r="AA497">
        <v>906778</v>
      </c>
      <c r="AB497">
        <v>18931</v>
      </c>
      <c r="AD497" t="s">
        <v>15</v>
      </c>
      <c r="AE497">
        <v>30</v>
      </c>
      <c r="AF497">
        <v>2</v>
      </c>
      <c r="AH497" t="s">
        <v>5201</v>
      </c>
      <c r="AI497" t="s">
        <v>5202</v>
      </c>
      <c r="AK497" t="s">
        <v>5203</v>
      </c>
      <c r="AL497">
        <v>1</v>
      </c>
      <c r="AM497" s="5">
        <f t="shared" si="44"/>
        <v>2.5000000000000001E-2</v>
      </c>
      <c r="AN497" s="6">
        <f>(AM497-'[1]1982'!$AO$4)/('[1]1982'!$AO$3-'[1]1982'!$AO$4)</f>
        <v>3.7864445285876567E-5</v>
      </c>
      <c r="AO497" s="7"/>
      <c r="AP497">
        <v>0</v>
      </c>
      <c r="AR497" t="s">
        <v>19</v>
      </c>
      <c r="AT497" s="3">
        <v>5.0830000000000002</v>
      </c>
      <c r="AU497" s="8">
        <f t="shared" si="45"/>
        <v>2.7442554443166389</v>
      </c>
      <c r="AV497" s="8">
        <f t="shared" si="46"/>
        <v>1.961264301520053</v>
      </c>
      <c r="AW497" s="8">
        <f t="shared" si="47"/>
        <v>1.1782731587234669</v>
      </c>
    </row>
    <row r="498" spans="1:49" x14ac:dyDescent="0.2">
      <c r="A498">
        <v>496</v>
      </c>
      <c r="B498" t="s">
        <v>5204</v>
      </c>
      <c r="C498" t="s">
        <v>5205</v>
      </c>
      <c r="F498" t="s">
        <v>5206</v>
      </c>
      <c r="G498" t="s">
        <v>4</v>
      </c>
      <c r="H498" t="s">
        <v>5</v>
      </c>
      <c r="I498" t="s">
        <v>5207</v>
      </c>
      <c r="J498">
        <v>115913819</v>
      </c>
      <c r="K498" t="s">
        <v>5208</v>
      </c>
      <c r="L498" t="s">
        <v>5209</v>
      </c>
      <c r="M498" t="s">
        <v>9</v>
      </c>
      <c r="N498">
        <v>1</v>
      </c>
      <c r="O498" t="s">
        <v>5210</v>
      </c>
      <c r="P498">
        <v>7006471981</v>
      </c>
      <c r="Q498">
        <v>115913819</v>
      </c>
      <c r="R498" s="1">
        <v>29952</v>
      </c>
      <c r="S498" s="2">
        <f t="shared" si="42"/>
        <v>1982</v>
      </c>
      <c r="T498" s="2">
        <v>1982</v>
      </c>
      <c r="U498" s="2">
        <f t="shared" si="43"/>
        <v>40</v>
      </c>
      <c r="V498" s="1">
        <v>29983</v>
      </c>
      <c r="W498" t="s">
        <v>4608</v>
      </c>
      <c r="X498" s="3">
        <v>0.91600000000000004</v>
      </c>
      <c r="Y498" s="4">
        <f>(X498-'[1]1982'!$Z$4)/('[1]1982'!$Z$3-'[1]1982'!$Z$4)</f>
        <v>2.4452096847387951E-2</v>
      </c>
      <c r="AA498">
        <v>189359</v>
      </c>
      <c r="AB498">
        <v>17344</v>
      </c>
      <c r="AC498">
        <v>15579638</v>
      </c>
      <c r="AD498" t="s">
        <v>15</v>
      </c>
      <c r="AE498">
        <v>25</v>
      </c>
      <c r="AF498">
        <v>1</v>
      </c>
      <c r="AH498" s="9">
        <v>44443</v>
      </c>
      <c r="AI498" t="s">
        <v>5211</v>
      </c>
      <c r="AK498" t="s">
        <v>5212</v>
      </c>
      <c r="AL498">
        <v>5</v>
      </c>
      <c r="AM498" s="5">
        <f t="shared" si="44"/>
        <v>0.125</v>
      </c>
      <c r="AN498" s="6">
        <f>(AM498-'[1]1982'!$AO$4)/('[1]1982'!$AO$3-'[1]1982'!$AO$4)</f>
        <v>1.893222264293828E-4</v>
      </c>
      <c r="AO498" s="7"/>
      <c r="AP498">
        <v>0</v>
      </c>
      <c r="AR498" t="s">
        <v>19</v>
      </c>
      <c r="AT498" s="3">
        <v>2.1160000000000001</v>
      </c>
      <c r="AU498" s="8">
        <f t="shared" si="45"/>
        <v>1.7173264461100377</v>
      </c>
      <c r="AV498" s="8">
        <f t="shared" si="46"/>
        <v>1.2320709536908667</v>
      </c>
      <c r="AW498" s="8">
        <f t="shared" si="47"/>
        <v>0.74681546127169529</v>
      </c>
    </row>
    <row r="499" spans="1:49" x14ac:dyDescent="0.2">
      <c r="A499">
        <v>497</v>
      </c>
      <c r="B499" t="s">
        <v>5213</v>
      </c>
      <c r="C499" t="s">
        <v>5214</v>
      </c>
      <c r="F499" t="s">
        <v>5215</v>
      </c>
      <c r="G499" t="s">
        <v>4</v>
      </c>
      <c r="H499" t="s">
        <v>5</v>
      </c>
      <c r="I499" t="s">
        <v>5216</v>
      </c>
      <c r="J499">
        <v>60022134</v>
      </c>
      <c r="K499" t="s">
        <v>5217</v>
      </c>
      <c r="L499" t="s">
        <v>5218</v>
      </c>
      <c r="M499" t="s">
        <v>5219</v>
      </c>
      <c r="N499">
        <v>1</v>
      </c>
      <c r="O499" t="s">
        <v>5220</v>
      </c>
      <c r="P499">
        <v>7403571081</v>
      </c>
      <c r="Q499">
        <v>60022134</v>
      </c>
      <c r="R499" s="1">
        <v>29952</v>
      </c>
      <c r="S499" s="2">
        <f t="shared" si="42"/>
        <v>1982</v>
      </c>
      <c r="T499" s="2">
        <v>1982</v>
      </c>
      <c r="U499" s="2">
        <f t="shared" si="43"/>
        <v>40</v>
      </c>
      <c r="V499" s="1">
        <v>29983</v>
      </c>
      <c r="W499" t="s">
        <v>2689</v>
      </c>
      <c r="X499" s="3">
        <v>1.365</v>
      </c>
      <c r="Y499" s="4">
        <f>(X499-'[1]1982'!$Z$4)/('[1]1982'!$Z$3-'[1]1982'!$Z$4)</f>
        <v>3.6437895411227675E-2</v>
      </c>
      <c r="AA499">
        <v>189545</v>
      </c>
      <c r="AB499">
        <v>17393</v>
      </c>
      <c r="AC499">
        <v>19399359</v>
      </c>
      <c r="AD499" t="s">
        <v>15</v>
      </c>
      <c r="AE499">
        <v>31</v>
      </c>
      <c r="AF499">
        <v>1</v>
      </c>
      <c r="AH499" t="s">
        <v>5221</v>
      </c>
      <c r="AI499" t="s">
        <v>5222</v>
      </c>
      <c r="AK499" t="s">
        <v>5223</v>
      </c>
      <c r="AL499">
        <v>0</v>
      </c>
      <c r="AM499" s="5">
        <f t="shared" si="44"/>
        <v>0</v>
      </c>
      <c r="AN499" s="6">
        <f>(AM499-'[1]1982'!$AO$4)/('[1]1982'!$AO$3-'[1]1982'!$AO$4)</f>
        <v>0</v>
      </c>
      <c r="AO499" s="7"/>
      <c r="AP499">
        <v>0</v>
      </c>
      <c r="AR499" t="s">
        <v>19</v>
      </c>
      <c r="AT499" s="3" t="s">
        <v>20</v>
      </c>
      <c r="AU499" s="8">
        <f t="shared" si="45"/>
        <v>2.5506526787859372</v>
      </c>
      <c r="AV499" s="8">
        <f t="shared" si="46"/>
        <v>1.8218947705613837</v>
      </c>
      <c r="AW499" s="8">
        <f t="shared" si="47"/>
        <v>1.0931368623368303</v>
      </c>
    </row>
    <row r="500" spans="1:49" x14ac:dyDescent="0.2">
      <c r="A500">
        <v>498</v>
      </c>
      <c r="B500" t="s">
        <v>5224</v>
      </c>
      <c r="F500" t="s">
        <v>5225</v>
      </c>
      <c r="G500" t="s">
        <v>4</v>
      </c>
      <c r="H500" t="s">
        <v>5</v>
      </c>
      <c r="I500" t="s">
        <v>5226</v>
      </c>
      <c r="N500">
        <v>1</v>
      </c>
      <c r="O500" t="s">
        <v>5227</v>
      </c>
      <c r="P500">
        <v>6602720967</v>
      </c>
      <c r="R500" s="1">
        <v>29952</v>
      </c>
      <c r="S500" s="2">
        <f t="shared" si="42"/>
        <v>1982</v>
      </c>
      <c r="T500" s="2">
        <v>1982</v>
      </c>
      <c r="U500" s="2">
        <f t="shared" si="43"/>
        <v>40</v>
      </c>
      <c r="V500" s="1" t="s">
        <v>5130</v>
      </c>
      <c r="W500" t="s">
        <v>2185</v>
      </c>
      <c r="X500" s="3">
        <v>0.14099999999999999</v>
      </c>
      <c r="Y500" s="4">
        <f>(X500-'[1]1982'!$Z$4)/('[1]1982'!$Z$3-'[1]1982'!$Z$4)</f>
        <v>3.7639144710498915E-3</v>
      </c>
      <c r="AA500">
        <v>402508</v>
      </c>
      <c r="AB500">
        <v>20868</v>
      </c>
      <c r="AD500" t="s">
        <v>15</v>
      </c>
      <c r="AE500" t="s">
        <v>2186</v>
      </c>
      <c r="AF500">
        <v>2</v>
      </c>
      <c r="AH500" t="s">
        <v>5228</v>
      </c>
      <c r="AI500" t="s">
        <v>5229</v>
      </c>
      <c r="AK500" t="s">
        <v>5230</v>
      </c>
      <c r="AL500">
        <v>0</v>
      </c>
      <c r="AM500" s="5">
        <f t="shared" si="44"/>
        <v>0</v>
      </c>
      <c r="AN500" s="6">
        <f>(AM500-'[1]1982'!$AO$4)/('[1]1982'!$AO$3-'[1]1982'!$AO$4)</f>
        <v>0</v>
      </c>
      <c r="AO500" s="7"/>
      <c r="AP500">
        <v>0</v>
      </c>
      <c r="AR500" t="s">
        <v>19</v>
      </c>
      <c r="AT500" s="3" t="s">
        <v>20</v>
      </c>
      <c r="AU500" s="8">
        <f t="shared" si="45"/>
        <v>0.26347401297349238</v>
      </c>
      <c r="AV500" s="8">
        <f t="shared" si="46"/>
        <v>0.18819572355249459</v>
      </c>
      <c r="AW500" s="8">
        <f t="shared" si="47"/>
        <v>0.11291743413149673</v>
      </c>
    </row>
    <row r="501" spans="1:49" x14ac:dyDescent="0.2">
      <c r="A501">
        <v>499</v>
      </c>
      <c r="B501" t="s">
        <v>5231</v>
      </c>
      <c r="C501" t="s">
        <v>5232</v>
      </c>
      <c r="F501" t="s">
        <v>5233</v>
      </c>
      <c r="G501" t="s">
        <v>4</v>
      </c>
      <c r="H501" t="s">
        <v>5</v>
      </c>
      <c r="I501" t="s">
        <v>5234</v>
      </c>
      <c r="J501">
        <v>60010571</v>
      </c>
      <c r="K501" t="s">
        <v>3305</v>
      </c>
      <c r="L501" t="s">
        <v>3306</v>
      </c>
      <c r="M501" t="s">
        <v>1775</v>
      </c>
      <c r="N501">
        <v>2</v>
      </c>
      <c r="O501" t="s">
        <v>5235</v>
      </c>
      <c r="P501" t="s">
        <v>5236</v>
      </c>
      <c r="Q501" t="s">
        <v>3309</v>
      </c>
      <c r="R501" s="1">
        <v>29952</v>
      </c>
      <c r="S501" s="2">
        <f t="shared" si="42"/>
        <v>1982</v>
      </c>
      <c r="T501" s="2">
        <v>1982</v>
      </c>
      <c r="U501" s="2">
        <f t="shared" si="43"/>
        <v>40</v>
      </c>
      <c r="V501" s="1">
        <v>29983</v>
      </c>
      <c r="W501" t="s">
        <v>2037</v>
      </c>
      <c r="X501" s="3">
        <v>0.61899999999999999</v>
      </c>
      <c r="Y501" s="4">
        <f>(X501-'[1]1982'!$Z$4)/('[1]1982'!$Z$3-'[1]1982'!$Z$4)</f>
        <v>1.6523851472197752E-2</v>
      </c>
      <c r="AA501">
        <v>14966</v>
      </c>
      <c r="AB501">
        <v>12936</v>
      </c>
      <c r="AC501" t="s">
        <v>2038</v>
      </c>
      <c r="AD501" t="s">
        <v>15</v>
      </c>
      <c r="AE501">
        <v>71</v>
      </c>
      <c r="AF501">
        <v>2</v>
      </c>
      <c r="AH501" t="s">
        <v>5237</v>
      </c>
      <c r="AI501" t="s">
        <v>5238</v>
      </c>
      <c r="AJ501" t="s">
        <v>5239</v>
      </c>
      <c r="AK501" t="s">
        <v>5240</v>
      </c>
      <c r="AL501">
        <v>15</v>
      </c>
      <c r="AM501" s="5">
        <f t="shared" si="44"/>
        <v>0.375</v>
      </c>
      <c r="AN501" s="6">
        <f>(AM501-'[1]1982'!$AO$4)/('[1]1982'!$AO$3-'[1]1982'!$AO$4)</f>
        <v>5.6796667928814845E-4</v>
      </c>
      <c r="AO501" s="7"/>
      <c r="AP501">
        <v>0</v>
      </c>
      <c r="AR501" t="s">
        <v>19</v>
      </c>
      <c r="AT501" s="3" t="s">
        <v>20</v>
      </c>
      <c r="AU501" s="8">
        <f t="shared" si="45"/>
        <v>1.1737086034324871</v>
      </c>
      <c r="AV501" s="8">
        <f t="shared" si="46"/>
        <v>0.85459090757429512</v>
      </c>
      <c r="AW501" s="8">
        <f t="shared" si="47"/>
        <v>0.53547321171610296</v>
      </c>
    </row>
    <row r="502" spans="1:49" x14ac:dyDescent="0.2">
      <c r="A502">
        <v>500</v>
      </c>
      <c r="B502" t="s">
        <v>5241</v>
      </c>
      <c r="C502" t="s">
        <v>5242</v>
      </c>
      <c r="F502" t="s">
        <v>5243</v>
      </c>
      <c r="G502" t="s">
        <v>4</v>
      </c>
      <c r="H502" t="s">
        <v>5</v>
      </c>
      <c r="I502" t="s">
        <v>5244</v>
      </c>
      <c r="N502">
        <v>5</v>
      </c>
      <c r="O502" t="s">
        <v>5245</v>
      </c>
      <c r="P502" t="s">
        <v>5246</v>
      </c>
      <c r="Q502" t="s">
        <v>56</v>
      </c>
      <c r="R502" s="1">
        <v>29952</v>
      </c>
      <c r="S502" s="2">
        <f t="shared" si="42"/>
        <v>1982</v>
      </c>
      <c r="T502" s="2">
        <v>1982</v>
      </c>
      <c r="U502" s="2">
        <f t="shared" si="43"/>
        <v>40</v>
      </c>
      <c r="V502" s="1" t="s">
        <v>5130</v>
      </c>
      <c r="W502" t="s">
        <v>5131</v>
      </c>
      <c r="X502" s="3" t="s">
        <v>20</v>
      </c>
      <c r="Y502" s="4" t="e">
        <f>(X502-'[1]1982'!$Z$4)/('[1]1982'!$Z$3-'[1]1982'!$Z$4)</f>
        <v>#VALUE!</v>
      </c>
      <c r="AA502">
        <v>3866831</v>
      </c>
      <c r="AB502">
        <v>31423</v>
      </c>
      <c r="AD502" t="s">
        <v>15</v>
      </c>
      <c r="AE502">
        <v>36</v>
      </c>
      <c r="AF502">
        <v>2</v>
      </c>
      <c r="AH502" t="s">
        <v>5247</v>
      </c>
      <c r="AI502" t="s">
        <v>5248</v>
      </c>
      <c r="AK502" t="s">
        <v>5249</v>
      </c>
      <c r="AL502">
        <v>0</v>
      </c>
      <c r="AM502" s="5">
        <f t="shared" si="44"/>
        <v>0</v>
      </c>
      <c r="AN502" s="6">
        <f>(AM502-'[1]1982'!$AO$4)/('[1]1982'!$AO$3-'[1]1982'!$AO$4)</f>
        <v>0</v>
      </c>
      <c r="AO502" s="7"/>
      <c r="AP502">
        <v>1</v>
      </c>
      <c r="AR502" t="s">
        <v>19</v>
      </c>
      <c r="AT502" s="3" t="s">
        <v>20</v>
      </c>
      <c r="AU502" s="8" t="e">
        <f t="shared" si="45"/>
        <v>#VALUE!</v>
      </c>
      <c r="AV502" s="8" t="e">
        <f t="shared" si="46"/>
        <v>#VALUE!</v>
      </c>
      <c r="AW502" s="8" t="e">
        <f t="shared" si="47"/>
        <v>#VALUE!</v>
      </c>
    </row>
    <row r="503" spans="1:49" x14ac:dyDescent="0.2">
      <c r="A503">
        <v>501</v>
      </c>
      <c r="B503" t="s">
        <v>5250</v>
      </c>
      <c r="C503" t="s">
        <v>5251</v>
      </c>
      <c r="F503" t="s">
        <v>5252</v>
      </c>
      <c r="G503" t="s">
        <v>4</v>
      </c>
      <c r="H503" t="s">
        <v>5</v>
      </c>
      <c r="I503" t="s">
        <v>5253</v>
      </c>
      <c r="J503">
        <v>60009628</v>
      </c>
      <c r="K503" t="s">
        <v>5254</v>
      </c>
      <c r="L503" t="s">
        <v>5255</v>
      </c>
      <c r="M503" t="s">
        <v>550</v>
      </c>
      <c r="N503">
        <v>1</v>
      </c>
      <c r="O503" t="s">
        <v>5256</v>
      </c>
      <c r="P503">
        <v>7101696601</v>
      </c>
      <c r="Q503">
        <v>60009628</v>
      </c>
      <c r="R503" s="1">
        <v>29952</v>
      </c>
      <c r="S503" s="2">
        <f t="shared" si="42"/>
        <v>1982</v>
      </c>
      <c r="T503" s="2">
        <v>1982</v>
      </c>
      <c r="U503" s="2">
        <f t="shared" si="43"/>
        <v>40</v>
      </c>
      <c r="V503" s="1">
        <v>29983</v>
      </c>
      <c r="W503" t="s">
        <v>2551</v>
      </c>
      <c r="X503" s="3">
        <v>0.65500000000000003</v>
      </c>
      <c r="Y503" s="4">
        <f>(X503-'[1]1982'!$Z$4)/('[1]1982'!$Z$3-'[1]1982'!$Z$4)</f>
        <v>1.7484850911614749E-2</v>
      </c>
      <c r="AA503">
        <v>189375</v>
      </c>
      <c r="AB503">
        <v>26051</v>
      </c>
      <c r="AC503" t="s">
        <v>2552</v>
      </c>
      <c r="AD503" t="s">
        <v>15</v>
      </c>
      <c r="AE503" t="s">
        <v>2553</v>
      </c>
      <c r="AF503">
        <v>1</v>
      </c>
      <c r="AH503" t="s">
        <v>5257</v>
      </c>
      <c r="AI503" t="s">
        <v>5258</v>
      </c>
      <c r="AJ503" t="s">
        <v>5259</v>
      </c>
      <c r="AK503" t="s">
        <v>5260</v>
      </c>
      <c r="AL503">
        <v>2</v>
      </c>
      <c r="AM503" s="5">
        <f t="shared" si="44"/>
        <v>0.05</v>
      </c>
      <c r="AN503" s="6">
        <f>(AM503-'[1]1982'!$AO$4)/('[1]1982'!$AO$3-'[1]1982'!$AO$4)</f>
        <v>7.5728890571753133E-5</v>
      </c>
      <c r="AO503" s="7"/>
      <c r="AP503">
        <v>0</v>
      </c>
      <c r="AR503" t="s">
        <v>19</v>
      </c>
      <c r="AT503" s="3" t="s">
        <v>20</v>
      </c>
      <c r="AU503" s="8">
        <f t="shared" si="45"/>
        <v>1.226211430530185</v>
      </c>
      <c r="AV503" s="8">
        <f t="shared" si="46"/>
        <v>0.878028990109325</v>
      </c>
      <c r="AW503" s="8">
        <f t="shared" si="47"/>
        <v>0.52984654968846523</v>
      </c>
    </row>
    <row r="504" spans="1:49" x14ac:dyDescent="0.2">
      <c r="A504">
        <v>502</v>
      </c>
      <c r="B504" t="s">
        <v>5261</v>
      </c>
      <c r="C504" t="s">
        <v>5262</v>
      </c>
      <c r="F504" t="s">
        <v>5263</v>
      </c>
      <c r="G504" t="s">
        <v>4</v>
      </c>
      <c r="H504" t="s">
        <v>5</v>
      </c>
      <c r="I504" t="s">
        <v>5264</v>
      </c>
      <c r="J504">
        <v>60030551</v>
      </c>
      <c r="K504" t="s">
        <v>1088</v>
      </c>
      <c r="L504" t="s">
        <v>1089</v>
      </c>
      <c r="M504" t="s">
        <v>9</v>
      </c>
      <c r="N504">
        <v>2</v>
      </c>
      <c r="O504" t="s">
        <v>5265</v>
      </c>
      <c r="P504" t="s">
        <v>5266</v>
      </c>
      <c r="Q504" t="s">
        <v>1092</v>
      </c>
      <c r="R504" s="1">
        <v>29952</v>
      </c>
      <c r="S504" s="2">
        <f t="shared" si="42"/>
        <v>1982</v>
      </c>
      <c r="T504" s="2">
        <v>1982</v>
      </c>
      <c r="U504" s="2">
        <f t="shared" si="43"/>
        <v>40</v>
      </c>
      <c r="V504" s="1">
        <v>29983</v>
      </c>
      <c r="W504" t="s">
        <v>2551</v>
      </c>
      <c r="X504" s="3">
        <v>0.65500000000000003</v>
      </c>
      <c r="Y504" s="4">
        <f>(X504-'[1]1982'!$Z$4)/('[1]1982'!$Z$3-'[1]1982'!$Z$4)</f>
        <v>1.7484850911614749E-2</v>
      </c>
      <c r="AA504">
        <v>189375</v>
      </c>
      <c r="AB504">
        <v>26051</v>
      </c>
      <c r="AC504" t="s">
        <v>2552</v>
      </c>
      <c r="AD504" t="s">
        <v>15</v>
      </c>
      <c r="AE504" t="s">
        <v>2553</v>
      </c>
      <c r="AF504">
        <v>1</v>
      </c>
      <c r="AH504" t="s">
        <v>835</v>
      </c>
      <c r="AI504" t="s">
        <v>5267</v>
      </c>
      <c r="AJ504" t="s">
        <v>5268</v>
      </c>
      <c r="AK504" t="s">
        <v>5269</v>
      </c>
      <c r="AL504">
        <v>5</v>
      </c>
      <c r="AM504" s="5">
        <f t="shared" si="44"/>
        <v>0.125</v>
      </c>
      <c r="AN504" s="6">
        <f>(AM504-'[1]1982'!$AO$4)/('[1]1982'!$AO$3-'[1]1982'!$AO$4)</f>
        <v>1.893222264293828E-4</v>
      </c>
      <c r="AO504" s="7"/>
      <c r="AP504">
        <v>0</v>
      </c>
      <c r="AR504" t="s">
        <v>19</v>
      </c>
      <c r="AT504" s="3" t="s">
        <v>20</v>
      </c>
      <c r="AU504" s="8">
        <f t="shared" si="45"/>
        <v>1.2296192306059137</v>
      </c>
      <c r="AV504" s="8">
        <f t="shared" si="46"/>
        <v>0.88370865690220668</v>
      </c>
      <c r="AW504" s="8">
        <f t="shared" si="47"/>
        <v>0.53779808319849931</v>
      </c>
    </row>
    <row r="505" spans="1:49" x14ac:dyDescent="0.2">
      <c r="A505">
        <v>503</v>
      </c>
      <c r="B505" t="s">
        <v>5270</v>
      </c>
      <c r="F505" t="s">
        <v>5271</v>
      </c>
      <c r="G505" t="s">
        <v>4</v>
      </c>
      <c r="H505" t="s">
        <v>5</v>
      </c>
      <c r="I505" t="s">
        <v>5272</v>
      </c>
      <c r="J505">
        <v>60027272</v>
      </c>
      <c r="K505" t="s">
        <v>4176</v>
      </c>
      <c r="L505" t="s">
        <v>4177</v>
      </c>
      <c r="M505" t="s">
        <v>94</v>
      </c>
      <c r="N505">
        <v>2</v>
      </c>
      <c r="O505" t="s">
        <v>5273</v>
      </c>
      <c r="P505" t="s">
        <v>5274</v>
      </c>
      <c r="Q505" t="s">
        <v>4180</v>
      </c>
      <c r="R505" s="1">
        <v>29952</v>
      </c>
      <c r="S505" s="2">
        <f t="shared" si="42"/>
        <v>1982</v>
      </c>
      <c r="T505" s="2">
        <v>1982</v>
      </c>
      <c r="U505" s="2">
        <f t="shared" si="43"/>
        <v>40</v>
      </c>
      <c r="V505" s="1">
        <v>1982</v>
      </c>
      <c r="W505" t="s">
        <v>5275</v>
      </c>
      <c r="X505" s="3" t="s">
        <v>20</v>
      </c>
      <c r="Y505" s="4" t="e">
        <f>(X505-'[1]1982'!$Z$4)/('[1]1982'!$Z$3-'[1]1982'!$Z$4)</f>
        <v>#VALUE!</v>
      </c>
      <c r="AA505">
        <v>220752</v>
      </c>
      <c r="AB505">
        <v>37400</v>
      </c>
      <c r="AD505" t="s">
        <v>15</v>
      </c>
      <c r="AE505" t="s">
        <v>5276</v>
      </c>
      <c r="AH505" t="s">
        <v>5277</v>
      </c>
      <c r="AI505" t="s">
        <v>5278</v>
      </c>
      <c r="AK505" t="s">
        <v>5279</v>
      </c>
      <c r="AL505">
        <v>7</v>
      </c>
      <c r="AM505" s="5">
        <f t="shared" si="44"/>
        <v>0.17499999999999999</v>
      </c>
      <c r="AN505" s="6">
        <f>(AM505-'[1]1982'!$AO$4)/('[1]1982'!$AO$3-'[1]1982'!$AO$4)</f>
        <v>2.6505111700113592E-4</v>
      </c>
      <c r="AO505" s="7"/>
      <c r="AP505">
        <v>0</v>
      </c>
      <c r="AR505" t="s">
        <v>19</v>
      </c>
      <c r="AT505" s="3" t="s">
        <v>20</v>
      </c>
      <c r="AU505" s="8" t="e">
        <f t="shared" si="45"/>
        <v>#VALUE!</v>
      </c>
      <c r="AV505" s="8" t="e">
        <f t="shared" si="46"/>
        <v>#VALUE!</v>
      </c>
      <c r="AW505" s="8" t="e">
        <f t="shared" si="47"/>
        <v>#VALUE!</v>
      </c>
    </row>
    <row r="506" spans="1:49" x14ac:dyDescent="0.2">
      <c r="A506">
        <v>504</v>
      </c>
      <c r="B506" t="s">
        <v>5280</v>
      </c>
      <c r="C506" t="s">
        <v>5281</v>
      </c>
      <c r="F506" t="s">
        <v>5282</v>
      </c>
      <c r="G506" t="s">
        <v>4</v>
      </c>
      <c r="H506" t="s">
        <v>5</v>
      </c>
      <c r="I506" t="s">
        <v>5283</v>
      </c>
      <c r="J506">
        <v>60005460</v>
      </c>
      <c r="K506" t="s">
        <v>1013</v>
      </c>
      <c r="L506" t="s">
        <v>1014</v>
      </c>
      <c r="M506" t="s">
        <v>65</v>
      </c>
      <c r="N506">
        <v>1</v>
      </c>
      <c r="O506" t="s">
        <v>1191</v>
      </c>
      <c r="P506">
        <v>7003953871</v>
      </c>
      <c r="Q506">
        <v>60005460</v>
      </c>
      <c r="R506" s="1">
        <v>29952</v>
      </c>
      <c r="S506" s="2">
        <f t="shared" si="42"/>
        <v>1982</v>
      </c>
      <c r="T506" s="2">
        <v>1982</v>
      </c>
      <c r="U506" s="2">
        <f t="shared" si="43"/>
        <v>40</v>
      </c>
      <c r="V506" s="1">
        <v>29983</v>
      </c>
      <c r="W506" t="s">
        <v>5284</v>
      </c>
      <c r="X506" s="3">
        <v>0.56899999999999995</v>
      </c>
      <c r="Y506" s="4">
        <f>(X506-'[1]1982'!$Z$4)/('[1]1982'!$Z$3-'[1]1982'!$Z$4)</f>
        <v>1.5189130028563038E-2</v>
      </c>
      <c r="AA506">
        <v>222720</v>
      </c>
      <c r="AB506">
        <v>20919</v>
      </c>
      <c r="AC506">
        <v>13652818</v>
      </c>
      <c r="AD506" t="s">
        <v>15</v>
      </c>
      <c r="AE506">
        <v>125</v>
      </c>
      <c r="AF506">
        <v>2</v>
      </c>
      <c r="AH506" t="s">
        <v>5285</v>
      </c>
      <c r="AI506" t="s">
        <v>5286</v>
      </c>
      <c r="AJ506" t="s">
        <v>5287</v>
      </c>
      <c r="AK506" t="s">
        <v>5288</v>
      </c>
      <c r="AL506">
        <v>35</v>
      </c>
      <c r="AM506" s="5">
        <f t="shared" si="44"/>
        <v>0.875</v>
      </c>
      <c r="AN506" s="6">
        <f>(AM506-'[1]1982'!$AO$4)/('[1]1982'!$AO$3-'[1]1982'!$AO$4)</f>
        <v>1.3252555850056798E-3</v>
      </c>
      <c r="AO506" s="7"/>
      <c r="AP506">
        <v>0</v>
      </c>
      <c r="AR506" t="s">
        <v>19</v>
      </c>
      <c r="AT506" s="3">
        <v>1.758</v>
      </c>
      <c r="AU506" s="8">
        <f t="shared" si="45"/>
        <v>1.1029967695495828</v>
      </c>
      <c r="AV506" s="8">
        <f t="shared" si="46"/>
        <v>0.82571928067843581</v>
      </c>
      <c r="AW506" s="8">
        <f t="shared" si="47"/>
        <v>0.54844179180728869</v>
      </c>
    </row>
    <row r="507" spans="1:49" x14ac:dyDescent="0.2">
      <c r="A507">
        <v>505</v>
      </c>
      <c r="B507" t="s">
        <v>5289</v>
      </c>
      <c r="C507" t="s">
        <v>5290</v>
      </c>
      <c r="D507">
        <v>3986182904684</v>
      </c>
      <c r="E507">
        <v>7059183</v>
      </c>
      <c r="F507" t="s">
        <v>5291</v>
      </c>
      <c r="G507" t="s">
        <v>4</v>
      </c>
      <c r="H507" t="s">
        <v>5</v>
      </c>
      <c r="I507" t="s">
        <v>5292</v>
      </c>
      <c r="J507" t="s">
        <v>5293</v>
      </c>
      <c r="K507" t="s">
        <v>5294</v>
      </c>
      <c r="L507" t="s">
        <v>5295</v>
      </c>
      <c r="M507" t="s">
        <v>5296</v>
      </c>
      <c r="N507">
        <v>3</v>
      </c>
      <c r="O507" t="s">
        <v>5297</v>
      </c>
      <c r="P507" t="s">
        <v>5298</v>
      </c>
      <c r="Q507" t="s">
        <v>5299</v>
      </c>
      <c r="R507" s="1">
        <v>29952</v>
      </c>
      <c r="S507" s="2">
        <f t="shared" si="42"/>
        <v>1982</v>
      </c>
      <c r="T507" s="2">
        <v>1982</v>
      </c>
      <c r="U507" s="2">
        <f t="shared" si="43"/>
        <v>40</v>
      </c>
      <c r="V507" s="1">
        <v>29952</v>
      </c>
      <c r="W507" t="s">
        <v>2273</v>
      </c>
      <c r="X507" s="3">
        <v>1.097</v>
      </c>
      <c r="Y507" s="4">
        <f>(X507-'[1]1982'!$Z$4)/('[1]1982'!$Z$3-'[1]1982'!$Z$4)</f>
        <v>2.9283788473345614E-2</v>
      </c>
      <c r="AA507">
        <v>39861</v>
      </c>
      <c r="AB507">
        <v>16811</v>
      </c>
      <c r="AC507">
        <v>10960384</v>
      </c>
      <c r="AD507" t="s">
        <v>15</v>
      </c>
      <c r="AE507">
        <v>213</v>
      </c>
      <c r="AF507">
        <v>1</v>
      </c>
      <c r="AH507" t="s">
        <v>5300</v>
      </c>
      <c r="AI507" t="s">
        <v>5301</v>
      </c>
      <c r="AK507" t="s">
        <v>5302</v>
      </c>
      <c r="AL507">
        <v>23</v>
      </c>
      <c r="AM507" s="5">
        <f t="shared" si="44"/>
        <v>0.57499999999999996</v>
      </c>
      <c r="AN507" s="6">
        <f>(AM507-'[1]1982'!$AO$4)/('[1]1982'!$AO$3-'[1]1982'!$AO$4)</f>
        <v>8.7088224157516082E-4</v>
      </c>
      <c r="AO507" s="7"/>
      <c r="AP507">
        <v>0</v>
      </c>
      <c r="AR507" t="s">
        <v>19</v>
      </c>
      <c r="AT507" s="3" t="s">
        <v>20</v>
      </c>
      <c r="AU507" s="8">
        <f t="shared" si="45"/>
        <v>2.0759916603814479</v>
      </c>
      <c r="AV507" s="8">
        <f t="shared" si="46"/>
        <v>1.5077335357460389</v>
      </c>
      <c r="AW507" s="8">
        <f t="shared" si="47"/>
        <v>0.9394754111106296</v>
      </c>
    </row>
    <row r="508" spans="1:49" x14ac:dyDescent="0.2">
      <c r="A508">
        <v>506</v>
      </c>
      <c r="B508" t="s">
        <v>5303</v>
      </c>
      <c r="C508" t="s">
        <v>5304</v>
      </c>
      <c r="D508">
        <v>47720682901406</v>
      </c>
      <c r="F508" t="s">
        <v>5305</v>
      </c>
      <c r="G508" t="s">
        <v>4</v>
      </c>
      <c r="H508" t="s">
        <v>5</v>
      </c>
      <c r="I508" t="s">
        <v>5306</v>
      </c>
      <c r="J508">
        <v>60018475</v>
      </c>
      <c r="K508" t="s">
        <v>5307</v>
      </c>
      <c r="L508" t="s">
        <v>5308</v>
      </c>
      <c r="M508" t="s">
        <v>9</v>
      </c>
      <c r="N508">
        <v>2</v>
      </c>
      <c r="O508" t="s">
        <v>5309</v>
      </c>
      <c r="P508" t="s">
        <v>5310</v>
      </c>
      <c r="Q508" t="s">
        <v>5311</v>
      </c>
      <c r="R508" s="1">
        <v>29952</v>
      </c>
      <c r="S508" s="2">
        <f t="shared" si="42"/>
        <v>1982</v>
      </c>
      <c r="T508" s="2">
        <v>1982</v>
      </c>
      <c r="U508" s="2">
        <f t="shared" si="43"/>
        <v>40</v>
      </c>
      <c r="V508" s="1">
        <v>1982</v>
      </c>
      <c r="W508" t="s">
        <v>5312</v>
      </c>
      <c r="X508" s="3" t="s">
        <v>20</v>
      </c>
      <c r="Y508" s="4" t="e">
        <f>(X508-'[1]1982'!$Z$4)/('[1]1982'!$Z$3-'[1]1982'!$Z$4)</f>
        <v>#VALUE!</v>
      </c>
      <c r="AA508">
        <v>477206</v>
      </c>
      <c r="AB508">
        <v>11800154313</v>
      </c>
      <c r="AD508" t="s">
        <v>15</v>
      </c>
      <c r="AE508">
        <v>13</v>
      </c>
      <c r="AF508">
        <v>1</v>
      </c>
      <c r="AH508" t="s">
        <v>5313</v>
      </c>
      <c r="AL508">
        <v>1</v>
      </c>
      <c r="AM508" s="5">
        <f t="shared" si="44"/>
        <v>2.5000000000000001E-2</v>
      </c>
      <c r="AN508" s="6">
        <f>(AM508-'[1]1982'!$AO$4)/('[1]1982'!$AO$3-'[1]1982'!$AO$4)</f>
        <v>3.7864445285876567E-5</v>
      </c>
      <c r="AO508" s="7"/>
      <c r="AP508">
        <v>0</v>
      </c>
      <c r="AR508" t="s">
        <v>19</v>
      </c>
      <c r="AT508" s="3" t="s">
        <v>20</v>
      </c>
      <c r="AU508" s="8" t="e">
        <f t="shared" si="45"/>
        <v>#VALUE!</v>
      </c>
      <c r="AV508" s="8" t="e">
        <f t="shared" si="46"/>
        <v>#VALUE!</v>
      </c>
      <c r="AW508" s="8" t="e">
        <f t="shared" si="47"/>
        <v>#VALUE!</v>
      </c>
    </row>
    <row r="509" spans="1:49" x14ac:dyDescent="0.2">
      <c r="A509">
        <v>507</v>
      </c>
      <c r="B509" t="s">
        <v>5314</v>
      </c>
      <c r="C509" t="s">
        <v>5315</v>
      </c>
      <c r="D509" t="s">
        <v>5316</v>
      </c>
      <c r="E509">
        <v>6124360</v>
      </c>
      <c r="F509" t="s">
        <v>5317</v>
      </c>
      <c r="G509" t="s">
        <v>4</v>
      </c>
      <c r="H509" t="s">
        <v>5</v>
      </c>
      <c r="I509" t="s">
        <v>5318</v>
      </c>
      <c r="J509">
        <v>60002443</v>
      </c>
      <c r="K509" t="s">
        <v>5319</v>
      </c>
      <c r="L509" t="s">
        <v>5320</v>
      </c>
      <c r="M509" t="s">
        <v>485</v>
      </c>
      <c r="N509">
        <v>2</v>
      </c>
      <c r="O509" t="s">
        <v>5321</v>
      </c>
      <c r="P509" t="s">
        <v>5322</v>
      </c>
      <c r="Q509" t="s">
        <v>5323</v>
      </c>
      <c r="R509" s="1">
        <v>29952</v>
      </c>
      <c r="S509" s="2">
        <f t="shared" si="42"/>
        <v>1982</v>
      </c>
      <c r="T509" s="2">
        <v>1982</v>
      </c>
      <c r="U509" s="2">
        <f t="shared" si="43"/>
        <v>40</v>
      </c>
      <c r="V509" s="1">
        <v>1982</v>
      </c>
      <c r="W509" t="s">
        <v>1178</v>
      </c>
      <c r="X509" s="3">
        <v>0.64600000000000002</v>
      </c>
      <c r="Y509" s="4">
        <f>(X509-'[1]1982'!$Z$4)/('[1]1982'!$Z$3-'[1]1982'!$Z$4)</f>
        <v>1.72446010517605E-2</v>
      </c>
      <c r="AA509">
        <v>3009629</v>
      </c>
      <c r="AB509">
        <v>23398</v>
      </c>
      <c r="AD509" t="s">
        <v>15</v>
      </c>
      <c r="AE509">
        <v>72</v>
      </c>
      <c r="AF509">
        <v>1</v>
      </c>
      <c r="AH509" t="s">
        <v>5324</v>
      </c>
      <c r="AI509" t="s">
        <v>5325</v>
      </c>
      <c r="AK509" t="s">
        <v>5326</v>
      </c>
      <c r="AL509">
        <v>8</v>
      </c>
      <c r="AM509" s="5">
        <f t="shared" si="44"/>
        <v>0.2</v>
      </c>
      <c r="AN509" s="6">
        <f>(AM509-'[1]1982'!$AO$4)/('[1]1982'!$AO$3-'[1]1982'!$AO$4)</f>
        <v>3.0291556228701253E-4</v>
      </c>
      <c r="AO509" s="7"/>
      <c r="AP509">
        <v>0</v>
      </c>
      <c r="AR509" t="s">
        <v>19</v>
      </c>
      <c r="AT509" s="3" t="s">
        <v>20</v>
      </c>
      <c r="AU509" s="8">
        <f t="shared" si="45"/>
        <v>1.2162095404918454</v>
      </c>
      <c r="AV509" s="8">
        <f t="shared" si="46"/>
        <v>0.87737583070237568</v>
      </c>
      <c r="AW509" s="8">
        <f t="shared" si="47"/>
        <v>0.53854212091290588</v>
      </c>
    </row>
    <row r="510" spans="1:49" x14ac:dyDescent="0.2">
      <c r="A510">
        <v>508</v>
      </c>
      <c r="B510" t="s">
        <v>5327</v>
      </c>
      <c r="C510" t="s">
        <v>5328</v>
      </c>
      <c r="F510" t="s">
        <v>5329</v>
      </c>
      <c r="G510" t="s">
        <v>4</v>
      </c>
      <c r="H510" t="s">
        <v>5</v>
      </c>
      <c r="I510" t="s">
        <v>5330</v>
      </c>
      <c r="J510">
        <v>60005429</v>
      </c>
      <c r="K510" t="s">
        <v>5331</v>
      </c>
      <c r="L510" t="s">
        <v>5332</v>
      </c>
      <c r="M510" t="s">
        <v>5333</v>
      </c>
      <c r="N510">
        <v>1</v>
      </c>
      <c r="O510" t="s">
        <v>5334</v>
      </c>
      <c r="P510">
        <v>35722152600</v>
      </c>
      <c r="Q510">
        <v>60005429</v>
      </c>
      <c r="R510" s="1">
        <v>29952</v>
      </c>
      <c r="S510" s="2">
        <f t="shared" si="42"/>
        <v>1982</v>
      </c>
      <c r="T510" s="2">
        <v>1982</v>
      </c>
      <c r="U510" s="2">
        <f t="shared" si="43"/>
        <v>40</v>
      </c>
      <c r="V510" s="1">
        <v>29952</v>
      </c>
      <c r="W510" t="s">
        <v>5335</v>
      </c>
      <c r="X510" s="3">
        <v>0.26400000000000001</v>
      </c>
      <c r="Y510" s="4">
        <f>(X510-'[1]1982'!$Z$4)/('[1]1982'!$Z$3-'[1]1982'!$Z$4)</f>
        <v>7.0473292223912874E-3</v>
      </c>
      <c r="AA510">
        <v>2533839</v>
      </c>
      <c r="AB510">
        <v>15157</v>
      </c>
      <c r="AC510">
        <v>21587299</v>
      </c>
      <c r="AD510" t="s">
        <v>15</v>
      </c>
      <c r="AE510">
        <v>5</v>
      </c>
      <c r="AF510">
        <v>1</v>
      </c>
      <c r="AH510" t="s">
        <v>3188</v>
      </c>
      <c r="AI510" t="s">
        <v>5336</v>
      </c>
      <c r="AK510" t="s">
        <v>5337</v>
      </c>
      <c r="AL510">
        <v>0</v>
      </c>
      <c r="AM510" s="5">
        <f t="shared" si="44"/>
        <v>0</v>
      </c>
      <c r="AN510" s="6">
        <f>(AM510-'[1]1982'!$AO$4)/('[1]1982'!$AO$3-'[1]1982'!$AO$4)</f>
        <v>0</v>
      </c>
      <c r="AO510" s="7"/>
      <c r="AP510">
        <v>0</v>
      </c>
      <c r="AR510" t="s">
        <v>19</v>
      </c>
      <c r="AT510" s="3" t="s">
        <v>20</v>
      </c>
      <c r="AU510" s="8">
        <f t="shared" si="45"/>
        <v>0.49331304556739003</v>
      </c>
      <c r="AV510" s="8">
        <f t="shared" si="46"/>
        <v>0.35236646111956438</v>
      </c>
      <c r="AW510" s="8">
        <f t="shared" si="47"/>
        <v>0.21141987667173862</v>
      </c>
    </row>
    <row r="511" spans="1:49" x14ac:dyDescent="0.2">
      <c r="A511">
        <v>509</v>
      </c>
      <c r="B511" t="s">
        <v>5338</v>
      </c>
      <c r="C511" t="s">
        <v>5339</v>
      </c>
      <c r="F511" t="s">
        <v>5340</v>
      </c>
      <c r="G511" t="s">
        <v>4</v>
      </c>
      <c r="H511" t="s">
        <v>5</v>
      </c>
      <c r="I511" t="s">
        <v>5341</v>
      </c>
      <c r="J511">
        <v>60032890</v>
      </c>
      <c r="K511" t="s">
        <v>5342</v>
      </c>
      <c r="L511" t="s">
        <v>5343</v>
      </c>
      <c r="M511" t="s">
        <v>9</v>
      </c>
      <c r="N511">
        <v>1</v>
      </c>
      <c r="O511" t="s">
        <v>5344</v>
      </c>
      <c r="P511">
        <v>7101947729</v>
      </c>
      <c r="Q511">
        <v>60032890</v>
      </c>
      <c r="R511" s="1">
        <v>29952</v>
      </c>
      <c r="S511" s="2">
        <f t="shared" si="42"/>
        <v>1982</v>
      </c>
      <c r="T511" s="2">
        <v>1982</v>
      </c>
      <c r="U511" s="2">
        <f t="shared" si="43"/>
        <v>40</v>
      </c>
      <c r="V511" s="1">
        <v>29983</v>
      </c>
      <c r="W511" t="s">
        <v>1795</v>
      </c>
      <c r="X511" s="3">
        <v>1.3720000000000001</v>
      </c>
      <c r="Y511" s="4">
        <f>(X511-'[1]1982'!$Z$4)/('[1]1982'!$Z$3-'[1]1982'!$Z$4)</f>
        <v>3.662475641333654E-2</v>
      </c>
      <c r="AA511">
        <v>189480</v>
      </c>
      <c r="AB511">
        <v>17366</v>
      </c>
      <c r="AC511">
        <v>15579670</v>
      </c>
      <c r="AD511" t="s">
        <v>15</v>
      </c>
      <c r="AE511">
        <v>30</v>
      </c>
      <c r="AF511">
        <v>2</v>
      </c>
      <c r="AH511" t="s">
        <v>5345</v>
      </c>
      <c r="AI511" t="s">
        <v>5346</v>
      </c>
      <c r="AK511" t="s">
        <v>5347</v>
      </c>
      <c r="AL511">
        <v>20</v>
      </c>
      <c r="AM511" s="5">
        <f t="shared" si="44"/>
        <v>0.5</v>
      </c>
      <c r="AN511" s="6">
        <f>(AM511-'[1]1982'!$AO$4)/('[1]1982'!$AO$3-'[1]1982'!$AO$4)</f>
        <v>7.572889057175312E-4</v>
      </c>
      <c r="AO511" s="7"/>
      <c r="AP511">
        <v>0</v>
      </c>
      <c r="AR511" t="s">
        <v>19</v>
      </c>
      <c r="AT511" s="3" t="s">
        <v>20</v>
      </c>
      <c r="AU511" s="8">
        <f t="shared" si="45"/>
        <v>2.5864516161050837</v>
      </c>
      <c r="AV511" s="8">
        <f t="shared" si="46"/>
        <v>1.8691022659527035</v>
      </c>
      <c r="AW511" s="8">
        <f t="shared" si="47"/>
        <v>1.1517529158003235</v>
      </c>
    </row>
    <row r="512" spans="1:49" x14ac:dyDescent="0.2">
      <c r="A512">
        <v>510</v>
      </c>
      <c r="B512" t="s">
        <v>5348</v>
      </c>
      <c r="C512" t="s">
        <v>5349</v>
      </c>
      <c r="F512" t="s">
        <v>5350</v>
      </c>
      <c r="G512" t="s">
        <v>4</v>
      </c>
      <c r="H512" t="s">
        <v>5</v>
      </c>
      <c r="I512" t="s">
        <v>5351</v>
      </c>
      <c r="J512">
        <v>60033011</v>
      </c>
      <c r="K512" t="s">
        <v>5352</v>
      </c>
      <c r="L512" t="s">
        <v>5353</v>
      </c>
      <c r="M512" t="s">
        <v>9</v>
      </c>
      <c r="N512">
        <v>3</v>
      </c>
      <c r="O512" t="s">
        <v>5354</v>
      </c>
      <c r="P512" t="s">
        <v>5355</v>
      </c>
      <c r="Q512" t="s">
        <v>5356</v>
      </c>
      <c r="R512" s="1">
        <v>29952</v>
      </c>
      <c r="S512" s="2">
        <f t="shared" si="42"/>
        <v>1982</v>
      </c>
      <c r="T512" s="2">
        <v>1982</v>
      </c>
      <c r="U512" s="2">
        <f t="shared" si="43"/>
        <v>40</v>
      </c>
      <c r="V512" s="1">
        <v>1982</v>
      </c>
      <c r="W512" t="s">
        <v>5357</v>
      </c>
      <c r="X512" s="3">
        <v>1.1779999999999999</v>
      </c>
      <c r="Y512" s="4">
        <f>(X512-'[1]1982'!$Z$4)/('[1]1982'!$Z$3-'[1]1982'!$Z$4)</f>
        <v>3.1446037212033845E-2</v>
      </c>
      <c r="AA512">
        <v>168033</v>
      </c>
      <c r="AB512">
        <v>27965</v>
      </c>
      <c r="AD512" t="s">
        <v>15</v>
      </c>
      <c r="AE512">
        <v>47</v>
      </c>
      <c r="AF512">
        <v>3</v>
      </c>
      <c r="AH512" t="s">
        <v>5358</v>
      </c>
      <c r="AI512" t="s">
        <v>5359</v>
      </c>
      <c r="AK512" t="s">
        <v>5360</v>
      </c>
      <c r="AL512">
        <v>21</v>
      </c>
      <c r="AM512" s="5">
        <f t="shared" si="44"/>
        <v>0.52500000000000002</v>
      </c>
      <c r="AN512" s="6">
        <f>(AM512-'[1]1982'!$AO$4)/('[1]1982'!$AO$3-'[1]1982'!$AO$4)</f>
        <v>7.9515335100340781E-4</v>
      </c>
      <c r="AO512" s="7"/>
      <c r="AP512">
        <v>0</v>
      </c>
      <c r="AR512" t="s">
        <v>19</v>
      </c>
      <c r="AT512" s="3">
        <v>2.9279999999999999</v>
      </c>
      <c r="AU512" s="8">
        <f t="shared" si="45"/>
        <v>2.2250772053724712</v>
      </c>
      <c r="AV512" s="8">
        <f t="shared" si="46"/>
        <v>1.6120595281518626</v>
      </c>
      <c r="AW512" s="8">
        <f t="shared" si="47"/>
        <v>0.99904185093125397</v>
      </c>
    </row>
    <row r="513" spans="1:49" x14ac:dyDescent="0.2">
      <c r="A513">
        <v>511</v>
      </c>
      <c r="B513" t="s">
        <v>5361</v>
      </c>
      <c r="C513" t="s">
        <v>5362</v>
      </c>
      <c r="F513" t="s">
        <v>5363</v>
      </c>
      <c r="G513" t="s">
        <v>4</v>
      </c>
      <c r="H513" t="s">
        <v>5</v>
      </c>
      <c r="I513" t="s">
        <v>5364</v>
      </c>
      <c r="J513" t="s">
        <v>5365</v>
      </c>
      <c r="K513" t="s">
        <v>5366</v>
      </c>
      <c r="L513" t="s">
        <v>5367</v>
      </c>
      <c r="M513" t="s">
        <v>2139</v>
      </c>
      <c r="N513">
        <v>9</v>
      </c>
      <c r="O513" t="s">
        <v>5368</v>
      </c>
      <c r="P513" t="s">
        <v>5369</v>
      </c>
      <c r="Q513" t="s">
        <v>5370</v>
      </c>
      <c r="R513" s="1">
        <v>29952</v>
      </c>
      <c r="S513" s="2">
        <f t="shared" si="42"/>
        <v>1982</v>
      </c>
      <c r="T513" s="2">
        <v>1982</v>
      </c>
      <c r="U513" s="2">
        <f t="shared" si="43"/>
        <v>40</v>
      </c>
      <c r="V513" s="1">
        <v>30011</v>
      </c>
      <c r="W513" t="s">
        <v>5371</v>
      </c>
      <c r="X513" s="3" t="s">
        <v>20</v>
      </c>
      <c r="Y513" s="4" t="e">
        <f>(X513-'[1]1982'!$Z$4)/('[1]1982'!$Z$3-'[1]1982'!$Z$4)</f>
        <v>#VALUE!</v>
      </c>
      <c r="AA513">
        <v>21369</v>
      </c>
      <c r="AB513">
        <v>32966</v>
      </c>
      <c r="AD513" t="s">
        <v>15</v>
      </c>
      <c r="AE513">
        <v>46</v>
      </c>
      <c r="AF513">
        <v>3</v>
      </c>
      <c r="AH513" t="s">
        <v>5372</v>
      </c>
      <c r="AI513" t="s">
        <v>5373</v>
      </c>
      <c r="AK513" t="s">
        <v>5374</v>
      </c>
      <c r="AL513">
        <v>20</v>
      </c>
      <c r="AM513" s="5">
        <f t="shared" si="44"/>
        <v>0.5</v>
      </c>
      <c r="AN513" s="6">
        <f>(AM513-'[1]1982'!$AO$4)/('[1]1982'!$AO$3-'[1]1982'!$AO$4)</f>
        <v>7.572889057175312E-4</v>
      </c>
      <c r="AO513" s="7"/>
      <c r="AP513">
        <v>0</v>
      </c>
      <c r="AR513" t="s">
        <v>19</v>
      </c>
      <c r="AT513" s="3" t="s">
        <v>20</v>
      </c>
      <c r="AU513" s="8" t="e">
        <f t="shared" si="45"/>
        <v>#VALUE!</v>
      </c>
      <c r="AV513" s="8" t="e">
        <f t="shared" si="46"/>
        <v>#VALUE!</v>
      </c>
      <c r="AW513" s="8" t="e">
        <f t="shared" si="47"/>
        <v>#VALUE!</v>
      </c>
    </row>
    <row r="514" spans="1:49" x14ac:dyDescent="0.2">
      <c r="A514">
        <v>512</v>
      </c>
      <c r="B514" t="s">
        <v>5375</v>
      </c>
      <c r="C514" t="s">
        <v>5376</v>
      </c>
      <c r="D514" t="s">
        <v>5377</v>
      </c>
      <c r="E514">
        <v>7145088</v>
      </c>
      <c r="F514" t="s">
        <v>5378</v>
      </c>
      <c r="G514" t="s">
        <v>4</v>
      </c>
      <c r="H514" t="s">
        <v>5</v>
      </c>
      <c r="I514" t="s">
        <v>5379</v>
      </c>
      <c r="J514">
        <v>60000964</v>
      </c>
      <c r="K514" t="s">
        <v>5380</v>
      </c>
      <c r="L514" t="s">
        <v>5381</v>
      </c>
      <c r="M514" t="s">
        <v>5382</v>
      </c>
      <c r="N514">
        <v>1</v>
      </c>
      <c r="O514" t="s">
        <v>5383</v>
      </c>
      <c r="P514">
        <v>7101727324</v>
      </c>
      <c r="Q514">
        <v>60000964</v>
      </c>
      <c r="R514" s="1">
        <v>29952</v>
      </c>
      <c r="S514" s="2">
        <f t="shared" ref="S514:S563" si="48">YEAR(R514)</f>
        <v>1982</v>
      </c>
      <c r="T514" s="2">
        <v>1982</v>
      </c>
      <c r="U514" s="2">
        <f t="shared" ref="U514:U563" si="49">2022-T514</f>
        <v>40</v>
      </c>
      <c r="V514" s="1">
        <v>30195</v>
      </c>
      <c r="W514" t="s">
        <v>5384</v>
      </c>
      <c r="X514" s="3">
        <v>1.2969999999999999</v>
      </c>
      <c r="Y514" s="4">
        <f>(X514-'[1]1982'!$Z$4)/('[1]1982'!$Z$3-'[1]1982'!$Z$4)</f>
        <v>3.4622674247884469E-2</v>
      </c>
      <c r="AA514">
        <v>3064522</v>
      </c>
      <c r="AB514">
        <v>18042</v>
      </c>
      <c r="AD514" t="s">
        <v>15</v>
      </c>
      <c r="AE514">
        <v>7</v>
      </c>
      <c r="AF514">
        <v>9</v>
      </c>
      <c r="AH514" t="s">
        <v>5385</v>
      </c>
      <c r="AI514" t="s">
        <v>5386</v>
      </c>
      <c r="AK514" t="s">
        <v>5387</v>
      </c>
      <c r="AL514">
        <v>95</v>
      </c>
      <c r="AM514" s="5">
        <f t="shared" ref="AM514:AM563" si="50">AL514/U514</f>
        <v>2.375</v>
      </c>
      <c r="AN514" s="6">
        <f>(AM514-'[1]1982'!$AO$4)/('[1]1982'!$AO$3-'[1]1982'!$AO$4)</f>
        <v>3.5971223021582736E-3</v>
      </c>
      <c r="AO514" s="7"/>
      <c r="AP514">
        <v>0</v>
      </c>
      <c r="AR514" t="s">
        <v>19</v>
      </c>
      <c r="AT514" s="3">
        <v>3.59</v>
      </c>
      <c r="AU514" s="8">
        <f t="shared" ref="AU514:AU563" si="51">(Y514*0.7+AN514*0.3)*100</f>
        <v>2.5315008664166605</v>
      </c>
      <c r="AV514" s="8">
        <f t="shared" ref="AV514:AV563" si="52">(Y514*0.5+AN514*0.5)*100</f>
        <v>1.9109898275021371</v>
      </c>
      <c r="AW514" s="8">
        <f t="shared" ref="AW514:AW563" si="53">(Y514*0.3+AN514*0.7)*100</f>
        <v>1.290478788587613</v>
      </c>
    </row>
    <row r="515" spans="1:49" x14ac:dyDescent="0.2">
      <c r="A515">
        <v>513</v>
      </c>
      <c r="B515" t="s">
        <v>5388</v>
      </c>
      <c r="C515" t="s">
        <v>5389</v>
      </c>
      <c r="E515">
        <v>7085406</v>
      </c>
      <c r="F515" t="s">
        <v>5390</v>
      </c>
      <c r="G515" t="s">
        <v>4</v>
      </c>
      <c r="H515" t="s">
        <v>5</v>
      </c>
      <c r="I515" t="s">
        <v>5391</v>
      </c>
      <c r="J515">
        <v>60002557</v>
      </c>
      <c r="K515" t="s">
        <v>5392</v>
      </c>
      <c r="L515" t="s">
        <v>5393</v>
      </c>
      <c r="M515" t="s">
        <v>9</v>
      </c>
      <c r="N515">
        <v>2</v>
      </c>
      <c r="O515" t="s">
        <v>5394</v>
      </c>
      <c r="P515" t="s">
        <v>5395</v>
      </c>
      <c r="Q515" t="s">
        <v>5396</v>
      </c>
      <c r="R515" s="1">
        <v>29952</v>
      </c>
      <c r="S515" s="2">
        <f t="shared" si="48"/>
        <v>1982</v>
      </c>
      <c r="T515" s="2">
        <v>1982</v>
      </c>
      <c r="U515" s="2">
        <f t="shared" si="49"/>
        <v>40</v>
      </c>
      <c r="V515" s="1">
        <v>1982</v>
      </c>
      <c r="W515" t="s">
        <v>5397</v>
      </c>
      <c r="X515" s="3" t="s">
        <v>20</v>
      </c>
      <c r="Y515" s="4" t="e">
        <f>(X515-'[1]1982'!$Z$4)/('[1]1982'!$Z$3-'[1]1982'!$Z$4)</f>
        <v>#VALUE!</v>
      </c>
      <c r="AA515">
        <v>1617567</v>
      </c>
      <c r="AB515">
        <v>57768</v>
      </c>
      <c r="AD515" t="s">
        <v>15</v>
      </c>
      <c r="AE515">
        <v>52</v>
      </c>
      <c r="AF515">
        <v>4</v>
      </c>
      <c r="AH515" t="s">
        <v>5398</v>
      </c>
      <c r="AI515" t="s">
        <v>5399</v>
      </c>
      <c r="AK515" t="s">
        <v>5400</v>
      </c>
      <c r="AL515">
        <v>16</v>
      </c>
      <c r="AM515" s="5">
        <f t="shared" si="50"/>
        <v>0.4</v>
      </c>
      <c r="AN515" s="6">
        <f>(AM515-'[1]1982'!$AO$4)/('[1]1982'!$AO$3-'[1]1982'!$AO$4)</f>
        <v>6.0583112457402507E-4</v>
      </c>
      <c r="AO515" s="7"/>
      <c r="AP515">
        <v>0</v>
      </c>
      <c r="AR515" t="s">
        <v>19</v>
      </c>
      <c r="AT515" s="3" t="s">
        <v>20</v>
      </c>
      <c r="AU515" s="8" t="e">
        <f t="shared" si="51"/>
        <v>#VALUE!</v>
      </c>
      <c r="AV515" s="8" t="e">
        <f t="shared" si="52"/>
        <v>#VALUE!</v>
      </c>
      <c r="AW515" s="8" t="e">
        <f t="shared" si="53"/>
        <v>#VALUE!</v>
      </c>
    </row>
    <row r="516" spans="1:49" x14ac:dyDescent="0.2">
      <c r="A516">
        <v>514</v>
      </c>
      <c r="B516" t="s">
        <v>5401</v>
      </c>
      <c r="C516" t="s">
        <v>5402</v>
      </c>
      <c r="F516" t="s">
        <v>5403</v>
      </c>
      <c r="G516" t="s">
        <v>4</v>
      </c>
      <c r="H516" t="s">
        <v>5</v>
      </c>
      <c r="I516" t="s">
        <v>5404</v>
      </c>
      <c r="J516">
        <v>60025038</v>
      </c>
      <c r="K516" t="s">
        <v>116</v>
      </c>
      <c r="L516" t="s">
        <v>117</v>
      </c>
      <c r="M516" t="s">
        <v>9</v>
      </c>
      <c r="N516">
        <v>4</v>
      </c>
      <c r="O516" t="s">
        <v>5405</v>
      </c>
      <c r="P516" t="s">
        <v>5406</v>
      </c>
      <c r="Q516" t="s">
        <v>5407</v>
      </c>
      <c r="R516" s="1">
        <v>29952</v>
      </c>
      <c r="S516" s="2">
        <f t="shared" si="48"/>
        <v>1982</v>
      </c>
      <c r="T516" s="2">
        <v>1982</v>
      </c>
      <c r="U516" s="2">
        <f t="shared" si="49"/>
        <v>40</v>
      </c>
      <c r="V516" s="1">
        <v>1982</v>
      </c>
      <c r="W516" t="s">
        <v>5408</v>
      </c>
      <c r="X516" s="3" t="s">
        <v>20</v>
      </c>
      <c r="Y516" s="4" t="e">
        <f>(X516-'[1]1982'!$Z$4)/('[1]1982'!$Z$3-'[1]1982'!$Z$4)</f>
        <v>#VALUE!</v>
      </c>
      <c r="AA516" t="s">
        <v>5409</v>
      </c>
      <c r="AB516">
        <v>36560</v>
      </c>
      <c r="AD516" t="s">
        <v>15</v>
      </c>
      <c r="AE516">
        <v>57</v>
      </c>
      <c r="AF516">
        <v>1</v>
      </c>
      <c r="AH516" s="10">
        <v>42370</v>
      </c>
      <c r="AI516" t="s">
        <v>5410</v>
      </c>
      <c r="AK516" t="s">
        <v>5411</v>
      </c>
      <c r="AL516">
        <v>1</v>
      </c>
      <c r="AM516" s="5">
        <f t="shared" si="50"/>
        <v>2.5000000000000001E-2</v>
      </c>
      <c r="AN516" s="6">
        <f>(AM516-'[1]1982'!$AO$4)/('[1]1982'!$AO$3-'[1]1982'!$AO$4)</f>
        <v>3.7864445285876567E-5</v>
      </c>
      <c r="AO516" s="7"/>
      <c r="AP516">
        <v>1</v>
      </c>
      <c r="AR516" t="s">
        <v>19</v>
      </c>
      <c r="AT516" s="3" t="s">
        <v>20</v>
      </c>
      <c r="AU516" s="8" t="e">
        <f t="shared" si="51"/>
        <v>#VALUE!</v>
      </c>
      <c r="AV516" s="8" t="e">
        <f t="shared" si="52"/>
        <v>#VALUE!</v>
      </c>
      <c r="AW516" s="8" t="e">
        <f t="shared" si="53"/>
        <v>#VALUE!</v>
      </c>
    </row>
    <row r="517" spans="1:49" x14ac:dyDescent="0.2">
      <c r="A517">
        <v>515</v>
      </c>
      <c r="B517" t="s">
        <v>5412</v>
      </c>
      <c r="C517" t="s">
        <v>5413</v>
      </c>
      <c r="F517" t="s">
        <v>5414</v>
      </c>
      <c r="G517" t="s">
        <v>4</v>
      </c>
      <c r="H517" t="s">
        <v>5</v>
      </c>
      <c r="I517" t="s">
        <v>5415</v>
      </c>
      <c r="J517" t="s">
        <v>5416</v>
      </c>
      <c r="K517" t="s">
        <v>5417</v>
      </c>
      <c r="L517" t="s">
        <v>5418</v>
      </c>
      <c r="M517" t="s">
        <v>218</v>
      </c>
      <c r="N517">
        <v>3</v>
      </c>
      <c r="O517" t="s">
        <v>5419</v>
      </c>
      <c r="P517" t="s">
        <v>5420</v>
      </c>
      <c r="Q517" t="s">
        <v>5421</v>
      </c>
      <c r="R517" s="1">
        <v>29952</v>
      </c>
      <c r="S517" s="2">
        <f t="shared" si="48"/>
        <v>1982</v>
      </c>
      <c r="T517" s="2">
        <v>1982</v>
      </c>
      <c r="U517" s="2">
        <f t="shared" si="49"/>
        <v>40</v>
      </c>
      <c r="V517" s="1">
        <v>29952</v>
      </c>
      <c r="W517" t="s">
        <v>1117</v>
      </c>
      <c r="X517" s="3">
        <v>1.6519999999999999</v>
      </c>
      <c r="Y517" s="4">
        <f>(X517-'[1]1982'!$Z$4)/('[1]1982'!$Z$3-'[1]1982'!$Z$4)</f>
        <v>4.409919649769093E-2</v>
      </c>
      <c r="AA517" t="s">
        <v>1118</v>
      </c>
      <c r="AB517">
        <v>17337</v>
      </c>
      <c r="AC517">
        <v>15582221</v>
      </c>
      <c r="AD517" t="s">
        <v>15</v>
      </c>
      <c r="AE517">
        <v>30</v>
      </c>
      <c r="AF517">
        <v>1</v>
      </c>
      <c r="AH517" t="s">
        <v>5422</v>
      </c>
      <c r="AI517" t="s">
        <v>5423</v>
      </c>
      <c r="AK517" t="s">
        <v>5424</v>
      </c>
      <c r="AL517">
        <v>41</v>
      </c>
      <c r="AM517" s="5">
        <f t="shared" si="50"/>
        <v>1.0249999999999999</v>
      </c>
      <c r="AN517" s="6">
        <f>(AM517-'[1]1982'!$AO$4)/('[1]1982'!$AO$3-'[1]1982'!$AO$4)</f>
        <v>1.552442256720939E-3</v>
      </c>
      <c r="AO517" s="7"/>
      <c r="AP517">
        <v>0</v>
      </c>
      <c r="AR517" t="s">
        <v>19</v>
      </c>
      <c r="AT517" s="3" t="s">
        <v>20</v>
      </c>
      <c r="AU517" s="8">
        <f t="shared" si="51"/>
        <v>3.1335170225399929</v>
      </c>
      <c r="AV517" s="8">
        <f t="shared" si="52"/>
        <v>2.2825819377205936</v>
      </c>
      <c r="AW517" s="8">
        <f t="shared" si="53"/>
        <v>1.4316468529011936</v>
      </c>
    </row>
    <row r="518" spans="1:49" x14ac:dyDescent="0.2">
      <c r="A518">
        <v>516</v>
      </c>
      <c r="B518" t="s">
        <v>5425</v>
      </c>
      <c r="C518" t="s">
        <v>5426</v>
      </c>
      <c r="F518" t="s">
        <v>5427</v>
      </c>
      <c r="G518" t="s">
        <v>4</v>
      </c>
      <c r="H518" t="s">
        <v>5</v>
      </c>
      <c r="I518" t="s">
        <v>5428</v>
      </c>
      <c r="N518">
        <v>1</v>
      </c>
      <c r="O518" t="s">
        <v>5429</v>
      </c>
      <c r="P518">
        <v>7005759069</v>
      </c>
      <c r="R518" s="1">
        <v>29952</v>
      </c>
      <c r="S518" s="2">
        <f t="shared" si="48"/>
        <v>1982</v>
      </c>
      <c r="T518" s="2">
        <v>1982</v>
      </c>
      <c r="U518" s="2">
        <f t="shared" si="49"/>
        <v>40</v>
      </c>
      <c r="V518" s="1">
        <v>30072</v>
      </c>
      <c r="W518" t="s">
        <v>5430</v>
      </c>
      <c r="X518" s="3">
        <v>2.0070000000000001</v>
      </c>
      <c r="Y518" s="4">
        <f>(X518-'[1]1982'!$Z$4)/('[1]1982'!$Z$3-'[1]1982'!$Z$4)</f>
        <v>5.3575718747497406E-2</v>
      </c>
      <c r="AA518">
        <v>948276</v>
      </c>
      <c r="AB518">
        <v>27962</v>
      </c>
      <c r="AC518">
        <v>19448007</v>
      </c>
      <c r="AD518" t="s">
        <v>15</v>
      </c>
      <c r="AE518">
        <v>9</v>
      </c>
      <c r="AF518">
        <v>5</v>
      </c>
      <c r="AH518" t="s">
        <v>5431</v>
      </c>
      <c r="AI518" t="s">
        <v>5432</v>
      </c>
      <c r="AK518" t="s">
        <v>5433</v>
      </c>
      <c r="AL518">
        <v>3</v>
      </c>
      <c r="AM518" s="5">
        <f t="shared" si="50"/>
        <v>7.4999999999999997E-2</v>
      </c>
      <c r="AN518" s="6">
        <f>(AM518-'[1]1982'!$AO$4)/('[1]1982'!$AO$3-'[1]1982'!$AO$4)</f>
        <v>1.1359333585762968E-4</v>
      </c>
      <c r="AO518" s="7"/>
      <c r="AP518">
        <v>0</v>
      </c>
      <c r="AR518" t="s">
        <v>19</v>
      </c>
      <c r="AT518" s="3">
        <v>4.72</v>
      </c>
      <c r="AU518" s="8">
        <f t="shared" si="51"/>
        <v>3.7537081124005471</v>
      </c>
      <c r="AV518" s="8">
        <f t="shared" si="52"/>
        <v>2.6844656041677517</v>
      </c>
      <c r="AW518" s="8">
        <f t="shared" si="53"/>
        <v>1.6152230959349563</v>
      </c>
    </row>
    <row r="519" spans="1:49" x14ac:dyDescent="0.2">
      <c r="A519">
        <v>517</v>
      </c>
      <c r="B519" t="s">
        <v>5434</v>
      </c>
      <c r="C519" t="s">
        <v>5435</v>
      </c>
      <c r="F519" t="s">
        <v>5436</v>
      </c>
      <c r="G519" t="s">
        <v>4</v>
      </c>
      <c r="H519" t="s">
        <v>5</v>
      </c>
      <c r="I519" t="s">
        <v>5437</v>
      </c>
      <c r="J519">
        <v>105261499</v>
      </c>
      <c r="K519" t="s">
        <v>5438</v>
      </c>
      <c r="L519" t="s">
        <v>5439</v>
      </c>
      <c r="M519" t="s">
        <v>485</v>
      </c>
      <c r="N519">
        <v>1</v>
      </c>
      <c r="O519" t="s">
        <v>5440</v>
      </c>
      <c r="P519">
        <v>7101608969</v>
      </c>
      <c r="Q519">
        <v>105261499</v>
      </c>
      <c r="R519" s="1">
        <v>29952</v>
      </c>
      <c r="S519" s="2">
        <f t="shared" si="48"/>
        <v>1982</v>
      </c>
      <c r="T519" s="2">
        <v>1982</v>
      </c>
      <c r="U519" s="2">
        <f t="shared" si="49"/>
        <v>40</v>
      </c>
      <c r="V519" s="1">
        <v>29952</v>
      </c>
      <c r="W519" t="s">
        <v>5441</v>
      </c>
      <c r="X519" s="3">
        <v>1.573</v>
      </c>
      <c r="Y519" s="4">
        <f>(X519-'[1]1982'!$Z$4)/('[1]1982'!$Z$3-'[1]1982'!$Z$4)</f>
        <v>4.1990336616748086E-2</v>
      </c>
      <c r="AA519">
        <v>7315090</v>
      </c>
      <c r="AB519">
        <v>29586</v>
      </c>
      <c r="AD519" t="s">
        <v>15</v>
      </c>
      <c r="AE519">
        <v>5</v>
      </c>
      <c r="AF519">
        <v>1</v>
      </c>
      <c r="AH519" t="s">
        <v>1854</v>
      </c>
      <c r="AI519" t="s">
        <v>5442</v>
      </c>
      <c r="AK519" t="s">
        <v>5443</v>
      </c>
      <c r="AL519">
        <v>1</v>
      </c>
      <c r="AM519" s="5">
        <f t="shared" si="50"/>
        <v>2.5000000000000001E-2</v>
      </c>
      <c r="AN519" s="6">
        <f>(AM519-'[1]1982'!$AO$4)/('[1]1982'!$AO$3-'[1]1982'!$AO$4)</f>
        <v>3.7864445285876567E-5</v>
      </c>
      <c r="AO519" s="7"/>
      <c r="AP519">
        <v>0</v>
      </c>
      <c r="AR519" t="s">
        <v>19</v>
      </c>
      <c r="AT519" s="3" t="s">
        <v>20</v>
      </c>
      <c r="AU519" s="8">
        <f t="shared" si="51"/>
        <v>2.9404594965309423</v>
      </c>
      <c r="AV519" s="8">
        <f t="shared" si="52"/>
        <v>2.1014100531016981</v>
      </c>
      <c r="AW519" s="8">
        <f t="shared" si="53"/>
        <v>1.2623606096724538</v>
      </c>
    </row>
    <row r="520" spans="1:49" x14ac:dyDescent="0.2">
      <c r="A520">
        <v>518</v>
      </c>
      <c r="B520" t="s">
        <v>5444</v>
      </c>
      <c r="C520" t="s">
        <v>5445</v>
      </c>
      <c r="F520" t="s">
        <v>5446</v>
      </c>
      <c r="G520" t="s">
        <v>4</v>
      </c>
      <c r="H520" t="s">
        <v>5</v>
      </c>
      <c r="I520" t="s">
        <v>5447</v>
      </c>
      <c r="J520">
        <v>60032121</v>
      </c>
      <c r="K520" t="s">
        <v>5448</v>
      </c>
      <c r="L520" t="s">
        <v>5449</v>
      </c>
      <c r="M520" t="s">
        <v>9</v>
      </c>
      <c r="N520">
        <v>4</v>
      </c>
      <c r="O520" t="s">
        <v>5450</v>
      </c>
      <c r="P520" t="s">
        <v>5451</v>
      </c>
      <c r="Q520" t="s">
        <v>5452</v>
      </c>
      <c r="R520" s="1">
        <v>29952</v>
      </c>
      <c r="S520" s="2">
        <f t="shared" si="48"/>
        <v>1982</v>
      </c>
      <c r="T520" s="2">
        <v>1982</v>
      </c>
      <c r="U520" s="2">
        <f t="shared" si="49"/>
        <v>40</v>
      </c>
      <c r="V520" s="1">
        <v>29952</v>
      </c>
      <c r="W520" t="s">
        <v>5453</v>
      </c>
      <c r="X520" s="3">
        <v>0.752</v>
      </c>
      <c r="Y520" s="4">
        <f>(X520-'[1]1982'!$Z$4)/('[1]1982'!$Z$3-'[1]1982'!$Z$4)</f>
        <v>2.0074210512266089E-2</v>
      </c>
      <c r="AA520">
        <v>3649059</v>
      </c>
      <c r="AB520">
        <v>17277</v>
      </c>
      <c r="AC520">
        <v>15581691</v>
      </c>
      <c r="AD520" t="s">
        <v>15</v>
      </c>
      <c r="AE520">
        <v>7</v>
      </c>
      <c r="AF520">
        <v>1</v>
      </c>
      <c r="AH520" t="s">
        <v>5454</v>
      </c>
      <c r="AI520" t="s">
        <v>5455</v>
      </c>
      <c r="AK520" t="s">
        <v>5456</v>
      </c>
      <c r="AL520">
        <v>28</v>
      </c>
      <c r="AM520" s="5">
        <f t="shared" si="50"/>
        <v>0.7</v>
      </c>
      <c r="AN520" s="6">
        <f>(AM520-'[1]1982'!$AO$4)/('[1]1982'!$AO$3-'[1]1982'!$AO$4)</f>
        <v>1.0602044680045437E-3</v>
      </c>
      <c r="AO520" s="7"/>
      <c r="AP520">
        <v>0</v>
      </c>
      <c r="AR520" t="s">
        <v>19</v>
      </c>
      <c r="AT520" s="3">
        <v>3.5539999999999998</v>
      </c>
      <c r="AU520" s="8">
        <f t="shared" si="51"/>
        <v>1.4370008698987624</v>
      </c>
      <c r="AV520" s="8">
        <f t="shared" si="52"/>
        <v>1.0567207490135315</v>
      </c>
      <c r="AW520" s="8">
        <f t="shared" si="53"/>
        <v>0.67644062812830075</v>
      </c>
    </row>
    <row r="521" spans="1:49" x14ac:dyDescent="0.2">
      <c r="A521">
        <v>519</v>
      </c>
      <c r="B521" t="s">
        <v>5457</v>
      </c>
      <c r="F521" t="s">
        <v>5458</v>
      </c>
      <c r="G521" t="s">
        <v>4</v>
      </c>
      <c r="H521" t="s">
        <v>5</v>
      </c>
      <c r="I521" t="s">
        <v>5459</v>
      </c>
      <c r="N521">
        <v>2</v>
      </c>
      <c r="O521" t="s">
        <v>5460</v>
      </c>
      <c r="P521" t="s">
        <v>5461</v>
      </c>
      <c r="Q521" t="s">
        <v>156</v>
      </c>
      <c r="R521" s="1">
        <v>29952</v>
      </c>
      <c r="S521" s="2">
        <f t="shared" si="48"/>
        <v>1982</v>
      </c>
      <c r="T521" s="2">
        <v>1982</v>
      </c>
      <c r="U521" s="2">
        <f t="shared" si="49"/>
        <v>40</v>
      </c>
      <c r="V521" s="1">
        <v>1982</v>
      </c>
      <c r="W521" t="s">
        <v>5462</v>
      </c>
      <c r="X521" s="3" t="s">
        <v>20</v>
      </c>
      <c r="Y521" s="4" t="e">
        <f>(X521-'[1]1982'!$Z$4)/('[1]1982'!$Z$3-'[1]1982'!$Z$4)</f>
        <v>#VALUE!</v>
      </c>
      <c r="AA521">
        <v>5220629</v>
      </c>
      <c r="AB521">
        <v>30447</v>
      </c>
      <c r="AD521" t="s">
        <v>15</v>
      </c>
      <c r="AE521">
        <v>21</v>
      </c>
      <c r="AF521" t="s">
        <v>5463</v>
      </c>
      <c r="AH521" t="s">
        <v>5464</v>
      </c>
      <c r="AI521" t="s">
        <v>5465</v>
      </c>
      <c r="AK521" t="s">
        <v>5466</v>
      </c>
      <c r="AL521">
        <v>0</v>
      </c>
      <c r="AM521" s="5">
        <f t="shared" si="50"/>
        <v>0</v>
      </c>
      <c r="AN521" s="6">
        <f>(AM521-'[1]1982'!$AO$4)/('[1]1982'!$AO$3-'[1]1982'!$AO$4)</f>
        <v>0</v>
      </c>
      <c r="AO521" s="7"/>
      <c r="AP521">
        <v>0</v>
      </c>
      <c r="AR521" t="s">
        <v>19</v>
      </c>
      <c r="AT521" s="3" t="s">
        <v>20</v>
      </c>
      <c r="AU521" s="8" t="e">
        <f t="shared" si="51"/>
        <v>#VALUE!</v>
      </c>
      <c r="AV521" s="8" t="e">
        <f t="shared" si="52"/>
        <v>#VALUE!</v>
      </c>
      <c r="AW521" s="8" t="e">
        <f t="shared" si="53"/>
        <v>#VALUE!</v>
      </c>
    </row>
    <row r="522" spans="1:49" x14ac:dyDescent="0.2">
      <c r="A522">
        <v>520</v>
      </c>
      <c r="B522" t="s">
        <v>5467</v>
      </c>
      <c r="C522" t="s">
        <v>5468</v>
      </c>
      <c r="F522" t="s">
        <v>5469</v>
      </c>
      <c r="G522" t="s">
        <v>4</v>
      </c>
      <c r="H522" t="s">
        <v>5</v>
      </c>
      <c r="I522" t="s">
        <v>5470</v>
      </c>
      <c r="J522">
        <v>60000221</v>
      </c>
      <c r="K522" t="s">
        <v>2338</v>
      </c>
      <c r="L522" t="s">
        <v>1804</v>
      </c>
      <c r="M522" t="s">
        <v>9</v>
      </c>
      <c r="N522">
        <v>2</v>
      </c>
      <c r="O522" t="s">
        <v>5471</v>
      </c>
      <c r="P522" t="s">
        <v>5472</v>
      </c>
      <c r="Q522" t="s">
        <v>2341</v>
      </c>
      <c r="R522" s="1">
        <v>29952</v>
      </c>
      <c r="S522" s="2">
        <f t="shared" si="48"/>
        <v>1982</v>
      </c>
      <c r="T522" s="2">
        <v>1982</v>
      </c>
      <c r="U522" s="2">
        <f t="shared" si="49"/>
        <v>40</v>
      </c>
      <c r="V522" s="1">
        <v>29952</v>
      </c>
      <c r="W522" t="s">
        <v>1117</v>
      </c>
      <c r="X522" s="3">
        <v>1.6519999999999999</v>
      </c>
      <c r="Y522" s="4">
        <f>(X522-'[1]1982'!$Z$4)/('[1]1982'!$Z$3-'[1]1982'!$Z$4)</f>
        <v>4.409919649769093E-2</v>
      </c>
      <c r="AA522" t="s">
        <v>1118</v>
      </c>
      <c r="AB522">
        <v>17337</v>
      </c>
      <c r="AC522">
        <v>15582221</v>
      </c>
      <c r="AD522" t="s">
        <v>15</v>
      </c>
      <c r="AE522">
        <v>30</v>
      </c>
      <c r="AF522">
        <v>1</v>
      </c>
      <c r="AH522" t="s">
        <v>3188</v>
      </c>
      <c r="AI522" t="s">
        <v>5473</v>
      </c>
      <c r="AK522" t="s">
        <v>5474</v>
      </c>
      <c r="AL522">
        <v>1397</v>
      </c>
      <c r="AM522" s="5">
        <f t="shared" si="50"/>
        <v>34.924999999999997</v>
      </c>
      <c r="AN522" s="6">
        <f>(AM522-'[1]1982'!$AO$4)/('[1]1982'!$AO$3-'[1]1982'!$AO$4)</f>
        <v>5.2896630064369551E-2</v>
      </c>
      <c r="AO522" s="7"/>
      <c r="AP522">
        <v>0</v>
      </c>
      <c r="AR522" t="s">
        <v>19</v>
      </c>
      <c r="AT522" s="3" t="s">
        <v>20</v>
      </c>
      <c r="AU522" s="8">
        <f t="shared" si="51"/>
        <v>4.6738426567694518</v>
      </c>
      <c r="AV522" s="8">
        <f t="shared" si="52"/>
        <v>4.8497913281030245</v>
      </c>
      <c r="AW522" s="8">
        <f t="shared" si="53"/>
        <v>5.0257399994365963</v>
      </c>
    </row>
    <row r="523" spans="1:49" x14ac:dyDescent="0.2">
      <c r="A523">
        <v>521</v>
      </c>
      <c r="B523" t="s">
        <v>5475</v>
      </c>
      <c r="C523" t="s">
        <v>5476</v>
      </c>
      <c r="F523" t="s">
        <v>5477</v>
      </c>
      <c r="G523" t="s">
        <v>4</v>
      </c>
      <c r="H523" t="s">
        <v>5</v>
      </c>
      <c r="I523" t="s">
        <v>5478</v>
      </c>
      <c r="J523">
        <v>60108318</v>
      </c>
      <c r="K523" t="s">
        <v>2496</v>
      </c>
      <c r="L523" t="s">
        <v>200</v>
      </c>
      <c r="M523" t="s">
        <v>9</v>
      </c>
      <c r="N523">
        <v>2</v>
      </c>
      <c r="O523" t="s">
        <v>5479</v>
      </c>
      <c r="P523" t="s">
        <v>5480</v>
      </c>
      <c r="Q523" t="s">
        <v>5481</v>
      </c>
      <c r="R523" s="1">
        <v>29952</v>
      </c>
      <c r="S523" s="2">
        <f t="shared" si="48"/>
        <v>1982</v>
      </c>
      <c r="T523" s="2">
        <v>1982</v>
      </c>
      <c r="U523" s="2">
        <f t="shared" si="49"/>
        <v>40</v>
      </c>
      <c r="V523" s="1">
        <v>29952</v>
      </c>
      <c r="W523" t="s">
        <v>1117</v>
      </c>
      <c r="X523" s="3">
        <v>1.6519999999999999</v>
      </c>
      <c r="Y523" s="4">
        <f>(X523-'[1]1982'!$Z$4)/('[1]1982'!$Z$3-'[1]1982'!$Z$4)</f>
        <v>4.409919649769093E-2</v>
      </c>
      <c r="AA523" t="s">
        <v>1118</v>
      </c>
      <c r="AB523">
        <v>17337</v>
      </c>
      <c r="AC523">
        <v>15582221</v>
      </c>
      <c r="AD523" t="s">
        <v>15</v>
      </c>
      <c r="AE523">
        <v>30</v>
      </c>
      <c r="AF523">
        <v>1</v>
      </c>
      <c r="AH523" t="s">
        <v>5482</v>
      </c>
      <c r="AI523" t="s">
        <v>5483</v>
      </c>
      <c r="AK523" t="s">
        <v>5484</v>
      </c>
      <c r="AL523">
        <v>8</v>
      </c>
      <c r="AM523" s="5">
        <f t="shared" si="50"/>
        <v>0.2</v>
      </c>
      <c r="AN523" s="6">
        <f>(AM523-'[1]1982'!$AO$4)/('[1]1982'!$AO$3-'[1]1982'!$AO$4)</f>
        <v>3.0291556228701253E-4</v>
      </c>
      <c r="AO523" s="7"/>
      <c r="AP523">
        <v>0</v>
      </c>
      <c r="AR523" t="s">
        <v>19</v>
      </c>
      <c r="AT523" s="3" t="s">
        <v>20</v>
      </c>
      <c r="AU523" s="8">
        <f t="shared" si="51"/>
        <v>3.0960312217069754</v>
      </c>
      <c r="AV523" s="8">
        <f t="shared" si="52"/>
        <v>2.2201056029988968</v>
      </c>
      <c r="AW523" s="8">
        <f t="shared" si="53"/>
        <v>1.3441799842908186</v>
      </c>
    </row>
    <row r="524" spans="1:49" x14ac:dyDescent="0.2">
      <c r="A524">
        <v>522</v>
      </c>
      <c r="B524" t="s">
        <v>5485</v>
      </c>
      <c r="C524" t="s">
        <v>5486</v>
      </c>
      <c r="F524" t="s">
        <v>5487</v>
      </c>
      <c r="G524" t="s">
        <v>4</v>
      </c>
      <c r="H524" t="s">
        <v>5</v>
      </c>
      <c r="I524" t="s">
        <v>5488</v>
      </c>
      <c r="J524">
        <v>60023053</v>
      </c>
      <c r="K524" t="s">
        <v>3468</v>
      </c>
      <c r="L524" t="s">
        <v>3469</v>
      </c>
      <c r="M524" t="s">
        <v>9</v>
      </c>
      <c r="N524">
        <v>1</v>
      </c>
      <c r="O524" t="s">
        <v>5489</v>
      </c>
      <c r="P524">
        <v>7003451771</v>
      </c>
      <c r="Q524">
        <v>60023053</v>
      </c>
      <c r="R524" s="1">
        <v>29952</v>
      </c>
      <c r="S524" s="2">
        <f t="shared" si="48"/>
        <v>1982</v>
      </c>
      <c r="T524" s="2">
        <v>1982</v>
      </c>
      <c r="U524" s="2">
        <f t="shared" si="49"/>
        <v>40</v>
      </c>
      <c r="V524" s="1">
        <v>29952</v>
      </c>
      <c r="W524" t="s">
        <v>1117</v>
      </c>
      <c r="X524" s="3">
        <v>1.6519999999999999</v>
      </c>
      <c r="Y524" s="4">
        <f>(X524-'[1]1982'!$Z$4)/('[1]1982'!$Z$3-'[1]1982'!$Z$4)</f>
        <v>4.409919649769093E-2</v>
      </c>
      <c r="AA524" t="s">
        <v>1118</v>
      </c>
      <c r="AB524">
        <v>17337</v>
      </c>
      <c r="AC524">
        <v>15582221</v>
      </c>
      <c r="AD524" t="s">
        <v>15</v>
      </c>
      <c r="AE524">
        <v>30</v>
      </c>
      <c r="AF524">
        <v>1</v>
      </c>
      <c r="AH524" t="s">
        <v>5490</v>
      </c>
      <c r="AI524" t="s">
        <v>5491</v>
      </c>
      <c r="AK524" t="s">
        <v>5492</v>
      </c>
      <c r="AL524">
        <v>62</v>
      </c>
      <c r="AM524" s="5">
        <f t="shared" si="50"/>
        <v>1.55</v>
      </c>
      <c r="AN524" s="6">
        <f>(AM524-'[1]1982'!$AO$4)/('[1]1982'!$AO$3-'[1]1982'!$AO$4)</f>
        <v>2.347595607724347E-3</v>
      </c>
      <c r="AO524" s="7"/>
      <c r="AP524">
        <v>0</v>
      </c>
      <c r="AR524" t="s">
        <v>19</v>
      </c>
      <c r="AT524" s="3" t="s">
        <v>20</v>
      </c>
      <c r="AU524" s="8">
        <f t="shared" si="51"/>
        <v>3.1573716230700954</v>
      </c>
      <c r="AV524" s="8">
        <f t="shared" si="52"/>
        <v>2.3223396052707637</v>
      </c>
      <c r="AW524" s="8">
        <f t="shared" si="53"/>
        <v>1.4873075874714321</v>
      </c>
    </row>
    <row r="525" spans="1:49" x14ac:dyDescent="0.2">
      <c r="A525">
        <v>523</v>
      </c>
      <c r="B525" t="s">
        <v>5493</v>
      </c>
      <c r="C525" t="s">
        <v>5494</v>
      </c>
      <c r="F525" t="s">
        <v>5495</v>
      </c>
      <c r="G525" t="s">
        <v>4</v>
      </c>
      <c r="H525" t="s">
        <v>5</v>
      </c>
      <c r="I525" t="s">
        <v>5496</v>
      </c>
      <c r="J525" t="s">
        <v>5497</v>
      </c>
      <c r="K525" t="s">
        <v>5498</v>
      </c>
      <c r="L525" t="s">
        <v>5499</v>
      </c>
      <c r="M525" t="s">
        <v>5500</v>
      </c>
      <c r="N525">
        <v>2</v>
      </c>
      <c r="O525" t="s">
        <v>5501</v>
      </c>
      <c r="P525" t="s">
        <v>5502</v>
      </c>
      <c r="Q525" t="s">
        <v>5503</v>
      </c>
      <c r="R525" s="1">
        <v>29952</v>
      </c>
      <c r="S525" s="2">
        <f t="shared" si="48"/>
        <v>1982</v>
      </c>
      <c r="T525" s="2">
        <v>1982</v>
      </c>
      <c r="U525" s="2">
        <f t="shared" si="49"/>
        <v>40</v>
      </c>
      <c r="V525" s="1">
        <v>29952</v>
      </c>
      <c r="W525" t="s">
        <v>1117</v>
      </c>
      <c r="X525" s="3">
        <v>1.6519999999999999</v>
      </c>
      <c r="Y525" s="4">
        <f>(X525-'[1]1982'!$Z$4)/('[1]1982'!$Z$3-'[1]1982'!$Z$4)</f>
        <v>4.409919649769093E-2</v>
      </c>
      <c r="AA525" t="s">
        <v>1118</v>
      </c>
      <c r="AB525">
        <v>17337</v>
      </c>
      <c r="AC525">
        <v>15582221</v>
      </c>
      <c r="AD525" t="s">
        <v>15</v>
      </c>
      <c r="AE525">
        <v>30</v>
      </c>
      <c r="AF525">
        <v>1</v>
      </c>
      <c r="AH525" t="s">
        <v>5504</v>
      </c>
      <c r="AI525" t="s">
        <v>5505</v>
      </c>
      <c r="AK525" t="s">
        <v>5506</v>
      </c>
      <c r="AL525">
        <v>13</v>
      </c>
      <c r="AM525" s="5">
        <f t="shared" si="50"/>
        <v>0.32500000000000001</v>
      </c>
      <c r="AN525" s="6">
        <f>(AM525-'[1]1982'!$AO$4)/('[1]1982'!$AO$3-'[1]1982'!$AO$4)</f>
        <v>4.9223778871639533E-4</v>
      </c>
      <c r="AO525" s="7"/>
      <c r="AP525">
        <v>0</v>
      </c>
      <c r="AR525" t="s">
        <v>19</v>
      </c>
      <c r="AT525" s="3" t="s">
        <v>20</v>
      </c>
      <c r="AU525" s="8">
        <f t="shared" si="51"/>
        <v>3.101710888499857</v>
      </c>
      <c r="AV525" s="8">
        <f t="shared" si="52"/>
        <v>2.2295717143203664</v>
      </c>
      <c r="AW525" s="8">
        <f t="shared" si="53"/>
        <v>1.3574325401408756</v>
      </c>
    </row>
    <row r="526" spans="1:49" x14ac:dyDescent="0.2">
      <c r="A526">
        <v>524</v>
      </c>
      <c r="B526" t="s">
        <v>5507</v>
      </c>
      <c r="C526" t="s">
        <v>5508</v>
      </c>
      <c r="F526" t="s">
        <v>5509</v>
      </c>
      <c r="G526" t="s">
        <v>4</v>
      </c>
      <c r="H526" t="s">
        <v>5</v>
      </c>
      <c r="I526" t="s">
        <v>4389</v>
      </c>
      <c r="J526">
        <v>60009037</v>
      </c>
      <c r="K526" t="s">
        <v>2786</v>
      </c>
      <c r="L526" t="s">
        <v>445</v>
      </c>
      <c r="M526" t="s">
        <v>9</v>
      </c>
      <c r="N526">
        <v>1</v>
      </c>
      <c r="O526" t="s">
        <v>4390</v>
      </c>
      <c r="P526">
        <v>7003537615</v>
      </c>
      <c r="Q526">
        <v>60009037</v>
      </c>
      <c r="R526" s="1">
        <v>29952</v>
      </c>
      <c r="S526" s="2">
        <f t="shared" si="48"/>
        <v>1982</v>
      </c>
      <c r="T526" s="2">
        <v>1982</v>
      </c>
      <c r="U526" s="2">
        <f t="shared" si="49"/>
        <v>40</v>
      </c>
      <c r="V526" s="1">
        <v>29952</v>
      </c>
      <c r="W526" t="s">
        <v>1117</v>
      </c>
      <c r="X526" s="3">
        <v>1.6519999999999999</v>
      </c>
      <c r="Y526" s="4">
        <f>(X526-'[1]1982'!$Z$4)/('[1]1982'!$Z$3-'[1]1982'!$Z$4)</f>
        <v>4.409919649769093E-2</v>
      </c>
      <c r="AA526" t="s">
        <v>1118</v>
      </c>
      <c r="AB526">
        <v>17337</v>
      </c>
      <c r="AC526">
        <v>15582221</v>
      </c>
      <c r="AD526" t="s">
        <v>15</v>
      </c>
      <c r="AE526">
        <v>30</v>
      </c>
      <c r="AF526">
        <v>1</v>
      </c>
      <c r="AH526" t="s">
        <v>5510</v>
      </c>
      <c r="AI526" t="s">
        <v>5511</v>
      </c>
      <c r="AK526" t="s">
        <v>5512</v>
      </c>
      <c r="AL526">
        <v>6</v>
      </c>
      <c r="AM526" s="5">
        <f t="shared" si="50"/>
        <v>0.15</v>
      </c>
      <c r="AN526" s="6">
        <f>(AM526-'[1]1982'!$AO$4)/('[1]1982'!$AO$3-'[1]1982'!$AO$4)</f>
        <v>2.2718667171525936E-4</v>
      </c>
      <c r="AO526" s="7"/>
      <c r="AP526">
        <v>0</v>
      </c>
      <c r="AR526" t="s">
        <v>19</v>
      </c>
      <c r="AT526" s="3" t="s">
        <v>20</v>
      </c>
      <c r="AU526" s="8">
        <f t="shared" si="51"/>
        <v>3.0937593549898228</v>
      </c>
      <c r="AV526" s="8">
        <f t="shared" si="52"/>
        <v>2.2163191584703092</v>
      </c>
      <c r="AW526" s="8">
        <f t="shared" si="53"/>
        <v>1.3388789619507961</v>
      </c>
    </row>
    <row r="527" spans="1:49" x14ac:dyDescent="0.2">
      <c r="A527">
        <v>525</v>
      </c>
      <c r="B527" t="s">
        <v>5513</v>
      </c>
      <c r="C527" t="s">
        <v>5514</v>
      </c>
      <c r="F527" t="s">
        <v>5515</v>
      </c>
      <c r="G527" t="s">
        <v>4</v>
      </c>
      <c r="H527" t="s">
        <v>5</v>
      </c>
      <c r="I527" t="s">
        <v>5516</v>
      </c>
      <c r="J527">
        <v>60020486</v>
      </c>
      <c r="K527" t="s">
        <v>5517</v>
      </c>
      <c r="L527" t="s">
        <v>5518</v>
      </c>
      <c r="M527" t="s">
        <v>2247</v>
      </c>
      <c r="N527">
        <v>1</v>
      </c>
      <c r="O527" t="s">
        <v>5519</v>
      </c>
      <c r="P527">
        <v>6603820694</v>
      </c>
      <c r="Q527">
        <v>60020486</v>
      </c>
      <c r="R527" s="1">
        <v>29952</v>
      </c>
      <c r="S527" s="2">
        <f t="shared" si="48"/>
        <v>1982</v>
      </c>
      <c r="T527" s="2">
        <v>1982</v>
      </c>
      <c r="U527" s="2">
        <f t="shared" si="49"/>
        <v>40</v>
      </c>
      <c r="V527" s="1">
        <v>29952</v>
      </c>
      <c r="W527" t="s">
        <v>2926</v>
      </c>
      <c r="X527" s="3">
        <v>2.141</v>
      </c>
      <c r="Y527" s="4">
        <f>(X527-'[1]1982'!$Z$4)/('[1]1982'!$Z$3-'[1]1982'!$Z$4)</f>
        <v>5.7152772216438434E-2</v>
      </c>
      <c r="AA527">
        <v>1962892</v>
      </c>
      <c r="AB527">
        <v>17360</v>
      </c>
      <c r="AC527">
        <v>15580644</v>
      </c>
      <c r="AD527" t="s">
        <v>15</v>
      </c>
      <c r="AE527">
        <v>20</v>
      </c>
      <c r="AF527">
        <v>1</v>
      </c>
      <c r="AH527" t="s">
        <v>3386</v>
      </c>
      <c r="AI527" t="s">
        <v>5520</v>
      </c>
      <c r="AK527" t="s">
        <v>5521</v>
      </c>
      <c r="AL527">
        <v>1</v>
      </c>
      <c r="AM527" s="5">
        <f t="shared" si="50"/>
        <v>2.5000000000000001E-2</v>
      </c>
      <c r="AN527" s="6">
        <f>(AM527-'[1]1982'!$AO$4)/('[1]1982'!$AO$3-'[1]1982'!$AO$4)</f>
        <v>3.7864445285876567E-5</v>
      </c>
      <c r="AO527" s="7"/>
      <c r="AP527">
        <v>0</v>
      </c>
      <c r="AR527" t="s">
        <v>19</v>
      </c>
      <c r="AT527" s="3" t="s">
        <v>20</v>
      </c>
      <c r="AU527" s="8">
        <f t="shared" si="51"/>
        <v>4.0018299885092663</v>
      </c>
      <c r="AV527" s="8">
        <f t="shared" si="52"/>
        <v>2.8595318330862156</v>
      </c>
      <c r="AW527" s="8">
        <f t="shared" si="53"/>
        <v>1.7172336776631645</v>
      </c>
    </row>
    <row r="528" spans="1:49" x14ac:dyDescent="0.2">
      <c r="A528">
        <v>526</v>
      </c>
      <c r="B528" t="s">
        <v>5522</v>
      </c>
      <c r="C528" t="s">
        <v>5523</v>
      </c>
      <c r="F528" t="s">
        <v>5524</v>
      </c>
      <c r="G528" t="s">
        <v>4</v>
      </c>
      <c r="H528" t="s">
        <v>5</v>
      </c>
      <c r="I528" t="s">
        <v>5525</v>
      </c>
      <c r="J528" t="s">
        <v>5526</v>
      </c>
      <c r="K528" t="s">
        <v>5527</v>
      </c>
      <c r="L528" t="s">
        <v>5528</v>
      </c>
      <c r="M528" t="s">
        <v>218</v>
      </c>
      <c r="N528">
        <v>3</v>
      </c>
      <c r="O528" t="s">
        <v>5529</v>
      </c>
      <c r="P528" t="s">
        <v>5530</v>
      </c>
      <c r="Q528" t="s">
        <v>5531</v>
      </c>
      <c r="R528" s="1">
        <v>29952</v>
      </c>
      <c r="S528" s="2">
        <f t="shared" si="48"/>
        <v>1982</v>
      </c>
      <c r="T528" s="2">
        <v>1982</v>
      </c>
      <c r="U528" s="2">
        <f t="shared" si="49"/>
        <v>40</v>
      </c>
      <c r="V528" s="1">
        <v>29952</v>
      </c>
      <c r="W528" t="s">
        <v>1117</v>
      </c>
      <c r="X528" s="3">
        <v>1.6519999999999999</v>
      </c>
      <c r="Y528" s="4">
        <f>(X528-'[1]1982'!$Z$4)/('[1]1982'!$Z$3-'[1]1982'!$Z$4)</f>
        <v>4.409919649769093E-2</v>
      </c>
      <c r="AA528" t="s">
        <v>1118</v>
      </c>
      <c r="AB528">
        <v>17337</v>
      </c>
      <c r="AC528">
        <v>15582221</v>
      </c>
      <c r="AD528" t="s">
        <v>15</v>
      </c>
      <c r="AE528">
        <v>30</v>
      </c>
      <c r="AF528">
        <v>1</v>
      </c>
      <c r="AH528" t="s">
        <v>5532</v>
      </c>
      <c r="AI528" t="s">
        <v>5533</v>
      </c>
      <c r="AK528" t="s">
        <v>5534</v>
      </c>
      <c r="AL528">
        <v>21</v>
      </c>
      <c r="AM528" s="5">
        <f t="shared" si="50"/>
        <v>0.52500000000000002</v>
      </c>
      <c r="AN528" s="6">
        <f>(AM528-'[1]1982'!$AO$4)/('[1]1982'!$AO$3-'[1]1982'!$AO$4)</f>
        <v>7.9515335100340781E-4</v>
      </c>
      <c r="AO528" s="7"/>
      <c r="AP528">
        <v>0</v>
      </c>
      <c r="AR528" t="s">
        <v>19</v>
      </c>
      <c r="AT528" s="3" t="s">
        <v>20</v>
      </c>
      <c r="AU528" s="8">
        <f t="shared" si="51"/>
        <v>3.1107983553684675</v>
      </c>
      <c r="AV528" s="8">
        <f t="shared" si="52"/>
        <v>2.2447174924347166</v>
      </c>
      <c r="AW528" s="8">
        <f t="shared" si="53"/>
        <v>1.3786366295009664</v>
      </c>
    </row>
    <row r="529" spans="1:49" x14ac:dyDescent="0.2">
      <c r="A529">
        <v>527</v>
      </c>
      <c r="B529" t="s">
        <v>5535</v>
      </c>
      <c r="C529" t="s">
        <v>5536</v>
      </c>
      <c r="F529" t="s">
        <v>5537</v>
      </c>
      <c r="G529" t="s">
        <v>4</v>
      </c>
      <c r="H529" t="s">
        <v>5</v>
      </c>
      <c r="I529" t="s">
        <v>5538</v>
      </c>
      <c r="J529" t="s">
        <v>5539</v>
      </c>
      <c r="K529" t="s">
        <v>5540</v>
      </c>
      <c r="L529" t="s">
        <v>5541</v>
      </c>
      <c r="M529" t="s">
        <v>218</v>
      </c>
      <c r="N529">
        <v>3</v>
      </c>
      <c r="O529" t="s">
        <v>5542</v>
      </c>
      <c r="P529" t="s">
        <v>5543</v>
      </c>
      <c r="Q529" t="s">
        <v>5544</v>
      </c>
      <c r="R529" s="1">
        <v>29952</v>
      </c>
      <c r="S529" s="2">
        <f t="shared" si="48"/>
        <v>1982</v>
      </c>
      <c r="T529" s="2">
        <v>1982</v>
      </c>
      <c r="U529" s="2">
        <f t="shared" si="49"/>
        <v>40</v>
      </c>
      <c r="V529" s="1">
        <v>29952</v>
      </c>
      <c r="W529" t="s">
        <v>1795</v>
      </c>
      <c r="X529" s="3">
        <v>1.3720000000000001</v>
      </c>
      <c r="Y529" s="4">
        <f>(X529-'[1]1982'!$Z$4)/('[1]1982'!$Z$3-'[1]1982'!$Z$4)</f>
        <v>3.662475641333654E-2</v>
      </c>
      <c r="AA529">
        <v>189480</v>
      </c>
      <c r="AB529">
        <v>17366</v>
      </c>
      <c r="AC529">
        <v>15579670</v>
      </c>
      <c r="AD529" t="s">
        <v>15</v>
      </c>
      <c r="AE529">
        <v>30</v>
      </c>
      <c r="AF529">
        <v>1</v>
      </c>
      <c r="AH529" t="s">
        <v>5545</v>
      </c>
      <c r="AI529" t="s">
        <v>5546</v>
      </c>
      <c r="AK529" t="s">
        <v>5547</v>
      </c>
      <c r="AL529">
        <v>3</v>
      </c>
      <c r="AM529" s="5">
        <f t="shared" si="50"/>
        <v>7.4999999999999997E-2</v>
      </c>
      <c r="AN529" s="6">
        <f>(AM529-'[1]1982'!$AO$4)/('[1]1982'!$AO$3-'[1]1982'!$AO$4)</f>
        <v>1.1359333585762968E-4</v>
      </c>
      <c r="AO529" s="7"/>
      <c r="AP529">
        <v>0</v>
      </c>
      <c r="AR529" t="s">
        <v>19</v>
      </c>
      <c r="AT529" s="3" t="s">
        <v>20</v>
      </c>
      <c r="AU529" s="8">
        <f t="shared" si="51"/>
        <v>2.5671407490092868</v>
      </c>
      <c r="AV529" s="8">
        <f t="shared" si="52"/>
        <v>1.8369174874597085</v>
      </c>
      <c r="AW529" s="8">
        <f t="shared" si="53"/>
        <v>1.1066942259101302</v>
      </c>
    </row>
    <row r="530" spans="1:49" x14ac:dyDescent="0.2">
      <c r="A530">
        <v>528</v>
      </c>
      <c r="B530" t="s">
        <v>5548</v>
      </c>
      <c r="C530" t="s">
        <v>5549</v>
      </c>
      <c r="F530" t="s">
        <v>5550</v>
      </c>
      <c r="G530" t="s">
        <v>4</v>
      </c>
      <c r="H530" t="s">
        <v>5</v>
      </c>
      <c r="I530" t="s">
        <v>5551</v>
      </c>
      <c r="J530">
        <v>60014662</v>
      </c>
      <c r="K530" t="s">
        <v>5552</v>
      </c>
      <c r="L530" t="s">
        <v>3326</v>
      </c>
      <c r="M530" t="s">
        <v>9</v>
      </c>
      <c r="N530">
        <v>1</v>
      </c>
      <c r="O530" t="s">
        <v>5553</v>
      </c>
      <c r="P530">
        <v>35576601100</v>
      </c>
      <c r="Q530">
        <v>60014662</v>
      </c>
      <c r="R530" s="1">
        <v>29952</v>
      </c>
      <c r="S530" s="2">
        <f t="shared" si="48"/>
        <v>1982</v>
      </c>
      <c r="T530" s="2">
        <v>1982</v>
      </c>
      <c r="U530" s="2">
        <f t="shared" si="49"/>
        <v>40</v>
      </c>
      <c r="V530" s="1">
        <v>29952</v>
      </c>
      <c r="W530" t="s">
        <v>2417</v>
      </c>
      <c r="X530" s="3">
        <v>1.137</v>
      </c>
      <c r="Y530" s="4">
        <f>(X530-'[1]1982'!$Z$4)/('[1]1982'!$Z$3-'[1]1982'!$Z$4)</f>
        <v>3.0351565628253384E-2</v>
      </c>
      <c r="AA530">
        <v>189251</v>
      </c>
      <c r="AB530">
        <v>17336</v>
      </c>
      <c r="AD530" t="s">
        <v>15</v>
      </c>
      <c r="AE530" t="s">
        <v>2418</v>
      </c>
      <c r="AF530">
        <v>1</v>
      </c>
      <c r="AH530" t="s">
        <v>5554</v>
      </c>
      <c r="AI530" t="s">
        <v>5555</v>
      </c>
      <c r="AK530" t="s">
        <v>5556</v>
      </c>
      <c r="AL530">
        <v>2</v>
      </c>
      <c r="AM530" s="5">
        <f t="shared" si="50"/>
        <v>0.05</v>
      </c>
      <c r="AN530" s="6">
        <f>(AM530-'[1]1982'!$AO$4)/('[1]1982'!$AO$3-'[1]1982'!$AO$4)</f>
        <v>7.5728890571753133E-5</v>
      </c>
      <c r="AO530" s="7"/>
      <c r="AP530">
        <v>0</v>
      </c>
      <c r="AR530" t="s">
        <v>19</v>
      </c>
      <c r="AT530" s="3" t="s">
        <v>20</v>
      </c>
      <c r="AU530" s="8">
        <f t="shared" si="51"/>
        <v>2.1268814606948889</v>
      </c>
      <c r="AV530" s="8">
        <f t="shared" si="52"/>
        <v>1.5213647259412568</v>
      </c>
      <c r="AW530" s="8">
        <f t="shared" si="53"/>
        <v>0.91584799118762439</v>
      </c>
    </row>
    <row r="531" spans="1:49" x14ac:dyDescent="0.2">
      <c r="A531">
        <v>529</v>
      </c>
      <c r="B531" t="s">
        <v>5557</v>
      </c>
      <c r="F531" t="s">
        <v>5558</v>
      </c>
      <c r="G531" t="s">
        <v>4</v>
      </c>
      <c r="H531" t="s">
        <v>5</v>
      </c>
      <c r="I531" t="s">
        <v>5559</v>
      </c>
      <c r="N531">
        <v>3</v>
      </c>
      <c r="O531" t="s">
        <v>5560</v>
      </c>
      <c r="P531" t="s">
        <v>5561</v>
      </c>
      <c r="Q531" t="s">
        <v>145</v>
      </c>
      <c r="R531" s="1">
        <v>29952</v>
      </c>
      <c r="S531" s="2">
        <f t="shared" si="48"/>
        <v>1982</v>
      </c>
      <c r="T531" s="2">
        <v>1982</v>
      </c>
      <c r="U531" s="2">
        <f t="shared" si="49"/>
        <v>40</v>
      </c>
      <c r="V531" s="1" t="s">
        <v>5562</v>
      </c>
      <c r="W531" t="s">
        <v>1643</v>
      </c>
      <c r="X531" s="3" t="s">
        <v>20</v>
      </c>
      <c r="Y531" s="4" t="e">
        <f>(X531-'[1]1982'!$Z$4)/('[1]1982'!$Z$3-'[1]1982'!$Z$4)</f>
        <v>#VALUE!</v>
      </c>
      <c r="AA531">
        <v>337889</v>
      </c>
      <c r="AB531">
        <v>40920</v>
      </c>
      <c r="AD531" t="s">
        <v>15</v>
      </c>
      <c r="AE531">
        <v>27</v>
      </c>
      <c r="AF531">
        <v>1</v>
      </c>
      <c r="AH531" t="s">
        <v>5563</v>
      </c>
      <c r="AI531" t="s">
        <v>5564</v>
      </c>
      <c r="AK531" t="s">
        <v>5565</v>
      </c>
      <c r="AL531">
        <v>0</v>
      </c>
      <c r="AM531" s="5">
        <f t="shared" si="50"/>
        <v>0</v>
      </c>
      <c r="AN531" s="6">
        <f>(AM531-'[1]1982'!$AO$4)/('[1]1982'!$AO$3-'[1]1982'!$AO$4)</f>
        <v>0</v>
      </c>
      <c r="AO531" s="7"/>
      <c r="AP531">
        <v>0</v>
      </c>
      <c r="AR531" t="s">
        <v>19</v>
      </c>
      <c r="AT531" s="3" t="s">
        <v>20</v>
      </c>
      <c r="AU531" s="8" t="e">
        <f t="shared" si="51"/>
        <v>#VALUE!</v>
      </c>
      <c r="AV531" s="8" t="e">
        <f t="shared" si="52"/>
        <v>#VALUE!</v>
      </c>
      <c r="AW531" s="8" t="e">
        <f t="shared" si="53"/>
        <v>#VALUE!</v>
      </c>
    </row>
    <row r="532" spans="1:49" x14ac:dyDescent="0.2">
      <c r="A532">
        <v>530</v>
      </c>
      <c r="B532" t="s">
        <v>5566</v>
      </c>
      <c r="C532" t="s">
        <v>5567</v>
      </c>
      <c r="F532" t="s">
        <v>5568</v>
      </c>
      <c r="G532" t="s">
        <v>4</v>
      </c>
      <c r="H532" t="s">
        <v>5</v>
      </c>
      <c r="I532" t="s">
        <v>5569</v>
      </c>
      <c r="J532">
        <v>60008435</v>
      </c>
      <c r="K532" t="s">
        <v>5570</v>
      </c>
      <c r="L532" t="s">
        <v>5571</v>
      </c>
      <c r="M532" t="s">
        <v>485</v>
      </c>
      <c r="N532">
        <v>4</v>
      </c>
      <c r="O532" t="s">
        <v>5572</v>
      </c>
      <c r="P532" t="s">
        <v>5573</v>
      </c>
      <c r="Q532" t="s">
        <v>5574</v>
      </c>
      <c r="R532" s="1">
        <v>29952</v>
      </c>
      <c r="S532" s="2">
        <f t="shared" si="48"/>
        <v>1982</v>
      </c>
      <c r="T532" s="2">
        <v>1982</v>
      </c>
      <c r="U532" s="2">
        <f t="shared" si="49"/>
        <v>40</v>
      </c>
      <c r="V532" s="1">
        <v>1982</v>
      </c>
      <c r="W532" t="s">
        <v>1005</v>
      </c>
      <c r="X532" s="3">
        <v>0.111</v>
      </c>
      <c r="Y532" s="4">
        <f>(X532-'[1]1982'!$Z$4)/('[1]1982'!$Z$3-'[1]1982'!$Z$4)</f>
        <v>2.9630816048690639E-3</v>
      </c>
      <c r="AA532">
        <v>87566621</v>
      </c>
      <c r="AB532">
        <v>24890</v>
      </c>
      <c r="AC532">
        <v>15206424</v>
      </c>
      <c r="AD532" t="s">
        <v>15</v>
      </c>
      <c r="AE532">
        <v>65</v>
      </c>
      <c r="AF532">
        <v>1</v>
      </c>
      <c r="AH532" t="s">
        <v>2177</v>
      </c>
      <c r="AI532" t="s">
        <v>5575</v>
      </c>
      <c r="AK532" t="s">
        <v>5576</v>
      </c>
      <c r="AL532">
        <v>1</v>
      </c>
      <c r="AM532" s="5">
        <f t="shared" si="50"/>
        <v>2.5000000000000001E-2</v>
      </c>
      <c r="AN532" s="6">
        <f>(AM532-'[1]1982'!$AO$4)/('[1]1982'!$AO$3-'[1]1982'!$AO$4)</f>
        <v>3.7864445285876567E-5</v>
      </c>
      <c r="AO532" s="7"/>
      <c r="AP532">
        <v>0</v>
      </c>
      <c r="AR532" t="s">
        <v>19</v>
      </c>
      <c r="AT532" s="3" t="s">
        <v>20</v>
      </c>
      <c r="AU532" s="8">
        <f t="shared" si="51"/>
        <v>0.20855164569941073</v>
      </c>
      <c r="AV532" s="8">
        <f t="shared" si="52"/>
        <v>0.15004730250774703</v>
      </c>
      <c r="AW532" s="8">
        <f t="shared" si="53"/>
        <v>9.1542959316083264E-2</v>
      </c>
    </row>
    <row r="533" spans="1:49" x14ac:dyDescent="0.2">
      <c r="A533">
        <v>531</v>
      </c>
      <c r="B533" t="s">
        <v>5577</v>
      </c>
      <c r="C533" t="s">
        <v>5578</v>
      </c>
      <c r="F533" t="s">
        <v>5579</v>
      </c>
      <c r="G533" t="s">
        <v>4</v>
      </c>
      <c r="H533" t="s">
        <v>5</v>
      </c>
      <c r="I533" t="s">
        <v>5580</v>
      </c>
      <c r="J533" t="s">
        <v>5581</v>
      </c>
      <c r="K533" t="s">
        <v>5582</v>
      </c>
      <c r="L533" t="s">
        <v>5583</v>
      </c>
      <c r="M533" t="s">
        <v>500</v>
      </c>
      <c r="N533">
        <v>2</v>
      </c>
      <c r="O533" t="s">
        <v>5584</v>
      </c>
      <c r="P533" t="s">
        <v>5585</v>
      </c>
      <c r="Q533" t="s">
        <v>5581</v>
      </c>
      <c r="R533" s="1">
        <v>29952</v>
      </c>
      <c r="S533" s="2">
        <f t="shared" si="48"/>
        <v>1982</v>
      </c>
      <c r="T533" s="2">
        <v>1982</v>
      </c>
      <c r="U533" s="2">
        <f t="shared" si="49"/>
        <v>40</v>
      </c>
      <c r="V533" s="1">
        <v>29952</v>
      </c>
      <c r="W533" t="s">
        <v>5453</v>
      </c>
      <c r="X533" s="3">
        <v>0.752</v>
      </c>
      <c r="Y533" s="4">
        <f>(X533-'[1]1982'!$Z$4)/('[1]1982'!$Z$3-'[1]1982'!$Z$4)</f>
        <v>2.0074210512266089E-2</v>
      </c>
      <c r="AA533">
        <v>3649059</v>
      </c>
      <c r="AB533">
        <v>17277</v>
      </c>
      <c r="AC533">
        <v>15581691</v>
      </c>
      <c r="AD533" t="s">
        <v>15</v>
      </c>
      <c r="AE533">
        <v>7</v>
      </c>
      <c r="AF533">
        <v>1</v>
      </c>
      <c r="AH533" t="s">
        <v>5586</v>
      </c>
      <c r="AI533" t="s">
        <v>5587</v>
      </c>
      <c r="AK533" t="s">
        <v>5588</v>
      </c>
      <c r="AL533">
        <v>3</v>
      </c>
      <c r="AM533" s="5">
        <f t="shared" si="50"/>
        <v>7.4999999999999997E-2</v>
      </c>
      <c r="AN533" s="6">
        <f>(AM533-'[1]1982'!$AO$4)/('[1]1982'!$AO$3-'[1]1982'!$AO$4)</f>
        <v>1.1359333585762968E-4</v>
      </c>
      <c r="AO533" s="7"/>
      <c r="AP533">
        <v>0</v>
      </c>
      <c r="AR533" t="s">
        <v>19</v>
      </c>
      <c r="AT533" s="3">
        <v>3.5539999999999998</v>
      </c>
      <c r="AU533" s="8">
        <f t="shared" si="51"/>
        <v>1.408602535934355</v>
      </c>
      <c r="AV533" s="8">
        <f t="shared" si="52"/>
        <v>1.0093901924061859</v>
      </c>
      <c r="AW533" s="8">
        <f t="shared" si="53"/>
        <v>0.61017784887801674</v>
      </c>
    </row>
    <row r="534" spans="1:49" x14ac:dyDescent="0.2">
      <c r="A534">
        <v>532</v>
      </c>
      <c r="B534" t="s">
        <v>5589</v>
      </c>
      <c r="C534" t="s">
        <v>5590</v>
      </c>
      <c r="F534" t="s">
        <v>5591</v>
      </c>
      <c r="G534" t="s">
        <v>4</v>
      </c>
      <c r="H534" t="s">
        <v>5</v>
      </c>
      <c r="I534" t="s">
        <v>5592</v>
      </c>
      <c r="J534">
        <v>100735316</v>
      </c>
      <c r="K534" t="s">
        <v>5593</v>
      </c>
      <c r="L534" t="s">
        <v>5594</v>
      </c>
      <c r="M534" t="s">
        <v>9</v>
      </c>
      <c r="N534">
        <v>2</v>
      </c>
      <c r="O534" t="s">
        <v>5595</v>
      </c>
      <c r="P534" t="s">
        <v>5596</v>
      </c>
      <c r="Q534" t="s">
        <v>5597</v>
      </c>
      <c r="R534" s="1">
        <v>29952</v>
      </c>
      <c r="S534" s="2">
        <f t="shared" si="48"/>
        <v>1982</v>
      </c>
      <c r="T534" s="2">
        <v>1982</v>
      </c>
      <c r="U534" s="2">
        <f t="shared" si="49"/>
        <v>40</v>
      </c>
      <c r="V534" s="1">
        <v>29952</v>
      </c>
      <c r="W534" t="s">
        <v>2417</v>
      </c>
      <c r="X534" s="3">
        <v>1.137</v>
      </c>
      <c r="Y534" s="4">
        <f>(X534-'[1]1982'!$Z$4)/('[1]1982'!$Z$3-'[1]1982'!$Z$4)</f>
        <v>3.0351565628253384E-2</v>
      </c>
      <c r="AA534">
        <v>189251</v>
      </c>
      <c r="AB534">
        <v>17336</v>
      </c>
      <c r="AD534" t="s">
        <v>15</v>
      </c>
      <c r="AE534" t="s">
        <v>2418</v>
      </c>
      <c r="AF534">
        <v>1</v>
      </c>
      <c r="AH534" t="s">
        <v>5598</v>
      </c>
      <c r="AI534" t="s">
        <v>5599</v>
      </c>
      <c r="AK534" t="s">
        <v>5600</v>
      </c>
      <c r="AL534">
        <v>26</v>
      </c>
      <c r="AM534" s="5">
        <f t="shared" si="50"/>
        <v>0.65</v>
      </c>
      <c r="AN534" s="6">
        <f>(AM534-'[1]1982'!$AO$4)/('[1]1982'!$AO$3-'[1]1982'!$AO$4)</f>
        <v>9.8447557743279067E-4</v>
      </c>
      <c r="AO534" s="7"/>
      <c r="AP534">
        <v>0</v>
      </c>
      <c r="AR534" t="s">
        <v>19</v>
      </c>
      <c r="AT534" s="3" t="s">
        <v>20</v>
      </c>
      <c r="AU534" s="8">
        <f t="shared" si="51"/>
        <v>2.1541438613007204</v>
      </c>
      <c r="AV534" s="8">
        <f t="shared" si="52"/>
        <v>1.5668020602843087</v>
      </c>
      <c r="AW534" s="8">
        <f t="shared" si="53"/>
        <v>0.97946025926789693</v>
      </c>
    </row>
    <row r="535" spans="1:49" x14ac:dyDescent="0.2">
      <c r="A535">
        <v>533</v>
      </c>
      <c r="B535" t="s">
        <v>5601</v>
      </c>
      <c r="C535" t="s">
        <v>5602</v>
      </c>
      <c r="F535" t="s">
        <v>5603</v>
      </c>
      <c r="G535" t="s">
        <v>4</v>
      </c>
      <c r="H535" t="s">
        <v>5</v>
      </c>
      <c r="I535" t="s">
        <v>5604</v>
      </c>
      <c r="J535" t="s">
        <v>5605</v>
      </c>
      <c r="K535" t="s">
        <v>5606</v>
      </c>
      <c r="L535" t="s">
        <v>5607</v>
      </c>
      <c r="M535" t="s">
        <v>1449</v>
      </c>
      <c r="N535">
        <v>2</v>
      </c>
      <c r="O535" t="s">
        <v>5608</v>
      </c>
      <c r="P535" t="s">
        <v>5609</v>
      </c>
      <c r="Q535" t="s">
        <v>5605</v>
      </c>
      <c r="R535" s="1">
        <v>29952</v>
      </c>
      <c r="S535" s="2">
        <f t="shared" si="48"/>
        <v>1982</v>
      </c>
      <c r="T535" s="2">
        <v>1982</v>
      </c>
      <c r="U535" s="2">
        <f t="shared" si="49"/>
        <v>40</v>
      </c>
      <c r="V535" s="1">
        <v>29952</v>
      </c>
      <c r="W535" t="s">
        <v>1117</v>
      </c>
      <c r="X535" s="3">
        <v>1.6519999999999999</v>
      </c>
      <c r="Y535" s="4">
        <f>(X535-'[1]1982'!$Z$4)/('[1]1982'!$Z$3-'[1]1982'!$Z$4)</f>
        <v>4.409919649769093E-2</v>
      </c>
      <c r="AA535" t="s">
        <v>1118</v>
      </c>
      <c r="AB535">
        <v>17337</v>
      </c>
      <c r="AC535">
        <v>15582221</v>
      </c>
      <c r="AD535" t="s">
        <v>15</v>
      </c>
      <c r="AE535">
        <v>30</v>
      </c>
      <c r="AF535">
        <v>1</v>
      </c>
      <c r="AH535" t="s">
        <v>5610</v>
      </c>
      <c r="AI535" t="s">
        <v>5611</v>
      </c>
      <c r="AK535" t="s">
        <v>5612</v>
      </c>
      <c r="AL535">
        <v>3</v>
      </c>
      <c r="AM535" s="5">
        <f t="shared" si="50"/>
        <v>7.4999999999999997E-2</v>
      </c>
      <c r="AN535" s="6">
        <f>(AM535-'[1]1982'!$AO$4)/('[1]1982'!$AO$3-'[1]1982'!$AO$4)</f>
        <v>1.1359333585762968E-4</v>
      </c>
      <c r="AO535" s="7"/>
      <c r="AP535">
        <v>0</v>
      </c>
      <c r="AR535" t="s">
        <v>19</v>
      </c>
      <c r="AT535" s="3" t="s">
        <v>20</v>
      </c>
      <c r="AU535" s="8">
        <f t="shared" si="51"/>
        <v>3.0903515549140939</v>
      </c>
      <c r="AV535" s="8">
        <f t="shared" si="52"/>
        <v>2.2106394916774281</v>
      </c>
      <c r="AW535" s="8">
        <f t="shared" si="53"/>
        <v>1.330927428440762</v>
      </c>
    </row>
    <row r="536" spans="1:49" x14ac:dyDescent="0.2">
      <c r="A536">
        <v>534</v>
      </c>
      <c r="B536" t="s">
        <v>5613</v>
      </c>
      <c r="F536" t="s">
        <v>5614</v>
      </c>
      <c r="G536" t="s">
        <v>4</v>
      </c>
      <c r="H536" t="s">
        <v>5</v>
      </c>
      <c r="I536" t="s">
        <v>5615</v>
      </c>
      <c r="J536">
        <v>60072331</v>
      </c>
      <c r="K536" t="s">
        <v>5616</v>
      </c>
      <c r="L536" t="s">
        <v>5617</v>
      </c>
      <c r="M536" t="s">
        <v>65</v>
      </c>
      <c r="N536">
        <v>1</v>
      </c>
      <c r="O536" t="s">
        <v>5618</v>
      </c>
      <c r="P536">
        <v>6507765224</v>
      </c>
      <c r="Q536">
        <v>60072331</v>
      </c>
      <c r="R536" s="1">
        <v>29952</v>
      </c>
      <c r="S536" s="2">
        <f t="shared" si="48"/>
        <v>1982</v>
      </c>
      <c r="T536" s="2">
        <v>1982</v>
      </c>
      <c r="U536" s="2">
        <f t="shared" si="49"/>
        <v>40</v>
      </c>
      <c r="V536" s="1">
        <v>1982</v>
      </c>
      <c r="W536" t="s">
        <v>5619</v>
      </c>
      <c r="X536" s="3" t="s">
        <v>20</v>
      </c>
      <c r="Y536" s="4" t="e">
        <f>(X536-'[1]1982'!$Z$4)/('[1]1982'!$Z$3-'[1]1982'!$Z$4)</f>
        <v>#VALUE!</v>
      </c>
      <c r="AB536">
        <v>14448</v>
      </c>
      <c r="AD536" t="s">
        <v>15</v>
      </c>
      <c r="AE536">
        <v>30</v>
      </c>
      <c r="AH536" t="s">
        <v>5620</v>
      </c>
      <c r="AI536" t="s">
        <v>5621</v>
      </c>
      <c r="AK536" t="s">
        <v>5622</v>
      </c>
      <c r="AL536">
        <v>1</v>
      </c>
      <c r="AM536" s="5">
        <f t="shared" si="50"/>
        <v>2.5000000000000001E-2</v>
      </c>
      <c r="AN536" s="6">
        <f>(AM536-'[1]1982'!$AO$4)/('[1]1982'!$AO$3-'[1]1982'!$AO$4)</f>
        <v>3.7864445285876567E-5</v>
      </c>
      <c r="AO536" s="7"/>
      <c r="AP536">
        <v>0</v>
      </c>
      <c r="AR536" t="s">
        <v>19</v>
      </c>
      <c r="AT536" s="3" t="s">
        <v>20</v>
      </c>
      <c r="AU536" s="8" t="e">
        <f t="shared" si="51"/>
        <v>#VALUE!</v>
      </c>
      <c r="AV536" s="8" t="e">
        <f t="shared" si="52"/>
        <v>#VALUE!</v>
      </c>
      <c r="AW536" s="8" t="e">
        <f t="shared" si="53"/>
        <v>#VALUE!</v>
      </c>
    </row>
    <row r="537" spans="1:49" x14ac:dyDescent="0.2">
      <c r="A537">
        <v>535</v>
      </c>
      <c r="B537" t="s">
        <v>5623</v>
      </c>
      <c r="C537" t="s">
        <v>5624</v>
      </c>
      <c r="F537" t="s">
        <v>5625</v>
      </c>
      <c r="G537" t="s">
        <v>4</v>
      </c>
      <c r="H537" t="s">
        <v>5</v>
      </c>
      <c r="I537" t="s">
        <v>5626</v>
      </c>
      <c r="J537">
        <v>60028385</v>
      </c>
      <c r="K537" t="s">
        <v>5627</v>
      </c>
      <c r="L537" t="s">
        <v>5628</v>
      </c>
      <c r="M537" t="s">
        <v>485</v>
      </c>
      <c r="N537">
        <v>1</v>
      </c>
      <c r="O537" t="s">
        <v>5629</v>
      </c>
      <c r="P537">
        <v>7403512084</v>
      </c>
      <c r="Q537">
        <v>60028385</v>
      </c>
      <c r="R537" s="1">
        <v>29952</v>
      </c>
      <c r="S537" s="2">
        <f t="shared" si="48"/>
        <v>1982</v>
      </c>
      <c r="T537" s="2">
        <v>1982</v>
      </c>
      <c r="U537" s="2">
        <f t="shared" si="49"/>
        <v>40</v>
      </c>
      <c r="V537" s="1">
        <v>29952</v>
      </c>
      <c r="W537" t="s">
        <v>1117</v>
      </c>
      <c r="X537" s="3">
        <v>1.6519999999999999</v>
      </c>
      <c r="Y537" s="4">
        <f>(X537-'[1]1982'!$Z$4)/('[1]1982'!$Z$3-'[1]1982'!$Z$4)</f>
        <v>4.409919649769093E-2</v>
      </c>
      <c r="AA537" t="s">
        <v>1118</v>
      </c>
      <c r="AB537">
        <v>17337</v>
      </c>
      <c r="AC537">
        <v>15582221</v>
      </c>
      <c r="AD537" t="s">
        <v>15</v>
      </c>
      <c r="AE537">
        <v>30</v>
      </c>
      <c r="AF537">
        <v>1</v>
      </c>
      <c r="AH537" t="s">
        <v>5630</v>
      </c>
      <c r="AI537" t="s">
        <v>5631</v>
      </c>
      <c r="AK537" t="s">
        <v>5632</v>
      </c>
      <c r="AL537">
        <v>4</v>
      </c>
      <c r="AM537" s="5">
        <f t="shared" si="50"/>
        <v>0.1</v>
      </c>
      <c r="AN537" s="6">
        <f>(AM537-'[1]1982'!$AO$4)/('[1]1982'!$AO$3-'[1]1982'!$AO$4)</f>
        <v>1.5145778114350627E-4</v>
      </c>
      <c r="AO537" s="7"/>
      <c r="AP537">
        <v>0</v>
      </c>
      <c r="AR537" t="s">
        <v>19</v>
      </c>
      <c r="AT537" s="3" t="s">
        <v>20</v>
      </c>
      <c r="AU537" s="8">
        <f t="shared" si="51"/>
        <v>3.0914874882726702</v>
      </c>
      <c r="AV537" s="8">
        <f t="shared" si="52"/>
        <v>2.2125327139417217</v>
      </c>
      <c r="AW537" s="8">
        <f t="shared" si="53"/>
        <v>1.3335779396107732</v>
      </c>
    </row>
    <row r="538" spans="1:49" x14ac:dyDescent="0.2">
      <c r="A538">
        <v>536</v>
      </c>
      <c r="B538" t="s">
        <v>5633</v>
      </c>
      <c r="C538" t="s">
        <v>5634</v>
      </c>
      <c r="F538" t="s">
        <v>5635</v>
      </c>
      <c r="G538" t="s">
        <v>4</v>
      </c>
      <c r="H538" t="s">
        <v>5</v>
      </c>
      <c r="I538" t="s">
        <v>5636</v>
      </c>
      <c r="J538" t="s">
        <v>5637</v>
      </c>
      <c r="K538" t="s">
        <v>5638</v>
      </c>
      <c r="L538" t="s">
        <v>5639</v>
      </c>
      <c r="M538" t="s">
        <v>1449</v>
      </c>
      <c r="N538">
        <v>3</v>
      </c>
      <c r="O538" t="s">
        <v>5640</v>
      </c>
      <c r="P538" t="s">
        <v>5641</v>
      </c>
      <c r="Q538" t="s">
        <v>5642</v>
      </c>
      <c r="R538" s="1">
        <v>29952</v>
      </c>
      <c r="S538" s="2">
        <f t="shared" si="48"/>
        <v>1982</v>
      </c>
      <c r="T538" s="2">
        <v>1982</v>
      </c>
      <c r="U538" s="2">
        <f t="shared" si="49"/>
        <v>40</v>
      </c>
      <c r="V538" s="1">
        <v>29952</v>
      </c>
      <c r="W538" t="s">
        <v>1117</v>
      </c>
      <c r="X538" s="3">
        <v>1.6519999999999999</v>
      </c>
      <c r="Y538" s="4">
        <f>(X538-'[1]1982'!$Z$4)/('[1]1982'!$Z$3-'[1]1982'!$Z$4)</f>
        <v>4.409919649769093E-2</v>
      </c>
      <c r="AA538" t="s">
        <v>1118</v>
      </c>
      <c r="AB538">
        <v>17337</v>
      </c>
      <c r="AC538">
        <v>15582221</v>
      </c>
      <c r="AD538" t="s">
        <v>15</v>
      </c>
      <c r="AE538">
        <v>30</v>
      </c>
      <c r="AF538">
        <v>1</v>
      </c>
      <c r="AH538" t="s">
        <v>5643</v>
      </c>
      <c r="AI538" t="s">
        <v>5644</v>
      </c>
      <c r="AK538" t="s">
        <v>5645</v>
      </c>
      <c r="AL538">
        <v>89</v>
      </c>
      <c r="AM538" s="5">
        <f t="shared" si="50"/>
        <v>2.2250000000000001</v>
      </c>
      <c r="AN538" s="6">
        <f>(AM538-'[1]1982'!$AO$4)/('[1]1982'!$AO$3-'[1]1982'!$AO$4)</f>
        <v>3.3699356304430143E-3</v>
      </c>
      <c r="AO538" s="7"/>
      <c r="AP538">
        <v>0</v>
      </c>
      <c r="AR538" t="s">
        <v>19</v>
      </c>
      <c r="AT538" s="3" t="s">
        <v>20</v>
      </c>
      <c r="AU538" s="8">
        <f t="shared" si="51"/>
        <v>3.1880418237516555</v>
      </c>
      <c r="AV538" s="8">
        <f t="shared" si="52"/>
        <v>2.3734566064066973</v>
      </c>
      <c r="AW538" s="8">
        <f t="shared" si="53"/>
        <v>1.5588713890617387</v>
      </c>
    </row>
    <row r="539" spans="1:49" x14ac:dyDescent="0.2">
      <c r="A539">
        <v>537</v>
      </c>
      <c r="B539" t="s">
        <v>5646</v>
      </c>
      <c r="C539" t="s">
        <v>5647</v>
      </c>
      <c r="F539" t="s">
        <v>5648</v>
      </c>
      <c r="G539" t="s">
        <v>4</v>
      </c>
      <c r="H539" t="s">
        <v>5</v>
      </c>
      <c r="I539" t="s">
        <v>5649</v>
      </c>
      <c r="N539">
        <v>2</v>
      </c>
      <c r="O539" t="s">
        <v>5650</v>
      </c>
      <c r="P539" t="s">
        <v>5651</v>
      </c>
      <c r="Q539" t="s">
        <v>156</v>
      </c>
      <c r="R539" s="1">
        <v>29952</v>
      </c>
      <c r="S539" s="2">
        <f t="shared" si="48"/>
        <v>1982</v>
      </c>
      <c r="T539" s="2">
        <v>1982</v>
      </c>
      <c r="U539" s="2">
        <f t="shared" si="49"/>
        <v>40</v>
      </c>
      <c r="V539" s="1">
        <v>29952</v>
      </c>
      <c r="W539" t="s">
        <v>157</v>
      </c>
      <c r="X539" s="3">
        <v>0.318</v>
      </c>
      <c r="Y539" s="4">
        <f>(X539-'[1]1982'!$Z$4)/('[1]1982'!$Z$3-'[1]1982'!$Z$4)</f>
        <v>8.4888283815167786E-3</v>
      </c>
      <c r="AA539">
        <v>338443</v>
      </c>
      <c r="AB539">
        <v>27160</v>
      </c>
      <c r="AC539">
        <v>15739120</v>
      </c>
      <c r="AD539" t="s">
        <v>15</v>
      </c>
      <c r="AE539">
        <v>25</v>
      </c>
      <c r="AF539">
        <v>1</v>
      </c>
      <c r="AH539" t="s">
        <v>5652</v>
      </c>
      <c r="AL539">
        <v>0</v>
      </c>
      <c r="AM539" s="5">
        <f t="shared" si="50"/>
        <v>0</v>
      </c>
      <c r="AN539" s="6">
        <f>(AM539-'[1]1982'!$AO$4)/('[1]1982'!$AO$3-'[1]1982'!$AO$4)</f>
        <v>0</v>
      </c>
      <c r="AO539" s="7"/>
      <c r="AP539">
        <v>0</v>
      </c>
      <c r="AR539" t="s">
        <v>19</v>
      </c>
      <c r="AT539" s="3">
        <v>0.77</v>
      </c>
      <c r="AU539" s="8">
        <f t="shared" si="51"/>
        <v>0.59421798670617454</v>
      </c>
      <c r="AV539" s="8">
        <f t="shared" si="52"/>
        <v>0.42444141907583893</v>
      </c>
      <c r="AW539" s="8">
        <f t="shared" si="53"/>
        <v>0.25466485144550338</v>
      </c>
    </row>
    <row r="540" spans="1:49" x14ac:dyDescent="0.2">
      <c r="A540">
        <v>538</v>
      </c>
      <c r="B540" t="s">
        <v>5653</v>
      </c>
      <c r="F540" t="s">
        <v>5654</v>
      </c>
      <c r="G540" t="s">
        <v>4</v>
      </c>
      <c r="H540" t="s">
        <v>5</v>
      </c>
      <c r="I540" t="s">
        <v>5655</v>
      </c>
      <c r="N540">
        <v>2</v>
      </c>
      <c r="O540" t="s">
        <v>5656</v>
      </c>
      <c r="P540" t="s">
        <v>5657</v>
      </c>
      <c r="Q540" t="s">
        <v>156</v>
      </c>
      <c r="R540" s="1">
        <v>29952</v>
      </c>
      <c r="S540" s="2">
        <f t="shared" si="48"/>
        <v>1982</v>
      </c>
      <c r="T540" s="2">
        <v>1982</v>
      </c>
      <c r="U540" s="2">
        <f t="shared" si="49"/>
        <v>40</v>
      </c>
      <c r="V540" s="1" t="s">
        <v>5562</v>
      </c>
      <c r="W540" t="s">
        <v>1643</v>
      </c>
      <c r="X540" s="3" t="s">
        <v>20</v>
      </c>
      <c r="Y540" s="4" t="e">
        <f>(X540-'[1]1982'!$Z$4)/('[1]1982'!$Z$3-'[1]1982'!$Z$4)</f>
        <v>#VALUE!</v>
      </c>
      <c r="AA540">
        <v>337889</v>
      </c>
      <c r="AB540">
        <v>40920</v>
      </c>
      <c r="AD540" t="s">
        <v>15</v>
      </c>
      <c r="AE540">
        <v>27</v>
      </c>
      <c r="AF540">
        <v>1</v>
      </c>
      <c r="AH540" t="s">
        <v>5658</v>
      </c>
      <c r="AI540" t="s">
        <v>5659</v>
      </c>
      <c r="AK540" t="s">
        <v>5660</v>
      </c>
      <c r="AL540">
        <v>0</v>
      </c>
      <c r="AM540" s="5">
        <f t="shared" si="50"/>
        <v>0</v>
      </c>
      <c r="AN540" s="6">
        <f>(AM540-'[1]1982'!$AO$4)/('[1]1982'!$AO$3-'[1]1982'!$AO$4)</f>
        <v>0</v>
      </c>
      <c r="AO540" s="7"/>
      <c r="AP540">
        <v>0</v>
      </c>
      <c r="AR540" t="s">
        <v>19</v>
      </c>
      <c r="AT540" s="3" t="s">
        <v>20</v>
      </c>
      <c r="AU540" s="8" t="e">
        <f t="shared" si="51"/>
        <v>#VALUE!</v>
      </c>
      <c r="AV540" s="8" t="e">
        <f t="shared" si="52"/>
        <v>#VALUE!</v>
      </c>
      <c r="AW540" s="8" t="e">
        <f t="shared" si="53"/>
        <v>#VALUE!</v>
      </c>
    </row>
    <row r="541" spans="1:49" x14ac:dyDescent="0.2">
      <c r="A541">
        <v>539</v>
      </c>
      <c r="B541" t="s">
        <v>5661</v>
      </c>
      <c r="C541" t="s">
        <v>5662</v>
      </c>
      <c r="F541" t="s">
        <v>5663</v>
      </c>
      <c r="G541" t="s">
        <v>4</v>
      </c>
      <c r="H541" t="s">
        <v>5</v>
      </c>
      <c r="I541" t="s">
        <v>5664</v>
      </c>
      <c r="N541">
        <v>2</v>
      </c>
      <c r="O541" t="s">
        <v>5665</v>
      </c>
      <c r="P541" t="s">
        <v>5666</v>
      </c>
      <c r="Q541" t="s">
        <v>156</v>
      </c>
      <c r="R541" s="1">
        <v>29952</v>
      </c>
      <c r="S541" s="2">
        <f t="shared" si="48"/>
        <v>1982</v>
      </c>
      <c r="T541" s="2">
        <v>1982</v>
      </c>
      <c r="U541" s="2">
        <f t="shared" si="49"/>
        <v>40</v>
      </c>
      <c r="V541" s="1">
        <v>29952</v>
      </c>
      <c r="W541" t="s">
        <v>157</v>
      </c>
      <c r="X541" s="3">
        <v>0.318</v>
      </c>
      <c r="Y541" s="4">
        <f>(X541-'[1]1982'!$Z$4)/('[1]1982'!$Z$3-'[1]1982'!$Z$4)</f>
        <v>8.4888283815167786E-3</v>
      </c>
      <c r="AA541">
        <v>338443</v>
      </c>
      <c r="AB541">
        <v>27160</v>
      </c>
      <c r="AC541">
        <v>15739120</v>
      </c>
      <c r="AD541" t="s">
        <v>15</v>
      </c>
      <c r="AE541">
        <v>25</v>
      </c>
      <c r="AF541">
        <v>1</v>
      </c>
      <c r="AH541" t="s">
        <v>5667</v>
      </c>
      <c r="AL541">
        <v>0</v>
      </c>
      <c r="AM541" s="5">
        <f t="shared" si="50"/>
        <v>0</v>
      </c>
      <c r="AN541" s="6">
        <f>(AM541-'[1]1982'!$AO$4)/('[1]1982'!$AO$3-'[1]1982'!$AO$4)</f>
        <v>0</v>
      </c>
      <c r="AO541" s="7"/>
      <c r="AP541">
        <v>0</v>
      </c>
      <c r="AR541" t="s">
        <v>19</v>
      </c>
      <c r="AT541" s="3">
        <v>0.77</v>
      </c>
      <c r="AU541" s="8">
        <f t="shared" si="51"/>
        <v>0.59421798670617454</v>
      </c>
      <c r="AV541" s="8">
        <f t="shared" si="52"/>
        <v>0.42444141907583893</v>
      </c>
      <c r="AW541" s="8">
        <f t="shared" si="53"/>
        <v>0.25466485144550338</v>
      </c>
    </row>
    <row r="542" spans="1:49" x14ac:dyDescent="0.2">
      <c r="A542">
        <v>540</v>
      </c>
      <c r="B542" t="s">
        <v>5668</v>
      </c>
      <c r="F542" t="s">
        <v>5669</v>
      </c>
      <c r="G542" t="s">
        <v>4</v>
      </c>
      <c r="H542" t="s">
        <v>5</v>
      </c>
      <c r="I542" t="s">
        <v>5670</v>
      </c>
      <c r="N542">
        <v>2</v>
      </c>
      <c r="O542" t="s">
        <v>5671</v>
      </c>
      <c r="P542" t="s">
        <v>5672</v>
      </c>
      <c r="Q542" t="s">
        <v>156</v>
      </c>
      <c r="R542" s="1">
        <v>29952</v>
      </c>
      <c r="S542" s="2">
        <f t="shared" si="48"/>
        <v>1982</v>
      </c>
      <c r="T542" s="2">
        <v>1982</v>
      </c>
      <c r="U542" s="2">
        <f t="shared" si="49"/>
        <v>40</v>
      </c>
      <c r="V542" s="1">
        <v>1982</v>
      </c>
      <c r="W542" t="s">
        <v>5673</v>
      </c>
      <c r="X542" s="3" t="s">
        <v>20</v>
      </c>
      <c r="Y542" s="4" t="e">
        <f>(X542-'[1]1982'!$Z$4)/('[1]1982'!$Z$3-'[1]1982'!$Z$4)</f>
        <v>#VALUE!</v>
      </c>
      <c r="AA542" t="s">
        <v>5674</v>
      </c>
      <c r="AB542">
        <v>18495</v>
      </c>
      <c r="AD542" t="s">
        <v>15</v>
      </c>
      <c r="AE542">
        <v>35</v>
      </c>
      <c r="AF542" t="s">
        <v>5675</v>
      </c>
      <c r="AH542" t="s">
        <v>5676</v>
      </c>
      <c r="AI542" t="s">
        <v>5677</v>
      </c>
      <c r="AK542" t="s">
        <v>5678</v>
      </c>
      <c r="AL542">
        <v>0</v>
      </c>
      <c r="AM542" s="5">
        <f t="shared" si="50"/>
        <v>0</v>
      </c>
      <c r="AN542" s="6">
        <f>(AM542-'[1]1982'!$AO$4)/('[1]1982'!$AO$3-'[1]1982'!$AO$4)</f>
        <v>0</v>
      </c>
      <c r="AO542" s="7"/>
      <c r="AP542">
        <v>0</v>
      </c>
      <c r="AR542" t="s">
        <v>19</v>
      </c>
      <c r="AT542" s="3" t="s">
        <v>20</v>
      </c>
      <c r="AU542" s="8" t="e">
        <f t="shared" si="51"/>
        <v>#VALUE!</v>
      </c>
      <c r="AV542" s="8" t="e">
        <f t="shared" si="52"/>
        <v>#VALUE!</v>
      </c>
      <c r="AW542" s="8" t="e">
        <f t="shared" si="53"/>
        <v>#VALUE!</v>
      </c>
    </row>
    <row r="543" spans="1:49" x14ac:dyDescent="0.2">
      <c r="A543">
        <v>541</v>
      </c>
      <c r="B543" t="s">
        <v>5679</v>
      </c>
      <c r="C543" t="s">
        <v>5680</v>
      </c>
      <c r="F543" t="s">
        <v>5681</v>
      </c>
      <c r="G543" t="s">
        <v>4</v>
      </c>
      <c r="H543" t="s">
        <v>5</v>
      </c>
      <c r="I543" t="s">
        <v>5682</v>
      </c>
      <c r="J543">
        <v>60025063</v>
      </c>
      <c r="K543" t="s">
        <v>5683</v>
      </c>
      <c r="L543" t="s">
        <v>5684</v>
      </c>
      <c r="M543" t="s">
        <v>5382</v>
      </c>
      <c r="N543">
        <v>1</v>
      </c>
      <c r="O543" t="s">
        <v>5685</v>
      </c>
      <c r="P543">
        <v>56782306400</v>
      </c>
      <c r="Q543">
        <v>60025063</v>
      </c>
      <c r="R543" s="1">
        <v>29952</v>
      </c>
      <c r="S543" s="2">
        <f t="shared" si="48"/>
        <v>1982</v>
      </c>
      <c r="T543" s="2">
        <v>1982</v>
      </c>
      <c r="U543" s="2">
        <f t="shared" si="49"/>
        <v>40</v>
      </c>
      <c r="V543" s="1">
        <v>29952</v>
      </c>
      <c r="W543" t="s">
        <v>1117</v>
      </c>
      <c r="X543" s="3">
        <v>1.6519999999999999</v>
      </c>
      <c r="Y543" s="4">
        <f>(X543-'[1]1982'!$Z$4)/('[1]1982'!$Z$3-'[1]1982'!$Z$4)</f>
        <v>4.409919649769093E-2</v>
      </c>
      <c r="AA543" t="s">
        <v>1118</v>
      </c>
      <c r="AB543">
        <v>17337</v>
      </c>
      <c r="AC543">
        <v>15582221</v>
      </c>
      <c r="AD543" t="s">
        <v>15</v>
      </c>
      <c r="AE543">
        <v>30</v>
      </c>
      <c r="AF543">
        <v>1</v>
      </c>
      <c r="AH543" t="s">
        <v>5686</v>
      </c>
      <c r="AI543" t="s">
        <v>5687</v>
      </c>
      <c r="AK543" t="s">
        <v>5688</v>
      </c>
      <c r="AL543">
        <v>6</v>
      </c>
      <c r="AM543" s="5">
        <f t="shared" si="50"/>
        <v>0.15</v>
      </c>
      <c r="AN543" s="6">
        <f>(AM543-'[1]1982'!$AO$4)/('[1]1982'!$AO$3-'[1]1982'!$AO$4)</f>
        <v>2.2718667171525936E-4</v>
      </c>
      <c r="AO543" s="7"/>
      <c r="AP543">
        <v>0</v>
      </c>
      <c r="AR543" t="s">
        <v>19</v>
      </c>
      <c r="AT543" s="3" t="s">
        <v>20</v>
      </c>
      <c r="AU543" s="8">
        <f t="shared" si="51"/>
        <v>3.0937593549898228</v>
      </c>
      <c r="AV543" s="8">
        <f t="shared" si="52"/>
        <v>2.2163191584703092</v>
      </c>
      <c r="AW543" s="8">
        <f t="shared" si="53"/>
        <v>1.3388789619507961</v>
      </c>
    </row>
    <row r="544" spans="1:49" x14ac:dyDescent="0.2">
      <c r="A544">
        <v>542</v>
      </c>
      <c r="B544" t="s">
        <v>5689</v>
      </c>
      <c r="C544" t="s">
        <v>5690</v>
      </c>
      <c r="F544" t="s">
        <v>5691</v>
      </c>
      <c r="G544" t="s">
        <v>4</v>
      </c>
      <c r="H544" t="s">
        <v>5</v>
      </c>
      <c r="I544" t="s">
        <v>2592</v>
      </c>
      <c r="J544">
        <v>60006168</v>
      </c>
      <c r="K544" t="s">
        <v>2593</v>
      </c>
      <c r="L544" t="s">
        <v>2594</v>
      </c>
      <c r="M544" t="s">
        <v>9</v>
      </c>
      <c r="N544">
        <v>2</v>
      </c>
      <c r="O544" t="s">
        <v>5692</v>
      </c>
      <c r="P544" t="s">
        <v>5693</v>
      </c>
      <c r="Q544" t="s">
        <v>5694</v>
      </c>
      <c r="R544" s="1">
        <v>29952</v>
      </c>
      <c r="S544" s="2">
        <f t="shared" si="48"/>
        <v>1982</v>
      </c>
      <c r="T544" s="2">
        <v>1982</v>
      </c>
      <c r="U544" s="2">
        <f t="shared" si="49"/>
        <v>40</v>
      </c>
      <c r="V544" s="1">
        <v>29952</v>
      </c>
      <c r="W544" t="s">
        <v>1117</v>
      </c>
      <c r="X544" s="3">
        <v>1.6519999999999999</v>
      </c>
      <c r="Y544" s="4">
        <f>(X544-'[1]1982'!$Z$4)/('[1]1982'!$Z$3-'[1]1982'!$Z$4)</f>
        <v>4.409919649769093E-2</v>
      </c>
      <c r="AA544" t="s">
        <v>1118</v>
      </c>
      <c r="AB544">
        <v>17337</v>
      </c>
      <c r="AC544">
        <v>15582221</v>
      </c>
      <c r="AD544" t="s">
        <v>15</v>
      </c>
      <c r="AE544">
        <v>30</v>
      </c>
      <c r="AF544">
        <v>1</v>
      </c>
      <c r="AH544" s="9">
        <v>44441</v>
      </c>
      <c r="AI544" t="s">
        <v>5695</v>
      </c>
      <c r="AK544" t="s">
        <v>5696</v>
      </c>
      <c r="AL544">
        <v>36</v>
      </c>
      <c r="AM544" s="5">
        <f t="shared" si="50"/>
        <v>0.9</v>
      </c>
      <c r="AN544" s="6">
        <f>(AM544-'[1]1982'!$AO$4)/('[1]1982'!$AO$3-'[1]1982'!$AO$4)</f>
        <v>1.3631200302915562E-3</v>
      </c>
      <c r="AO544" s="7"/>
      <c r="AP544">
        <v>0</v>
      </c>
      <c r="AR544" t="s">
        <v>19</v>
      </c>
      <c r="AT544" s="3" t="s">
        <v>20</v>
      </c>
      <c r="AU544" s="8">
        <f t="shared" si="51"/>
        <v>3.1278373557471117</v>
      </c>
      <c r="AV544" s="8">
        <f t="shared" si="52"/>
        <v>2.2731158263991245</v>
      </c>
      <c r="AW544" s="8">
        <f t="shared" si="53"/>
        <v>1.4183942970511367</v>
      </c>
    </row>
    <row r="545" spans="1:49" x14ac:dyDescent="0.2">
      <c r="A545">
        <v>543</v>
      </c>
      <c r="B545" t="s">
        <v>5697</v>
      </c>
      <c r="C545" t="s">
        <v>5698</v>
      </c>
      <c r="F545" t="s">
        <v>5699</v>
      </c>
      <c r="G545" t="s">
        <v>4</v>
      </c>
      <c r="H545" t="s">
        <v>5</v>
      </c>
      <c r="I545" t="s">
        <v>5700</v>
      </c>
      <c r="J545" t="s">
        <v>5701</v>
      </c>
      <c r="K545" t="s">
        <v>5702</v>
      </c>
      <c r="L545" t="s">
        <v>5703</v>
      </c>
      <c r="M545" t="s">
        <v>500</v>
      </c>
      <c r="N545">
        <v>3</v>
      </c>
      <c r="O545" t="s">
        <v>5704</v>
      </c>
      <c r="P545" t="s">
        <v>5705</v>
      </c>
      <c r="Q545" t="s">
        <v>5706</v>
      </c>
      <c r="R545" s="1">
        <v>29952</v>
      </c>
      <c r="S545" s="2">
        <f t="shared" si="48"/>
        <v>1982</v>
      </c>
      <c r="T545" s="2">
        <v>1982</v>
      </c>
      <c r="U545" s="2">
        <f t="shared" si="49"/>
        <v>40</v>
      </c>
      <c r="V545" s="1">
        <v>29952</v>
      </c>
      <c r="W545" t="s">
        <v>5707</v>
      </c>
      <c r="X545" s="3">
        <v>0.66100000000000003</v>
      </c>
      <c r="Y545" s="4">
        <f>(X545-'[1]1982'!$Z$4)/('[1]1982'!$Z$3-'[1]1982'!$Z$4)</f>
        <v>1.7645017484850912E-2</v>
      </c>
      <c r="AA545">
        <v>189197</v>
      </c>
      <c r="AB545">
        <v>26022</v>
      </c>
      <c r="AC545">
        <v>15581713</v>
      </c>
      <c r="AD545" t="s">
        <v>15</v>
      </c>
      <c r="AE545">
        <v>18</v>
      </c>
      <c r="AF545">
        <v>1</v>
      </c>
      <c r="AH545" t="s">
        <v>5708</v>
      </c>
      <c r="AI545" t="s">
        <v>5709</v>
      </c>
      <c r="AK545" t="s">
        <v>5710</v>
      </c>
      <c r="AL545">
        <v>6</v>
      </c>
      <c r="AM545" s="5">
        <f t="shared" si="50"/>
        <v>0.15</v>
      </c>
      <c r="AN545" s="6">
        <f>(AM545-'[1]1982'!$AO$4)/('[1]1982'!$AO$3-'[1]1982'!$AO$4)</f>
        <v>2.2718667171525936E-4</v>
      </c>
      <c r="AO545" s="7"/>
      <c r="AP545">
        <v>0</v>
      </c>
      <c r="AR545" t="s">
        <v>19</v>
      </c>
      <c r="AT545" s="3">
        <v>2.3180000000000001</v>
      </c>
      <c r="AU545" s="8">
        <f t="shared" si="51"/>
        <v>1.2419668240910215</v>
      </c>
      <c r="AV545" s="8">
        <f t="shared" si="52"/>
        <v>0.89361020782830858</v>
      </c>
      <c r="AW545" s="8">
        <f t="shared" si="53"/>
        <v>0.5452535915655955</v>
      </c>
    </row>
    <row r="546" spans="1:49" x14ac:dyDescent="0.2">
      <c r="A546">
        <v>544</v>
      </c>
      <c r="B546" t="s">
        <v>5711</v>
      </c>
      <c r="C546" t="s">
        <v>5712</v>
      </c>
      <c r="F546" t="s">
        <v>5713</v>
      </c>
      <c r="G546" t="s">
        <v>4</v>
      </c>
      <c r="H546" t="s">
        <v>5</v>
      </c>
      <c r="I546" t="s">
        <v>5714</v>
      </c>
      <c r="J546" t="s">
        <v>5715</v>
      </c>
      <c r="K546" t="s">
        <v>5716</v>
      </c>
      <c r="L546" t="s">
        <v>5717</v>
      </c>
      <c r="M546" t="s">
        <v>5718</v>
      </c>
      <c r="N546">
        <v>2</v>
      </c>
      <c r="O546" t="s">
        <v>5719</v>
      </c>
      <c r="P546" t="s">
        <v>5720</v>
      </c>
      <c r="Q546" t="s">
        <v>5721</v>
      </c>
      <c r="R546" s="1">
        <v>29952</v>
      </c>
      <c r="S546" s="2">
        <f t="shared" si="48"/>
        <v>1982</v>
      </c>
      <c r="T546" s="2">
        <v>1982</v>
      </c>
      <c r="U546" s="2">
        <f t="shared" si="49"/>
        <v>40</v>
      </c>
      <c r="V546" s="1">
        <v>29952</v>
      </c>
      <c r="W546" t="s">
        <v>2926</v>
      </c>
      <c r="X546" s="3">
        <v>2.141</v>
      </c>
      <c r="Y546" s="4">
        <f>(X546-'[1]1982'!$Z$4)/('[1]1982'!$Z$3-'[1]1982'!$Z$4)</f>
        <v>5.7152772216438434E-2</v>
      </c>
      <c r="AA546">
        <v>1962892</v>
      </c>
      <c r="AB546">
        <v>17360</v>
      </c>
      <c r="AC546">
        <v>15580644</v>
      </c>
      <c r="AD546" t="s">
        <v>15</v>
      </c>
      <c r="AE546">
        <v>20</v>
      </c>
      <c r="AF546">
        <v>1</v>
      </c>
      <c r="AH546" s="10">
        <v>43040</v>
      </c>
      <c r="AI546" t="s">
        <v>5722</v>
      </c>
      <c r="AK546" t="s">
        <v>5723</v>
      </c>
      <c r="AL546">
        <v>51</v>
      </c>
      <c r="AM546" s="5">
        <f t="shared" si="50"/>
        <v>1.2749999999999999</v>
      </c>
      <c r="AN546" s="6">
        <f>(AM546-'[1]1982'!$AO$4)/('[1]1982'!$AO$3-'[1]1982'!$AO$4)</f>
        <v>1.9310867095797045E-3</v>
      </c>
      <c r="AO546" s="7"/>
      <c r="AP546">
        <v>0</v>
      </c>
      <c r="AR546" t="s">
        <v>19</v>
      </c>
      <c r="AT546" s="3" t="s">
        <v>20</v>
      </c>
      <c r="AU546" s="8">
        <f t="shared" si="51"/>
        <v>4.0586266564380811</v>
      </c>
      <c r="AV546" s="8">
        <f t="shared" si="52"/>
        <v>2.9541929463009069</v>
      </c>
      <c r="AW546" s="8">
        <f t="shared" si="53"/>
        <v>1.8497592361637325</v>
      </c>
    </row>
    <row r="547" spans="1:49" x14ac:dyDescent="0.2">
      <c r="A547">
        <v>545</v>
      </c>
      <c r="B547" t="s">
        <v>5724</v>
      </c>
      <c r="C547" t="s">
        <v>5725</v>
      </c>
      <c r="F547" t="s">
        <v>5726</v>
      </c>
      <c r="G547" t="s">
        <v>4</v>
      </c>
      <c r="H547" t="s">
        <v>5</v>
      </c>
      <c r="I547" t="s">
        <v>5727</v>
      </c>
      <c r="J547">
        <v>60006337</v>
      </c>
      <c r="K547" t="s">
        <v>5728</v>
      </c>
      <c r="L547" t="s">
        <v>5729</v>
      </c>
      <c r="M547" t="s">
        <v>9</v>
      </c>
      <c r="N547">
        <v>1</v>
      </c>
      <c r="O547" t="s">
        <v>5730</v>
      </c>
      <c r="P547">
        <v>7403163187</v>
      </c>
      <c r="Q547">
        <v>60006337</v>
      </c>
      <c r="R547" s="1">
        <v>29952</v>
      </c>
      <c r="S547" s="2">
        <f t="shared" si="48"/>
        <v>1982</v>
      </c>
      <c r="T547" s="2">
        <v>1982</v>
      </c>
      <c r="U547" s="2">
        <f t="shared" si="49"/>
        <v>40</v>
      </c>
      <c r="V547" s="1">
        <v>29952</v>
      </c>
      <c r="W547" t="s">
        <v>2926</v>
      </c>
      <c r="X547" s="3">
        <v>2.141</v>
      </c>
      <c r="Y547" s="4">
        <f>(X547-'[1]1982'!$Z$4)/('[1]1982'!$Z$3-'[1]1982'!$Z$4)</f>
        <v>5.7152772216438434E-2</v>
      </c>
      <c r="AA547">
        <v>1962892</v>
      </c>
      <c r="AB547">
        <v>17360</v>
      </c>
      <c r="AC547">
        <v>15580644</v>
      </c>
      <c r="AD547" t="s">
        <v>15</v>
      </c>
      <c r="AE547">
        <v>20</v>
      </c>
      <c r="AF547">
        <v>1</v>
      </c>
      <c r="AH547" t="s">
        <v>5731</v>
      </c>
      <c r="AI547" t="s">
        <v>5732</v>
      </c>
      <c r="AK547" t="s">
        <v>5733</v>
      </c>
      <c r="AL547">
        <v>2</v>
      </c>
      <c r="AM547" s="5">
        <f t="shared" si="50"/>
        <v>0.05</v>
      </c>
      <c r="AN547" s="6">
        <f>(AM547-'[1]1982'!$AO$4)/('[1]1982'!$AO$3-'[1]1982'!$AO$4)</f>
        <v>7.5728890571753133E-5</v>
      </c>
      <c r="AO547" s="7"/>
      <c r="AP547">
        <v>0</v>
      </c>
      <c r="AR547" t="s">
        <v>19</v>
      </c>
      <c r="AT547" s="3" t="s">
        <v>20</v>
      </c>
      <c r="AU547" s="8">
        <f t="shared" si="51"/>
        <v>4.0029659218678422</v>
      </c>
      <c r="AV547" s="8">
        <f t="shared" si="52"/>
        <v>2.8614250553505092</v>
      </c>
      <c r="AW547" s="8">
        <f t="shared" si="53"/>
        <v>1.7198841888331757</v>
      </c>
    </row>
    <row r="548" spans="1:49" x14ac:dyDescent="0.2">
      <c r="A548">
        <v>546</v>
      </c>
      <c r="B548" t="s">
        <v>5734</v>
      </c>
      <c r="C548" t="s">
        <v>5735</v>
      </c>
      <c r="F548" t="s">
        <v>5736</v>
      </c>
      <c r="G548" t="s">
        <v>4</v>
      </c>
      <c r="H548" t="s">
        <v>5</v>
      </c>
      <c r="I548" t="s">
        <v>3858</v>
      </c>
      <c r="J548" t="s">
        <v>5737</v>
      </c>
      <c r="K548" t="s">
        <v>5738</v>
      </c>
      <c r="L548" t="s">
        <v>5739</v>
      </c>
      <c r="M548" t="s">
        <v>218</v>
      </c>
      <c r="N548">
        <v>2</v>
      </c>
      <c r="O548" t="s">
        <v>5740</v>
      </c>
      <c r="P548" t="s">
        <v>5741</v>
      </c>
      <c r="Q548" t="s">
        <v>5737</v>
      </c>
      <c r="R548" s="1">
        <v>29952</v>
      </c>
      <c r="S548" s="2">
        <f t="shared" si="48"/>
        <v>1982</v>
      </c>
      <c r="T548" s="2">
        <v>1982</v>
      </c>
      <c r="U548" s="2">
        <f t="shared" si="49"/>
        <v>40</v>
      </c>
      <c r="V548" s="1">
        <v>29952</v>
      </c>
      <c r="W548" t="s">
        <v>1117</v>
      </c>
      <c r="X548" s="3">
        <v>1.6519999999999999</v>
      </c>
      <c r="Y548" s="4">
        <f>(X548-'[1]1982'!$Z$4)/('[1]1982'!$Z$3-'[1]1982'!$Z$4)</f>
        <v>4.409919649769093E-2</v>
      </c>
      <c r="AA548" t="s">
        <v>1118</v>
      </c>
      <c r="AB548">
        <v>17337</v>
      </c>
      <c r="AC548">
        <v>15582221</v>
      </c>
      <c r="AD548" t="s">
        <v>15</v>
      </c>
      <c r="AE548">
        <v>30</v>
      </c>
      <c r="AF548">
        <v>1</v>
      </c>
      <c r="AH548" t="s">
        <v>5742</v>
      </c>
      <c r="AI548" t="s">
        <v>5743</v>
      </c>
      <c r="AK548" t="s">
        <v>5744</v>
      </c>
      <c r="AL548">
        <v>16</v>
      </c>
      <c r="AM548" s="5">
        <f t="shared" si="50"/>
        <v>0.4</v>
      </c>
      <c r="AN548" s="6">
        <f>(AM548-'[1]1982'!$AO$4)/('[1]1982'!$AO$3-'[1]1982'!$AO$4)</f>
        <v>6.0583112457402507E-4</v>
      </c>
      <c r="AO548" s="7"/>
      <c r="AP548">
        <v>0</v>
      </c>
      <c r="AR548" t="s">
        <v>19</v>
      </c>
      <c r="AT548" s="3" t="s">
        <v>20</v>
      </c>
      <c r="AU548" s="8">
        <f t="shared" si="51"/>
        <v>3.1051186885755859</v>
      </c>
      <c r="AV548" s="8">
        <f t="shared" si="52"/>
        <v>2.2352513811132479</v>
      </c>
      <c r="AW548" s="8">
        <f t="shared" si="53"/>
        <v>1.3653840736509095</v>
      </c>
    </row>
    <row r="549" spans="1:49" x14ac:dyDescent="0.2">
      <c r="A549">
        <v>547</v>
      </c>
      <c r="B549" t="s">
        <v>5745</v>
      </c>
      <c r="F549" t="s">
        <v>5746</v>
      </c>
      <c r="G549" t="s">
        <v>4</v>
      </c>
      <c r="H549" t="s">
        <v>5</v>
      </c>
      <c r="I549" t="s">
        <v>5747</v>
      </c>
      <c r="N549">
        <v>2</v>
      </c>
      <c r="O549" t="s">
        <v>5748</v>
      </c>
      <c r="P549" t="s">
        <v>5749</v>
      </c>
      <c r="Q549" t="s">
        <v>156</v>
      </c>
      <c r="R549" s="1">
        <v>29952</v>
      </c>
      <c r="S549" s="2">
        <f t="shared" si="48"/>
        <v>1982</v>
      </c>
      <c r="T549" s="2">
        <v>1982</v>
      </c>
      <c r="U549" s="2">
        <f t="shared" si="49"/>
        <v>40</v>
      </c>
      <c r="V549" s="1" t="s">
        <v>5562</v>
      </c>
      <c r="W549" t="s">
        <v>1643</v>
      </c>
      <c r="X549" s="3" t="s">
        <v>20</v>
      </c>
      <c r="Y549" s="4" t="e">
        <f>(X549-'[1]1982'!$Z$4)/('[1]1982'!$Z$3-'[1]1982'!$Z$4)</f>
        <v>#VALUE!</v>
      </c>
      <c r="AA549">
        <v>337889</v>
      </c>
      <c r="AB549">
        <v>40920</v>
      </c>
      <c r="AD549" t="s">
        <v>15</v>
      </c>
      <c r="AE549">
        <v>27</v>
      </c>
      <c r="AF549">
        <v>1</v>
      </c>
      <c r="AH549" t="s">
        <v>5750</v>
      </c>
      <c r="AI549" t="s">
        <v>5751</v>
      </c>
      <c r="AK549" t="s">
        <v>5752</v>
      </c>
      <c r="AL549">
        <v>0</v>
      </c>
      <c r="AM549" s="5">
        <f t="shared" si="50"/>
        <v>0</v>
      </c>
      <c r="AN549" s="6">
        <f>(AM549-'[1]1982'!$AO$4)/('[1]1982'!$AO$3-'[1]1982'!$AO$4)</f>
        <v>0</v>
      </c>
      <c r="AO549" s="7"/>
      <c r="AP549">
        <v>0</v>
      </c>
      <c r="AR549" t="s">
        <v>19</v>
      </c>
      <c r="AT549" s="3" t="s">
        <v>20</v>
      </c>
      <c r="AU549" s="8" t="e">
        <f t="shared" si="51"/>
        <v>#VALUE!</v>
      </c>
      <c r="AV549" s="8" t="e">
        <f t="shared" si="52"/>
        <v>#VALUE!</v>
      </c>
      <c r="AW549" s="8" t="e">
        <f t="shared" si="53"/>
        <v>#VALUE!</v>
      </c>
    </row>
    <row r="550" spans="1:49" x14ac:dyDescent="0.2">
      <c r="A550">
        <v>548</v>
      </c>
      <c r="B550" t="s">
        <v>5753</v>
      </c>
      <c r="C550" t="s">
        <v>5754</v>
      </c>
      <c r="F550" t="s">
        <v>5755</v>
      </c>
      <c r="G550" t="s">
        <v>4</v>
      </c>
      <c r="H550" t="s">
        <v>5</v>
      </c>
      <c r="I550" t="s">
        <v>5756</v>
      </c>
      <c r="N550">
        <v>2</v>
      </c>
      <c r="O550" t="s">
        <v>5757</v>
      </c>
      <c r="P550" t="s">
        <v>5758</v>
      </c>
      <c r="Q550" t="s">
        <v>156</v>
      </c>
      <c r="R550" s="1">
        <v>29952</v>
      </c>
      <c r="S550" s="2">
        <f t="shared" si="48"/>
        <v>1982</v>
      </c>
      <c r="T550" s="2">
        <v>1982</v>
      </c>
      <c r="U550" s="2">
        <f t="shared" si="49"/>
        <v>40</v>
      </c>
      <c r="V550" s="1" t="s">
        <v>1362</v>
      </c>
      <c r="W550" t="s">
        <v>2385</v>
      </c>
      <c r="X550" s="3">
        <v>0.371</v>
      </c>
      <c r="Y550" s="4">
        <f>(X550-'[1]1982'!$Z$4)/('[1]1982'!$Z$3-'[1]1982'!$Z$4)</f>
        <v>9.9036331117695747E-3</v>
      </c>
      <c r="AA550">
        <v>486604</v>
      </c>
      <c r="AB550">
        <v>28580</v>
      </c>
      <c r="AC550" t="s">
        <v>2386</v>
      </c>
      <c r="AD550" t="s">
        <v>15</v>
      </c>
      <c r="AE550">
        <v>17</v>
      </c>
      <c r="AF550">
        <v>3</v>
      </c>
      <c r="AH550" t="s">
        <v>5759</v>
      </c>
      <c r="AI550" t="s">
        <v>5760</v>
      </c>
      <c r="AK550" t="s">
        <v>5761</v>
      </c>
      <c r="AL550">
        <v>4</v>
      </c>
      <c r="AM550" s="5">
        <f t="shared" si="50"/>
        <v>0.1</v>
      </c>
      <c r="AN550" s="6">
        <f>(AM550-'[1]1982'!$AO$4)/('[1]1982'!$AO$3-'[1]1982'!$AO$4)</f>
        <v>1.5145778114350627E-4</v>
      </c>
      <c r="AO550" s="7"/>
      <c r="AP550">
        <v>0</v>
      </c>
      <c r="AR550" t="s">
        <v>19</v>
      </c>
      <c r="AT550" s="3">
        <v>1.431</v>
      </c>
      <c r="AU550" s="8">
        <f t="shared" si="51"/>
        <v>0.6977980512581754</v>
      </c>
      <c r="AV550" s="8">
        <f t="shared" si="52"/>
        <v>0.50275454464565406</v>
      </c>
      <c r="AW550" s="8">
        <f t="shared" si="53"/>
        <v>0.30771103803313271</v>
      </c>
    </row>
    <row r="551" spans="1:49" x14ac:dyDescent="0.2">
      <c r="A551">
        <v>549</v>
      </c>
      <c r="B551" t="s">
        <v>5762</v>
      </c>
      <c r="C551" t="s">
        <v>5763</v>
      </c>
      <c r="F551" t="s">
        <v>5764</v>
      </c>
      <c r="G551" t="s">
        <v>4</v>
      </c>
      <c r="H551" t="s">
        <v>5</v>
      </c>
      <c r="I551" t="s">
        <v>5765</v>
      </c>
      <c r="J551">
        <v>60032179</v>
      </c>
      <c r="K551" t="s">
        <v>1603</v>
      </c>
      <c r="L551" t="s">
        <v>1604</v>
      </c>
      <c r="M551" t="s">
        <v>9</v>
      </c>
      <c r="N551">
        <v>3</v>
      </c>
      <c r="O551" t="s">
        <v>5766</v>
      </c>
      <c r="P551" t="s">
        <v>5767</v>
      </c>
      <c r="Q551" t="s">
        <v>5768</v>
      </c>
      <c r="R551" s="1">
        <v>29952</v>
      </c>
      <c r="S551" s="2">
        <f t="shared" si="48"/>
        <v>1982</v>
      </c>
      <c r="T551" s="2">
        <v>1982</v>
      </c>
      <c r="U551" s="2">
        <f t="shared" si="49"/>
        <v>40</v>
      </c>
      <c r="V551" s="1">
        <v>30011</v>
      </c>
      <c r="W551" t="s">
        <v>1967</v>
      </c>
      <c r="X551" s="3">
        <v>0.82</v>
      </c>
      <c r="Y551" s="4">
        <f>(X551-'[1]1982'!$Z$4)/('[1]1982'!$Z$3-'[1]1982'!$Z$4)</f>
        <v>2.1889431675609299E-2</v>
      </c>
      <c r="AA551">
        <v>189456</v>
      </c>
      <c r="AB551">
        <v>15361</v>
      </c>
      <c r="AC551">
        <v>15579662</v>
      </c>
      <c r="AD551" t="s">
        <v>15</v>
      </c>
      <c r="AE551" t="s">
        <v>1968</v>
      </c>
      <c r="AF551">
        <v>1</v>
      </c>
      <c r="AH551" t="s">
        <v>5769</v>
      </c>
      <c r="AI551" t="s">
        <v>5770</v>
      </c>
      <c r="AK551" t="s">
        <v>5771</v>
      </c>
      <c r="AL551">
        <v>0</v>
      </c>
      <c r="AM551" s="5">
        <f t="shared" si="50"/>
        <v>0</v>
      </c>
      <c r="AN551" s="6">
        <f>(AM551-'[1]1982'!$AO$4)/('[1]1982'!$AO$3-'[1]1982'!$AO$4)</f>
        <v>0</v>
      </c>
      <c r="AO551" s="7"/>
      <c r="AP551">
        <v>0</v>
      </c>
      <c r="AR551" t="s">
        <v>19</v>
      </c>
      <c r="AT551" s="3" t="s">
        <v>20</v>
      </c>
      <c r="AU551" s="8">
        <f t="shared" si="51"/>
        <v>1.5322602172926507</v>
      </c>
      <c r="AV551" s="8">
        <f t="shared" si="52"/>
        <v>1.0944715837804648</v>
      </c>
      <c r="AW551" s="8">
        <f t="shared" si="53"/>
        <v>0.65668295026827894</v>
      </c>
    </row>
    <row r="552" spans="1:49" x14ac:dyDescent="0.2">
      <c r="A552">
        <v>550</v>
      </c>
      <c r="B552" t="s">
        <v>5772</v>
      </c>
      <c r="C552" t="s">
        <v>5773</v>
      </c>
      <c r="F552" t="s">
        <v>5774</v>
      </c>
      <c r="G552" t="s">
        <v>4</v>
      </c>
      <c r="H552" t="s">
        <v>5</v>
      </c>
      <c r="I552" t="s">
        <v>5775</v>
      </c>
      <c r="J552">
        <v>60023053</v>
      </c>
      <c r="K552" t="s">
        <v>3468</v>
      </c>
      <c r="L552" t="s">
        <v>3469</v>
      </c>
      <c r="M552" t="s">
        <v>9</v>
      </c>
      <c r="N552">
        <v>4</v>
      </c>
      <c r="O552" t="s">
        <v>5776</v>
      </c>
      <c r="P552" t="s">
        <v>5777</v>
      </c>
      <c r="Q552" t="s">
        <v>5778</v>
      </c>
      <c r="R552" s="1">
        <v>29952</v>
      </c>
      <c r="S552" s="2">
        <f t="shared" si="48"/>
        <v>1982</v>
      </c>
      <c r="T552" s="2">
        <v>1982</v>
      </c>
      <c r="U552" s="2">
        <f t="shared" si="49"/>
        <v>40</v>
      </c>
      <c r="V552" s="1">
        <v>30011</v>
      </c>
      <c r="W552" t="s">
        <v>1967</v>
      </c>
      <c r="X552" s="3">
        <v>0.82</v>
      </c>
      <c r="Y552" s="4">
        <f>(X552-'[1]1982'!$Z$4)/('[1]1982'!$Z$3-'[1]1982'!$Z$4)</f>
        <v>2.1889431675609299E-2</v>
      </c>
      <c r="AA552">
        <v>189456</v>
      </c>
      <c r="AB552">
        <v>15361</v>
      </c>
      <c r="AC552">
        <v>15579662</v>
      </c>
      <c r="AD552" t="s">
        <v>15</v>
      </c>
      <c r="AE552" t="s">
        <v>1968</v>
      </c>
      <c r="AF552">
        <v>1</v>
      </c>
      <c r="AH552" t="s">
        <v>5779</v>
      </c>
      <c r="AI552" t="s">
        <v>5780</v>
      </c>
      <c r="AK552" t="s">
        <v>5781</v>
      </c>
      <c r="AL552">
        <v>1</v>
      </c>
      <c r="AM552" s="5">
        <f t="shared" si="50"/>
        <v>2.5000000000000001E-2</v>
      </c>
      <c r="AN552" s="6">
        <f>(AM552-'[1]1982'!$AO$4)/('[1]1982'!$AO$3-'[1]1982'!$AO$4)</f>
        <v>3.7864445285876567E-5</v>
      </c>
      <c r="AO552" s="7"/>
      <c r="AP552">
        <v>0</v>
      </c>
      <c r="AR552" t="s">
        <v>19</v>
      </c>
      <c r="AT552" s="3" t="s">
        <v>20</v>
      </c>
      <c r="AU552" s="8">
        <f t="shared" si="51"/>
        <v>1.533396150651227</v>
      </c>
      <c r="AV552" s="8">
        <f t="shared" si="52"/>
        <v>1.0963648060447588</v>
      </c>
      <c r="AW552" s="8">
        <f t="shared" si="53"/>
        <v>0.6593334614382903</v>
      </c>
    </row>
    <row r="553" spans="1:49" x14ac:dyDescent="0.2">
      <c r="A553">
        <v>551</v>
      </c>
      <c r="B553" t="s">
        <v>5782</v>
      </c>
      <c r="C553" t="s">
        <v>5783</v>
      </c>
      <c r="F553" t="s">
        <v>5784</v>
      </c>
      <c r="G553" t="s">
        <v>4</v>
      </c>
      <c r="H553" t="s">
        <v>5</v>
      </c>
      <c r="I553" t="s">
        <v>2713</v>
      </c>
      <c r="J553" t="s">
        <v>5785</v>
      </c>
      <c r="K553" t="s">
        <v>5786</v>
      </c>
      <c r="L553" t="s">
        <v>5787</v>
      </c>
      <c r="M553" t="s">
        <v>218</v>
      </c>
      <c r="N553">
        <v>3</v>
      </c>
      <c r="O553" t="s">
        <v>5788</v>
      </c>
      <c r="P553" t="s">
        <v>5789</v>
      </c>
      <c r="Q553" t="s">
        <v>5790</v>
      </c>
      <c r="R553" s="1">
        <v>29952</v>
      </c>
      <c r="S553" s="2">
        <f t="shared" si="48"/>
        <v>1982</v>
      </c>
      <c r="T553" s="2">
        <v>1982</v>
      </c>
      <c r="U553" s="2">
        <f t="shared" si="49"/>
        <v>40</v>
      </c>
      <c r="V553" s="1">
        <v>30195</v>
      </c>
      <c r="W553" t="s">
        <v>1117</v>
      </c>
      <c r="X553" s="3">
        <v>1.6519999999999999</v>
      </c>
      <c r="Y553" s="4">
        <f>(X553-'[1]1982'!$Z$4)/('[1]1982'!$Z$3-'[1]1982'!$Z$4)</f>
        <v>4.409919649769093E-2</v>
      </c>
      <c r="AA553" t="s">
        <v>1118</v>
      </c>
      <c r="AB553">
        <v>17337</v>
      </c>
      <c r="AC553">
        <v>15582221</v>
      </c>
      <c r="AD553" t="s">
        <v>15</v>
      </c>
      <c r="AE553">
        <v>30</v>
      </c>
      <c r="AF553">
        <v>5</v>
      </c>
      <c r="AH553" t="s">
        <v>5791</v>
      </c>
      <c r="AI553" t="s">
        <v>5792</v>
      </c>
      <c r="AK553" t="s">
        <v>5793</v>
      </c>
      <c r="AL553">
        <v>16</v>
      </c>
      <c r="AM553" s="5">
        <f t="shared" si="50"/>
        <v>0.4</v>
      </c>
      <c r="AN553" s="6">
        <f>(AM553-'[1]1982'!$AO$4)/('[1]1982'!$AO$3-'[1]1982'!$AO$4)</f>
        <v>6.0583112457402507E-4</v>
      </c>
      <c r="AO553" s="7"/>
      <c r="AP553">
        <v>0</v>
      </c>
      <c r="AR553" t="s">
        <v>19</v>
      </c>
      <c r="AT553" s="3" t="s">
        <v>20</v>
      </c>
      <c r="AU553" s="8">
        <f t="shared" si="51"/>
        <v>3.1051186885755859</v>
      </c>
      <c r="AV553" s="8">
        <f t="shared" si="52"/>
        <v>2.2352513811132479</v>
      </c>
      <c r="AW553" s="8">
        <f t="shared" si="53"/>
        <v>1.3653840736509095</v>
      </c>
    </row>
    <row r="554" spans="1:49" x14ac:dyDescent="0.2">
      <c r="A554">
        <v>552</v>
      </c>
      <c r="B554" t="s">
        <v>5794</v>
      </c>
      <c r="C554" t="s">
        <v>5795</v>
      </c>
      <c r="F554" t="s">
        <v>5796</v>
      </c>
      <c r="G554" t="s">
        <v>4</v>
      </c>
      <c r="H554" t="s">
        <v>5</v>
      </c>
      <c r="I554" t="s">
        <v>5797</v>
      </c>
      <c r="J554">
        <v>60005460</v>
      </c>
      <c r="K554" t="s">
        <v>1013</v>
      </c>
      <c r="L554" t="s">
        <v>1014</v>
      </c>
      <c r="M554" t="s">
        <v>65</v>
      </c>
      <c r="N554">
        <v>2</v>
      </c>
      <c r="O554" t="s">
        <v>5798</v>
      </c>
      <c r="P554" t="s">
        <v>5799</v>
      </c>
      <c r="Q554" t="s">
        <v>5800</v>
      </c>
      <c r="R554" s="1">
        <v>29952</v>
      </c>
      <c r="S554" s="2">
        <f t="shared" si="48"/>
        <v>1982</v>
      </c>
      <c r="T554" s="2">
        <v>1982</v>
      </c>
      <c r="U554" s="2">
        <f t="shared" si="49"/>
        <v>40</v>
      </c>
      <c r="V554" s="1" t="s">
        <v>1491</v>
      </c>
      <c r="W554" t="s">
        <v>1492</v>
      </c>
      <c r="X554" s="3" t="s">
        <v>20</v>
      </c>
      <c r="Y554" s="4" t="e">
        <f>(X554-'[1]1982'!$Z$4)/('[1]1982'!$Z$3-'[1]1982'!$Z$4)</f>
        <v>#VALUE!</v>
      </c>
      <c r="AA554">
        <v>442240</v>
      </c>
      <c r="AB554">
        <v>21100829285</v>
      </c>
      <c r="AC554">
        <v>14390418</v>
      </c>
      <c r="AD554" t="s">
        <v>15</v>
      </c>
      <c r="AE554">
        <v>93</v>
      </c>
      <c r="AF554" s="9">
        <v>44317</v>
      </c>
      <c r="AH554" t="s">
        <v>5801</v>
      </c>
      <c r="AI554" t="s">
        <v>5802</v>
      </c>
      <c r="AK554" t="s">
        <v>5803</v>
      </c>
      <c r="AL554">
        <v>12</v>
      </c>
      <c r="AM554" s="5">
        <f t="shared" si="50"/>
        <v>0.3</v>
      </c>
      <c r="AN554" s="6">
        <f>(AM554-'[1]1982'!$AO$4)/('[1]1982'!$AO$3-'[1]1982'!$AO$4)</f>
        <v>4.5437334343051872E-4</v>
      </c>
      <c r="AO554" s="7"/>
      <c r="AP554">
        <v>0</v>
      </c>
      <c r="AR554" t="s">
        <v>19</v>
      </c>
      <c r="AT554" s="3" t="s">
        <v>20</v>
      </c>
      <c r="AU554" s="8" t="e">
        <f t="shared" si="51"/>
        <v>#VALUE!</v>
      </c>
      <c r="AV554" s="8" t="e">
        <f t="shared" si="52"/>
        <v>#VALUE!</v>
      </c>
      <c r="AW554" s="8" t="e">
        <f t="shared" si="53"/>
        <v>#VALUE!</v>
      </c>
    </row>
    <row r="555" spans="1:49" x14ac:dyDescent="0.2">
      <c r="A555">
        <v>553</v>
      </c>
      <c r="B555" t="s">
        <v>5804</v>
      </c>
      <c r="C555" t="s">
        <v>5805</v>
      </c>
      <c r="F555" t="s">
        <v>5806</v>
      </c>
      <c r="G555" t="s">
        <v>4</v>
      </c>
      <c r="H555" t="s">
        <v>5</v>
      </c>
      <c r="I555" t="s">
        <v>5807</v>
      </c>
      <c r="J555">
        <v>60005837</v>
      </c>
      <c r="K555" t="s">
        <v>5808</v>
      </c>
      <c r="L555" t="s">
        <v>1301</v>
      </c>
      <c r="M555" t="s">
        <v>9</v>
      </c>
      <c r="N555">
        <v>2</v>
      </c>
      <c r="O555" t="s">
        <v>5809</v>
      </c>
      <c r="P555" t="s">
        <v>5810</v>
      </c>
      <c r="Q555" t="s">
        <v>5811</v>
      </c>
      <c r="R555" s="1">
        <v>29952</v>
      </c>
      <c r="S555" s="2">
        <f t="shared" si="48"/>
        <v>1982</v>
      </c>
      <c r="T555" s="2">
        <v>1982</v>
      </c>
      <c r="U555" s="2">
        <f t="shared" si="49"/>
        <v>40</v>
      </c>
      <c r="V555" s="1">
        <v>30256</v>
      </c>
      <c r="W555" t="s">
        <v>1117</v>
      </c>
      <c r="X555" s="3">
        <v>1.6519999999999999</v>
      </c>
      <c r="Y555" s="4">
        <f>(X555-'[1]1982'!$Z$4)/('[1]1982'!$Z$3-'[1]1982'!$Z$4)</f>
        <v>4.409919649769093E-2</v>
      </c>
      <c r="AA555" t="s">
        <v>1118</v>
      </c>
      <c r="AB555">
        <v>17337</v>
      </c>
      <c r="AC555">
        <v>15582221</v>
      </c>
      <c r="AD555" t="s">
        <v>15</v>
      </c>
      <c r="AE555">
        <v>30</v>
      </c>
      <c r="AF555">
        <v>6</v>
      </c>
      <c r="AH555" t="s">
        <v>5812</v>
      </c>
      <c r="AI555" t="s">
        <v>5813</v>
      </c>
      <c r="AK555" t="s">
        <v>5814</v>
      </c>
      <c r="AL555">
        <v>22</v>
      </c>
      <c r="AM555" s="5">
        <f t="shared" si="50"/>
        <v>0.55000000000000004</v>
      </c>
      <c r="AN555" s="6">
        <f>(AM555-'[1]1982'!$AO$4)/('[1]1982'!$AO$3-'[1]1982'!$AO$4)</f>
        <v>8.3301779628928443E-4</v>
      </c>
      <c r="AO555" s="7"/>
      <c r="AP555">
        <v>0</v>
      </c>
      <c r="AR555" t="s">
        <v>19</v>
      </c>
      <c r="AT555" s="3" t="s">
        <v>20</v>
      </c>
      <c r="AU555" s="8">
        <f t="shared" si="51"/>
        <v>3.1119342887270434</v>
      </c>
      <c r="AV555" s="8">
        <f t="shared" si="52"/>
        <v>2.2466107146990106</v>
      </c>
      <c r="AW555" s="8">
        <f t="shared" si="53"/>
        <v>1.3812871406709777</v>
      </c>
    </row>
    <row r="556" spans="1:49" x14ac:dyDescent="0.2">
      <c r="A556">
        <v>554</v>
      </c>
      <c r="B556" t="s">
        <v>5815</v>
      </c>
      <c r="C556" t="s">
        <v>5816</v>
      </c>
      <c r="F556" t="s">
        <v>5817</v>
      </c>
      <c r="G556" t="s">
        <v>4</v>
      </c>
      <c r="H556" t="s">
        <v>5</v>
      </c>
      <c r="I556" t="s">
        <v>5818</v>
      </c>
      <c r="J556" t="s">
        <v>5819</v>
      </c>
      <c r="K556" t="s">
        <v>5820</v>
      </c>
      <c r="L556" t="s">
        <v>5821</v>
      </c>
      <c r="M556" t="s">
        <v>500</v>
      </c>
      <c r="N556">
        <v>3</v>
      </c>
      <c r="O556" t="s">
        <v>5822</v>
      </c>
      <c r="P556" t="s">
        <v>5823</v>
      </c>
      <c r="Q556" t="s">
        <v>5824</v>
      </c>
      <c r="R556" s="1">
        <v>29952</v>
      </c>
      <c r="S556" s="2">
        <f t="shared" si="48"/>
        <v>1982</v>
      </c>
      <c r="T556" s="2">
        <v>1982</v>
      </c>
      <c r="U556" s="2">
        <f t="shared" si="49"/>
        <v>40</v>
      </c>
      <c r="V556" s="1">
        <v>1982</v>
      </c>
      <c r="W556" t="s">
        <v>1005</v>
      </c>
      <c r="X556" s="3">
        <v>0.111</v>
      </c>
      <c r="Y556" s="4">
        <f>(X556-'[1]1982'!$Z$4)/('[1]1982'!$Z$3-'[1]1982'!$Z$4)</f>
        <v>2.9630816048690639E-3</v>
      </c>
      <c r="AA556">
        <v>87566621</v>
      </c>
      <c r="AB556">
        <v>24890</v>
      </c>
      <c r="AC556">
        <v>15206424</v>
      </c>
      <c r="AD556" t="s">
        <v>15</v>
      </c>
      <c r="AE556">
        <v>65</v>
      </c>
      <c r="AF556">
        <v>11</v>
      </c>
      <c r="AH556" t="s">
        <v>5825</v>
      </c>
      <c r="AI556" t="s">
        <v>5826</v>
      </c>
      <c r="AK556" t="s">
        <v>5827</v>
      </c>
      <c r="AL556">
        <v>1</v>
      </c>
      <c r="AM556" s="5">
        <f t="shared" si="50"/>
        <v>2.5000000000000001E-2</v>
      </c>
      <c r="AN556" s="6">
        <f>(AM556-'[1]1982'!$AO$4)/('[1]1982'!$AO$3-'[1]1982'!$AO$4)</f>
        <v>3.7864445285876567E-5</v>
      </c>
      <c r="AO556" s="7"/>
      <c r="AP556">
        <v>0</v>
      </c>
      <c r="AR556" t="s">
        <v>19</v>
      </c>
      <c r="AT556" s="3" t="s">
        <v>20</v>
      </c>
      <c r="AU556" s="8">
        <f t="shared" si="51"/>
        <v>0.20855164569941073</v>
      </c>
      <c r="AV556" s="8">
        <f t="shared" si="52"/>
        <v>0.15004730250774703</v>
      </c>
      <c r="AW556" s="8">
        <f t="shared" si="53"/>
        <v>9.1542959316083264E-2</v>
      </c>
    </row>
    <row r="557" spans="1:49" x14ac:dyDescent="0.2">
      <c r="A557">
        <v>555</v>
      </c>
      <c r="B557" t="s">
        <v>5828</v>
      </c>
      <c r="C557" t="s">
        <v>5829</v>
      </c>
      <c r="F557" t="s">
        <v>5830</v>
      </c>
      <c r="G557" t="s">
        <v>4</v>
      </c>
      <c r="H557" t="s">
        <v>5</v>
      </c>
      <c r="I557" t="s">
        <v>5831</v>
      </c>
      <c r="J557" t="s">
        <v>5832</v>
      </c>
      <c r="K557" t="s">
        <v>5833</v>
      </c>
      <c r="L557" t="s">
        <v>5834</v>
      </c>
      <c r="M557" t="s">
        <v>5835</v>
      </c>
      <c r="N557">
        <v>2</v>
      </c>
      <c r="O557" t="s">
        <v>5836</v>
      </c>
      <c r="P557" t="s">
        <v>5837</v>
      </c>
      <c r="Q557" t="s">
        <v>5832</v>
      </c>
      <c r="R557" s="1">
        <v>29952</v>
      </c>
      <c r="S557" s="2">
        <f t="shared" si="48"/>
        <v>1982</v>
      </c>
      <c r="T557" s="2">
        <v>1982</v>
      </c>
      <c r="U557" s="2">
        <f t="shared" si="49"/>
        <v>40</v>
      </c>
      <c r="V557" s="1">
        <v>30195</v>
      </c>
      <c r="W557" t="s">
        <v>5838</v>
      </c>
      <c r="X557" s="3">
        <v>1.351</v>
      </c>
      <c r="Y557" s="4">
        <f>(X557-'[1]1982'!$Z$4)/('[1]1982'!$Z$3-'[1]1982'!$Z$4)</f>
        <v>3.6064173407009958E-2</v>
      </c>
      <c r="AA557">
        <v>319317</v>
      </c>
      <c r="AB557">
        <v>16530</v>
      </c>
      <c r="AC557">
        <v>13993054</v>
      </c>
      <c r="AD557" t="s">
        <v>15</v>
      </c>
      <c r="AE557">
        <v>56</v>
      </c>
      <c r="AF557">
        <v>1</v>
      </c>
      <c r="AH557" t="s">
        <v>5839</v>
      </c>
      <c r="AI557" t="s">
        <v>5840</v>
      </c>
      <c r="AJ557" t="s">
        <v>5841</v>
      </c>
      <c r="AK557" t="s">
        <v>5842</v>
      </c>
      <c r="AL557">
        <v>23</v>
      </c>
      <c r="AM557" s="5">
        <f t="shared" si="50"/>
        <v>0.57499999999999996</v>
      </c>
      <c r="AN557" s="6">
        <f>(AM557-'[1]1982'!$AO$4)/('[1]1982'!$AO$3-'[1]1982'!$AO$4)</f>
        <v>8.7088224157516082E-4</v>
      </c>
      <c r="AO557" s="7"/>
      <c r="AP557">
        <v>0</v>
      </c>
      <c r="AR557" t="s">
        <v>19</v>
      </c>
      <c r="AT557" s="3">
        <v>4.5</v>
      </c>
      <c r="AU557" s="8">
        <f t="shared" si="51"/>
        <v>2.5506186057379518</v>
      </c>
      <c r="AV557" s="8">
        <f t="shared" si="52"/>
        <v>1.8467527824292558</v>
      </c>
      <c r="AW557" s="8">
        <f t="shared" si="53"/>
        <v>1.1428869591205599</v>
      </c>
    </row>
    <row r="558" spans="1:49" x14ac:dyDescent="0.2">
      <c r="A558">
        <v>556</v>
      </c>
      <c r="B558" t="s">
        <v>5843</v>
      </c>
      <c r="C558" t="s">
        <v>5844</v>
      </c>
      <c r="F558" t="s">
        <v>5845</v>
      </c>
      <c r="G558" t="s">
        <v>4</v>
      </c>
      <c r="H558" t="s">
        <v>5</v>
      </c>
      <c r="I558" t="s">
        <v>5846</v>
      </c>
      <c r="J558" t="s">
        <v>5847</v>
      </c>
      <c r="K558" t="s">
        <v>5848</v>
      </c>
      <c r="L558" t="s">
        <v>5849</v>
      </c>
      <c r="M558" t="s">
        <v>5850</v>
      </c>
      <c r="N558">
        <v>4</v>
      </c>
      <c r="O558" t="s">
        <v>5851</v>
      </c>
      <c r="P558" t="s">
        <v>5852</v>
      </c>
      <c r="Q558" t="s">
        <v>5853</v>
      </c>
      <c r="R558" s="1">
        <v>29952</v>
      </c>
      <c r="S558" s="2">
        <f t="shared" si="48"/>
        <v>1982</v>
      </c>
      <c r="T558" s="2">
        <v>1982</v>
      </c>
      <c r="U558" s="2">
        <f t="shared" si="49"/>
        <v>40</v>
      </c>
      <c r="V558" s="1">
        <v>1982</v>
      </c>
      <c r="W558" t="s">
        <v>1544</v>
      </c>
      <c r="X558" s="3">
        <v>1.887</v>
      </c>
      <c r="Y558" s="4">
        <f>(X558-'[1]1982'!$Z$4)/('[1]1982'!$Z$3-'[1]1982'!$Z$4)</f>
        <v>5.0372387282774087E-2</v>
      </c>
      <c r="AA558">
        <v>5562821</v>
      </c>
      <c r="AB558">
        <v>29459</v>
      </c>
      <c r="AD558" t="s">
        <v>15</v>
      </c>
      <c r="AE558">
        <v>25</v>
      </c>
      <c r="AF558">
        <v>10</v>
      </c>
      <c r="AH558" t="s">
        <v>5854</v>
      </c>
      <c r="AI558" t="s">
        <v>5855</v>
      </c>
      <c r="AK558" t="s">
        <v>5856</v>
      </c>
      <c r="AL558">
        <v>15</v>
      </c>
      <c r="AM558" s="5">
        <f t="shared" si="50"/>
        <v>0.375</v>
      </c>
      <c r="AN558" s="6">
        <f>(AM558-'[1]1982'!$AO$4)/('[1]1982'!$AO$3-'[1]1982'!$AO$4)</f>
        <v>5.6796667928814845E-4</v>
      </c>
      <c r="AO558" s="7"/>
      <c r="AP558">
        <v>0</v>
      </c>
      <c r="AR558" t="s">
        <v>19</v>
      </c>
      <c r="AT558" s="3">
        <v>5.2960000000000003</v>
      </c>
      <c r="AU558" s="8">
        <f t="shared" si="51"/>
        <v>3.5431061101728298</v>
      </c>
      <c r="AV558" s="8">
        <f t="shared" si="52"/>
        <v>2.5470176981031116</v>
      </c>
      <c r="AW558" s="8">
        <f t="shared" si="53"/>
        <v>1.5509292860333928</v>
      </c>
    </row>
    <row r="559" spans="1:49" x14ac:dyDescent="0.2">
      <c r="A559">
        <v>557</v>
      </c>
      <c r="B559" t="s">
        <v>5857</v>
      </c>
      <c r="C559" t="s">
        <v>5858</v>
      </c>
      <c r="F559" t="s">
        <v>5859</v>
      </c>
      <c r="G559" t="s">
        <v>4</v>
      </c>
      <c r="H559" t="s">
        <v>5</v>
      </c>
      <c r="I559" t="s">
        <v>5860</v>
      </c>
      <c r="J559" t="s">
        <v>5861</v>
      </c>
      <c r="K559" t="s">
        <v>5862</v>
      </c>
      <c r="L559" t="s">
        <v>5863</v>
      </c>
      <c r="M559" t="s">
        <v>500</v>
      </c>
      <c r="N559">
        <v>3</v>
      </c>
      <c r="O559" t="s">
        <v>5864</v>
      </c>
      <c r="P559" t="s">
        <v>5865</v>
      </c>
      <c r="Q559" t="s">
        <v>5866</v>
      </c>
      <c r="R559" s="1">
        <v>29952</v>
      </c>
      <c r="S559" s="2">
        <f t="shared" si="48"/>
        <v>1982</v>
      </c>
      <c r="T559" s="2">
        <v>1982</v>
      </c>
      <c r="U559" s="2">
        <f t="shared" si="49"/>
        <v>40</v>
      </c>
      <c r="V559" s="1">
        <v>1982</v>
      </c>
      <c r="W559" t="s">
        <v>1254</v>
      </c>
      <c r="X559" s="3">
        <v>1.1879999999999999</v>
      </c>
      <c r="Y559" s="4">
        <f>(X559-'[1]1982'!$Z$4)/('[1]1982'!$Z$3-'[1]1982'!$Z$4)</f>
        <v>3.1712981500760788E-2</v>
      </c>
      <c r="AA559">
        <v>10706631</v>
      </c>
      <c r="AB559">
        <v>29210</v>
      </c>
      <c r="AD559" t="s">
        <v>15</v>
      </c>
      <c r="AE559">
        <v>25</v>
      </c>
      <c r="AF559">
        <v>12</v>
      </c>
      <c r="AH559" t="s">
        <v>5867</v>
      </c>
      <c r="AI559" t="s">
        <v>5868</v>
      </c>
      <c r="AK559" t="s">
        <v>5869</v>
      </c>
      <c r="AL559">
        <v>9</v>
      </c>
      <c r="AM559" s="5">
        <f t="shared" si="50"/>
        <v>0.22500000000000001</v>
      </c>
      <c r="AN559" s="6">
        <f>(AM559-'[1]1982'!$AO$4)/('[1]1982'!$AO$3-'[1]1982'!$AO$4)</f>
        <v>3.4078000757288904E-4</v>
      </c>
      <c r="AO559" s="7"/>
      <c r="AP559">
        <v>0</v>
      </c>
      <c r="AR559" t="s">
        <v>19</v>
      </c>
      <c r="AT559" s="3">
        <v>3.5209999999999999</v>
      </c>
      <c r="AU559" s="8">
        <f t="shared" si="51"/>
        <v>2.2301321052804415</v>
      </c>
      <c r="AV559" s="8">
        <f t="shared" si="52"/>
        <v>1.6026880754166837</v>
      </c>
      <c r="AW559" s="8">
        <f t="shared" si="53"/>
        <v>0.97524404555292599</v>
      </c>
    </row>
    <row r="560" spans="1:49" x14ac:dyDescent="0.2">
      <c r="A560">
        <v>558</v>
      </c>
      <c r="B560" t="s">
        <v>5870</v>
      </c>
      <c r="C560" t="s">
        <v>5871</v>
      </c>
      <c r="F560" t="s">
        <v>5872</v>
      </c>
      <c r="G560" t="s">
        <v>4</v>
      </c>
      <c r="H560" t="s">
        <v>5</v>
      </c>
      <c r="I560" t="s">
        <v>5873</v>
      </c>
      <c r="J560">
        <v>60016849</v>
      </c>
      <c r="K560" t="s">
        <v>960</v>
      </c>
      <c r="L560" t="s">
        <v>961</v>
      </c>
      <c r="M560" t="s">
        <v>962</v>
      </c>
      <c r="N560">
        <v>2</v>
      </c>
      <c r="O560" t="s">
        <v>5874</v>
      </c>
      <c r="P560" t="s">
        <v>5875</v>
      </c>
      <c r="Q560" t="s">
        <v>965</v>
      </c>
      <c r="R560" s="1">
        <v>29952</v>
      </c>
      <c r="S560" s="2">
        <f t="shared" si="48"/>
        <v>1982</v>
      </c>
      <c r="T560" s="2">
        <v>1982</v>
      </c>
      <c r="U560" s="2">
        <f t="shared" si="49"/>
        <v>40</v>
      </c>
      <c r="V560" s="1">
        <v>1982</v>
      </c>
      <c r="W560" t="s">
        <v>1516</v>
      </c>
      <c r="X560" s="3">
        <v>1.994</v>
      </c>
      <c r="Y560" s="4">
        <f>(X560-'[1]1982'!$Z$4)/('[1]1982'!$Z$3-'[1]1982'!$Z$4)</f>
        <v>5.322869117215237E-2</v>
      </c>
      <c r="AA560">
        <v>249297</v>
      </c>
      <c r="AB560">
        <v>21100779404</v>
      </c>
      <c r="AC560">
        <v>15205835</v>
      </c>
      <c r="AD560" t="s">
        <v>15</v>
      </c>
      <c r="AE560">
        <v>15</v>
      </c>
      <c r="AF560">
        <v>6</v>
      </c>
      <c r="AH560" t="s">
        <v>5876</v>
      </c>
      <c r="AI560" t="s">
        <v>5877</v>
      </c>
      <c r="AK560" t="s">
        <v>5878</v>
      </c>
      <c r="AL560">
        <v>19</v>
      </c>
      <c r="AM560" s="5">
        <f t="shared" si="50"/>
        <v>0.47499999999999998</v>
      </c>
      <c r="AN560" s="6">
        <f>(AM560-'[1]1982'!$AO$4)/('[1]1982'!$AO$3-'[1]1982'!$AO$4)</f>
        <v>7.1942446043165469E-4</v>
      </c>
      <c r="AO560" s="7"/>
      <c r="AP560">
        <v>0</v>
      </c>
      <c r="AR560" t="s">
        <v>19</v>
      </c>
      <c r="AT560" s="3">
        <v>5.9850000000000003</v>
      </c>
      <c r="AU560" s="8">
        <f t="shared" si="51"/>
        <v>3.7475911158636155</v>
      </c>
      <c r="AV560" s="8">
        <f t="shared" si="52"/>
        <v>2.6974057816292012</v>
      </c>
      <c r="AW560" s="8">
        <f t="shared" si="53"/>
        <v>1.6472204473947871</v>
      </c>
    </row>
    <row r="561" spans="1:49" x14ac:dyDescent="0.2">
      <c r="A561">
        <v>559</v>
      </c>
      <c r="B561" t="s">
        <v>5879</v>
      </c>
      <c r="C561" t="s">
        <v>5880</v>
      </c>
      <c r="F561" t="s">
        <v>5881</v>
      </c>
      <c r="G561" t="s">
        <v>4</v>
      </c>
      <c r="H561" t="s">
        <v>5</v>
      </c>
      <c r="I561" t="s">
        <v>5882</v>
      </c>
      <c r="J561">
        <v>60016849</v>
      </c>
      <c r="K561" t="s">
        <v>960</v>
      </c>
      <c r="L561" t="s">
        <v>961</v>
      </c>
      <c r="M561" t="s">
        <v>962</v>
      </c>
      <c r="N561">
        <v>2</v>
      </c>
      <c r="O561" t="s">
        <v>5883</v>
      </c>
      <c r="P561" t="s">
        <v>5884</v>
      </c>
      <c r="Q561" t="s">
        <v>965</v>
      </c>
      <c r="R561" s="1">
        <v>29952</v>
      </c>
      <c r="S561" s="2">
        <f t="shared" si="48"/>
        <v>1982</v>
      </c>
      <c r="T561" s="2">
        <v>1982</v>
      </c>
      <c r="U561" s="2">
        <f t="shared" si="49"/>
        <v>40</v>
      </c>
      <c r="V561" s="1">
        <v>1982</v>
      </c>
      <c r="W561" t="s">
        <v>1516</v>
      </c>
      <c r="X561" s="3">
        <v>1.994</v>
      </c>
      <c r="Y561" s="4">
        <f>(X561-'[1]1982'!$Z$4)/('[1]1982'!$Z$3-'[1]1982'!$Z$4)</f>
        <v>5.322869117215237E-2</v>
      </c>
      <c r="AA561">
        <v>249297</v>
      </c>
      <c r="AB561">
        <v>21100779404</v>
      </c>
      <c r="AC561">
        <v>15205835</v>
      </c>
      <c r="AD561" t="s">
        <v>15</v>
      </c>
      <c r="AE561">
        <v>15</v>
      </c>
      <c r="AF561">
        <v>3</v>
      </c>
      <c r="AH561" t="s">
        <v>5885</v>
      </c>
      <c r="AI561" t="s">
        <v>5886</v>
      </c>
      <c r="AK561" t="s">
        <v>5887</v>
      </c>
      <c r="AL561">
        <v>58</v>
      </c>
      <c r="AM561" s="5">
        <f t="shared" si="50"/>
        <v>1.45</v>
      </c>
      <c r="AN561" s="6">
        <f>(AM561-'[1]1982'!$AO$4)/('[1]1982'!$AO$3-'[1]1982'!$AO$4)</f>
        <v>2.1961378265808406E-3</v>
      </c>
      <c r="AO561" s="7"/>
      <c r="AP561">
        <v>0</v>
      </c>
      <c r="AR561" t="s">
        <v>19</v>
      </c>
      <c r="AT561" s="3">
        <v>5.9850000000000003</v>
      </c>
      <c r="AU561" s="8">
        <f t="shared" si="51"/>
        <v>3.7918925168480908</v>
      </c>
      <c r="AV561" s="8">
        <f t="shared" si="52"/>
        <v>2.7712414499366607</v>
      </c>
      <c r="AW561" s="8">
        <f t="shared" si="53"/>
        <v>1.7505903830252301</v>
      </c>
    </row>
    <row r="562" spans="1:49" x14ac:dyDescent="0.2">
      <c r="A562">
        <v>560</v>
      </c>
      <c r="B562" t="s">
        <v>5888</v>
      </c>
      <c r="C562" t="s">
        <v>5889</v>
      </c>
      <c r="F562" t="s">
        <v>5890</v>
      </c>
      <c r="G562" t="s">
        <v>4</v>
      </c>
      <c r="H562" t="s">
        <v>5</v>
      </c>
      <c r="I562" t="s">
        <v>5882</v>
      </c>
      <c r="J562">
        <v>60016849</v>
      </c>
      <c r="K562" t="s">
        <v>960</v>
      </c>
      <c r="L562" t="s">
        <v>961</v>
      </c>
      <c r="M562" t="s">
        <v>962</v>
      </c>
      <c r="N562">
        <v>2</v>
      </c>
      <c r="O562" t="s">
        <v>5883</v>
      </c>
      <c r="P562" t="s">
        <v>5884</v>
      </c>
      <c r="Q562" t="s">
        <v>965</v>
      </c>
      <c r="R562" s="1">
        <v>29952</v>
      </c>
      <c r="S562" s="2">
        <f t="shared" si="48"/>
        <v>1982</v>
      </c>
      <c r="T562" s="2">
        <v>1982</v>
      </c>
      <c r="U562" s="2">
        <f t="shared" si="49"/>
        <v>40</v>
      </c>
      <c r="V562" s="1">
        <v>1982</v>
      </c>
      <c r="W562" t="s">
        <v>1516</v>
      </c>
      <c r="X562" s="3">
        <v>1.994</v>
      </c>
      <c r="Y562" s="4">
        <f>(X562-'[1]1982'!$Z$4)/('[1]1982'!$Z$3-'[1]1982'!$Z$4)</f>
        <v>5.322869117215237E-2</v>
      </c>
      <c r="AA562">
        <v>249297</v>
      </c>
      <c r="AB562">
        <v>21100779404</v>
      </c>
      <c r="AC562">
        <v>15205835</v>
      </c>
      <c r="AD562" t="s">
        <v>15</v>
      </c>
      <c r="AE562">
        <v>15</v>
      </c>
      <c r="AF562">
        <v>3</v>
      </c>
      <c r="AH562" t="s">
        <v>5891</v>
      </c>
      <c r="AI562" t="s">
        <v>5892</v>
      </c>
      <c r="AK562" t="s">
        <v>5893</v>
      </c>
      <c r="AL562">
        <v>38</v>
      </c>
      <c r="AM562" s="5">
        <f t="shared" si="50"/>
        <v>0.95</v>
      </c>
      <c r="AN562" s="6">
        <f>(AM562-'[1]1982'!$AO$4)/('[1]1982'!$AO$3-'[1]1982'!$AO$4)</f>
        <v>1.4388489208633094E-3</v>
      </c>
      <c r="AO562" s="7"/>
      <c r="AP562">
        <v>0</v>
      </c>
      <c r="AR562" t="s">
        <v>19</v>
      </c>
      <c r="AT562" s="3">
        <v>5.9850000000000003</v>
      </c>
      <c r="AU562" s="8">
        <f t="shared" si="51"/>
        <v>3.7691738496765645</v>
      </c>
      <c r="AV562" s="8">
        <f t="shared" si="52"/>
        <v>2.7333770046507841</v>
      </c>
      <c r="AW562" s="8">
        <f t="shared" si="53"/>
        <v>1.6975801596250026</v>
      </c>
    </row>
    <row r="563" spans="1:49" x14ac:dyDescent="0.2">
      <c r="A563">
        <v>561</v>
      </c>
      <c r="B563" t="s">
        <v>5894</v>
      </c>
      <c r="C563" t="s">
        <v>5895</v>
      </c>
      <c r="F563" t="s">
        <v>5896</v>
      </c>
      <c r="G563" t="s">
        <v>4</v>
      </c>
      <c r="H563" t="s">
        <v>5</v>
      </c>
      <c r="I563" t="s">
        <v>5897</v>
      </c>
      <c r="J563" t="s">
        <v>5898</v>
      </c>
      <c r="K563" t="s">
        <v>5899</v>
      </c>
      <c r="L563" t="s">
        <v>156</v>
      </c>
      <c r="M563" t="s">
        <v>187</v>
      </c>
      <c r="N563">
        <v>2</v>
      </c>
      <c r="O563" t="s">
        <v>5900</v>
      </c>
      <c r="P563" t="s">
        <v>5901</v>
      </c>
      <c r="Q563" t="s">
        <v>5902</v>
      </c>
      <c r="R563" s="1">
        <v>29952</v>
      </c>
      <c r="S563" s="2">
        <f t="shared" si="48"/>
        <v>1982</v>
      </c>
      <c r="T563" s="2">
        <v>1982</v>
      </c>
      <c r="U563" s="2">
        <f t="shared" si="49"/>
        <v>40</v>
      </c>
      <c r="V563" s="1">
        <v>29983</v>
      </c>
      <c r="W563" t="s">
        <v>1080</v>
      </c>
      <c r="X563" s="3">
        <v>1.774</v>
      </c>
      <c r="Y563" s="4">
        <f>(X563-'[1]1982'!$Z$4)/('[1]1982'!$Z$3-'[1]1982'!$Z$4)</f>
        <v>4.7355916820159633E-2</v>
      </c>
      <c r="AA563">
        <v>295515</v>
      </c>
      <c r="AB563">
        <v>29066</v>
      </c>
      <c r="AC563">
        <v>17414326</v>
      </c>
      <c r="AD563" t="s">
        <v>15</v>
      </c>
      <c r="AE563">
        <v>22</v>
      </c>
      <c r="AF563">
        <v>2</v>
      </c>
      <c r="AH563" t="s">
        <v>5903</v>
      </c>
      <c r="AI563" t="s">
        <v>5904</v>
      </c>
      <c r="AK563" t="s">
        <v>5905</v>
      </c>
      <c r="AL563">
        <v>52</v>
      </c>
      <c r="AM563" s="5">
        <f t="shared" si="50"/>
        <v>1.3</v>
      </c>
      <c r="AN563" s="6">
        <f>(AM563-'[1]1982'!$AO$4)/('[1]1982'!$AO$3-'[1]1982'!$AO$4)</f>
        <v>1.9689511548655813E-3</v>
      </c>
      <c r="AO563" s="7"/>
      <c r="AP563">
        <v>0</v>
      </c>
      <c r="AR563" t="s">
        <v>19</v>
      </c>
      <c r="AT563" s="3">
        <v>3.1789999999999998</v>
      </c>
      <c r="AU563" s="8">
        <f t="shared" si="51"/>
        <v>3.3739827120571415</v>
      </c>
      <c r="AV563" s="8">
        <f t="shared" si="52"/>
        <v>2.4662433987512609</v>
      </c>
      <c r="AW563" s="8">
        <f t="shared" si="53"/>
        <v>1.5585040854453796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2022-01-09T21:46:22Z</dcterms:created>
  <dcterms:modified xsi:type="dcterms:W3CDTF">2022-07-26T18:22:45Z</dcterms:modified>
</cp:coreProperties>
</file>